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 1 - Dům (RD Valcha)" sheetId="2" r:id="rId2"/>
    <sheet name="SO 2 - Garaž" sheetId="3" r:id="rId3"/>
    <sheet name="Elektroinstalace - RD Valcha" sheetId="4" r:id="rId4"/>
    <sheet name="ZTI - RD Valcha" sheetId="5" r:id="rId5"/>
    <sheet name="Zámková dlažba - RD Valcha" sheetId="6" r:id="rId6"/>
    <sheet name="Seznam figur" sheetId="7" r:id="rId7"/>
  </sheets>
  <definedNames>
    <definedName name="_xlnm.Print_Area" localSheetId="0">'Rekapitulace stavby'!$D$4:$AO$76,'Rekapitulace stavby'!$C$82:$AQ$100</definedName>
    <definedName name="_xlnm.Print_Titles" localSheetId="0">'Rekapitulace stavby'!$92:$92</definedName>
    <definedName name="_xlnm._FilterDatabase" localSheetId="1" hidden="1">'SO 1 - Dům (RD Valcha)'!$C$132:$K$362</definedName>
    <definedName name="_xlnm.Print_Area" localSheetId="1">'SO 1 - Dům (RD Valcha)'!$C$4:$J$76,'SO 1 - Dům (RD Valcha)'!$C$82:$J$114,'SO 1 - Dům (RD Valcha)'!$C$120:$J$362</definedName>
    <definedName name="_xlnm.Print_Titles" localSheetId="1">'SO 1 - Dům (RD Valcha)'!$132:$132</definedName>
    <definedName name="_xlnm._FilterDatabase" localSheetId="2" hidden="1">'SO 2 - Garaž'!$C$128:$K$276</definedName>
    <definedName name="_xlnm.Print_Area" localSheetId="2">'SO 2 - Garaž'!$C$4:$J$76,'SO 2 - Garaž'!$C$82:$J$110,'SO 2 - Garaž'!$C$116:$J$276</definedName>
    <definedName name="_xlnm.Print_Titles" localSheetId="2">'SO 2 - Garaž'!$128:$128</definedName>
    <definedName name="_xlnm._FilterDatabase" localSheetId="3" hidden="1">'Elektroinstalace - RD Valcha'!$C$119:$K$185</definedName>
    <definedName name="_xlnm.Print_Area" localSheetId="3">'Elektroinstalace - RD Valcha'!$C$4:$J$76,'Elektroinstalace - RD Valcha'!$C$82:$J$101,'Elektroinstalace - RD Valcha'!$C$107:$J$185</definedName>
    <definedName name="_xlnm.Print_Titles" localSheetId="3">'Elektroinstalace - RD Valcha'!$119:$119</definedName>
    <definedName name="_xlnm._FilterDatabase" localSheetId="4" hidden="1">'ZTI - RD Valcha'!$C$129:$K$219</definedName>
    <definedName name="_xlnm.Print_Area" localSheetId="4">'ZTI - RD Valcha'!$C$4:$J$76,'ZTI - RD Valcha'!$C$82:$J$111,'ZTI - RD Valcha'!$C$117:$J$219</definedName>
    <definedName name="_xlnm.Print_Titles" localSheetId="4">'ZTI - RD Valcha'!$129:$129</definedName>
    <definedName name="_xlnm._FilterDatabase" localSheetId="5" hidden="1">'Zámková dlažba - RD Valcha'!$C$119:$K$146</definedName>
    <definedName name="_xlnm.Print_Area" localSheetId="5">'Zámková dlažba - RD Valcha'!$C$4:$J$76,'Zámková dlažba - RD Valcha'!$C$82:$J$101,'Zámková dlažba - RD Valcha'!$C$107:$J$146</definedName>
    <definedName name="_xlnm.Print_Titles" localSheetId="5">'Zámková dlažba - RD Valcha'!$119:$119</definedName>
    <definedName name="_xlnm.Print_Area" localSheetId="6">'Seznam figur'!$C$4:$G$35</definedName>
    <definedName name="_xlnm.Print_Titles" localSheetId="6">'Seznam figur'!$9:$9</definedName>
  </definedNames>
  <calcPr/>
</workbook>
</file>

<file path=xl/calcChain.xml><?xml version="1.0" encoding="utf-8"?>
<calcChain xmlns="http://schemas.openxmlformats.org/spreadsheetml/2006/main">
  <c i="7" l="1" r="D7"/>
  <c i="6" r="J37"/>
  <c r="J36"/>
  <c i="1" r="AY99"/>
  <c i="6" r="J35"/>
  <c i="1" r="AX99"/>
  <c i="6" r="BI145"/>
  <c r="BH145"/>
  <c r="BG145"/>
  <c r="BF145"/>
  <c r="T145"/>
  <c r="R145"/>
  <c r="P145"/>
  <c r="BI143"/>
  <c r="BH143"/>
  <c r="BG143"/>
  <c r="BF143"/>
  <c r="T143"/>
  <c r="R143"/>
  <c r="P143"/>
  <c r="BI140"/>
  <c r="BH140"/>
  <c r="BG140"/>
  <c r="BF140"/>
  <c r="T140"/>
  <c r="R140"/>
  <c r="P140"/>
  <c r="BI138"/>
  <c r="BH138"/>
  <c r="BG138"/>
  <c r="BF138"/>
  <c r="T138"/>
  <c r="R138"/>
  <c r="P138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28"/>
  <c r="BH128"/>
  <c r="BG128"/>
  <c r="BF128"/>
  <c r="T128"/>
  <c r="R128"/>
  <c r="P128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2"/>
  <c r="BH122"/>
  <c r="BG122"/>
  <c r="BF122"/>
  <c r="T122"/>
  <c r="R122"/>
  <c r="P122"/>
  <c r="F114"/>
  <c r="E112"/>
  <c r="F89"/>
  <c r="E87"/>
  <c r="J24"/>
  <c r="E24"/>
  <c r="J117"/>
  <c r="J23"/>
  <c r="J21"/>
  <c r="E21"/>
  <c r="J91"/>
  <c r="J20"/>
  <c r="J18"/>
  <c r="E18"/>
  <c r="F117"/>
  <c r="J17"/>
  <c r="J15"/>
  <c r="E15"/>
  <c r="F116"/>
  <c r="J14"/>
  <c r="J12"/>
  <c r="J114"/>
  <c r="E7"/>
  <c r="E110"/>
  <c i="5" r="J37"/>
  <c r="J36"/>
  <c i="1" r="AY98"/>
  <c i="5" r="J35"/>
  <c i="1" r="AX98"/>
  <c i="5" r="BI219"/>
  <c r="BH219"/>
  <c r="BG219"/>
  <c r="BF219"/>
  <c r="T219"/>
  <c r="R219"/>
  <c r="P219"/>
  <c r="BI218"/>
  <c r="BH218"/>
  <c r="BG218"/>
  <c r="BF218"/>
  <c r="T218"/>
  <c r="R218"/>
  <c r="P218"/>
  <c r="BI217"/>
  <c r="BH217"/>
  <c r="BG217"/>
  <c r="BF217"/>
  <c r="T217"/>
  <c r="R217"/>
  <c r="P217"/>
  <c r="BI216"/>
  <c r="BH216"/>
  <c r="BG216"/>
  <c r="BF216"/>
  <c r="T216"/>
  <c r="R216"/>
  <c r="P216"/>
  <c r="BI213"/>
  <c r="BH213"/>
  <c r="BG213"/>
  <c r="BF213"/>
  <c r="T213"/>
  <c r="R213"/>
  <c r="P213"/>
  <c r="BI212"/>
  <c r="BH212"/>
  <c r="BG212"/>
  <c r="BF212"/>
  <c r="T212"/>
  <c r="R212"/>
  <c r="P212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200"/>
  <c r="BH200"/>
  <c r="BG200"/>
  <c r="BF200"/>
  <c r="T200"/>
  <c r="R200"/>
  <c r="P200"/>
  <c r="BI199"/>
  <c r="BH199"/>
  <c r="BG199"/>
  <c r="BF199"/>
  <c r="T199"/>
  <c r="R199"/>
  <c r="P199"/>
  <c r="BI198"/>
  <c r="BH198"/>
  <c r="BG198"/>
  <c r="BF198"/>
  <c r="T198"/>
  <c r="R198"/>
  <c r="P198"/>
  <c r="BI197"/>
  <c r="BH197"/>
  <c r="BG197"/>
  <c r="BF197"/>
  <c r="T197"/>
  <c r="R197"/>
  <c r="P197"/>
  <c r="BI195"/>
  <c r="BH195"/>
  <c r="BG195"/>
  <c r="BF195"/>
  <c r="T195"/>
  <c r="R195"/>
  <c r="P195"/>
  <c r="BI192"/>
  <c r="BH192"/>
  <c r="BG192"/>
  <c r="BF192"/>
  <c r="T192"/>
  <c r="R192"/>
  <c r="P192"/>
  <c r="BI188"/>
  <c r="BH188"/>
  <c r="BG188"/>
  <c r="BF188"/>
  <c r="T188"/>
  <c r="R188"/>
  <c r="P188"/>
  <c r="BI186"/>
  <c r="BH186"/>
  <c r="BG186"/>
  <c r="BF186"/>
  <c r="T186"/>
  <c r="T185"/>
  <c r="R186"/>
  <c r="R185"/>
  <c r="P186"/>
  <c r="P185"/>
  <c r="BI184"/>
  <c r="BH184"/>
  <c r="BG184"/>
  <c r="BF184"/>
  <c r="T184"/>
  <c r="R184"/>
  <c r="P184"/>
  <c r="BI183"/>
  <c r="BH183"/>
  <c r="BG183"/>
  <c r="BF183"/>
  <c r="T183"/>
  <c r="R183"/>
  <c r="P183"/>
  <c r="BI180"/>
  <c r="BH180"/>
  <c r="BG180"/>
  <c r="BF180"/>
  <c r="T180"/>
  <c r="R180"/>
  <c r="P180"/>
  <c r="BI179"/>
  <c r="BH179"/>
  <c r="BG179"/>
  <c r="BF179"/>
  <c r="T179"/>
  <c r="R179"/>
  <c r="P179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69"/>
  <c r="BH169"/>
  <c r="BG169"/>
  <c r="BF169"/>
  <c r="T169"/>
  <c r="R169"/>
  <c r="P169"/>
  <c r="BI167"/>
  <c r="BH167"/>
  <c r="BG167"/>
  <c r="BF167"/>
  <c r="T167"/>
  <c r="R167"/>
  <c r="P167"/>
  <c r="BI165"/>
  <c r="BH165"/>
  <c r="BG165"/>
  <c r="BF165"/>
  <c r="T165"/>
  <c r="R165"/>
  <c r="P165"/>
  <c r="BI164"/>
  <c r="BH164"/>
  <c r="BG164"/>
  <c r="BF164"/>
  <c r="T164"/>
  <c r="R164"/>
  <c r="P164"/>
  <c r="BI158"/>
  <c r="BH158"/>
  <c r="BG158"/>
  <c r="BF158"/>
  <c r="T158"/>
  <c r="T157"/>
  <c r="R158"/>
  <c r="R157"/>
  <c r="P158"/>
  <c r="P157"/>
  <c r="BI156"/>
  <c r="BH156"/>
  <c r="BG156"/>
  <c r="BF156"/>
  <c r="T156"/>
  <c r="R156"/>
  <c r="P156"/>
  <c r="BI155"/>
  <c r="BH155"/>
  <c r="BG155"/>
  <c r="BF155"/>
  <c r="T155"/>
  <c r="R155"/>
  <c r="P155"/>
  <c r="BI152"/>
  <c r="BH152"/>
  <c r="BG152"/>
  <c r="BF152"/>
  <c r="T152"/>
  <c r="R152"/>
  <c r="P152"/>
  <c r="BI150"/>
  <c r="BH150"/>
  <c r="BG150"/>
  <c r="BF150"/>
  <c r="T150"/>
  <c r="R150"/>
  <c r="P150"/>
  <c r="BI148"/>
  <c r="BH148"/>
  <c r="BG148"/>
  <c r="BF148"/>
  <c r="T148"/>
  <c r="R148"/>
  <c r="P148"/>
  <c r="BI142"/>
  <c r="BH142"/>
  <c r="BG142"/>
  <c r="BF142"/>
  <c r="T142"/>
  <c r="R142"/>
  <c r="P142"/>
  <c r="BI140"/>
  <c r="BH140"/>
  <c r="BG140"/>
  <c r="BF140"/>
  <c r="T140"/>
  <c r="R140"/>
  <c r="P140"/>
  <c r="BI138"/>
  <c r="BH138"/>
  <c r="BG138"/>
  <c r="BF138"/>
  <c r="T138"/>
  <c r="R138"/>
  <c r="P138"/>
  <c r="BI133"/>
  <c r="BH133"/>
  <c r="BG133"/>
  <c r="BF133"/>
  <c r="T133"/>
  <c r="R133"/>
  <c r="P133"/>
  <c r="F124"/>
  <c r="E122"/>
  <c r="F89"/>
  <c r="E87"/>
  <c r="J24"/>
  <c r="E24"/>
  <c r="J127"/>
  <c r="J23"/>
  <c r="J21"/>
  <c r="E21"/>
  <c r="J126"/>
  <c r="J20"/>
  <c r="J18"/>
  <c r="E18"/>
  <c r="F127"/>
  <c r="J17"/>
  <c r="J15"/>
  <c r="E15"/>
  <c r="F126"/>
  <c r="J14"/>
  <c r="J12"/>
  <c r="J89"/>
  <c r="E7"/>
  <c r="E85"/>
  <c i="4" r="J37"/>
  <c r="J36"/>
  <c i="1" r="AY97"/>
  <c i="4" r="J35"/>
  <c i="1" r="AX97"/>
  <c i="4" r="BI185"/>
  <c r="BH185"/>
  <c r="BG185"/>
  <c r="BF185"/>
  <c r="T185"/>
  <c r="R185"/>
  <c r="P185"/>
  <c r="BI184"/>
  <c r="BH184"/>
  <c r="BG184"/>
  <c r="BF184"/>
  <c r="T184"/>
  <c r="R184"/>
  <c r="P184"/>
  <c r="BI183"/>
  <c r="BH183"/>
  <c r="BG183"/>
  <c r="BF183"/>
  <c r="T183"/>
  <c r="R183"/>
  <c r="P183"/>
  <c r="BI180"/>
  <c r="BH180"/>
  <c r="BG180"/>
  <c r="BF180"/>
  <c r="T180"/>
  <c r="R180"/>
  <c r="P180"/>
  <c r="BI179"/>
  <c r="BH179"/>
  <c r="BG179"/>
  <c r="BF179"/>
  <c r="T179"/>
  <c r="R179"/>
  <c r="P179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1"/>
  <c r="BH161"/>
  <c r="BG161"/>
  <c r="BF161"/>
  <c r="T161"/>
  <c r="R161"/>
  <c r="P161"/>
  <c r="BI160"/>
  <c r="BH160"/>
  <c r="BG160"/>
  <c r="BF160"/>
  <c r="T160"/>
  <c r="R160"/>
  <c r="P160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3"/>
  <c r="BH153"/>
  <c r="BG153"/>
  <c r="BF153"/>
  <c r="T153"/>
  <c r="R153"/>
  <c r="P153"/>
  <c r="BI150"/>
  <c r="BH150"/>
  <c r="BG150"/>
  <c r="BF150"/>
  <c r="T150"/>
  <c r="R150"/>
  <c r="P150"/>
  <c r="BI148"/>
  <c r="BH148"/>
  <c r="BG148"/>
  <c r="BF148"/>
  <c r="T148"/>
  <c r="R148"/>
  <c r="P148"/>
  <c r="BI144"/>
  <c r="BH144"/>
  <c r="BG144"/>
  <c r="BF144"/>
  <c r="T144"/>
  <c r="R144"/>
  <c r="P144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0"/>
  <c r="BH130"/>
  <c r="BG130"/>
  <c r="BF130"/>
  <c r="T130"/>
  <c r="R130"/>
  <c r="P130"/>
  <c r="BI129"/>
  <c r="BH129"/>
  <c r="BG129"/>
  <c r="BF129"/>
  <c r="T129"/>
  <c r="R129"/>
  <c r="P129"/>
  <c r="BI126"/>
  <c r="BH126"/>
  <c r="BG126"/>
  <c r="BF126"/>
  <c r="T126"/>
  <c r="R126"/>
  <c r="P126"/>
  <c r="BI124"/>
  <c r="BH124"/>
  <c r="BG124"/>
  <c r="BF124"/>
  <c r="T124"/>
  <c r="R124"/>
  <c r="P124"/>
  <c r="BI123"/>
  <c r="BH123"/>
  <c r="BG123"/>
  <c r="BF123"/>
  <c r="T123"/>
  <c r="R123"/>
  <c r="P123"/>
  <c r="F114"/>
  <c r="E112"/>
  <c r="F89"/>
  <c r="E87"/>
  <c r="J24"/>
  <c r="E24"/>
  <c r="J92"/>
  <c r="J23"/>
  <c r="J21"/>
  <c r="E21"/>
  <c r="J116"/>
  <c r="J20"/>
  <c r="J18"/>
  <c r="E18"/>
  <c r="F92"/>
  <c r="J17"/>
  <c r="J15"/>
  <c r="E15"/>
  <c r="F91"/>
  <c r="J14"/>
  <c r="J12"/>
  <c r="J114"/>
  <c r="E7"/>
  <c r="E110"/>
  <c i="3" r="J37"/>
  <c r="J36"/>
  <c i="1" r="AY96"/>
  <c i="3" r="J35"/>
  <c i="1" r="AX96"/>
  <c i="3" r="BI275"/>
  <c r="BH275"/>
  <c r="BG275"/>
  <c r="BF275"/>
  <c r="T275"/>
  <c r="R275"/>
  <c r="P275"/>
  <c r="BI273"/>
  <c r="BH273"/>
  <c r="BG273"/>
  <c r="BF273"/>
  <c r="T273"/>
  <c r="R273"/>
  <c r="P273"/>
  <c r="BI271"/>
  <c r="BH271"/>
  <c r="BG271"/>
  <c r="BF271"/>
  <c r="T271"/>
  <c r="R271"/>
  <c r="P271"/>
  <c r="BI270"/>
  <c r="BH270"/>
  <c r="BG270"/>
  <c r="BF270"/>
  <c r="T270"/>
  <c r="R270"/>
  <c r="P270"/>
  <c r="BI269"/>
  <c r="BH269"/>
  <c r="BG269"/>
  <c r="BF269"/>
  <c r="T269"/>
  <c r="R269"/>
  <c r="P269"/>
  <c r="BI266"/>
  <c r="BH266"/>
  <c r="BG266"/>
  <c r="BF266"/>
  <c r="T266"/>
  <c r="R266"/>
  <c r="P266"/>
  <c r="BI265"/>
  <c r="BH265"/>
  <c r="BG265"/>
  <c r="BF265"/>
  <c r="T265"/>
  <c r="R265"/>
  <c r="P265"/>
  <c r="BI264"/>
  <c r="BH264"/>
  <c r="BG264"/>
  <c r="BF264"/>
  <c r="T264"/>
  <c r="R264"/>
  <c r="P264"/>
  <c r="BI263"/>
  <c r="BH263"/>
  <c r="BG263"/>
  <c r="BF263"/>
  <c r="T263"/>
  <c r="R263"/>
  <c r="P263"/>
  <c r="BI261"/>
  <c r="BH261"/>
  <c r="BG261"/>
  <c r="BF261"/>
  <c r="T261"/>
  <c r="R261"/>
  <c r="P261"/>
  <c r="BI259"/>
  <c r="BH259"/>
  <c r="BG259"/>
  <c r="BF259"/>
  <c r="T259"/>
  <c r="R259"/>
  <c r="P259"/>
  <c r="BI255"/>
  <c r="BH255"/>
  <c r="BG255"/>
  <c r="BF255"/>
  <c r="T255"/>
  <c r="R255"/>
  <c r="P255"/>
  <c r="BI253"/>
  <c r="BH253"/>
  <c r="BG253"/>
  <c r="BF253"/>
  <c r="T253"/>
  <c r="R253"/>
  <c r="P253"/>
  <c r="BI250"/>
  <c r="BH250"/>
  <c r="BG250"/>
  <c r="BF250"/>
  <c r="T250"/>
  <c r="R250"/>
  <c r="P250"/>
  <c r="BI248"/>
  <c r="BH248"/>
  <c r="BG248"/>
  <c r="BF248"/>
  <c r="T248"/>
  <c r="R248"/>
  <c r="P248"/>
  <c r="BI246"/>
  <c r="BH246"/>
  <c r="BG246"/>
  <c r="BF246"/>
  <c r="T246"/>
  <c r="R246"/>
  <c r="P246"/>
  <c r="BI244"/>
  <c r="BH244"/>
  <c r="BG244"/>
  <c r="BF244"/>
  <c r="T244"/>
  <c r="R244"/>
  <c r="P244"/>
  <c r="BI242"/>
  <c r="BH242"/>
  <c r="BG242"/>
  <c r="BF242"/>
  <c r="T242"/>
  <c r="R242"/>
  <c r="P242"/>
  <c r="BI240"/>
  <c r="BH240"/>
  <c r="BG240"/>
  <c r="BF240"/>
  <c r="T240"/>
  <c r="R240"/>
  <c r="P240"/>
  <c r="BI238"/>
  <c r="BH238"/>
  <c r="BG238"/>
  <c r="BF238"/>
  <c r="T238"/>
  <c r="R238"/>
  <c r="P238"/>
  <c r="BI235"/>
  <c r="BH235"/>
  <c r="BG235"/>
  <c r="BF235"/>
  <c r="T235"/>
  <c r="R235"/>
  <c r="P235"/>
  <c r="BI233"/>
  <c r="BH233"/>
  <c r="BG233"/>
  <c r="BF233"/>
  <c r="T233"/>
  <c r="R233"/>
  <c r="P233"/>
  <c r="BI232"/>
  <c r="BH232"/>
  <c r="BG232"/>
  <c r="BF232"/>
  <c r="T232"/>
  <c r="R232"/>
  <c r="P232"/>
  <c r="BI229"/>
  <c r="BH229"/>
  <c r="BG229"/>
  <c r="BF229"/>
  <c r="T229"/>
  <c r="R229"/>
  <c r="P229"/>
  <c r="BI228"/>
  <c r="BH228"/>
  <c r="BG228"/>
  <c r="BF228"/>
  <c r="T228"/>
  <c r="R228"/>
  <c r="P228"/>
  <c r="BI226"/>
  <c r="BH226"/>
  <c r="BG226"/>
  <c r="BF226"/>
  <c r="T226"/>
  <c r="R226"/>
  <c r="P226"/>
  <c r="BI224"/>
  <c r="BH224"/>
  <c r="BG224"/>
  <c r="BF224"/>
  <c r="T224"/>
  <c r="R224"/>
  <c r="P224"/>
  <c r="BI222"/>
  <c r="BH222"/>
  <c r="BG222"/>
  <c r="BF222"/>
  <c r="T222"/>
  <c r="R222"/>
  <c r="P222"/>
  <c r="BI219"/>
  <c r="BH219"/>
  <c r="BG219"/>
  <c r="BF219"/>
  <c r="T219"/>
  <c r="R219"/>
  <c r="P219"/>
  <c r="BI217"/>
  <c r="BH217"/>
  <c r="BG217"/>
  <c r="BF217"/>
  <c r="T217"/>
  <c r="R217"/>
  <c r="P217"/>
  <c r="BI215"/>
  <c r="BH215"/>
  <c r="BG215"/>
  <c r="BF215"/>
  <c r="T215"/>
  <c r="R215"/>
  <c r="P215"/>
  <c r="BI213"/>
  <c r="BH213"/>
  <c r="BG213"/>
  <c r="BF213"/>
  <c r="T213"/>
  <c r="R213"/>
  <c r="P213"/>
  <c r="BI212"/>
  <c r="BH212"/>
  <c r="BG212"/>
  <c r="BF212"/>
  <c r="T212"/>
  <c r="R212"/>
  <c r="P212"/>
  <c r="BI209"/>
  <c r="BH209"/>
  <c r="BG209"/>
  <c r="BF209"/>
  <c r="T209"/>
  <c r="R209"/>
  <c r="P209"/>
  <c r="BI207"/>
  <c r="BH207"/>
  <c r="BG207"/>
  <c r="BF207"/>
  <c r="T207"/>
  <c r="R207"/>
  <c r="P207"/>
  <c r="BI205"/>
  <c r="BH205"/>
  <c r="BG205"/>
  <c r="BF205"/>
  <c r="T205"/>
  <c r="R205"/>
  <c r="P205"/>
  <c r="BI202"/>
  <c r="BH202"/>
  <c r="BG202"/>
  <c r="BF202"/>
  <c r="T202"/>
  <c r="R202"/>
  <c r="P202"/>
  <c r="BI201"/>
  <c r="BH201"/>
  <c r="BG201"/>
  <c r="BF201"/>
  <c r="T201"/>
  <c r="R201"/>
  <c r="P201"/>
  <c r="BI200"/>
  <c r="BH200"/>
  <c r="BG200"/>
  <c r="BF200"/>
  <c r="T200"/>
  <c r="R200"/>
  <c r="P200"/>
  <c r="BI198"/>
  <c r="BH198"/>
  <c r="BG198"/>
  <c r="BF198"/>
  <c r="T198"/>
  <c r="R198"/>
  <c r="P198"/>
  <c r="BI196"/>
  <c r="BH196"/>
  <c r="BG196"/>
  <c r="BF196"/>
  <c r="T196"/>
  <c r="R196"/>
  <c r="P196"/>
  <c r="BI195"/>
  <c r="BH195"/>
  <c r="BG195"/>
  <c r="BF195"/>
  <c r="T195"/>
  <c r="R195"/>
  <c r="P195"/>
  <c r="BI193"/>
  <c r="BH193"/>
  <c r="BG193"/>
  <c r="BF193"/>
  <c r="T193"/>
  <c r="R193"/>
  <c r="P193"/>
  <c r="BI191"/>
  <c r="BH191"/>
  <c r="BG191"/>
  <c r="BF191"/>
  <c r="T191"/>
  <c r="R191"/>
  <c r="P191"/>
  <c r="BI190"/>
  <c r="BH190"/>
  <c r="BG190"/>
  <c r="BF190"/>
  <c r="T190"/>
  <c r="R190"/>
  <c r="P190"/>
  <c r="BI188"/>
  <c r="BH188"/>
  <c r="BG188"/>
  <c r="BF188"/>
  <c r="T188"/>
  <c r="R188"/>
  <c r="P188"/>
  <c r="BI187"/>
  <c r="BH187"/>
  <c r="BG187"/>
  <c r="BF187"/>
  <c r="T187"/>
  <c r="R187"/>
  <c r="P187"/>
  <c r="BI185"/>
  <c r="BH185"/>
  <c r="BG185"/>
  <c r="BF185"/>
  <c r="T185"/>
  <c r="R185"/>
  <c r="P185"/>
  <c r="BI182"/>
  <c r="BH182"/>
  <c r="BG182"/>
  <c r="BF182"/>
  <c r="T182"/>
  <c r="R182"/>
  <c r="P182"/>
  <c r="BI180"/>
  <c r="BH180"/>
  <c r="BG180"/>
  <c r="BF180"/>
  <c r="T180"/>
  <c r="R180"/>
  <c r="P180"/>
  <c r="BI178"/>
  <c r="BH178"/>
  <c r="BG178"/>
  <c r="BF178"/>
  <c r="T178"/>
  <c r="R178"/>
  <c r="P178"/>
  <c r="BI176"/>
  <c r="BH176"/>
  <c r="BG176"/>
  <c r="BF176"/>
  <c r="T176"/>
  <c r="R176"/>
  <c r="P176"/>
  <c r="BI173"/>
  <c r="BH173"/>
  <c r="BG173"/>
  <c r="BF173"/>
  <c r="T173"/>
  <c r="R173"/>
  <c r="P173"/>
  <c r="BI171"/>
  <c r="BH171"/>
  <c r="BG171"/>
  <c r="BF171"/>
  <c r="T171"/>
  <c r="R171"/>
  <c r="P171"/>
  <c r="BI169"/>
  <c r="BH169"/>
  <c r="BG169"/>
  <c r="BF169"/>
  <c r="T169"/>
  <c r="R169"/>
  <c r="P169"/>
  <c r="BI167"/>
  <c r="BH167"/>
  <c r="BG167"/>
  <c r="BF167"/>
  <c r="T167"/>
  <c r="R167"/>
  <c r="P167"/>
  <c r="BI164"/>
  <c r="BH164"/>
  <c r="BG164"/>
  <c r="BF164"/>
  <c r="T164"/>
  <c r="R164"/>
  <c r="P164"/>
  <c r="BI161"/>
  <c r="BH161"/>
  <c r="BG161"/>
  <c r="BF161"/>
  <c r="T161"/>
  <c r="R161"/>
  <c r="P161"/>
  <c r="BI159"/>
  <c r="BH159"/>
  <c r="BG159"/>
  <c r="BF159"/>
  <c r="T159"/>
  <c r="R159"/>
  <c r="P159"/>
  <c r="BI156"/>
  <c r="BH156"/>
  <c r="BG156"/>
  <c r="BF156"/>
  <c r="T156"/>
  <c r="R156"/>
  <c r="P156"/>
  <c r="BI154"/>
  <c r="BH154"/>
  <c r="BG154"/>
  <c r="BF154"/>
  <c r="T154"/>
  <c r="R154"/>
  <c r="P154"/>
  <c r="BI151"/>
  <c r="BH151"/>
  <c r="BG151"/>
  <c r="BF151"/>
  <c r="T151"/>
  <c r="R151"/>
  <c r="P151"/>
  <c r="BI148"/>
  <c r="BH148"/>
  <c r="BG148"/>
  <c r="BF148"/>
  <c r="T148"/>
  <c r="R148"/>
  <c r="P148"/>
  <c r="BI146"/>
  <c r="BH146"/>
  <c r="BG146"/>
  <c r="BF146"/>
  <c r="T146"/>
  <c r="R146"/>
  <c r="P146"/>
  <c r="BI143"/>
  <c r="BH143"/>
  <c r="BG143"/>
  <c r="BF143"/>
  <c r="T143"/>
  <c r="R143"/>
  <c r="P143"/>
  <c r="BI141"/>
  <c r="BH141"/>
  <c r="BG141"/>
  <c r="BF141"/>
  <c r="T141"/>
  <c r="R141"/>
  <c r="P141"/>
  <c r="BI137"/>
  <c r="BH137"/>
  <c r="BG137"/>
  <c r="BF137"/>
  <c r="T137"/>
  <c r="R137"/>
  <c r="P137"/>
  <c r="BI135"/>
  <c r="BH135"/>
  <c r="BG135"/>
  <c r="BF135"/>
  <c r="T135"/>
  <c r="R135"/>
  <c r="P135"/>
  <c r="BI132"/>
  <c r="BH132"/>
  <c r="BG132"/>
  <c r="BF132"/>
  <c r="T132"/>
  <c r="R132"/>
  <c r="P132"/>
  <c r="F123"/>
  <c r="E121"/>
  <c r="F89"/>
  <c r="E87"/>
  <c r="J24"/>
  <c r="E24"/>
  <c r="J92"/>
  <c r="J23"/>
  <c r="J21"/>
  <c r="E21"/>
  <c r="J125"/>
  <c r="J20"/>
  <c r="J18"/>
  <c r="E18"/>
  <c r="F126"/>
  <c r="J17"/>
  <c r="J15"/>
  <c r="E15"/>
  <c r="F91"/>
  <c r="J14"/>
  <c r="J12"/>
  <c r="J123"/>
  <c r="E7"/>
  <c r="E85"/>
  <c i="2" r="J37"/>
  <c r="J36"/>
  <c i="1" r="AY95"/>
  <c i="2" r="J35"/>
  <c i="1" r="AX95"/>
  <c i="2" r="BI360"/>
  <c r="BH360"/>
  <c r="BG360"/>
  <c r="BF360"/>
  <c r="T360"/>
  <c r="T359"/>
  <c r="R360"/>
  <c r="R359"/>
  <c r="P360"/>
  <c r="P359"/>
  <c r="BI356"/>
  <c r="BH356"/>
  <c r="BG356"/>
  <c r="BF356"/>
  <c r="T356"/>
  <c r="T355"/>
  <c r="R356"/>
  <c r="R355"/>
  <c r="P356"/>
  <c r="P355"/>
  <c r="BI354"/>
  <c r="BH354"/>
  <c r="BG354"/>
  <c r="BF354"/>
  <c r="T354"/>
  <c r="R354"/>
  <c r="P354"/>
  <c r="BI352"/>
  <c r="BH352"/>
  <c r="BG352"/>
  <c r="BF352"/>
  <c r="T352"/>
  <c r="R352"/>
  <c r="P352"/>
  <c r="BI351"/>
  <c r="BH351"/>
  <c r="BG351"/>
  <c r="BF351"/>
  <c r="T351"/>
  <c r="R351"/>
  <c r="P351"/>
  <c r="BI349"/>
  <c r="BH349"/>
  <c r="BG349"/>
  <c r="BF349"/>
  <c r="T349"/>
  <c r="R349"/>
  <c r="P349"/>
  <c r="BI348"/>
  <c r="BH348"/>
  <c r="BG348"/>
  <c r="BF348"/>
  <c r="T348"/>
  <c r="R348"/>
  <c r="P348"/>
  <c r="BI347"/>
  <c r="BH347"/>
  <c r="BG347"/>
  <c r="BF347"/>
  <c r="T347"/>
  <c r="R347"/>
  <c r="P347"/>
  <c r="BI346"/>
  <c r="BH346"/>
  <c r="BG346"/>
  <c r="BF346"/>
  <c r="T346"/>
  <c r="R346"/>
  <c r="P346"/>
  <c r="BI345"/>
  <c r="BH345"/>
  <c r="BG345"/>
  <c r="BF345"/>
  <c r="T345"/>
  <c r="R345"/>
  <c r="P345"/>
  <c r="BI344"/>
  <c r="BH344"/>
  <c r="BG344"/>
  <c r="BF344"/>
  <c r="T344"/>
  <c r="R344"/>
  <c r="P344"/>
  <c r="BI342"/>
  <c r="BH342"/>
  <c r="BG342"/>
  <c r="BF342"/>
  <c r="T342"/>
  <c r="R342"/>
  <c r="P342"/>
  <c r="BI340"/>
  <c r="BH340"/>
  <c r="BG340"/>
  <c r="BF340"/>
  <c r="T340"/>
  <c r="R340"/>
  <c r="P340"/>
  <c r="BI339"/>
  <c r="BH339"/>
  <c r="BG339"/>
  <c r="BF339"/>
  <c r="T339"/>
  <c r="R339"/>
  <c r="P339"/>
  <c r="BI338"/>
  <c r="BH338"/>
  <c r="BG338"/>
  <c r="BF338"/>
  <c r="T338"/>
  <c r="R338"/>
  <c r="P338"/>
  <c r="BI336"/>
  <c r="BH336"/>
  <c r="BG336"/>
  <c r="BF336"/>
  <c r="T336"/>
  <c r="R336"/>
  <c r="P336"/>
  <c r="BI335"/>
  <c r="BH335"/>
  <c r="BG335"/>
  <c r="BF335"/>
  <c r="T335"/>
  <c r="R335"/>
  <c r="P335"/>
  <c r="BI334"/>
  <c r="BH334"/>
  <c r="BG334"/>
  <c r="BF334"/>
  <c r="T334"/>
  <c r="R334"/>
  <c r="P334"/>
  <c r="BI332"/>
  <c r="BH332"/>
  <c r="BG332"/>
  <c r="BF332"/>
  <c r="T332"/>
  <c r="R332"/>
  <c r="P332"/>
  <c r="BI330"/>
  <c r="BH330"/>
  <c r="BG330"/>
  <c r="BF330"/>
  <c r="T330"/>
  <c r="R330"/>
  <c r="P330"/>
  <c r="BI328"/>
  <c r="BH328"/>
  <c r="BG328"/>
  <c r="BF328"/>
  <c r="T328"/>
  <c r="R328"/>
  <c r="P328"/>
  <c r="BI325"/>
  <c r="BH325"/>
  <c r="BG325"/>
  <c r="BF325"/>
  <c r="T325"/>
  <c r="R325"/>
  <c r="P325"/>
  <c r="BI324"/>
  <c r="BH324"/>
  <c r="BG324"/>
  <c r="BF324"/>
  <c r="T324"/>
  <c r="R324"/>
  <c r="P324"/>
  <c r="BI322"/>
  <c r="BH322"/>
  <c r="BG322"/>
  <c r="BF322"/>
  <c r="T322"/>
  <c r="R322"/>
  <c r="P322"/>
  <c r="BI321"/>
  <c r="BH321"/>
  <c r="BG321"/>
  <c r="BF321"/>
  <c r="T321"/>
  <c r="R321"/>
  <c r="P321"/>
  <c r="BI319"/>
  <c r="BH319"/>
  <c r="BG319"/>
  <c r="BF319"/>
  <c r="T319"/>
  <c r="R319"/>
  <c r="P319"/>
  <c r="BI317"/>
  <c r="BH317"/>
  <c r="BG317"/>
  <c r="BF317"/>
  <c r="T317"/>
  <c r="R317"/>
  <c r="P317"/>
  <c r="BI315"/>
  <c r="BH315"/>
  <c r="BG315"/>
  <c r="BF315"/>
  <c r="T315"/>
  <c r="R315"/>
  <c r="P315"/>
  <c r="BI313"/>
  <c r="BH313"/>
  <c r="BG313"/>
  <c r="BF313"/>
  <c r="T313"/>
  <c r="R313"/>
  <c r="P313"/>
  <c r="BI312"/>
  <c r="BH312"/>
  <c r="BG312"/>
  <c r="BF312"/>
  <c r="T312"/>
  <c r="R312"/>
  <c r="P312"/>
  <c r="BI310"/>
  <c r="BH310"/>
  <c r="BG310"/>
  <c r="BF310"/>
  <c r="T310"/>
  <c r="R310"/>
  <c r="P310"/>
  <c r="BI308"/>
  <c r="BH308"/>
  <c r="BG308"/>
  <c r="BF308"/>
  <c r="T308"/>
  <c r="R308"/>
  <c r="P308"/>
  <c r="BI307"/>
  <c r="BH307"/>
  <c r="BG307"/>
  <c r="BF307"/>
  <c r="T307"/>
  <c r="R307"/>
  <c r="P307"/>
  <c r="BI306"/>
  <c r="BH306"/>
  <c r="BG306"/>
  <c r="BF306"/>
  <c r="T306"/>
  <c r="R306"/>
  <c r="P306"/>
  <c r="BI304"/>
  <c r="BH304"/>
  <c r="BG304"/>
  <c r="BF304"/>
  <c r="T304"/>
  <c r="R304"/>
  <c r="P304"/>
  <c r="BI303"/>
  <c r="BH303"/>
  <c r="BG303"/>
  <c r="BF303"/>
  <c r="T303"/>
  <c r="R303"/>
  <c r="P303"/>
  <c r="BI301"/>
  <c r="BH301"/>
  <c r="BG301"/>
  <c r="BF301"/>
  <c r="T301"/>
  <c r="R301"/>
  <c r="P301"/>
  <c r="BI300"/>
  <c r="BH300"/>
  <c r="BG300"/>
  <c r="BF300"/>
  <c r="T300"/>
  <c r="R300"/>
  <c r="P300"/>
  <c r="BI298"/>
  <c r="BH298"/>
  <c r="BG298"/>
  <c r="BF298"/>
  <c r="T298"/>
  <c r="R298"/>
  <c r="P298"/>
  <c r="BI297"/>
  <c r="BH297"/>
  <c r="BG297"/>
  <c r="BF297"/>
  <c r="T297"/>
  <c r="R297"/>
  <c r="P297"/>
  <c r="BI295"/>
  <c r="BH295"/>
  <c r="BG295"/>
  <c r="BF295"/>
  <c r="T295"/>
  <c r="R295"/>
  <c r="P295"/>
  <c r="BI294"/>
  <c r="BH294"/>
  <c r="BG294"/>
  <c r="BF294"/>
  <c r="T294"/>
  <c r="R294"/>
  <c r="P294"/>
  <c r="BI291"/>
  <c r="BH291"/>
  <c r="BG291"/>
  <c r="BF291"/>
  <c r="T291"/>
  <c r="R291"/>
  <c r="P291"/>
  <c r="BI290"/>
  <c r="BH290"/>
  <c r="BG290"/>
  <c r="BF290"/>
  <c r="T290"/>
  <c r="R290"/>
  <c r="P290"/>
  <c r="BI289"/>
  <c r="BH289"/>
  <c r="BG289"/>
  <c r="BF289"/>
  <c r="T289"/>
  <c r="R289"/>
  <c r="P289"/>
  <c r="BI287"/>
  <c r="BH287"/>
  <c r="BG287"/>
  <c r="BF287"/>
  <c r="T287"/>
  <c r="R287"/>
  <c r="P287"/>
  <c r="BI284"/>
  <c r="BH284"/>
  <c r="BG284"/>
  <c r="BF284"/>
  <c r="T284"/>
  <c r="R284"/>
  <c r="P284"/>
  <c r="BI282"/>
  <c r="BH282"/>
  <c r="BG282"/>
  <c r="BF282"/>
  <c r="T282"/>
  <c r="R282"/>
  <c r="P282"/>
  <c r="BI280"/>
  <c r="BH280"/>
  <c r="BG280"/>
  <c r="BF280"/>
  <c r="T280"/>
  <c r="R280"/>
  <c r="P280"/>
  <c r="BI278"/>
  <c r="BH278"/>
  <c r="BG278"/>
  <c r="BF278"/>
  <c r="T278"/>
  <c r="R278"/>
  <c r="P278"/>
  <c r="BI276"/>
  <c r="BH276"/>
  <c r="BG276"/>
  <c r="BF276"/>
  <c r="T276"/>
  <c r="R276"/>
  <c r="P276"/>
  <c r="BI274"/>
  <c r="BH274"/>
  <c r="BG274"/>
  <c r="BF274"/>
  <c r="T274"/>
  <c r="R274"/>
  <c r="P274"/>
  <c r="BI273"/>
  <c r="BH273"/>
  <c r="BG273"/>
  <c r="BF273"/>
  <c r="T273"/>
  <c r="R273"/>
  <c r="P273"/>
  <c r="BI270"/>
  <c r="BH270"/>
  <c r="BG270"/>
  <c r="BF270"/>
  <c r="T270"/>
  <c r="R270"/>
  <c r="P270"/>
  <c r="BI268"/>
  <c r="BH268"/>
  <c r="BG268"/>
  <c r="BF268"/>
  <c r="T268"/>
  <c r="R268"/>
  <c r="P268"/>
  <c r="BI266"/>
  <c r="BH266"/>
  <c r="BG266"/>
  <c r="BF266"/>
  <c r="T266"/>
  <c r="R266"/>
  <c r="P266"/>
  <c r="BI264"/>
  <c r="BH264"/>
  <c r="BG264"/>
  <c r="BF264"/>
  <c r="T264"/>
  <c r="R264"/>
  <c r="P264"/>
  <c r="BI262"/>
  <c r="BH262"/>
  <c r="BG262"/>
  <c r="BF262"/>
  <c r="T262"/>
  <c r="R262"/>
  <c r="P262"/>
  <c r="BI259"/>
  <c r="BH259"/>
  <c r="BG259"/>
  <c r="BF259"/>
  <c r="T259"/>
  <c r="R259"/>
  <c r="P259"/>
  <c r="BI257"/>
  <c r="BH257"/>
  <c r="BG257"/>
  <c r="BF257"/>
  <c r="T257"/>
  <c r="R257"/>
  <c r="P257"/>
  <c r="BI255"/>
  <c r="BH255"/>
  <c r="BG255"/>
  <c r="BF255"/>
  <c r="T255"/>
  <c r="R255"/>
  <c r="P255"/>
  <c r="BI251"/>
  <c r="BH251"/>
  <c r="BG251"/>
  <c r="BF251"/>
  <c r="T251"/>
  <c r="R251"/>
  <c r="P251"/>
  <c r="BI249"/>
  <c r="BH249"/>
  <c r="BG249"/>
  <c r="BF249"/>
  <c r="T249"/>
  <c r="R249"/>
  <c r="P249"/>
  <c r="BI247"/>
  <c r="BH247"/>
  <c r="BG247"/>
  <c r="BF247"/>
  <c r="T247"/>
  <c r="R247"/>
  <c r="P247"/>
  <c r="BI245"/>
  <c r="BH245"/>
  <c r="BG245"/>
  <c r="BF245"/>
  <c r="T245"/>
  <c r="R245"/>
  <c r="P245"/>
  <c r="BI243"/>
  <c r="BH243"/>
  <c r="BG243"/>
  <c r="BF243"/>
  <c r="T243"/>
  <c r="R243"/>
  <c r="P243"/>
  <c r="BI241"/>
  <c r="BH241"/>
  <c r="BG241"/>
  <c r="BF241"/>
  <c r="T241"/>
  <c r="R241"/>
  <c r="P241"/>
  <c r="BI240"/>
  <c r="BH240"/>
  <c r="BG240"/>
  <c r="BF240"/>
  <c r="T240"/>
  <c r="R240"/>
  <c r="P240"/>
  <c r="BI238"/>
  <c r="BH238"/>
  <c r="BG238"/>
  <c r="BF238"/>
  <c r="T238"/>
  <c r="R238"/>
  <c r="P238"/>
  <c r="BI237"/>
  <c r="BH237"/>
  <c r="BG237"/>
  <c r="BF237"/>
  <c r="T237"/>
  <c r="R237"/>
  <c r="P237"/>
  <c r="BI235"/>
  <c r="BH235"/>
  <c r="BG235"/>
  <c r="BF235"/>
  <c r="T235"/>
  <c r="R235"/>
  <c r="P235"/>
  <c r="BI234"/>
  <c r="BH234"/>
  <c r="BG234"/>
  <c r="BF234"/>
  <c r="T234"/>
  <c r="R234"/>
  <c r="P234"/>
  <c r="BI233"/>
  <c r="BH233"/>
  <c r="BG233"/>
  <c r="BF233"/>
  <c r="T233"/>
  <c r="R233"/>
  <c r="P233"/>
  <c r="BI232"/>
  <c r="BH232"/>
  <c r="BG232"/>
  <c r="BF232"/>
  <c r="T232"/>
  <c r="R232"/>
  <c r="P232"/>
  <c r="BI230"/>
  <c r="BH230"/>
  <c r="BG230"/>
  <c r="BF230"/>
  <c r="T230"/>
  <c r="R230"/>
  <c r="P230"/>
  <c r="BI227"/>
  <c r="BH227"/>
  <c r="BG227"/>
  <c r="BF227"/>
  <c r="T227"/>
  <c r="R227"/>
  <c r="P227"/>
  <c r="BI225"/>
  <c r="BH225"/>
  <c r="BG225"/>
  <c r="BF225"/>
  <c r="T225"/>
  <c r="R225"/>
  <c r="P225"/>
  <c r="BI223"/>
  <c r="BH223"/>
  <c r="BG223"/>
  <c r="BF223"/>
  <c r="T223"/>
  <c r="R223"/>
  <c r="P223"/>
  <c r="BI220"/>
  <c r="BH220"/>
  <c r="BG220"/>
  <c r="BF220"/>
  <c r="T220"/>
  <c r="R220"/>
  <c r="P220"/>
  <c r="BI218"/>
  <c r="BH218"/>
  <c r="BG218"/>
  <c r="BF218"/>
  <c r="T218"/>
  <c r="R218"/>
  <c r="P218"/>
  <c r="BI216"/>
  <c r="BH216"/>
  <c r="BG216"/>
  <c r="BF216"/>
  <c r="T216"/>
  <c r="R216"/>
  <c r="P216"/>
  <c r="BI214"/>
  <c r="BH214"/>
  <c r="BG214"/>
  <c r="BF214"/>
  <c r="T214"/>
  <c r="R214"/>
  <c r="P214"/>
  <c r="BI213"/>
  <c r="BH213"/>
  <c r="BG213"/>
  <c r="BF213"/>
  <c r="T213"/>
  <c r="R213"/>
  <c r="P213"/>
  <c r="BI212"/>
  <c r="BH212"/>
  <c r="BG212"/>
  <c r="BF212"/>
  <c r="T212"/>
  <c r="R212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4"/>
  <c r="BH204"/>
  <c r="BG204"/>
  <c r="BF204"/>
  <c r="T204"/>
  <c r="R204"/>
  <c r="P204"/>
  <c r="BI203"/>
  <c r="BH203"/>
  <c r="BG203"/>
  <c r="BF203"/>
  <c r="T203"/>
  <c r="R203"/>
  <c r="P203"/>
  <c r="BI201"/>
  <c r="BH201"/>
  <c r="BG201"/>
  <c r="BF201"/>
  <c r="T201"/>
  <c r="R201"/>
  <c r="P201"/>
  <c r="BI199"/>
  <c r="BH199"/>
  <c r="BG199"/>
  <c r="BF199"/>
  <c r="T199"/>
  <c r="R199"/>
  <c r="P199"/>
  <c r="BI197"/>
  <c r="BH197"/>
  <c r="BG197"/>
  <c r="BF197"/>
  <c r="T197"/>
  <c r="R197"/>
  <c r="P197"/>
  <c r="BI189"/>
  <c r="BH189"/>
  <c r="BG189"/>
  <c r="BF189"/>
  <c r="T189"/>
  <c r="R189"/>
  <c r="P189"/>
  <c r="BI188"/>
  <c r="BH188"/>
  <c r="BG188"/>
  <c r="BF188"/>
  <c r="T188"/>
  <c r="R188"/>
  <c r="P188"/>
  <c r="BI186"/>
  <c r="BH186"/>
  <c r="BG186"/>
  <c r="BF186"/>
  <c r="T186"/>
  <c r="R186"/>
  <c r="P186"/>
  <c r="BI184"/>
  <c r="BH184"/>
  <c r="BG184"/>
  <c r="BF184"/>
  <c r="T184"/>
  <c r="R184"/>
  <c r="P184"/>
  <c r="BI182"/>
  <c r="BH182"/>
  <c r="BG182"/>
  <c r="BF182"/>
  <c r="T182"/>
  <c r="R182"/>
  <c r="P182"/>
  <c r="BI180"/>
  <c r="BH180"/>
  <c r="BG180"/>
  <c r="BF180"/>
  <c r="T180"/>
  <c r="R180"/>
  <c r="P180"/>
  <c r="BI177"/>
  <c r="BH177"/>
  <c r="BG177"/>
  <c r="BF177"/>
  <c r="T177"/>
  <c r="R177"/>
  <c r="P177"/>
  <c r="BI175"/>
  <c r="BH175"/>
  <c r="BG175"/>
  <c r="BF175"/>
  <c r="T175"/>
  <c r="R175"/>
  <c r="P175"/>
  <c r="BI172"/>
  <c r="BH172"/>
  <c r="BG172"/>
  <c r="BF172"/>
  <c r="T172"/>
  <c r="R172"/>
  <c r="P172"/>
  <c r="BI170"/>
  <c r="BH170"/>
  <c r="BG170"/>
  <c r="BF170"/>
  <c r="T170"/>
  <c r="R170"/>
  <c r="P170"/>
  <c r="BI167"/>
  <c r="BH167"/>
  <c r="BG167"/>
  <c r="BF167"/>
  <c r="T167"/>
  <c r="R167"/>
  <c r="P167"/>
  <c r="BI165"/>
  <c r="BH165"/>
  <c r="BG165"/>
  <c r="BF165"/>
  <c r="T165"/>
  <c r="R165"/>
  <c r="P165"/>
  <c r="BI162"/>
  <c r="BH162"/>
  <c r="BG162"/>
  <c r="BF162"/>
  <c r="T162"/>
  <c r="R162"/>
  <c r="P162"/>
  <c r="BI159"/>
  <c r="BH159"/>
  <c r="BG159"/>
  <c r="BF159"/>
  <c r="T159"/>
  <c r="R159"/>
  <c r="P159"/>
  <c r="BI157"/>
  <c r="BH157"/>
  <c r="BG157"/>
  <c r="BF157"/>
  <c r="T157"/>
  <c r="R157"/>
  <c r="P157"/>
  <c r="BI153"/>
  <c r="BH153"/>
  <c r="BG153"/>
  <c r="BF153"/>
  <c r="T153"/>
  <c r="R153"/>
  <c r="P153"/>
  <c r="BI151"/>
  <c r="BH151"/>
  <c r="BG151"/>
  <c r="BF151"/>
  <c r="T151"/>
  <c r="R151"/>
  <c r="P151"/>
  <c r="BI148"/>
  <c r="BH148"/>
  <c r="BG148"/>
  <c r="BF148"/>
  <c r="T148"/>
  <c r="R148"/>
  <c r="P148"/>
  <c r="BI146"/>
  <c r="BH146"/>
  <c r="BG146"/>
  <c r="BF146"/>
  <c r="T146"/>
  <c r="R146"/>
  <c r="P146"/>
  <c r="BI142"/>
  <c r="BH142"/>
  <c r="BG142"/>
  <c r="BF142"/>
  <c r="T142"/>
  <c r="R142"/>
  <c r="P142"/>
  <c r="BI141"/>
  <c r="BH141"/>
  <c r="BG141"/>
  <c r="BF141"/>
  <c r="T141"/>
  <c r="R141"/>
  <c r="P141"/>
  <c r="BI139"/>
  <c r="BH139"/>
  <c r="BG139"/>
  <c r="BF139"/>
  <c r="T139"/>
  <c r="R139"/>
  <c r="P139"/>
  <c r="BI136"/>
  <c r="BH136"/>
  <c r="BG136"/>
  <c r="BF136"/>
  <c r="T136"/>
  <c r="R136"/>
  <c r="P136"/>
  <c r="F127"/>
  <c r="E125"/>
  <c r="F89"/>
  <c r="E87"/>
  <c r="J24"/>
  <c r="E24"/>
  <c r="J92"/>
  <c r="J23"/>
  <c r="J21"/>
  <c r="E21"/>
  <c r="J129"/>
  <c r="J20"/>
  <c r="J18"/>
  <c r="E18"/>
  <c r="F130"/>
  <c r="J17"/>
  <c r="J15"/>
  <c r="E15"/>
  <c r="F129"/>
  <c r="J14"/>
  <c r="J12"/>
  <c r="J89"/>
  <c r="E7"/>
  <c r="E85"/>
  <c i="1" r="L90"/>
  <c r="AM90"/>
  <c r="AM89"/>
  <c r="L89"/>
  <c r="AM87"/>
  <c r="L87"/>
  <c r="L85"/>
  <c r="L84"/>
  <c i="2" r="J347"/>
  <c r="BK332"/>
  <c r="BK294"/>
  <c r="J249"/>
  <c r="BK205"/>
  <c r="BK162"/>
  <c r="J346"/>
  <c r="BK315"/>
  <c r="BK259"/>
  <c r="BK197"/>
  <c r="J136"/>
  <c r="BK325"/>
  <c r="BK237"/>
  <c r="J184"/>
  <c r="J360"/>
  <c r="BK310"/>
  <c r="J276"/>
  <c r="BK209"/>
  <c r="J175"/>
  <c r="J351"/>
  <c r="J312"/>
  <c r="J251"/>
  <c r="J230"/>
  <c r="BK213"/>
  <c r="BK146"/>
  <c r="J315"/>
  <c r="BK287"/>
  <c r="J238"/>
  <c r="J308"/>
  <c r="BK280"/>
  <c r="J218"/>
  <c r="BK206"/>
  <c i="3" r="BK264"/>
  <c r="J229"/>
  <c r="BK212"/>
  <c r="BK135"/>
  <c r="J233"/>
  <c r="J188"/>
  <c r="J263"/>
  <c r="BK207"/>
  <c r="J154"/>
  <c r="BK233"/>
  <c r="J195"/>
  <c r="J261"/>
  <c r="BK232"/>
  <c r="J182"/>
  <c r="J266"/>
  <c r="J275"/>
  <c r="BK246"/>
  <c r="J205"/>
  <c r="J159"/>
  <c i="4" r="BK179"/>
  <c r="BK153"/>
  <c r="J129"/>
  <c r="J174"/>
  <c r="BK138"/>
  <c r="J163"/>
  <c r="J139"/>
  <c r="BK166"/>
  <c r="BK126"/>
  <c r="BK123"/>
  <c r="J159"/>
  <c r="BK175"/>
  <c r="J165"/>
  <c i="5" r="BK199"/>
  <c r="J169"/>
  <c r="J152"/>
  <c r="J207"/>
  <c r="J197"/>
  <c r="BK171"/>
  <c r="BK207"/>
  <c r="J180"/>
  <c r="BK164"/>
  <c r="BK186"/>
  <c r="BK204"/>
  <c r="BK150"/>
  <c r="J209"/>
  <c r="J186"/>
  <c r="J216"/>
  <c r="BK155"/>
  <c i="6" r="J138"/>
  <c r="BK140"/>
  <c r="BK133"/>
  <c i="2" r="BK360"/>
  <c r="BK317"/>
  <c r="BK274"/>
  <c r="J204"/>
  <c r="BK351"/>
  <c r="J340"/>
  <c r="BK298"/>
  <c r="J264"/>
  <c r="J216"/>
  <c r="J188"/>
  <c r="BK348"/>
  <c r="J324"/>
  <c r="J257"/>
  <c r="J227"/>
  <c r="J141"/>
  <c r="J344"/>
  <c r="BK301"/>
  <c r="BK245"/>
  <c r="J206"/>
  <c r="J172"/>
  <c r="BK349"/>
  <c r="BK297"/>
  <c r="BK235"/>
  <c r="BK214"/>
  <c r="BK180"/>
  <c r="BK139"/>
  <c r="BK300"/>
  <c r="BK278"/>
  <c r="J328"/>
  <c r="J273"/>
  <c r="J214"/>
  <c r="J170"/>
  <c r="BK210"/>
  <c r="J146"/>
  <c i="3" r="BK228"/>
  <c r="J207"/>
  <c r="BK151"/>
  <c r="J240"/>
  <c r="BK148"/>
  <c r="BK201"/>
  <c r="BK171"/>
  <c r="BK250"/>
  <c r="BK205"/>
  <c r="BK182"/>
  <c r="BK255"/>
  <c r="J226"/>
  <c r="BK161"/>
  <c r="J271"/>
  <c r="BK167"/>
  <c r="BK263"/>
  <c r="BK217"/>
  <c r="BK178"/>
  <c r="BK176"/>
  <c r="BK146"/>
  <c i="4" r="BK160"/>
  <c r="BK124"/>
  <c r="BK183"/>
  <c r="BK140"/>
  <c r="BK174"/>
  <c r="J156"/>
  <c r="J175"/>
  <c r="J164"/>
  <c r="J153"/>
  <c r="BK164"/>
  <c r="J167"/>
  <c r="BK185"/>
  <c r="BK142"/>
  <c i="5" r="BK206"/>
  <c r="J200"/>
  <c r="BK176"/>
  <c r="J218"/>
  <c r="J206"/>
  <c r="J176"/>
  <c r="BK218"/>
  <c r="J150"/>
  <c r="J199"/>
  <c r="BK210"/>
  <c r="BK173"/>
  <c r="BK195"/>
  <c i="6" r="BK135"/>
  <c r="J143"/>
  <c r="J128"/>
  <c r="BK122"/>
  <c i="2" r="J345"/>
  <c r="BK324"/>
  <c r="J247"/>
  <c r="J208"/>
  <c r="BK188"/>
  <c r="J338"/>
  <c r="BK307"/>
  <c r="J284"/>
  <c r="BK238"/>
  <c r="BK204"/>
  <c r="BK175"/>
  <c r="BK346"/>
  <c r="BK291"/>
  <c r="J255"/>
  <c r="J205"/>
  <c r="BK182"/>
  <c r="BK356"/>
  <c r="J321"/>
  <c r="J282"/>
  <c r="J237"/>
  <c r="J189"/>
  <c r="J157"/>
  <c r="BK344"/>
  <c r="BK308"/>
  <c r="J259"/>
  <c r="BK225"/>
  <c r="BK189"/>
  <c r="J159"/>
  <c r="J332"/>
  <c r="BK303"/>
  <c r="BK270"/>
  <c r="J330"/>
  <c r="J300"/>
  <c r="BK227"/>
  <c r="BK208"/>
  <c r="BK172"/>
  <c r="J148"/>
  <c r="BK207"/>
  <c i="3" r="BK273"/>
  <c r="BK240"/>
  <c r="J222"/>
  <c r="BK190"/>
  <c r="BK275"/>
  <c r="J244"/>
  <c r="BK226"/>
  <c r="J180"/>
  <c r="J259"/>
  <c r="J198"/>
  <c r="J146"/>
  <c r="BK259"/>
  <c r="J201"/>
  <c r="BK187"/>
  <c r="J253"/>
  <c r="J212"/>
  <c r="J141"/>
  <c r="BK209"/>
  <c r="BK159"/>
  <c r="J255"/>
  <c r="J219"/>
  <c r="BK195"/>
  <c r="J156"/>
  <c i="4" r="J180"/>
  <c r="BK148"/>
  <c r="BK180"/>
  <c r="BK144"/>
  <c r="J169"/>
  <c r="J123"/>
  <c r="J148"/>
  <c r="BK169"/>
  <c r="BK161"/>
  <c r="J150"/>
  <c r="J138"/>
  <c r="BK178"/>
  <c r="J136"/>
  <c r="J176"/>
  <c r="J166"/>
  <c r="BK135"/>
  <c i="5" r="J192"/>
  <c r="J172"/>
  <c r="BK165"/>
  <c r="BK148"/>
  <c r="J201"/>
  <c r="BK179"/>
  <c r="BK138"/>
  <c r="BK208"/>
  <c r="J156"/>
  <c r="J210"/>
  <c r="BK177"/>
  <c r="BK216"/>
  <c r="BK202"/>
  <c r="J142"/>
  <c r="J173"/>
  <c i="6" r="J145"/>
  <c r="BK138"/>
  <c r="J126"/>
  <c r="J124"/>
  <c r="J125"/>
  <c i="2" r="J354"/>
  <c r="BK334"/>
  <c r="J289"/>
  <c r="J243"/>
  <c r="J203"/>
  <c r="BK136"/>
  <c r="BK322"/>
  <c r="J304"/>
  <c r="BK268"/>
  <c r="J213"/>
  <c r="J162"/>
  <c r="BK340"/>
  <c r="BK276"/>
  <c r="BK233"/>
  <c r="J142"/>
  <c r="J306"/>
  <c r="BK255"/>
  <c r="BK232"/>
  <c r="BK186"/>
  <c r="BK142"/>
  <c r="BK345"/>
  <c r="BK289"/>
  <c r="J245"/>
  <c r="J220"/>
  <c r="J182"/>
  <c r="BK342"/>
  <c r="J291"/>
  <c r="BK241"/>
  <c r="BK312"/>
  <c r="J287"/>
  <c r="BK249"/>
  <c r="J209"/>
  <c r="BK165"/>
  <c r="BK284"/>
  <c r="J165"/>
  <c i="3" r="J248"/>
  <c r="BK224"/>
  <c r="J193"/>
  <c r="BK269"/>
  <c r="J191"/>
  <c r="BK132"/>
  <c r="J213"/>
  <c r="J176"/>
  <c r="J242"/>
  <c r="BK200"/>
  <c r="BK141"/>
  <c r="J238"/>
  <c r="BK185"/>
  <c r="J273"/>
  <c r="BK164"/>
  <c r="J269"/>
  <c r="BK242"/>
  <c r="J200"/>
  <c r="BK143"/>
  <c r="J148"/>
  <c i="4" r="J171"/>
  <c r="BK130"/>
  <c r="BK163"/>
  <c r="J170"/>
  <c r="J134"/>
  <c r="BK158"/>
  <c r="J130"/>
  <c r="BK159"/>
  <c r="J184"/>
  <c r="J179"/>
  <c r="BK157"/>
  <c r="J124"/>
  <c r="J168"/>
  <c r="BK129"/>
  <c i="5" r="J205"/>
  <c r="J184"/>
  <c r="BK156"/>
  <c r="BK209"/>
  <c r="J183"/>
  <c r="BK167"/>
  <c r="BK192"/>
  <c r="J155"/>
  <c r="J202"/>
  <c r="J138"/>
  <c r="J203"/>
  <c r="J158"/>
  <c r="J171"/>
  <c i="6" r="J122"/>
  <c r="BK128"/>
  <c r="J131"/>
  <c r="J133"/>
  <c i="2" r="J348"/>
  <c r="BK328"/>
  <c r="J297"/>
  <c r="BK264"/>
  <c r="J210"/>
  <c r="BK170"/>
  <c r="BK347"/>
  <c r="BK321"/>
  <c r="BK290"/>
  <c r="BK247"/>
  <c r="BK199"/>
  <c r="BK148"/>
  <c r="J334"/>
  <c r="BK273"/>
  <c r="J225"/>
  <c r="BK157"/>
  <c r="J352"/>
  <c r="BK313"/>
  <c r="J290"/>
  <c r="BK216"/>
  <c r="J180"/>
  <c r="BK354"/>
  <c r="J278"/>
  <c r="J234"/>
  <c r="BK220"/>
  <c r="J167"/>
  <c r="J336"/>
  <c r="J298"/>
  <c r="BK262"/>
  <c r="BK306"/>
  <c r="BK251"/>
  <c r="J211"/>
  <c r="J197"/>
  <c i="1" r="AS94"/>
  <c i="3" r="J217"/>
  <c r="J164"/>
  <c r="BK265"/>
  <c r="BK198"/>
  <c r="J161"/>
  <c r="BK244"/>
  <c r="BK191"/>
  <c r="J143"/>
  <c r="J215"/>
  <c r="BK193"/>
  <c r="J167"/>
  <c r="J250"/>
  <c r="J202"/>
  <c r="J135"/>
  <c r="BK188"/>
  <c r="BK266"/>
  <c r="BK202"/>
  <c r="BK169"/>
  <c r="J151"/>
  <c i="4" r="BK177"/>
  <c r="BK137"/>
  <c r="BK176"/>
  <c r="BK136"/>
  <c r="BK162"/>
  <c r="BK173"/>
  <c r="BK141"/>
  <c r="J162"/>
  <c r="J133"/>
  <c r="J183"/>
  <c r="BK134"/>
  <c r="BK170"/>
  <c r="J140"/>
  <c i="5" r="J204"/>
  <c r="BK174"/>
  <c r="J213"/>
  <c r="BK184"/>
  <c r="BK172"/>
  <c r="J188"/>
  <c r="BK140"/>
  <c r="BK188"/>
  <c r="J212"/>
  <c r="BK198"/>
  <c r="BK178"/>
  <c r="BK213"/>
  <c i="6" r="BK143"/>
  <c r="BK125"/>
  <c r="BK124"/>
  <c r="J135"/>
  <c r="BK126"/>
  <c i="2" r="BK339"/>
  <c r="J307"/>
  <c r="J270"/>
  <c r="BK240"/>
  <c r="BK153"/>
  <c r="J339"/>
  <c r="J274"/>
  <c r="BK223"/>
  <c r="BK167"/>
  <c r="J295"/>
  <c r="BK243"/>
  <c r="J212"/>
  <c r="J151"/>
  <c r="BK338"/>
  <c r="J294"/>
  <c r="J235"/>
  <c r="J199"/>
  <c r="J139"/>
  <c r="BK336"/>
  <c r="J301"/>
  <c r="BK257"/>
  <c r="J233"/>
  <c r="BK212"/>
  <c r="BK151"/>
  <c r="J317"/>
  <c r="J266"/>
  <c r="J319"/>
  <c r="J303"/>
  <c r="BK234"/>
  <c r="J207"/>
  <c r="BK159"/>
  <c r="J186"/>
  <c i="3" r="J270"/>
  <c r="BK238"/>
  <c r="BK219"/>
  <c r="J187"/>
  <c r="BK270"/>
  <c r="J228"/>
  <c r="J137"/>
  <c r="BK229"/>
  <c r="J178"/>
  <c r="J132"/>
  <c r="J209"/>
  <c r="J264"/>
  <c r="BK215"/>
  <c r="BK154"/>
  <c r="BK261"/>
  <c r="BK271"/>
  <c r="BK235"/>
  <c r="J190"/>
  <c r="J173"/>
  <c i="4" r="J178"/>
  <c r="J141"/>
  <c r="J177"/>
  <c r="BK139"/>
  <c r="J157"/>
  <c r="J160"/>
  <c r="J137"/>
  <c r="BK165"/>
  <c r="BK156"/>
  <c r="J172"/>
  <c r="BK168"/>
  <c r="J126"/>
  <c r="J173"/>
  <c r="J161"/>
  <c i="5" r="J217"/>
  <c r="BK203"/>
  <c r="BK183"/>
  <c r="J140"/>
  <c r="J195"/>
  <c r="J177"/>
  <c r="BK142"/>
  <c r="BK169"/>
  <c r="BK212"/>
  <c r="J148"/>
  <c r="BK200"/>
  <c r="BK152"/>
  <c r="BK158"/>
  <c i="6" r="BK132"/>
  <c r="J132"/>
  <c r="BK134"/>
  <c r="J140"/>
  <c i="2" r="J349"/>
  <c r="J325"/>
  <c r="BK266"/>
  <c r="BK218"/>
  <c r="J201"/>
  <c r="J335"/>
  <c r="J310"/>
  <c r="BK282"/>
  <c r="J232"/>
  <c r="BK184"/>
  <c r="BK352"/>
  <c r="BK330"/>
  <c r="J280"/>
  <c r="BK230"/>
  <c r="BK177"/>
  <c r="J342"/>
  <c r="BK295"/>
  <c r="J241"/>
  <c r="BK203"/>
  <c r="J356"/>
  <c r="BK319"/>
  <c r="J262"/>
  <c r="J223"/>
  <c r="BK211"/>
  <c r="J153"/>
  <c r="BK335"/>
  <c r="J313"/>
  <c r="J268"/>
  <c r="J322"/>
  <c r="BK304"/>
  <c r="J240"/>
  <c r="BK201"/>
  <c r="BK141"/>
  <c r="J177"/>
  <c i="3" r="BK253"/>
  <c r="J235"/>
  <c r="J171"/>
  <c r="J246"/>
  <c r="BK156"/>
  <c r="J232"/>
  <c r="BK173"/>
  <c r="BK137"/>
  <c r="BK213"/>
  <c r="BK196"/>
  <c r="BK180"/>
  <c r="BK248"/>
  <c r="J196"/>
  <c r="BK222"/>
  <c r="J265"/>
  <c r="J224"/>
  <c r="J185"/>
  <c r="J169"/>
  <c i="4" r="BK172"/>
  <c r="J135"/>
  <c r="BK171"/>
  <c r="BK184"/>
  <c r="J144"/>
  <c r="BK150"/>
  <c r="BK167"/>
  <c r="BK133"/>
  <c r="J142"/>
  <c r="J185"/>
  <c r="J158"/>
  <c i="5" r="BK197"/>
  <c r="J174"/>
  <c r="J167"/>
  <c r="J219"/>
  <c r="J198"/>
  <c r="J178"/>
  <c r="BK219"/>
  <c r="BK201"/>
  <c r="J179"/>
  <c r="BK217"/>
  <c r="J164"/>
  <c r="J208"/>
  <c r="J165"/>
  <c r="BK205"/>
  <c r="BK180"/>
  <c r="BK133"/>
  <c r="J133"/>
  <c i="6" r="BK131"/>
  <c r="BK145"/>
  <c r="J134"/>
  <c i="2" l="1" r="BK135"/>
  <c r="J135"/>
  <c r="J98"/>
  <c r="T179"/>
  <c r="T236"/>
  <c r="T254"/>
  <c r="BK275"/>
  <c r="J275"/>
  <c r="J107"/>
  <c r="R286"/>
  <c r="BK327"/>
  <c r="J327"/>
  <c r="J111"/>
  <c r="R179"/>
  <c r="P236"/>
  <c r="P261"/>
  <c r="R275"/>
  <c r="P293"/>
  <c r="P299"/>
  <c i="3" r="P153"/>
  <c r="T175"/>
  <c r="R181"/>
  <c r="P204"/>
  <c r="T211"/>
  <c r="R221"/>
  <c r="P258"/>
  <c i="4" r="R122"/>
  <c r="R121"/>
  <c r="R120"/>
  <c i="2" r="T135"/>
  <c r="R156"/>
  <c r="R219"/>
  <c r="R261"/>
  <c r="T275"/>
  <c r="BK293"/>
  <c r="J293"/>
  <c r="J109"/>
  <c r="P327"/>
  <c i="3" r="T153"/>
  <c r="BK192"/>
  <c r="J192"/>
  <c r="J102"/>
  <c r="BK211"/>
  <c r="J211"/>
  <c r="J105"/>
  <c r="T225"/>
  <c r="P272"/>
  <c i="4" r="R182"/>
  <c r="R181"/>
  <c i="5" r="BK147"/>
  <c r="J147"/>
  <c r="J99"/>
  <c r="P154"/>
  <c r="T163"/>
  <c r="BK196"/>
  <c r="J196"/>
  <c r="J107"/>
  <c r="BK215"/>
  <c r="J215"/>
  <c r="J110"/>
  <c i="2" r="BK156"/>
  <c r="J156"/>
  <c r="J99"/>
  <c r="T156"/>
  <c r="BK236"/>
  <c r="J236"/>
  <c r="J102"/>
  <c r="P254"/>
  <c r="BK272"/>
  <c r="J272"/>
  <c r="J106"/>
  <c r="BK286"/>
  <c r="J286"/>
  <c r="J108"/>
  <c r="R293"/>
  <c r="R327"/>
  <c i="3" r="T131"/>
  <c r="BK181"/>
  <c r="J181"/>
  <c r="J101"/>
  <c r="P181"/>
  <c r="BK204"/>
  <c r="J204"/>
  <c r="J104"/>
  <c r="R211"/>
  <c r="P221"/>
  <c r="BK258"/>
  <c r="J258"/>
  <c r="J108"/>
  <c r="T272"/>
  <c i="4" r="P182"/>
  <c r="P181"/>
  <c i="5" r="BK132"/>
  <c r="J132"/>
  <c r="J98"/>
  <c r="R147"/>
  <c r="BK182"/>
  <c r="J182"/>
  <c r="J104"/>
  <c r="BK187"/>
  <c r="J187"/>
  <c r="J106"/>
  <c r="R187"/>
  <c r="BK211"/>
  <c r="J211"/>
  <c r="J108"/>
  <c r="P215"/>
  <c r="P214"/>
  <c i="3" r="R131"/>
  <c r="P175"/>
  <c r="R192"/>
  <c r="P211"/>
  <c r="BK221"/>
  <c r="J221"/>
  <c r="J106"/>
  <c r="T221"/>
  <c r="R258"/>
  <c i="4" r="P122"/>
  <c r="P121"/>
  <c r="P120"/>
  <c i="1" r="AU97"/>
  <c i="5" r="P132"/>
  <c r="T147"/>
  <c r="BK163"/>
  <c r="J163"/>
  <c r="J102"/>
  <c r="P182"/>
  <c r="R196"/>
  <c r="R215"/>
  <c r="R214"/>
  <c i="2" r="R135"/>
  <c r="P156"/>
  <c r="BK219"/>
  <c r="J219"/>
  <c r="J101"/>
  <c r="R236"/>
  <c r="BK261"/>
  <c r="J261"/>
  <c r="J105"/>
  <c r="P275"/>
  <c r="BK299"/>
  <c r="J299"/>
  <c r="J110"/>
  <c r="R299"/>
  <c i="3" r="BK131"/>
  <c r="R153"/>
  <c r="P192"/>
  <c r="R204"/>
  <c r="P225"/>
  <c r="R272"/>
  <c i="4" r="T122"/>
  <c r="T121"/>
  <c i="5" r="P147"/>
  <c r="T154"/>
  <c r="R163"/>
  <c r="P196"/>
  <c r="R211"/>
  <c i="2" r="BK179"/>
  <c r="J179"/>
  <c r="J100"/>
  <c r="P219"/>
  <c r="BK254"/>
  <c r="T261"/>
  <c r="R272"/>
  <c r="T286"/>
  <c r="T327"/>
  <c i="3" r="P131"/>
  <c r="P130"/>
  <c r="BK175"/>
  <c r="J175"/>
  <c r="J100"/>
  <c r="T192"/>
  <c r="BK225"/>
  <c r="J225"/>
  <c r="J107"/>
  <c r="T258"/>
  <c i="4" r="BK182"/>
  <c r="J182"/>
  <c r="J100"/>
  <c i="5" r="T132"/>
  <c r="T131"/>
  <c r="BK154"/>
  <c r="J154"/>
  <c r="J100"/>
  <c r="R182"/>
  <c r="R181"/>
  <c r="T196"/>
  <c r="T211"/>
  <c i="6" r="R121"/>
  <c i="2" r="P135"/>
  <c r="P179"/>
  <c r="T219"/>
  <c r="R254"/>
  <c r="R253"/>
  <c r="P272"/>
  <c r="T272"/>
  <c r="P286"/>
  <c r="T293"/>
  <c r="T299"/>
  <c i="3" r="BK153"/>
  <c r="J153"/>
  <c r="J99"/>
  <c r="R175"/>
  <c r="T181"/>
  <c r="T204"/>
  <c r="T203"/>
  <c r="R225"/>
  <c r="BK272"/>
  <c r="J272"/>
  <c r="J109"/>
  <c i="4" r="BK122"/>
  <c r="J122"/>
  <c r="J98"/>
  <c r="T182"/>
  <c r="T181"/>
  <c i="5" r="R132"/>
  <c r="R131"/>
  <c r="R130"/>
  <c r="R154"/>
  <c r="P163"/>
  <c r="T182"/>
  <c r="P187"/>
  <c r="T187"/>
  <c r="P211"/>
  <c r="T215"/>
  <c r="T214"/>
  <c i="6" r="BK121"/>
  <c r="J121"/>
  <c r="J97"/>
  <c r="P121"/>
  <c r="T121"/>
  <c r="BK130"/>
  <c r="J130"/>
  <c r="J99"/>
  <c r="P130"/>
  <c r="R130"/>
  <c r="T130"/>
  <c r="BK137"/>
  <c r="J137"/>
  <c r="J100"/>
  <c r="P137"/>
  <c r="R137"/>
  <c r="T137"/>
  <c i="2" r="BK355"/>
  <c r="J355"/>
  <c r="J112"/>
  <c i="5" r="BK185"/>
  <c r="J185"/>
  <c r="J105"/>
  <c i="2" r="BK359"/>
  <c r="J359"/>
  <c r="J113"/>
  <c i="5" r="BK157"/>
  <c r="J157"/>
  <c r="J101"/>
  <c r="BK181"/>
  <c r="J181"/>
  <c r="J103"/>
  <c i="6" r="F92"/>
  <c r="J116"/>
  <c r="BE122"/>
  <c r="BE124"/>
  <c r="BE125"/>
  <c r="F91"/>
  <c r="BE143"/>
  <c r="BE145"/>
  <c r="J89"/>
  <c r="BE131"/>
  <c r="BE132"/>
  <c r="E85"/>
  <c r="J92"/>
  <c r="BE126"/>
  <c i="5" r="BK131"/>
  <c r="J131"/>
  <c r="J97"/>
  <c i="6" r="BE133"/>
  <c r="BE134"/>
  <c r="BE135"/>
  <c i="5" r="BK214"/>
  <c r="J214"/>
  <c r="J109"/>
  <c i="6" r="BE128"/>
  <c r="BE138"/>
  <c r="BE140"/>
  <c i="5" r="J91"/>
  <c r="E120"/>
  <c r="BE148"/>
  <c r="BE150"/>
  <c r="BE152"/>
  <c r="BE164"/>
  <c r="BE207"/>
  <c r="BE208"/>
  <c r="BE209"/>
  <c r="BE210"/>
  <c r="BE212"/>
  <c r="BE218"/>
  <c r="F91"/>
  <c r="J124"/>
  <c r="BE165"/>
  <c r="BE167"/>
  <c r="BE169"/>
  <c r="BE171"/>
  <c r="BE176"/>
  <c r="BE201"/>
  <c r="BE204"/>
  <c r="BE155"/>
  <c r="BE156"/>
  <c r="BE158"/>
  <c r="BE198"/>
  <c r="BE203"/>
  <c r="BE219"/>
  <c i="4" r="BK121"/>
  <c i="5" r="BE173"/>
  <c r="BE174"/>
  <c r="BE177"/>
  <c r="BE180"/>
  <c r="BE183"/>
  <c r="BE184"/>
  <c r="BE195"/>
  <c r="BE197"/>
  <c r="BE206"/>
  <c r="BE216"/>
  <c i="4" r="BK181"/>
  <c r="J181"/>
  <c r="J99"/>
  <c i="5" r="F92"/>
  <c r="BE138"/>
  <c r="BE140"/>
  <c r="BE186"/>
  <c r="BE188"/>
  <c r="BE200"/>
  <c r="BE205"/>
  <c r="BE217"/>
  <c r="J92"/>
  <c r="BE172"/>
  <c r="BE192"/>
  <c r="BE199"/>
  <c r="BE202"/>
  <c r="BE133"/>
  <c r="BE142"/>
  <c r="BE178"/>
  <c r="BE179"/>
  <c r="BE213"/>
  <c i="4" r="J91"/>
  <c r="F117"/>
  <c r="BE137"/>
  <c r="BE141"/>
  <c r="BE150"/>
  <c r="BE180"/>
  <c r="BE185"/>
  <c i="3" r="BK203"/>
  <c r="J203"/>
  <c r="J103"/>
  <c i="4" r="F116"/>
  <c r="BE133"/>
  <c r="BE140"/>
  <c r="BE144"/>
  <c r="BE148"/>
  <c r="BE161"/>
  <c r="BE171"/>
  <c r="BE174"/>
  <c r="BE184"/>
  <c i="3" r="J131"/>
  <c r="J98"/>
  <c i="4" r="BE129"/>
  <c r="BE153"/>
  <c r="BE156"/>
  <c r="BE157"/>
  <c r="BE160"/>
  <c r="BE170"/>
  <c r="E85"/>
  <c r="BE138"/>
  <c r="BE142"/>
  <c r="BE172"/>
  <c r="BE178"/>
  <c r="BE123"/>
  <c r="BE124"/>
  <c r="BE135"/>
  <c r="BE175"/>
  <c r="BE176"/>
  <c r="BE177"/>
  <c r="J89"/>
  <c r="BE130"/>
  <c r="BE136"/>
  <c r="BE159"/>
  <c r="BE166"/>
  <c r="BE167"/>
  <c r="BE179"/>
  <c r="J117"/>
  <c r="BE126"/>
  <c r="BE134"/>
  <c r="BE162"/>
  <c r="BE164"/>
  <c r="BE165"/>
  <c r="BE139"/>
  <c r="BE158"/>
  <c r="BE163"/>
  <c r="BE168"/>
  <c r="BE169"/>
  <c r="BE173"/>
  <c r="BE183"/>
  <c i="2" r="J254"/>
  <c r="J104"/>
  <c i="3" r="F92"/>
  <c r="J126"/>
  <c r="BE171"/>
  <c r="E119"/>
  <c r="BE176"/>
  <c r="BE198"/>
  <c r="BE215"/>
  <c r="BE238"/>
  <c r="BE240"/>
  <c r="BE261"/>
  <c r="BE264"/>
  <c r="J89"/>
  <c r="F125"/>
  <c r="BE141"/>
  <c r="BE143"/>
  <c r="BE154"/>
  <c r="BE182"/>
  <c r="BE226"/>
  <c r="BE228"/>
  <c r="BE255"/>
  <c r="BE259"/>
  <c r="BE275"/>
  <c r="J91"/>
  <c r="BE146"/>
  <c r="BE151"/>
  <c r="BE156"/>
  <c r="BE180"/>
  <c r="BE191"/>
  <c r="BE224"/>
  <c r="BE242"/>
  <c r="BE132"/>
  <c r="BE135"/>
  <c r="BE161"/>
  <c r="BE169"/>
  <c r="BE212"/>
  <c r="BE222"/>
  <c r="BE229"/>
  <c r="BE232"/>
  <c r="BE248"/>
  <c i="2" r="BK134"/>
  <c r="J134"/>
  <c r="J97"/>
  <c i="3" r="BE164"/>
  <c r="BE188"/>
  <c r="BE190"/>
  <c r="BE235"/>
  <c r="BE250"/>
  <c r="BE253"/>
  <c r="BE269"/>
  <c r="BE270"/>
  <c r="BE271"/>
  <c r="BE178"/>
  <c r="BE185"/>
  <c r="BE187"/>
  <c r="BE193"/>
  <c r="BE195"/>
  <c r="BE196"/>
  <c r="BE201"/>
  <c r="BE202"/>
  <c r="BE205"/>
  <c r="BE207"/>
  <c r="BE209"/>
  <c r="BE213"/>
  <c r="BE217"/>
  <c r="BE219"/>
  <c r="BE266"/>
  <c r="BE273"/>
  <c r="BE137"/>
  <c r="BE148"/>
  <c r="BE159"/>
  <c r="BE167"/>
  <c r="BE173"/>
  <c r="BE200"/>
  <c r="BE233"/>
  <c r="BE244"/>
  <c r="BE246"/>
  <c r="BE263"/>
  <c r="BE265"/>
  <c i="2" r="F92"/>
  <c r="BE136"/>
  <c r="BE139"/>
  <c r="BE157"/>
  <c r="BE180"/>
  <c r="BE189"/>
  <c r="BE197"/>
  <c r="BE199"/>
  <c r="BE201"/>
  <c r="BE203"/>
  <c r="BE204"/>
  <c r="BE206"/>
  <c r="E123"/>
  <c r="BE162"/>
  <c r="BE205"/>
  <c r="BE216"/>
  <c r="BE225"/>
  <c r="BE232"/>
  <c r="BE233"/>
  <c r="BE247"/>
  <c r="BE276"/>
  <c r="BE282"/>
  <c r="BE148"/>
  <c r="BE227"/>
  <c r="BE249"/>
  <c r="BE284"/>
  <c r="BE287"/>
  <c r="BE325"/>
  <c r="BE328"/>
  <c r="BE330"/>
  <c r="BE335"/>
  <c r="BE342"/>
  <c r="J91"/>
  <c r="J127"/>
  <c r="J130"/>
  <c r="BE151"/>
  <c r="BE153"/>
  <c r="BE170"/>
  <c r="BE182"/>
  <c r="BE184"/>
  <c r="BE214"/>
  <c r="BE220"/>
  <c r="BE243"/>
  <c r="BE264"/>
  <c r="BE266"/>
  <c r="BE273"/>
  <c r="BE274"/>
  <c r="BE315"/>
  <c r="BE317"/>
  <c r="BE319"/>
  <c r="BE322"/>
  <c r="BE324"/>
  <c r="BE340"/>
  <c r="BE354"/>
  <c r="BE172"/>
  <c r="BE188"/>
  <c r="BE207"/>
  <c r="BE208"/>
  <c r="BE209"/>
  <c r="BE223"/>
  <c r="BE235"/>
  <c r="BE238"/>
  <c r="BE240"/>
  <c r="BE241"/>
  <c r="BE245"/>
  <c r="BE251"/>
  <c r="BE268"/>
  <c r="BE270"/>
  <c r="BE290"/>
  <c r="BE297"/>
  <c r="BE298"/>
  <c r="BE300"/>
  <c r="BE301"/>
  <c r="BE303"/>
  <c r="BE304"/>
  <c r="BE306"/>
  <c r="BE307"/>
  <c r="BE308"/>
  <c r="BE310"/>
  <c r="BE336"/>
  <c r="BE338"/>
  <c r="BE339"/>
  <c r="BE347"/>
  <c r="BE349"/>
  <c r="BE351"/>
  <c r="F91"/>
  <c r="BE141"/>
  <c r="BE142"/>
  <c r="BE146"/>
  <c r="BE159"/>
  <c r="BE165"/>
  <c r="BE210"/>
  <c r="BE211"/>
  <c r="BE218"/>
  <c r="BE230"/>
  <c r="BE234"/>
  <c r="BE237"/>
  <c r="BE280"/>
  <c r="BE289"/>
  <c r="BE294"/>
  <c r="BE295"/>
  <c r="BE332"/>
  <c r="BE334"/>
  <c r="BE344"/>
  <c r="BE345"/>
  <c r="BE348"/>
  <c r="BE360"/>
  <c r="BE167"/>
  <c r="BE175"/>
  <c r="BE177"/>
  <c r="BE186"/>
  <c r="BE212"/>
  <c r="BE213"/>
  <c r="BE255"/>
  <c r="BE257"/>
  <c r="BE259"/>
  <c r="BE262"/>
  <c r="BE278"/>
  <c r="BE291"/>
  <c r="BE312"/>
  <c r="BE313"/>
  <c r="BE321"/>
  <c r="BE346"/>
  <c r="BE352"/>
  <c r="BE356"/>
  <c i="3" r="J34"/>
  <c i="1" r="AW96"/>
  <c i="4" r="F34"/>
  <c i="1" r="BA97"/>
  <c i="4" r="J34"/>
  <c i="1" r="AW97"/>
  <c i="5" r="F37"/>
  <c i="1" r="BD98"/>
  <c i="6" r="F35"/>
  <c i="1" r="BB99"/>
  <c i="2" r="F35"/>
  <c i="1" r="BB95"/>
  <c i="4" r="F37"/>
  <c i="1" r="BD97"/>
  <c i="6" r="J34"/>
  <c i="1" r="AW99"/>
  <c i="2" r="F36"/>
  <c i="1" r="BC95"/>
  <c i="5" r="F36"/>
  <c i="1" r="BC98"/>
  <c i="2" r="F34"/>
  <c i="1" r="BA95"/>
  <c i="4" r="F35"/>
  <c i="1" r="BB97"/>
  <c i="6" r="F37"/>
  <c i="1" r="BD99"/>
  <c i="2" r="F37"/>
  <c i="1" r="BD95"/>
  <c i="5" r="F34"/>
  <c i="1" r="BA98"/>
  <c i="6" r="F36"/>
  <c i="1" r="BC99"/>
  <c i="3" r="F34"/>
  <c i="1" r="BA96"/>
  <c i="3" r="F37"/>
  <c i="1" r="BD96"/>
  <c i="5" r="J34"/>
  <c i="1" r="AW98"/>
  <c i="2" r="J34"/>
  <c i="1" r="AW95"/>
  <c i="4" r="F36"/>
  <c i="1" r="BC97"/>
  <c i="6" r="F34"/>
  <c i="1" r="BA99"/>
  <c i="3" r="F36"/>
  <c i="1" r="BC96"/>
  <c i="3" r="F35"/>
  <c i="1" r="BB96"/>
  <c i="5" r="F35"/>
  <c i="1" r="BB98"/>
  <c i="6" l="1" r="R129"/>
  <c r="R120"/>
  <c i="4" r="T120"/>
  <c i="5" r="P131"/>
  <c i="2" r="R134"/>
  <c r="R133"/>
  <c i="6" r="T129"/>
  <c r="T120"/>
  <c i="5" r="T181"/>
  <c r="T130"/>
  <c i="3" r="R203"/>
  <c r="T130"/>
  <c r="T129"/>
  <c i="2" r="T253"/>
  <c i="5" r="P181"/>
  <c i="3" r="R130"/>
  <c r="R129"/>
  <c i="6" r="P129"/>
  <c r="P120"/>
  <c i="1" r="AU99"/>
  <c i="2" r="P134"/>
  <c i="3" r="BK130"/>
  <c r="J130"/>
  <c r="J97"/>
  <c i="2" r="P253"/>
  <c r="T134"/>
  <c r="T133"/>
  <c r="BK253"/>
  <c r="J253"/>
  <c r="J103"/>
  <c i="3" r="P203"/>
  <c r="P129"/>
  <c i="1" r="AU96"/>
  <c i="6" r="BK129"/>
  <c r="J129"/>
  <c r="J98"/>
  <c i="5" r="BK130"/>
  <c r="J130"/>
  <c r="J96"/>
  <c i="4" r="BK120"/>
  <c r="J120"/>
  <c r="J121"/>
  <c r="J97"/>
  <c i="2" r="BK133"/>
  <c r="J133"/>
  <c r="J96"/>
  <c i="3" r="F33"/>
  <c i="1" r="AZ96"/>
  <c r="BD94"/>
  <c r="W33"/>
  <c i="2" r="F33"/>
  <c i="1" r="AZ95"/>
  <c i="2" r="J33"/>
  <c i="1" r="AV95"/>
  <c r="AT95"/>
  <c i="3" r="J33"/>
  <c i="1" r="AV96"/>
  <c r="AT96"/>
  <c r="BC94"/>
  <c r="W32"/>
  <c i="4" r="F33"/>
  <c i="1" r="AZ97"/>
  <c i="5" r="J33"/>
  <c i="1" r="AV98"/>
  <c r="AT98"/>
  <c i="4" r="J33"/>
  <c i="1" r="AV97"/>
  <c r="AT97"/>
  <c i="4" r="J30"/>
  <c i="1" r="AG97"/>
  <c i="5" r="F33"/>
  <c i="1" r="AZ98"/>
  <c r="BB94"/>
  <c r="W31"/>
  <c i="6" r="F33"/>
  <c i="1" r="AZ99"/>
  <c r="BA94"/>
  <c r="AW94"/>
  <c r="AK30"/>
  <c i="6" r="J33"/>
  <c i="1" r="AV99"/>
  <c r="AT99"/>
  <c i="2" l="1" r="P133"/>
  <c i="1" r="AU95"/>
  <c i="5" r="P130"/>
  <c i="1" r="AU98"/>
  <c i="6" r="BK120"/>
  <c r="J120"/>
  <c i="3" r="BK129"/>
  <c r="J129"/>
  <c r="J96"/>
  <c i="1" r="AN97"/>
  <c i="4" r="J96"/>
  <c r="J39"/>
  <c i="5" r="J30"/>
  <c i="1" r="AG98"/>
  <c r="AN98"/>
  <c r="AZ94"/>
  <c r="AV94"/>
  <c r="AK29"/>
  <c i="2" r="J30"/>
  <c i="1" r="AG95"/>
  <c r="W30"/>
  <c i="6" r="J30"/>
  <c i="1" r="AG99"/>
  <c r="AY94"/>
  <c r="AX94"/>
  <c i="6" l="1" r="J39"/>
  <c r="J96"/>
  <c i="5" r="J39"/>
  <c i="2" r="J39"/>
  <c i="1" r="AN95"/>
  <c r="AN99"/>
  <c r="AU94"/>
  <c r="W29"/>
  <c i="3" r="J30"/>
  <c i="1" r="AG96"/>
  <c r="AN96"/>
  <c r="AT94"/>
  <c i="3" l="1" r="J39"/>
  <c i="1" r="AG94"/>
  <c r="AK26"/>
  <c r="AK35"/>
  <c l="1"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<sst xmlns="http://schemas.openxmlformats.org/spreadsheetml/2006/main">
  <si>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</si>
  <si>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</si>
  <si>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</si>
  <si>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</si>
  <si>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</si>
  <si>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{6e27a6a3-a6f2-4f74-8ba9-d5300fe32aee}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</si>
  <si>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</si>
  <si>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</si>
  <si>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</si>
  <si>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</si>
  <si>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</si>
  <si>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0,001</t>
  </si>
  <si>
    <t>Kód:</t>
  </si>
  <si>
    <t>01-2025-AP</t>
  </si>
  <si>
    <t>Stavba:</t>
  </si>
  <si>
    <t>RD Valcha SO1+ SO2</t>
  </si>
  <si>
    <t>0,1</t>
  </si>
  <si>
    <t>KSO:</t>
  </si>
  <si>
    <t>CC-CZ:</t>
  </si>
  <si>
    <t>1</t>
  </si>
  <si>
    <t>Místo:</t>
  </si>
  <si>
    <t xml:space="preserve"> </t>
  </si>
  <si>
    <t>Datum:</t>
  </si>
  <si>
    <t>8. 9. 2025</t>
  </si>
  <si>
    <t>10</t>
  </si>
  <si>
    <t>100</t>
  </si>
  <si>
    <t>Zadavatel:</t>
  </si>
  <si>
    <t>IČ:</t>
  </si>
  <si>
    <t>DIČ:</t>
  </si>
  <si>
    <t>Zhotovitel:</t>
  </si>
  <si>
    <t>Projektant:</t>
  </si>
  <si>
    <t>Zpracovatel:</t>
  </si>
  <si>
    <t>True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</si>
  <si>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</si>
  <si>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</si>
  <si>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</si>
  <si>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</si>
  <si>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</si>
  <si>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</si>
  <si>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</si>
  <si>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</si>
  <si>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</si>
  <si>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</si>
  <si>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</si>
  <si>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</si>
  <si>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</si>
  <si>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</si>
  <si>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</si>
  <si>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</si>
  <si>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</si>
  <si>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</si>
  <si>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</si>
  <si>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</si>
  <si>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</si>
  <si>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</si>
  <si>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</si>
  <si>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</si>
  <si>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</si>
  <si>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</si>
  <si>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</si>
  <si>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</si>
  <si>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</si>
  <si>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</si>
  <si>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</si>
  <si>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</si>
  <si>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</si>
  <si>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</si>
  <si>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</si>
  <si>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</si>
  <si>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</si>
  <si>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</si>
  <si>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</si>
  <si>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</si>
  <si>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</si>
  <si>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</si>
  <si>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</si>
  <si>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</si>
  <si>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</si>
  <si>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</si>
  <si>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 1</t>
  </si>
  <si>
    <t>Dům (RD Valcha)</t>
  </si>
  <si>
    <t>STA</t>
  </si>
  <si>
    <t>{31463b0e-d9fd-4969-bc7f-7d9dbffb5924}</t>
  </si>
  <si>
    <t>2</t>
  </si>
  <si>
    <t>SO 2</t>
  </si>
  <si>
    <t>Garaž</t>
  </si>
  <si>
    <t>{710d423d-fe9d-4884-bc56-1f571adabd63}</t>
  </si>
  <si>
    <t>Elektroinstalace</t>
  </si>
  <si>
    <t>RD Valcha</t>
  </si>
  <si>
    <t>{b562484f-5a42-4124-a0b6-0d63259d3842}</t>
  </si>
  <si>
    <t>ZTI</t>
  </si>
  <si>
    <t>{c6328545-0fcf-45b5-b7f0-dbfa4a023bea}</t>
  </si>
  <si>
    <t>Zámková dlažba</t>
  </si>
  <si>
    <t>{1320b1d0-f6c5-4ae7-b4d6-8c5014f15320}</t>
  </si>
  <si>
    <t>F0005</t>
  </si>
  <si>
    <t>DEK Izolace spodní stavby ZD.2001A</t>
  </si>
  <si>
    <t>m2</t>
  </si>
  <si>
    <t>100,8</t>
  </si>
  <si>
    <t>3</t>
  </si>
  <si>
    <t>F0007</t>
  </si>
  <si>
    <t>DEK Sokl SL.4003A</t>
  </si>
  <si>
    <t>28,4</t>
  </si>
  <si>
    <t>KRYCÍ LIST SOUPISU PRACÍ</t>
  </si>
  <si>
    <t>Objekt:</t>
  </si>
  <si>
    <t>SO 1 - Dům (RD Valcha)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</si>
  <si>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</si>
  <si>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</si>
  <si>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</si>
  <si>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</si>
  <si>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</si>
  <si>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</si>
  <si>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</si>
  <si>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2 - Zakládání</t>
  </si>
  <si>
    <t xml:space="preserve">    3 - Svislé a kompletní konstrukce</t>
  </si>
  <si>
    <t xml:space="preserve">    4 - Vodorovné konstrukce</t>
  </si>
  <si>
    <t xml:space="preserve">    6 - Úpravy povrchů, podlahy a osazování výplní</t>
  </si>
  <si>
    <t>PSV - Práce a dodávky PSV</t>
  </si>
  <si>
    <t xml:space="preserve">    711 - Izolace proti vodě, vlhkosti a plynům</t>
  </si>
  <si>
    <t xml:space="preserve">    713 - Izolace tepelné</t>
  </si>
  <si>
    <t xml:space="preserve">    731 - Ústřední vytápění - kotelny</t>
  </si>
  <si>
    <t xml:space="preserve">    736 - Ústřední vytápění - plošné vytápění a chlazení</t>
  </si>
  <si>
    <t xml:space="preserve">    763 - Konstrukce suché výstavby</t>
  </si>
  <si>
    <t xml:space="preserve">    764 - Konstrukce klempířské</t>
  </si>
  <si>
    <t xml:space="preserve">    765 - Krytina skládaná</t>
  </si>
  <si>
    <t xml:space="preserve">    766 - Konstrukce truhlářské</t>
  </si>
  <si>
    <t xml:space="preserve">    771 - Podlahy z dlaždic</t>
  </si>
  <si>
    <t xml:space="preserve">    776 - Podlahy povlakové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</si>
  <si>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</si>
  <si>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</si>
  <si>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</si>
  <si>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</si>
  <si>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</si>
  <si>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</si>
  <si>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</si>
  <si>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</si>
  <si>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</si>
  <si>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</si>
  <si>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</si>
  <si>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</si>
  <si>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</si>
  <si>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</si>
  <si>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</si>
  <si>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</si>
  <si>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</si>
  <si>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</si>
  <si>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121151113</t>
  </si>
  <si>
    <t>Sejmutí ornice plochy do 500 m2 tl vrstvy do 200 mm strojně</t>
  </si>
  <si>
    <t>4</t>
  </si>
  <si>
    <t>2141080561</t>
  </si>
  <si>
    <t>VV</t>
  </si>
  <si>
    <t>(14+1)*(7,2+1)</t>
  </si>
  <si>
    <t>Součet</t>
  </si>
  <si>
    <t>132151253</t>
  </si>
  <si>
    <t>Hloubení rýh nezapažených š do 2000 mm v hornině třídy těžitelnosti I skupiny 1 a 2 objem do 100 m3 strojně</t>
  </si>
  <si>
    <t>m3</t>
  </si>
  <si>
    <t>1,2*56,8</t>
  </si>
  <si>
    <t>181912112</t>
  </si>
  <si>
    <t>Úprava pláně v hornině třídy těžitelnosti I skupiny 3 se zhutněním ručně</t>
  </si>
  <si>
    <t>162251102</t>
  </si>
  <si>
    <t>Vodorovné přemístění přes 20 do 50 m výkopku/sypaniny z horniny třídy těžitelnosti I skupiny 1 až 3</t>
  </si>
  <si>
    <t>-72337120</t>
  </si>
  <si>
    <t>"ornice" 100,8*0,2</t>
  </si>
  <si>
    <t xml:space="preserve">"výkopek 1/3 množství"  68,160*0,33</t>
  </si>
  <si>
    <t>5</t>
  </si>
  <si>
    <t>162751119</t>
  </si>
  <si>
    <t>Příplatek k vodorovnému přemístění výkopku/sypaniny z horniny třídy těžitelnosti I skupiny 1 až 3 ZKD 1000 m přes 10000 m</t>
  </si>
  <si>
    <t>-730602686</t>
  </si>
  <si>
    <t>42,653*15</t>
  </si>
  <si>
    <t>6</t>
  </si>
  <si>
    <t>171201231</t>
  </si>
  <si>
    <t>Poplatek za uložení zeminy a kamení na recyklační skládce (skládkovné) kód odpadu 17 05 04</t>
  </si>
  <si>
    <t>t</t>
  </si>
  <si>
    <t>1718413266</t>
  </si>
  <si>
    <t>(42,653*1,6)/3</t>
  </si>
  <si>
    <t>7</t>
  </si>
  <si>
    <t>171251201</t>
  </si>
  <si>
    <t>Uložení sypaniny na skládky nebo meziskládky</t>
  </si>
  <si>
    <t>859860727</t>
  </si>
  <si>
    <t>42,653</t>
  </si>
  <si>
    <t>8</t>
  </si>
  <si>
    <t>174151101</t>
  </si>
  <si>
    <t>Zásyp jam, šachet rýh nebo kolem objektů sypaninou se zhutněním</t>
  </si>
  <si>
    <t>1480446341</t>
  </si>
  <si>
    <t xml:space="preserve">60,48 - 22,72 </t>
  </si>
  <si>
    <t xml:space="preserve"> "výkop – beton v pasech – geolog. ztráty"  </t>
  </si>
  <si>
    <t>Zakládání</t>
  </si>
  <si>
    <t>9</t>
  </si>
  <si>
    <t>274313611</t>
  </si>
  <si>
    <t>Základové pasy z betonu tř. C 16/20</t>
  </si>
  <si>
    <t>-586185194</t>
  </si>
  <si>
    <t>56,8*0,8*0,5</t>
  </si>
  <si>
    <t>274351121</t>
  </si>
  <si>
    <t>Zřízení bednění základových pasů rovného</t>
  </si>
  <si>
    <t>2089864208</t>
  </si>
  <si>
    <t>(délka základu+šířka základu)*2*výška bednění</t>
  </si>
  <si>
    <t>(14.0+7.2)*2*0.5</t>
  </si>
  <si>
    <t>11</t>
  </si>
  <si>
    <t>274351122</t>
  </si>
  <si>
    <t>Odstranění bednění základových pasů rovného</t>
  </si>
  <si>
    <t>-1800560952</t>
  </si>
  <si>
    <t>(14.0+7,2)*2*0.5</t>
  </si>
  <si>
    <t>274361821</t>
  </si>
  <si>
    <t>Výztuž základových pasů betonářskou ocelí 10 505 (R)</t>
  </si>
  <si>
    <t>-1545644545</t>
  </si>
  <si>
    <t>22,72*0,08</t>
  </si>
  <si>
    <t>13</t>
  </si>
  <si>
    <t>279113134</t>
  </si>
  <si>
    <t>Základová zeď tl přes 250 do 300 mm z tvárnic ztraceného bednění včetně výplně z betonu tř. C 16/20</t>
  </si>
  <si>
    <t>493476620</t>
  </si>
  <si>
    <t>délka*výška</t>
  </si>
  <si>
    <t>42,4*0,5*2</t>
  </si>
  <si>
    <t>14</t>
  </si>
  <si>
    <t>279361821</t>
  </si>
  <si>
    <t>Výztuž základových zdí nosných betonářskou ocelí 10 505</t>
  </si>
  <si>
    <t>-19697210</t>
  </si>
  <si>
    <t>42,4*0,5*0,3*0,7*0,08</t>
  </si>
  <si>
    <t>15</t>
  </si>
  <si>
    <t>271922223</t>
  </si>
  <si>
    <t>Podsyp pod základové konstrukce se zhutněním ze skleněného recyklátu (pěnového skla) 32 až 63 mm</t>
  </si>
  <si>
    <t>-443037385</t>
  </si>
  <si>
    <t>výměra skladby*koeficient</t>
  </si>
  <si>
    <t>12*8*0,4</t>
  </si>
  <si>
    <t>16</t>
  </si>
  <si>
    <t>631311133</t>
  </si>
  <si>
    <t>Mazanina tl přes 120 do 240 mm z betonu prostého bez zvýšených nároků na prostředí tř. C 12/15</t>
  </si>
  <si>
    <t>499758103</t>
  </si>
  <si>
    <t>100,8*0,15</t>
  </si>
  <si>
    <t>17</t>
  </si>
  <si>
    <t>631362021</t>
  </si>
  <si>
    <t>Výztuž mazanin svařovanými sítěmi Kari</t>
  </si>
  <si>
    <t>-720657569</t>
  </si>
  <si>
    <t>103,6/6*0,01263</t>
  </si>
  <si>
    <t>Svislé a kompletní konstrukce</t>
  </si>
  <si>
    <t>18</t>
  </si>
  <si>
    <t>311272224.XLA</t>
  </si>
  <si>
    <t>Zdivo z tvárnic na pero a drážku Ytong Klasik PDK 300 tl zdiva 300 mm</t>
  </si>
  <si>
    <t>30</t>
  </si>
  <si>
    <t>"CN YTONG" 205.53</t>
  </si>
  <si>
    <t>19</t>
  </si>
  <si>
    <t>311272031.XLA</t>
  </si>
  <si>
    <t>Zdivo z tvárnic Ytong Statik 200 tl zdiva 200 mm</t>
  </si>
  <si>
    <t>32</t>
  </si>
  <si>
    <t>27.74</t>
  </si>
  <si>
    <t>20</t>
  </si>
  <si>
    <t>330321510</t>
  </si>
  <si>
    <t>Sloupy nebo pilíře ze ŽB tř. C 20/25 bez výztuže</t>
  </si>
  <si>
    <t>-1683224295</t>
  </si>
  <si>
    <t>0,25*0,25 *(6*2,2+6*3,745+2*2,9725)</t>
  </si>
  <si>
    <t>331351115</t>
  </si>
  <si>
    <t>Zřízení bednění čtyřúhelníkových sloupů v do 4 m průřezu přes 0,04 do 0,08 m2</t>
  </si>
  <si>
    <t>-503929010</t>
  </si>
  <si>
    <t>9,9+16,8525+4,45875</t>
  </si>
  <si>
    <t>22</t>
  </si>
  <si>
    <t>331351116</t>
  </si>
  <si>
    <t>Odstranění bednění čtyřúhelníkových sloupů v do 4 m průřezu do 0,08 m2</t>
  </si>
  <si>
    <t>-652736420</t>
  </si>
  <si>
    <t>23</t>
  </si>
  <si>
    <t>331361821</t>
  </si>
  <si>
    <t>Výztuž sloupů hranatých betonářskou ocelí 10 505</t>
  </si>
  <si>
    <t>1675249721</t>
  </si>
  <si>
    <t>4*(3,745+0,96)*0,888*6/1000</t>
  </si>
  <si>
    <t>4*(2,2+0,96)*0,888*6/1000</t>
  </si>
  <si>
    <t>4*(2,9725+0,96)*0,888*2/1000</t>
  </si>
  <si>
    <t>((2,2/0,25)+1)*0,896*0,222*6/1000</t>
  </si>
  <si>
    <t>((3,745/0,25)+1)*0,896*0,222*6/1000</t>
  </si>
  <si>
    <t>((2,9725/0,25)+1)*0,896*0,222*2/1000</t>
  </si>
  <si>
    <t>24</t>
  </si>
  <si>
    <t>342272245.XLA</t>
  </si>
  <si>
    <t>Příčka z tvárnic Ytong Klasik 150 na tenkovrstvou maltu tl 150 mm</t>
  </si>
  <si>
    <t>34</t>
  </si>
  <si>
    <t>86,21</t>
  </si>
  <si>
    <t>25</t>
  </si>
  <si>
    <t>342272225.XLA</t>
  </si>
  <si>
    <t>Příčka z tvárnic Ytong Klasik 100 na tenkovrstvou maltu tl 100 mm</t>
  </si>
  <si>
    <t>36</t>
  </si>
  <si>
    <t>38,63</t>
  </si>
  <si>
    <t>26</t>
  </si>
  <si>
    <t>342272205.XLA</t>
  </si>
  <si>
    <t>Příčka z tvárnic Ytong Obezdívka 50 na tenkovrstvou maltu tl 50 mm</t>
  </si>
  <si>
    <t>-1777910838</t>
  </si>
  <si>
    <t>"Výkaz CN YTONG" 19,84</t>
  </si>
  <si>
    <t>27</t>
  </si>
  <si>
    <t>317143454.XLA</t>
  </si>
  <si>
    <t>Překlad nosný Ytong NOP 300-2000 dl 2000 mm</t>
  </si>
  <si>
    <t>kus</t>
  </si>
  <si>
    <t>-1917419365</t>
  </si>
  <si>
    <t>28</t>
  </si>
  <si>
    <t>317143453.XLA</t>
  </si>
  <si>
    <t>Překlad nosný Ytong NOP 300-1750 dl 1750 mm</t>
  </si>
  <si>
    <t>-572135474</t>
  </si>
  <si>
    <t>29</t>
  </si>
  <si>
    <t>317141445.XLA</t>
  </si>
  <si>
    <t>Překlad plochý Ytong PSF 150-2000 dl 2000 mm</t>
  </si>
  <si>
    <t>1081155186</t>
  </si>
  <si>
    <t>317142422.XLA</t>
  </si>
  <si>
    <t>Překlad nenosný pórobetonový Ytong NEP 100-1250 dl přes 100 do 1250 mm</t>
  </si>
  <si>
    <t>1423420581</t>
  </si>
  <si>
    <t>31</t>
  </si>
  <si>
    <t>317142442.XLA</t>
  </si>
  <si>
    <t>Překlad nenosný pórobetonový Ytong NEP 150-1250 dl přes 1000 do 1250 mm</t>
  </si>
  <si>
    <t>572175140</t>
  </si>
  <si>
    <t>317143431.XLA</t>
  </si>
  <si>
    <t>Překlad nosný Ytong NOP 200-1250 dl 1250 mm</t>
  </si>
  <si>
    <t>-1573796885</t>
  </si>
  <si>
    <t>33</t>
  </si>
  <si>
    <t>317143432.XLA</t>
  </si>
  <si>
    <t>Překlad nosný Ytong NOP 200-1500 dl 1500 mm</t>
  </si>
  <si>
    <t>-1176826283</t>
  </si>
  <si>
    <t>317143451.XLA</t>
  </si>
  <si>
    <t>Překlad nosný Ytong NOP 300-1250 dl 1250 mm</t>
  </si>
  <si>
    <t>-675294486</t>
  </si>
  <si>
    <t>35</t>
  </si>
  <si>
    <t>317143452.XLA</t>
  </si>
  <si>
    <t>Překlad nosný Ytong NOP 300-1500 dl 1500 mm</t>
  </si>
  <si>
    <t>-1447431043</t>
  </si>
  <si>
    <t>R317121224.XELLA</t>
  </si>
  <si>
    <t>Překlad železobetonový prefabrikovaný NBP-U 300-4000</t>
  </si>
  <si>
    <t>-678342369</t>
  </si>
  <si>
    <t>37</t>
  </si>
  <si>
    <t>314238202</t>
  </si>
  <si>
    <t>Komínové těleso dvouprůduchové cihelné s izolovanými šamotovými vložkami D 20 cm a izolovanými izostatickými vložkami D 16cm v 3 m</t>
  </si>
  <si>
    <t>soubor</t>
  </si>
  <si>
    <t>-1291285175</t>
  </si>
  <si>
    <t>38</t>
  </si>
  <si>
    <t>314238207</t>
  </si>
  <si>
    <t>Příplatek ke komínovému tělesu cihelnému dvouprůduchovému s izolovanými šamotovými vložkami a izolovanými izostatickými vložkami za větrací šachtu</t>
  </si>
  <si>
    <t>m</t>
  </si>
  <si>
    <t>-1736748567</t>
  </si>
  <si>
    <t>7,395</t>
  </si>
  <si>
    <t>39</t>
  </si>
  <si>
    <t>314238212</t>
  </si>
  <si>
    <t>Příplatek ke komínovému tělesu cihelnému dvouprůduchovému s izolovanými šamotovými vložkami D 20 cm a izolovanými izostatickými vložkami D 16 cm ZKD 1 m výšky</t>
  </si>
  <si>
    <t>104114940</t>
  </si>
  <si>
    <t>7,395-3</t>
  </si>
  <si>
    <t>40</t>
  </si>
  <si>
    <t>314238232</t>
  </si>
  <si>
    <t>Nadstřešní část z betonových prstenců dvouprůduchového cihelného komínu s izolovanými šamotovými vložkami D 20 cm a izolovanými izostatickými vložkami D 16 cm</t>
  </si>
  <si>
    <t>858330991</t>
  </si>
  <si>
    <t>Vodorovné konstrukce</t>
  </si>
  <si>
    <t>41</t>
  </si>
  <si>
    <t>411141134.XLA</t>
  </si>
  <si>
    <t>Strop Ytong KLASIK tl 250 mm s nadbetonávkou z pórobetonových vložek Ytong KLASIK 200 a nosníků dl přes 4,8 do 6,4 m osová vzdálenost nosníků 580 mm</t>
  </si>
  <si>
    <t>-1445389859</t>
  </si>
  <si>
    <t>P</t>
  </si>
  <si>
    <t>Poznámka k položce:_x000d_
Variabilní montovaná konstrukce pro stropy a střechy, která se zhotovuje na stavbě z ŽB nosníků, pórobetonových vložek, vyztužení, monolitické zálivky a u systému Klasik přebetonováním z betonu C20/25 v min. tloušťce 50 mm. Konstrukce po zmonolitnění tvoří železobetonový žebrový strop. Návrh nosníků, třídu betonu, vyztužení a tloušťku přebetonování závazně určuje individuální statický výpočet. Konstrukce je určena především pro rodinné domy, bytové a občanské stavby.</t>
  </si>
  <si>
    <t>6,2*13-4,4*1,075</t>
  </si>
  <si>
    <t>42</t>
  </si>
  <si>
    <t>417272111.XLA</t>
  </si>
  <si>
    <t>Obezdívka věnce věncovkou Ytong v 250 mm včetně polystyrenu tl 75 mm</t>
  </si>
  <si>
    <t>1464106877</t>
  </si>
  <si>
    <t>"1.NP+2.NP" (13+6,2)*2+(13+6,39)*2</t>
  </si>
  <si>
    <t>43</t>
  </si>
  <si>
    <t>444141124.XLA</t>
  </si>
  <si>
    <t>Střešní konstrukce Ytong Komfort tl 250 mm bez nadbetonávky z vložek Ytong 250/500 a nosníků dl přes 4,8 do 7,1 m osová vzdálenost nosníků 580 mm</t>
  </si>
  <si>
    <t>-2018105889</t>
  </si>
  <si>
    <t>6,39*13-0,9*0,9</t>
  </si>
  <si>
    <t>44</t>
  </si>
  <si>
    <t>417321414</t>
  </si>
  <si>
    <t>Ztužující pásy a věnce ze ŽB tř. C 20/25</t>
  </si>
  <si>
    <t>1941650281</t>
  </si>
  <si>
    <t xml:space="preserve">délka*šířka*výška </t>
  </si>
  <si>
    <t>((13+6,2)*2+(13+6,39)*2)*0.3*0.25+0,45*0,25*3+0,45*0,25*1</t>
  </si>
  <si>
    <t>45</t>
  </si>
  <si>
    <t>417351115</t>
  </si>
  <si>
    <t>Zřízení bednění ztužujících věnců</t>
  </si>
  <si>
    <t>395174649</t>
  </si>
  <si>
    <t>(13+6,2)*4*0,25</t>
  </si>
  <si>
    <t>46</t>
  </si>
  <si>
    <t>417351116</t>
  </si>
  <si>
    <t>Odstranění bednění ztužujících věnců</t>
  </si>
  <si>
    <t>712434648</t>
  </si>
  <si>
    <t>47</t>
  </si>
  <si>
    <t>417361821</t>
  </si>
  <si>
    <t>Výztuž ztužujících pásů a věnců betonářskou ocelí 10 505</t>
  </si>
  <si>
    <t>-746883607</t>
  </si>
  <si>
    <t>48</t>
  </si>
  <si>
    <t>435121011</t>
  </si>
  <si>
    <t>Montáž schodišťových ramen bez podest hmotnosti do 1,5 t</t>
  </si>
  <si>
    <t>191328610</t>
  </si>
  <si>
    <t>49</t>
  </si>
  <si>
    <t>434121431</t>
  </si>
  <si>
    <t>Osazení ŽB schodišťových stupňů broušených nebo leštěných oboustranně zazděných současně při zdění</t>
  </si>
  <si>
    <t>227651070</t>
  </si>
  <si>
    <t>Úpravy povrchů, podlahy a osazování výplní</t>
  </si>
  <si>
    <t>50</t>
  </si>
  <si>
    <t>611131151</t>
  </si>
  <si>
    <t>Sanační postřik vnitřních stropů nanášený celoplošně ručně</t>
  </si>
  <si>
    <t>-134138971</t>
  </si>
  <si>
    <t>51</t>
  </si>
  <si>
    <t>611321111</t>
  </si>
  <si>
    <t>Vápenocementová omítka hrubá jednovrstvá zatřená vnitřních stropů rovných nanášená ručně</t>
  </si>
  <si>
    <t>1624830912</t>
  </si>
  <si>
    <t>(13*6,2)*2</t>
  </si>
  <si>
    <t>52</t>
  </si>
  <si>
    <t>612131151</t>
  </si>
  <si>
    <t>Sanační postřik vnitřních stěn nanášený celoplošně ručně</t>
  </si>
  <si>
    <t>-62278243</t>
  </si>
  <si>
    <t>53</t>
  </si>
  <si>
    <t>612321111</t>
  </si>
  <si>
    <t>Vápenocementová omítka hrubá jednovrstvá zatřená vnitřních stěn nanášená ručně</t>
  </si>
  <si>
    <t>-111498234</t>
  </si>
  <si>
    <t>372,524-(4,55+8,525+3,165+2,12+6,36)</t>
  </si>
  <si>
    <t>54</t>
  </si>
  <si>
    <t>622131151</t>
  </si>
  <si>
    <t>Sanační postřik vnějších stěn nanášený celoplošně ručně</t>
  </si>
  <si>
    <t>-1868845567</t>
  </si>
  <si>
    <t>7,37*14+((7,37+5,575)*7,2/2)*2+2,875*14-(4,55+8,525+3,165+2,12+6,36)</t>
  </si>
  <si>
    <t>55</t>
  </si>
  <si>
    <t>622142001</t>
  </si>
  <si>
    <t>Sklovláknité pletivo vnějších stěn vtlačené do tmelu</t>
  </si>
  <si>
    <t>777379205</t>
  </si>
  <si>
    <t>56</t>
  </si>
  <si>
    <t>622381022</t>
  </si>
  <si>
    <t>Tenkovrstvá minerální zatíraná (škrábaná) omítka zrnitost 2,0 mm vnějších stěn</t>
  </si>
  <si>
    <t>61721724</t>
  </si>
  <si>
    <t>57</t>
  </si>
  <si>
    <t>632441214</t>
  </si>
  <si>
    <t>Potěr anhydritový samonivelační litý C20 tl přes 40 do 45 mm</t>
  </si>
  <si>
    <t>817056054</t>
  </si>
  <si>
    <t>71,97+72,99</t>
  </si>
  <si>
    <t>58</t>
  </si>
  <si>
    <t>632481213</t>
  </si>
  <si>
    <t>Separační vrstva z PE fólie</t>
  </si>
  <si>
    <t>-1404063155</t>
  </si>
  <si>
    <t>7,2*14</t>
  </si>
  <si>
    <t>PSV</t>
  </si>
  <si>
    <t>Práce a dodávky PSV</t>
  </si>
  <si>
    <t>711</t>
  </si>
  <si>
    <t>Izolace proti vodě, vlhkosti a plynům</t>
  </si>
  <si>
    <t>59</t>
  </si>
  <si>
    <t>711111001</t>
  </si>
  <si>
    <t>Provedení izolace proti zemní vlhkosti vodorovné za studena nátěrem penetračním</t>
  </si>
  <si>
    <t>118126462</t>
  </si>
  <si>
    <t>60</t>
  </si>
  <si>
    <t>711112001</t>
  </si>
  <si>
    <t>Provedení izolace proti zemní vlhkosti svislé za studena nátěrem penetračním</t>
  </si>
  <si>
    <t>833249699</t>
  </si>
  <si>
    <t>61</t>
  </si>
  <si>
    <t>711831111</t>
  </si>
  <si>
    <t>Provedení izolace proti radonu a metanu na vodorovné ploše vrchem na sucho spojenými pásy</t>
  </si>
  <si>
    <t>326321663</t>
  </si>
  <si>
    <t>(100,8+56,8*0,2)*2</t>
  </si>
  <si>
    <t>713</t>
  </si>
  <si>
    <t>Izolace tepelné</t>
  </si>
  <si>
    <t>62</t>
  </si>
  <si>
    <t>713121121</t>
  </si>
  <si>
    <t>Montáž izolace tepelné podlah volně kladenými rohožemi, pásy, dílci, deskami 2 vrstvy</t>
  </si>
  <si>
    <t>-97571040</t>
  </si>
  <si>
    <t>6,2*13</t>
  </si>
  <si>
    <t>63</t>
  </si>
  <si>
    <t>713123111</t>
  </si>
  <si>
    <t>Montáž tepelné izolace z XPS tepelně izolačního systému základové desky vodorovně 1 vrstva do 100 mm</t>
  </si>
  <si>
    <t>-1422686625</t>
  </si>
  <si>
    <t>42,4*0,5</t>
  </si>
  <si>
    <t>64</t>
  </si>
  <si>
    <t>713131141</t>
  </si>
  <si>
    <t>Montáž izolace tepelné stěn lepením celoplošně rohoží, pásů, dílců, desek</t>
  </si>
  <si>
    <t>-1792691640</t>
  </si>
  <si>
    <t>65</t>
  </si>
  <si>
    <t>71313134R</t>
  </si>
  <si>
    <t>Montáž izolace tepelné stěn lepením bodově nízkoexpanzní (PUR) pěnou rohoží, pásů, dílců, desek tl přes 240 mm</t>
  </si>
  <si>
    <t>720107102</t>
  </si>
  <si>
    <t>7,2*5,1</t>
  </si>
  <si>
    <t>66</t>
  </si>
  <si>
    <t>713131621</t>
  </si>
  <si>
    <t>Montáž izolace tepelné ostatních konstrukcí lepením celoplošně rohoží, pásů, dílců, desek</t>
  </si>
  <si>
    <t>20390497</t>
  </si>
  <si>
    <t>0,75 *(6*2,2+6*3,745+2*2,9725)</t>
  </si>
  <si>
    <t>731</t>
  </si>
  <si>
    <t>Ústřední vytápění - kotelny</t>
  </si>
  <si>
    <t>67</t>
  </si>
  <si>
    <t>731244492</t>
  </si>
  <si>
    <t>Montáž kotle ocelového závěsného na plyn kondenzačního o výkonu přes 14 do 20 kW</t>
  </si>
  <si>
    <t>-1730843179</t>
  </si>
  <si>
    <t>68</t>
  </si>
  <si>
    <t>M</t>
  </si>
  <si>
    <t>48417696</t>
  </si>
  <si>
    <t>kotel ocelový plynový kondenzační závěsný pro vytápění s integrovaným zásobníkem 75L 2,4-16,9kW</t>
  </si>
  <si>
    <t>1073443525</t>
  </si>
  <si>
    <t>736</t>
  </si>
  <si>
    <t>Ústřední vytápění - plošné vytápění a chlazení</t>
  </si>
  <si>
    <t>69</t>
  </si>
  <si>
    <t>736110262.GCM.R</t>
  </si>
  <si>
    <t>Podlahové vytápění - systémová deska s kombinovanou tepelnou a kročejovou izolací GIACOMINI R979Y250CZ celkové výšky 30 mm</t>
  </si>
  <si>
    <t>-1280105078</t>
  </si>
  <si>
    <t>71,97</t>
  </si>
  <si>
    <t>70</t>
  </si>
  <si>
    <t>736110262.RHU</t>
  </si>
  <si>
    <t>Podlahové vytápění - systémová deska s kombinovanou tepelnou a kročejovou izolací REHAU VARIONOVA 30-2 celkové výšky 50 mm</t>
  </si>
  <si>
    <t>394977765</t>
  </si>
  <si>
    <t>71</t>
  </si>
  <si>
    <t>736110211.RHU</t>
  </si>
  <si>
    <t>Podlahové vytápění - rozvodné potrubí REHAU RAUTHERM S PE-Xa 17x2,0 mm pro systémovou desku rozteč 100 mm</t>
  </si>
  <si>
    <t>-1865146211</t>
  </si>
  <si>
    <t>10*71,97+72,99*10</t>
  </si>
  <si>
    <t>72</t>
  </si>
  <si>
    <t>736110651.RHU</t>
  </si>
  <si>
    <t>Podlahové vytápění - krycí a separační PE fólie REHAU</t>
  </si>
  <si>
    <t>298370216</t>
  </si>
  <si>
    <t>72,99+71,97</t>
  </si>
  <si>
    <t>73</t>
  </si>
  <si>
    <t>736110652.PPL</t>
  </si>
  <si>
    <t>Podlahové vytápění - obvodový dilatační pás samolepící s folií PIPE-LIFE</t>
  </si>
  <si>
    <t>-1156967657</t>
  </si>
  <si>
    <t>83,96+81,07</t>
  </si>
  <si>
    <t>763</t>
  </si>
  <si>
    <t>Konstrukce suché výstavby</t>
  </si>
  <si>
    <t>74</t>
  </si>
  <si>
    <t>763111311.KNF</t>
  </si>
  <si>
    <t>SDK příčka W111 tl 75 mm profil CW+UW 50 desky 1x WHITE (A) 12,5 TI 40 mm 15 kg/m3 EI 30 Rw 43 dB</t>
  </si>
  <si>
    <t>-1594345325</t>
  </si>
  <si>
    <t>4,4*2,62</t>
  </si>
  <si>
    <t>75</t>
  </si>
  <si>
    <t>763111411</t>
  </si>
  <si>
    <t>SDK příčka tl 100 mm profil CW+UW 50 desky 2xA 12,5 s izolací EI 60 Rw do 51 dB</t>
  </si>
  <si>
    <t>-91139203</t>
  </si>
  <si>
    <t>76</t>
  </si>
  <si>
    <t>763111417</t>
  </si>
  <si>
    <t>SDK příčka tl 150 mm profil CW+UW 100 desky 2xA 12,5 s izolací EI 60 Rw do 56 dB</t>
  </si>
  <si>
    <t>-581275717</t>
  </si>
  <si>
    <t>77</t>
  </si>
  <si>
    <t>763113314.KNF</t>
  </si>
  <si>
    <t>SDK příčka instalační W116 tl 205 - 700 mm zdvojený profil CW+UW 75 desky 2x WHITE (A) 12,5 TI 60 mm 15 kg/m3 EI 60 Rw 54 dB</t>
  </si>
  <si>
    <t>-434885463</t>
  </si>
  <si>
    <t>(1,0+1,48)*2,62</t>
  </si>
  <si>
    <t>764</t>
  </si>
  <si>
    <t>Konstrukce klempířské</t>
  </si>
  <si>
    <t>78</t>
  </si>
  <si>
    <t>764203152</t>
  </si>
  <si>
    <t>Montáž střešního výlezu pro krytinu skládanou nebo plechovou</t>
  </si>
  <si>
    <t>-1816830709</t>
  </si>
  <si>
    <t>79</t>
  </si>
  <si>
    <t>764214403</t>
  </si>
  <si>
    <t>Oplechování horních ploch a nadezdívek (atik) bez rohů z Pz plechu mechanicky kotvené rš 250 mm</t>
  </si>
  <si>
    <t>-1607173927</t>
  </si>
  <si>
    <t>80</t>
  </si>
  <si>
    <t>764501103</t>
  </si>
  <si>
    <t>Montáž žlabu podokapního půlkulatého</t>
  </si>
  <si>
    <t>-1437356495</t>
  </si>
  <si>
    <t>81</t>
  </si>
  <si>
    <t>764518431</t>
  </si>
  <si>
    <t>Sklápěcí výpust vody z Pz plechu kruhového svodu průměru 80 mm</t>
  </si>
  <si>
    <t>407192051</t>
  </si>
  <si>
    <t>765</t>
  </si>
  <si>
    <t>Krytina skládaná</t>
  </si>
  <si>
    <t>82</t>
  </si>
  <si>
    <t>713151154</t>
  </si>
  <si>
    <t>Montáž izolace tepelné střech šikmých přišroubované nad krokve z desek sklonu do 30° tl přes 120 do 140 mm</t>
  </si>
  <si>
    <t>2130243242</t>
  </si>
  <si>
    <t>83</t>
  </si>
  <si>
    <t>28376504</t>
  </si>
  <si>
    <t>deska izolační PIR s oboustranným textilním rounem λ=0,025-0,026 tl 140mm</t>
  </si>
  <si>
    <t>1651915522</t>
  </si>
  <si>
    <t>103,886*1,05 'Přepočtené koeficientem množství</t>
  </si>
  <si>
    <t>84</t>
  </si>
  <si>
    <t>713191115</t>
  </si>
  <si>
    <t>Montáž izolace tepelné podlah, stropů nebo střech překrytí pásem asfaltovým samolepícím na sucho</t>
  </si>
  <si>
    <t>625344878</t>
  </si>
  <si>
    <t>85</t>
  </si>
  <si>
    <t>62856001</t>
  </si>
  <si>
    <t>pás asfaltový samolepicí modifikovaný SBS s vložkou z hliníkové fólie s textilií se spalitelnou fólií nebo jemnozrnným minerálním posypem nebo textilií na horním povrchu tl 2,2mm</t>
  </si>
  <si>
    <t>589257873</t>
  </si>
  <si>
    <t>103,886*1,1655 'Přepočtené koeficientem množství</t>
  </si>
  <si>
    <t>86</t>
  </si>
  <si>
    <t>715291911</t>
  </si>
  <si>
    <t>Oprava izolací proti chemickým vlivům napojení na stávající izolaci asfaltovými tmely za horka</t>
  </si>
  <si>
    <t>844453070</t>
  </si>
  <si>
    <t>87</t>
  </si>
  <si>
    <t>11163153</t>
  </si>
  <si>
    <t>emulze asfaltová penetrační</t>
  </si>
  <si>
    <t>litr</t>
  </si>
  <si>
    <t>-1754797826</t>
  </si>
  <si>
    <t>88</t>
  </si>
  <si>
    <t>762421036</t>
  </si>
  <si>
    <t>Obložení stropu z desek OSB tl 22 mm broušených na pero a drážku šroubovaných</t>
  </si>
  <si>
    <t>1402989407</t>
  </si>
  <si>
    <t>14*7,2/cos 14</t>
  </si>
  <si>
    <t>89</t>
  </si>
  <si>
    <t>444191212</t>
  </si>
  <si>
    <t>Montáž krytiny ocelových střech z polyesterované fólie budov v přes 6 do 12 m</t>
  </si>
  <si>
    <t>1920960948</t>
  </si>
  <si>
    <t xml:space="preserve">7,2*14/cos 14 </t>
  </si>
  <si>
    <t>90</t>
  </si>
  <si>
    <t>28343122</t>
  </si>
  <si>
    <t>rohož separační ze skelných vláken 120g/m2 pod hydroizolační fólie</t>
  </si>
  <si>
    <t>-1563069417</t>
  </si>
  <si>
    <t>91</t>
  </si>
  <si>
    <t>28355304</t>
  </si>
  <si>
    <t>pás podlahový parotěsný tepelně izolační s reflexní Al vrstvou tl 3mm</t>
  </si>
  <si>
    <t>-305137872</t>
  </si>
  <si>
    <t>106,77*1,1845 'Přepočtené koeficientem množství</t>
  </si>
  <si>
    <t>92</t>
  </si>
  <si>
    <t>28376571</t>
  </si>
  <si>
    <t>deska izolační sendvičová (PIR+vata) s oboustrannou Al fólií a doplňkovou hydroizolační vrstvou pro šikmé střechy λ=0,021 tl 140mm</t>
  </si>
  <si>
    <t>-638635478</t>
  </si>
  <si>
    <t>93</t>
  </si>
  <si>
    <t>764101101</t>
  </si>
  <si>
    <t>Montáž krytiny střechy rovné drážkováním ze svitků rš do 600 mm sklonu do 30°</t>
  </si>
  <si>
    <t>14006387</t>
  </si>
  <si>
    <t>7,2*14/cos 14</t>
  </si>
  <si>
    <t>94</t>
  </si>
  <si>
    <t>55350281</t>
  </si>
  <si>
    <t>krytina střešní falcovaná Pz plech s barevnou dvouvrstvou polyesterovou úpravou a lakovou vrstvou polymerových zrn š 670mm</t>
  </si>
  <si>
    <t>388742629</t>
  </si>
  <si>
    <t>106,77*1,3 'Přepočtené koeficientem množství</t>
  </si>
  <si>
    <t>95</t>
  </si>
  <si>
    <t>762342511</t>
  </si>
  <si>
    <t>Montáž kontralatí na podklad bez tepelné izolace</t>
  </si>
  <si>
    <t>1378184577</t>
  </si>
  <si>
    <t>96</t>
  </si>
  <si>
    <t>60514114</t>
  </si>
  <si>
    <t>řezivo jehličnaté lať impregnovaná dl 4 m</t>
  </si>
  <si>
    <t>-33378803</t>
  </si>
  <si>
    <t>0,04*0,06*23*7,626</t>
  </si>
  <si>
    <t>97</t>
  </si>
  <si>
    <t>765191001</t>
  </si>
  <si>
    <t>Montáž pojistné hydroizolační nebo parotěsné fólie kladené ve sklonu do 20° lepením na bednění nebo izolaci</t>
  </si>
  <si>
    <t>813303164</t>
  </si>
  <si>
    <t>98</t>
  </si>
  <si>
    <t>28329036</t>
  </si>
  <si>
    <t>fólie kontaktní difuzně propustná pro doplňkovou hydroizolační vrstvu, třívrstvá mikroporézní PP 150g/m2 s integrovanou samolepící páskou</t>
  </si>
  <si>
    <t>1232841685</t>
  </si>
  <si>
    <t>103,886*1,1 'Přepočtené koeficientem množství</t>
  </si>
  <si>
    <t>766</t>
  </si>
  <si>
    <t>Konstrukce truhlářské</t>
  </si>
  <si>
    <t>99</t>
  </si>
  <si>
    <t>766291112</t>
  </si>
  <si>
    <t>Montáž protiskluzové hrany na schodišťový stupeň přišroubováním</t>
  </si>
  <si>
    <t>-1922382180</t>
  </si>
  <si>
    <t>1,075*17</t>
  </si>
  <si>
    <t>766438111</t>
  </si>
  <si>
    <t>Montáž dřevěného obložení betonových stupňů s podstupnicemi</t>
  </si>
  <si>
    <t>1666646797</t>
  </si>
  <si>
    <t>5,253</t>
  </si>
  <si>
    <t>101</t>
  </si>
  <si>
    <t>766622115</t>
  </si>
  <si>
    <t>Montáž plastových oken plochy přes 1 m2 pevných v do 1,5 m s rámem do zdiva</t>
  </si>
  <si>
    <t>122862472</t>
  </si>
  <si>
    <t>1,625+0,675+1,125*2</t>
  </si>
  <si>
    <t>102</t>
  </si>
  <si>
    <t>61140046</t>
  </si>
  <si>
    <t>okno plastové s fixním zasklením trojsklo přes plochu 1m2 v 1,5-2,5m</t>
  </si>
  <si>
    <t>1992898989</t>
  </si>
  <si>
    <t>103</t>
  </si>
  <si>
    <t>61140050</t>
  </si>
  <si>
    <t>okno plastové otevíravé/sklopné trojsklo do plochy 1m2</t>
  </si>
  <si>
    <t>-1355875947</t>
  </si>
  <si>
    <t>104</t>
  </si>
  <si>
    <t>766622133</t>
  </si>
  <si>
    <t>Montáž plastových oken plochy přes 1 m2 otevíravých v přes 2,5 m s rámem do zdiva</t>
  </si>
  <si>
    <t>-658718055</t>
  </si>
  <si>
    <t>1,625+2,55*2+1,8</t>
  </si>
  <si>
    <t>105</t>
  </si>
  <si>
    <t>61140056</t>
  </si>
  <si>
    <t>okno plastové otevíravé/sklopné trojsklo přes plochu 1m2 přes v 2,5m</t>
  </si>
  <si>
    <t>259142349</t>
  </si>
  <si>
    <t>106</t>
  </si>
  <si>
    <t>766641161</t>
  </si>
  <si>
    <t>Montáž balkónových dveří zdvojených dvoukřídlových bez nadsvětlíku včetně rámu do zdiva</t>
  </si>
  <si>
    <t>816570074</t>
  </si>
  <si>
    <t>107</t>
  </si>
  <si>
    <t>61140066</t>
  </si>
  <si>
    <t>dveře plastové balkonové dvoukřídlové trojsklo</t>
  </si>
  <si>
    <t>-2096434681</t>
  </si>
  <si>
    <t>1,5*2,11</t>
  </si>
  <si>
    <t>108</t>
  </si>
  <si>
    <t>766660001</t>
  </si>
  <si>
    <t>Montáž dveřních křídel otvíravých jednokřídlových š do 0,8 m do ocelové zárubně</t>
  </si>
  <si>
    <t>881309309</t>
  </si>
  <si>
    <t>109</t>
  </si>
  <si>
    <t>61160052</t>
  </si>
  <si>
    <t>dveře jednokřídlé dřevěné bez povrchové úpravy plné 800x1970mm</t>
  </si>
  <si>
    <t>1727463748</t>
  </si>
  <si>
    <t>110</t>
  </si>
  <si>
    <t>61161001</t>
  </si>
  <si>
    <t>dveře jednokřídlé voštinové povrch lakovaný plné 700x1970-2100mm</t>
  </si>
  <si>
    <t>427819021</t>
  </si>
  <si>
    <t>111</t>
  </si>
  <si>
    <t>766660002</t>
  </si>
  <si>
    <t>Montáž dveřních křídel otvíravých jednokřídlových š přes 0,8 m do ocelové zárubně</t>
  </si>
  <si>
    <t>-549548060</t>
  </si>
  <si>
    <t>112</t>
  </si>
  <si>
    <t>61161003</t>
  </si>
  <si>
    <t>dveře jednokřídlé voštinové povrch lakovaný plné 900x1970-2100mm</t>
  </si>
  <si>
    <t>1218066549</t>
  </si>
  <si>
    <t>113</t>
  </si>
  <si>
    <t>766660411</t>
  </si>
  <si>
    <t>Montáž vchodových dveří včetně rámu jednokřídlových bez nadsvětlíku do zdiva</t>
  </si>
  <si>
    <t>19199711</t>
  </si>
  <si>
    <t>114</t>
  </si>
  <si>
    <t>61140500</t>
  </si>
  <si>
    <t>dveře jednokřídlé plastové bílé plné max rozměru otvoru 2,42m2 bezpečnostní třídy RC2</t>
  </si>
  <si>
    <t>-477203774</t>
  </si>
  <si>
    <t>1,17777777777778*1,8 'Přepočtené koeficientem množství</t>
  </si>
  <si>
    <t>115</t>
  </si>
  <si>
    <t>786623001</t>
  </si>
  <si>
    <t>Montáž venkovní žaluzie do okenního nebo dveřního otvoru na rám ovládané manuálně pl do 4 m2</t>
  </si>
  <si>
    <t>1757764047</t>
  </si>
  <si>
    <t>116</t>
  </si>
  <si>
    <t>767630112</t>
  </si>
  <si>
    <t>Montáž hliníkových zdvižně posuvných dveří v přes 1970 do 2200 mm a š přes 2000 do 3500 mm</t>
  </si>
  <si>
    <t>2037307333</t>
  </si>
  <si>
    <t>3*2,12</t>
  </si>
  <si>
    <t>117</t>
  </si>
  <si>
    <t>55341047</t>
  </si>
  <si>
    <t>dveře terasové zdvižně posuvné Al dvoudílné trojsklo š přes 2,5m do 3,5m v do 2,2m</t>
  </si>
  <si>
    <t>1117007913</t>
  </si>
  <si>
    <t>771</t>
  </si>
  <si>
    <t>Podlahy z dlaždic</t>
  </si>
  <si>
    <t>118</t>
  </si>
  <si>
    <t>771574413</t>
  </si>
  <si>
    <t>Montáž podlah keramických hladkých lepených cementovým flexibilním lepidlem přes 2 do 4 ks/m2</t>
  </si>
  <si>
    <t>-125498685</t>
  </si>
  <si>
    <t>"1.01+1.02+2.01+2.02"</t>
  </si>
  <si>
    <t>10,49+6,77+7,53+7,7</t>
  </si>
  <si>
    <t>776</t>
  </si>
  <si>
    <t>Podlahy povlakové</t>
  </si>
  <si>
    <t>119</t>
  </si>
  <si>
    <t>776241111</t>
  </si>
  <si>
    <t>Lepení hladkých (bez vzoru) pásů ze sametového vinylu</t>
  </si>
  <si>
    <t>-971389997</t>
  </si>
  <si>
    <t>"1.03+1.04+1.05.1.06+2.03+2.04+2.05"</t>
  </si>
  <si>
    <t>3,02+11,21+7,13+34,41+13,39+14,7+28,66</t>
  </si>
  <si>
    <t>SO 2 - Garaž</t>
  </si>
  <si>
    <t>-1360593812</t>
  </si>
  <si>
    <t>(12,0+1)*(8,0+1)</t>
  </si>
  <si>
    <t>131151102</t>
  </si>
  <si>
    <t>Hloubení jam nezapažených v hornině třídy těžitelnosti I skupiny 1 a 2 objem do 50 m3 strojně</t>
  </si>
  <si>
    <t>-1544504912</t>
  </si>
  <si>
    <t>(12,0+0,5)*(8,0+0,5)*0,25</t>
  </si>
  <si>
    <t>1368887045</t>
  </si>
  <si>
    <t>"ornice" 117*0,2</t>
  </si>
  <si>
    <t xml:space="preserve">"výkopek 1/3 množství"  26,563*0,33</t>
  </si>
  <si>
    <t>-1050518697</t>
  </si>
  <si>
    <t>8,766*15</t>
  </si>
  <si>
    <t>-796997925</t>
  </si>
  <si>
    <t>(8,766*1,6)/3</t>
  </si>
  <si>
    <t>1360160390</t>
  </si>
  <si>
    <t>8,766</t>
  </si>
  <si>
    <t>2124250348</t>
  </si>
  <si>
    <t>26,563 - (8*12*0,25)</t>
  </si>
  <si>
    <t>315598205</t>
  </si>
  <si>
    <t>12*8</t>
  </si>
  <si>
    <t>213141112</t>
  </si>
  <si>
    <t>Zřízení vrstvy z geotextilie v rovině nebo ve sklonu do 1:5 š přes 3 do 6 m</t>
  </si>
  <si>
    <t>709336825</t>
  </si>
  <si>
    <t>12,5*8,5*2</t>
  </si>
  <si>
    <t>1018923579</t>
  </si>
  <si>
    <t>273311611</t>
  </si>
  <si>
    <t>Základové desky prokládané kamenem z betonu tř. C 16/20</t>
  </si>
  <si>
    <t>798781516</t>
  </si>
  <si>
    <t>12*8*0,3</t>
  </si>
  <si>
    <t>273351121</t>
  </si>
  <si>
    <t>Zřízení bednění základových desek</t>
  </si>
  <si>
    <t>657187497</t>
  </si>
  <si>
    <t>(12.0+8,0)*2*0.2</t>
  </si>
  <si>
    <t>273351122</t>
  </si>
  <si>
    <t>Odstranění bednění základových desek</t>
  </si>
  <si>
    <t>-904199273</t>
  </si>
  <si>
    <t>273361821</t>
  </si>
  <si>
    <t>Výztuž základových desek betonářskou ocelí 10 505 (R)</t>
  </si>
  <si>
    <t>-728264140</t>
  </si>
  <si>
    <t>19,20*0,08</t>
  </si>
  <si>
    <t>-1234391966</t>
  </si>
  <si>
    <t>12*8*0,12</t>
  </si>
  <si>
    <t>-571862349</t>
  </si>
  <si>
    <t>(12*8)/6*0,01263</t>
  </si>
  <si>
    <t>1795596673</t>
  </si>
  <si>
    <t>8*12</t>
  </si>
  <si>
    <t>-1678291606</t>
  </si>
  <si>
    <t>21,85-1,3*2</t>
  </si>
  <si>
    <t>-869365146</t>
  </si>
  <si>
    <t>21,85*2+3,437*12+2,13*12-22,94</t>
  </si>
  <si>
    <t>161388980</t>
  </si>
  <si>
    <t>-1246748478</t>
  </si>
  <si>
    <t>-341980212</t>
  </si>
  <si>
    <t>(12+8)*2/cos 8</t>
  </si>
  <si>
    <t>833074432</t>
  </si>
  <si>
    <t>735311697</t>
  </si>
  <si>
    <t>((12+8)*2/cos 8)*0,25</t>
  </si>
  <si>
    <t>346574685</t>
  </si>
  <si>
    <t>-670880954</t>
  </si>
  <si>
    <t>1180388268</t>
  </si>
  <si>
    <t>11,1*7,2/cos 8</t>
  </si>
  <si>
    <t>-2129982519</t>
  </si>
  <si>
    <t>1500901754</t>
  </si>
  <si>
    <t>20,24*4+2,305*11,1+3,317*11,1-22,94</t>
  </si>
  <si>
    <t>-1788778245</t>
  </si>
  <si>
    <t>87,564-41,244</t>
  </si>
  <si>
    <t>-372786863</t>
  </si>
  <si>
    <t>2011389889</t>
  </si>
  <si>
    <t>777954782</t>
  </si>
  <si>
    <t>-305149885</t>
  </si>
  <si>
    <t>1914759686</t>
  </si>
  <si>
    <t>-1655185299</t>
  </si>
  <si>
    <t>(12*8+(12+8)*0,2)*2</t>
  </si>
  <si>
    <t>713114411.CUR</t>
  </si>
  <si>
    <t>Tepelná foukaná izolace minerální vlákna nižší objemová hmotnost CLIMASTONE L vodorovná volná tl přes 100 do 150 mm</t>
  </si>
  <si>
    <t>94190024</t>
  </si>
  <si>
    <t>1541763531</t>
  </si>
  <si>
    <t>-76816875</t>
  </si>
  <si>
    <t>40*0,3</t>
  </si>
  <si>
    <t>311688577</t>
  </si>
  <si>
    <t>21,85*2+2,3*12-22,94</t>
  </si>
  <si>
    <t>713131341</t>
  </si>
  <si>
    <t>Montáž izolace tepelné stěn lepením bodově nízkoexpanzní (PUR) pěnou s mechanickým kotvením rohoží, pásů, dílců, desek tl do 100mm</t>
  </si>
  <si>
    <t>1389555632</t>
  </si>
  <si>
    <t>4,58*12</t>
  </si>
  <si>
    <t>1164265595</t>
  </si>
  <si>
    <t>-803474702</t>
  </si>
  <si>
    <t>955542654</t>
  </si>
  <si>
    <t>8*12/cos 8</t>
  </si>
  <si>
    <t>1275233656</t>
  </si>
  <si>
    <t>28355302</t>
  </si>
  <si>
    <t>pás podstřešní parotěsný tepelně izolační s reflexní Al vrstvou tl 4mm</t>
  </si>
  <si>
    <t>1087626416</t>
  </si>
  <si>
    <t>96,943</t>
  </si>
  <si>
    <t>96,943*1,1845 'Přepočtené koeficientem množství</t>
  </si>
  <si>
    <t>713114411</t>
  </si>
  <si>
    <t>Tepelná foukaná izolace minerální vlákna nižší objemová hmotnost vodorovná volná tl přes 100 do 150 mm</t>
  </si>
  <si>
    <t>-2027130513</t>
  </si>
  <si>
    <t>791344134</t>
  </si>
  <si>
    <t>12*8/cos 8</t>
  </si>
  <si>
    <t>1941254789</t>
  </si>
  <si>
    <t>96,943*1,1655 'Přepočtené koeficientem množství</t>
  </si>
  <si>
    <t>1870596026</t>
  </si>
  <si>
    <t>-1339233637</t>
  </si>
  <si>
    <t>464399110</t>
  </si>
  <si>
    <t>478222228</t>
  </si>
  <si>
    <t>-2110239642</t>
  </si>
  <si>
    <t>-1732709906</t>
  </si>
  <si>
    <t>1303330158</t>
  </si>
  <si>
    <t>96,943*1,3 'Přepočtené koeficientem množství</t>
  </si>
  <si>
    <t>-65091165</t>
  </si>
  <si>
    <t>817299748</t>
  </si>
  <si>
    <t>96,943*1,1 'Přepočtené koeficientem množství</t>
  </si>
  <si>
    <t>1268749610</t>
  </si>
  <si>
    <t>2,75*2+2,45*2</t>
  </si>
  <si>
    <t>2044667561</t>
  </si>
  <si>
    <t>10,4</t>
  </si>
  <si>
    <t>1547775986</t>
  </si>
  <si>
    <t>61162029R</t>
  </si>
  <si>
    <t>dveře jednokřídlé dřevotřískové povrch fóliový plné 1200x1970-2100mm</t>
  </si>
  <si>
    <t>1209422183</t>
  </si>
  <si>
    <t>1246479107</t>
  </si>
  <si>
    <t>-1900438373</t>
  </si>
  <si>
    <t>1,2*2,01+1*2,01</t>
  </si>
  <si>
    <t>4,422*1,8 'Přepočtené koeficientem množství</t>
  </si>
  <si>
    <t>766698112</t>
  </si>
  <si>
    <t>Montáž truhlářských vrat garážových otvíravých do zárubně přes 6 m2</t>
  </si>
  <si>
    <t>-204882285</t>
  </si>
  <si>
    <t>55345874</t>
  </si>
  <si>
    <t>vrata garážová sekční zateplená, úzká kazeta typ S 4,0x2,125m</t>
  </si>
  <si>
    <t>703586553</t>
  </si>
  <si>
    <t>-419856067</t>
  </si>
  <si>
    <t>-486003820</t>
  </si>
  <si>
    <t>46,44+32,04</t>
  </si>
  <si>
    <t>59761136</t>
  </si>
  <si>
    <t>dlažba keramická slinutá mrazuvzdorná povrch hladký/lesklý tl do 10mm přes 2 do 4ks/m2</t>
  </si>
  <si>
    <t>922683682</t>
  </si>
  <si>
    <t>78,48*1,15 'Přepočtené koeficientem množství</t>
  </si>
  <si>
    <t>Elektroinstalace - RD Valcha</t>
  </si>
  <si>
    <t xml:space="preserve">    741 - Elektroinstalace - silnoproud</t>
  </si>
  <si>
    <t>M - Práce a dodávky M</t>
  </si>
  <si>
    <t xml:space="preserve">    21-M - Elektromontáže</t>
  </si>
  <si>
    <t>741</t>
  </si>
  <si>
    <t>Elektroinstalace - silnoproud</t>
  </si>
  <si>
    <t>741120003</t>
  </si>
  <si>
    <t>Montáž vodič Cu izolovaný plný a laněný žíla 10-16 mm2 pod omítku (např. CY)</t>
  </si>
  <si>
    <t>1569334978</t>
  </si>
  <si>
    <t>34141040</t>
  </si>
  <si>
    <t>vodič propojovací jádro Cu plné izolace PVC 450/750V (H07V-U) 1x10mm2</t>
  </si>
  <si>
    <t>-1411034766</t>
  </si>
  <si>
    <t>16*1,15 'Přepočtené koeficientem množství</t>
  </si>
  <si>
    <t>741122032</t>
  </si>
  <si>
    <t>Montáž kabel Cu bez ukončení uložený pod omítku plný kulatý 5x4 až 6 mm2 (např. CYKY, CYKFY)</t>
  </si>
  <si>
    <t>-1883785320</t>
  </si>
  <si>
    <t>Indukční deska + EV wallbox</t>
  </si>
  <si>
    <t>PKB.711038</t>
  </si>
  <si>
    <t>CYKY-J 5x6</t>
  </si>
  <si>
    <t>km</t>
  </si>
  <si>
    <t>-1787648437</t>
  </si>
  <si>
    <t>741122033</t>
  </si>
  <si>
    <t>Montáž kabel Cu bez ukončení uložený pod omítku plný kulatý 5x10 mm2 (např. CYKY, CYKFY)</t>
  </si>
  <si>
    <t>436400319</t>
  </si>
  <si>
    <t>hlavní přívod RE RD+Garaž</t>
  </si>
  <si>
    <t>15+1</t>
  </si>
  <si>
    <t>PKB.711040</t>
  </si>
  <si>
    <t>CYKY-J 5x10 RE</t>
  </si>
  <si>
    <t>-435252994</t>
  </si>
  <si>
    <t>741313001</t>
  </si>
  <si>
    <t>Montáž zásuvka (polo)zapuštěná bezšroubové připojení 2P+PE se zapojením vodičů</t>
  </si>
  <si>
    <t>-2030454565</t>
  </si>
  <si>
    <t>34555241</t>
  </si>
  <si>
    <t>přístroj zásuvky zapuštěné jednonásobné, krytka s clonkami, bezšroubové svorky</t>
  </si>
  <si>
    <t>128</t>
  </si>
  <si>
    <t>-9024518</t>
  </si>
  <si>
    <t>741372076</t>
  </si>
  <si>
    <t>Montáž svítidlo LED interiérové přisazené stropní hranaté nebo kruhové do 0,09 m2 s pohybovým čidlem se zapojením vodičů</t>
  </si>
  <si>
    <t>-1984297198</t>
  </si>
  <si>
    <t>34825054</t>
  </si>
  <si>
    <t>svítidlo interiérové stropní přisazené kruhové D 200-300mm 900-1900lm s pohybovým čidlem</t>
  </si>
  <si>
    <t>1347502473</t>
  </si>
  <si>
    <t>34818210</t>
  </si>
  <si>
    <t>svítidlo interiérové nástěnné IP44 8W 690lm</t>
  </si>
  <si>
    <t>-1029158022</t>
  </si>
  <si>
    <t>741372157</t>
  </si>
  <si>
    <t>Montáž svítidlo LED průmyslové závěsné liniové se zapojením vodičů</t>
  </si>
  <si>
    <t>-565854703</t>
  </si>
  <si>
    <t>34835002</t>
  </si>
  <si>
    <t>svítidlo průmyslové přisazené podlouhlé kryt z PH 4500-6000lm</t>
  </si>
  <si>
    <t>222372538</t>
  </si>
  <si>
    <t>74141R</t>
  </si>
  <si>
    <t>Dodávka a montáž hromosvodu – fasádní vedení, uzemnění a střešní část</t>
  </si>
  <si>
    <t>KPL</t>
  </si>
  <si>
    <t>1549366400</t>
  </si>
  <si>
    <t>741122015</t>
  </si>
  <si>
    <t>Montáž kabel Cu bez ukončení uložený pod omítku plný kulatý 3x1,5 mm2 (např. CYKY, CYKFY)</t>
  </si>
  <si>
    <t>1217064367</t>
  </si>
  <si>
    <t>360+100</t>
  </si>
  <si>
    <t>PKB.711018</t>
  </si>
  <si>
    <t>CYKY-J 3x1,5</t>
  </si>
  <si>
    <t>-162867601</t>
  </si>
  <si>
    <t>Poznámka k položce:_x000d_
světlo</t>
  </si>
  <si>
    <t>RD+GARAŽ</t>
  </si>
  <si>
    <t>0,36+0,1</t>
  </si>
  <si>
    <t>741122016</t>
  </si>
  <si>
    <t>Montáž kabel Cu bez ukončení uložený pod omítku plný kulatý 3x2,5 až 6 mm2 (např. CYKY, CYKFY)</t>
  </si>
  <si>
    <t>1046220393</t>
  </si>
  <si>
    <t>520+20+120</t>
  </si>
  <si>
    <t>PKB.711021</t>
  </si>
  <si>
    <t>CYKY-J 3x2,5</t>
  </si>
  <si>
    <t>908681469</t>
  </si>
  <si>
    <t>Poznámka k položce:_x000d_
zásuvky</t>
  </si>
  <si>
    <t>0,52+0,12</t>
  </si>
  <si>
    <t>PKB.711891</t>
  </si>
  <si>
    <t>CYKY-J 3x6</t>
  </si>
  <si>
    <t>1130870630</t>
  </si>
  <si>
    <t>Poznámka k položce:_x000d_
indukční deska</t>
  </si>
  <si>
    <t>0,02</t>
  </si>
  <si>
    <t>741320105</t>
  </si>
  <si>
    <t>Montáž jističů jednopólových nn do 25 A ve skříni se zapojením vodičů</t>
  </si>
  <si>
    <t>-1849378214</t>
  </si>
  <si>
    <t>35822115</t>
  </si>
  <si>
    <t>jistič 1-pólový 10 A vypínací charakteristika B vypínací schopnost 6 kA</t>
  </si>
  <si>
    <t>-1704276953</t>
  </si>
  <si>
    <t>35822111</t>
  </si>
  <si>
    <t>jistič 1-pólový 16 A vypínací charakteristika B vypínací schopnost 10 kA</t>
  </si>
  <si>
    <t>763182911</t>
  </si>
  <si>
    <t>35822123</t>
  </si>
  <si>
    <t>jistič 1-pólový 16 A vypínací charakteristika C vypínací schopnost 6 kA</t>
  </si>
  <si>
    <t>1965119494</t>
  </si>
  <si>
    <t>35822128</t>
  </si>
  <si>
    <t>jistič 1-pólový 20 A vypínací charakteristika C vypínací schopnost 6 kA</t>
  </si>
  <si>
    <t>-301996214</t>
  </si>
  <si>
    <t>35822116</t>
  </si>
  <si>
    <t>jistič 1-pólový 10 A vypínací charakteristika C vypínací schopnost 6 kA</t>
  </si>
  <si>
    <t>1891664459</t>
  </si>
  <si>
    <t>35822169</t>
  </si>
  <si>
    <t>jistič 3-pólový 20 A vypínací charakteristika C vypínací schopnost 6 kA</t>
  </si>
  <si>
    <t>1040809489</t>
  </si>
  <si>
    <t>741210001</t>
  </si>
  <si>
    <t>Montáž rozvodnice oceloplechová nebo plastová běžná do 20 kg</t>
  </si>
  <si>
    <t>1550202854</t>
  </si>
  <si>
    <t>35711032</t>
  </si>
  <si>
    <t>rozvodnice nástěnná, průhledné dveře, IP65, 18 modulárních jednotek, vč. N/pE</t>
  </si>
  <si>
    <t>913143445</t>
  </si>
  <si>
    <t>35711037</t>
  </si>
  <si>
    <t>rozvodnice nástěnná, průhledné dveře, IP41, 48 modulárních jednotek, vč. N/pE</t>
  </si>
  <si>
    <t>1552314811</t>
  </si>
  <si>
    <t>35711044R</t>
  </si>
  <si>
    <t>rozvodnice zapuštěná, plné dveře plechové, IP30,84 modulárních jednotek vč. N/pE</t>
  </si>
  <si>
    <t>1430330929</t>
  </si>
  <si>
    <t>741310564</t>
  </si>
  <si>
    <t>Montáž vypínač tří/čtyřpól výkonový pojistkový do 400 A bez zapojení vodičů</t>
  </si>
  <si>
    <t>-1960448419</t>
  </si>
  <si>
    <t>RMAT0002</t>
  </si>
  <si>
    <t>vypínač třípólový pojistkový</t>
  </si>
  <si>
    <t>-1809156928</t>
  </si>
  <si>
    <t>741320115</t>
  </si>
  <si>
    <t>Montáž jističů jednopólových nn do 63 A ve skříni se zapojením vodičů</t>
  </si>
  <si>
    <t>855382163</t>
  </si>
  <si>
    <t>35822179</t>
  </si>
  <si>
    <t>jistič 3-pólový 40 A vypínací charakteristika C vypínací schopnost 6 kA</t>
  </si>
  <si>
    <t>-2098751996</t>
  </si>
  <si>
    <t>741321003</t>
  </si>
  <si>
    <t>Montáž proudových chráničů dvoupólových nn do 25 A ve skříni se zapojením vodičů</t>
  </si>
  <si>
    <t>866871390</t>
  </si>
  <si>
    <t>RMAT0006</t>
  </si>
  <si>
    <t>proudový chránič dvoupólový</t>
  </si>
  <si>
    <t>207369674</t>
  </si>
  <si>
    <t>741321013</t>
  </si>
  <si>
    <t>Montáž proudových chráničů dvoupólových nn do 63 A ve skříni se zapojením vodičů</t>
  </si>
  <si>
    <t>-1579519615</t>
  </si>
  <si>
    <t>35829010</t>
  </si>
  <si>
    <t>chránič proudový 4 pólový 63A typ AC</t>
  </si>
  <si>
    <t>-428066933</t>
  </si>
  <si>
    <t>741322011</t>
  </si>
  <si>
    <t>Montáž svodiče bleskových proudů nn typ 1 třípólových impulzní proud do 35 kA se zapojením vodičů</t>
  </si>
  <si>
    <t>12224263</t>
  </si>
  <si>
    <t>RMAT0004</t>
  </si>
  <si>
    <t>svodič bleskových proudů</t>
  </si>
  <si>
    <t>us</t>
  </si>
  <si>
    <t>-94921941</t>
  </si>
  <si>
    <t>35829013</t>
  </si>
  <si>
    <t>chránič proudový 2 pólový 40A typ B</t>
  </si>
  <si>
    <t>-145620612</t>
  </si>
  <si>
    <t>35829001</t>
  </si>
  <si>
    <t>chránič proudový 2 pólový 16A typ AC 0,03A</t>
  </si>
  <si>
    <t>-186699219</t>
  </si>
  <si>
    <t>35829014</t>
  </si>
  <si>
    <t>chránič proudový 2 pólový 63A typ B</t>
  </si>
  <si>
    <t>-955691986</t>
  </si>
  <si>
    <t>40565064</t>
  </si>
  <si>
    <t>relé hlídací proudové do 20 A</t>
  </si>
  <si>
    <t>1502793537</t>
  </si>
  <si>
    <t>Práce a dodávky M</t>
  </si>
  <si>
    <t>21-M</t>
  </si>
  <si>
    <t>Elektromontáže</t>
  </si>
  <si>
    <t>741930001</t>
  </si>
  <si>
    <t>Montáž nabíjecí stanice pro elektromobily nástěnné včetně usazení a zapojení</t>
  </si>
  <si>
    <t>-1470234065</t>
  </si>
  <si>
    <t>35673010w</t>
  </si>
  <si>
    <t>Wallbox AC Home Pro s chytrým řízením nabíjení - 7,2 kW, 32 A, Type 2 Bluetooth RFID WiFi 5 m</t>
  </si>
  <si>
    <t>-1786678646</t>
  </si>
  <si>
    <t>54112000</t>
  </si>
  <si>
    <t>deska varná indukční 4 varné zóny</t>
  </si>
  <si>
    <t>256</t>
  </si>
  <si>
    <t>727069055</t>
  </si>
  <si>
    <t>ZTI - RD Valcha</t>
  </si>
  <si>
    <t xml:space="preserve">    8 - Trubní vedení</t>
  </si>
  <si>
    <t xml:space="preserve">    712 - Povlakové krytiny</t>
  </si>
  <si>
    <t xml:space="preserve">    721 - Zdravotechnika - vnitřní kanalizace</t>
  </si>
  <si>
    <t xml:space="preserve">    722 - Zdravotechnika - vnitřní vodovod</t>
  </si>
  <si>
    <t xml:space="preserve">    725 - Zdravotechnika - zařizovací předměty</t>
  </si>
  <si>
    <t xml:space="preserve">    23-M - Montáže potrubí</t>
  </si>
  <si>
    <t>132112131</t>
  </si>
  <si>
    <t>Hloubení nezapažených rýh šířky do 800 mm v soudržných horninách třídy těžitelnosti I skupiny 1 a 2 ručně</t>
  </si>
  <si>
    <t>-25752218</t>
  </si>
  <si>
    <t>"pro přípojku vody" 3,85*0,5*1,2</t>
  </si>
  <si>
    <t xml:space="preserve">"pro S přípojku"  9.7*0.6 *1.4 </t>
  </si>
  <si>
    <t>"pro D přípojku" 11.8*0.6*1.4</t>
  </si>
  <si>
    <t>133151101</t>
  </si>
  <si>
    <t>Hloubení šachet nezapažených v hornině třídy těžitelnosti I skupiny 1 a 2 objem do 20 m3</t>
  </si>
  <si>
    <t>587923152</t>
  </si>
  <si>
    <t>2,7*2,7*2,15</t>
  </si>
  <si>
    <t>162211201</t>
  </si>
  <si>
    <t>Vodorovné přemístění do 10 m nošením výkopku z horniny třídy těžitelnosti I skupiny 1 až 3</t>
  </si>
  <si>
    <t>1431100792</t>
  </si>
  <si>
    <t>20,37+15,674</t>
  </si>
  <si>
    <t>-1681384200</t>
  </si>
  <si>
    <t>"dešťová kanalizace k akumulační nádrži" 9,91*0,9</t>
  </si>
  <si>
    <t>"kanalizační přípojka" 8,15*0,9</t>
  </si>
  <si>
    <t>"vodovodní přípojka" 2,31*0,9</t>
  </si>
  <si>
    <t>271532212</t>
  </si>
  <si>
    <t>Podsyp pod základové konstrukce se zhutněním z hrubého kameniva frakce 16 až 32 mm</t>
  </si>
  <si>
    <t>-906894191</t>
  </si>
  <si>
    <t>2,7*2,7*0,15</t>
  </si>
  <si>
    <t>273313711</t>
  </si>
  <si>
    <t>Základové desky z betonu tř. C 20/25</t>
  </si>
  <si>
    <t>818485680</t>
  </si>
  <si>
    <t>273362021</t>
  </si>
  <si>
    <t>Výztuž základových desek svařovanými sítěmi Kari</t>
  </si>
  <si>
    <t>-1750519765</t>
  </si>
  <si>
    <t>2,7*2,7*3,033/1000</t>
  </si>
  <si>
    <t>382413116R</t>
  </si>
  <si>
    <t>Osazení jímky z PP objemu 8000 l pro usazení do terénu</t>
  </si>
  <si>
    <t>-1221872894</t>
  </si>
  <si>
    <t>56230017R</t>
  </si>
  <si>
    <t>jímka plastová 2,7x2,7x2m objem 8m3</t>
  </si>
  <si>
    <t>-1999344961</t>
  </si>
  <si>
    <t>451573111</t>
  </si>
  <si>
    <t>Lože pod potrubí otevřený výkop ze štěrkopísku</t>
  </si>
  <si>
    <t>799006243</t>
  </si>
  <si>
    <t xml:space="preserve">3.85*0.5*0.30 </t>
  </si>
  <si>
    <t xml:space="preserve">9.7*0.6*0.10 </t>
  </si>
  <si>
    <t xml:space="preserve">11.8*0.6*0.10 </t>
  </si>
  <si>
    <t>Trubní vedení</t>
  </si>
  <si>
    <t>871263120</t>
  </si>
  <si>
    <t>Montáž kanalizačního potrubí hladkého plnostěnného SN 4 z PVC-U DN 110</t>
  </si>
  <si>
    <t>-1679401314</t>
  </si>
  <si>
    <t>28611112</t>
  </si>
  <si>
    <t>trubka kanalizační PVC DN 110x500mm SN4</t>
  </si>
  <si>
    <t>-1010165935</t>
  </si>
  <si>
    <t>6*1,03 'Přepočtené koeficientem množství</t>
  </si>
  <si>
    <t>871313120</t>
  </si>
  <si>
    <t>Montáž kanalizačního potrubí hladkého plnostěnného SN 4 z PVC-U DN 160</t>
  </si>
  <si>
    <t>1786991288</t>
  </si>
  <si>
    <t>9,7+11,8</t>
  </si>
  <si>
    <t>OSM.222000</t>
  </si>
  <si>
    <t xml:space="preserve">KGEM trouba DN160x4,0/ 500  SN4 EN 13476-2</t>
  </si>
  <si>
    <t>1586256526</t>
  </si>
  <si>
    <t>879171111</t>
  </si>
  <si>
    <t>Montáž vodovodní přípojky na potrubí DN 32</t>
  </si>
  <si>
    <t>-819461507</t>
  </si>
  <si>
    <t>891152211</t>
  </si>
  <si>
    <t>Montáž závitového vodoměru G 3/4 v šachtě</t>
  </si>
  <si>
    <t>1706209360</t>
  </si>
  <si>
    <t>38821515</t>
  </si>
  <si>
    <t>vodoměr domovní tlak PN25 Qn 1,5 DN 20 190mm</t>
  </si>
  <si>
    <t>-317377080</t>
  </si>
  <si>
    <t>892233122</t>
  </si>
  <si>
    <t>Proplach a dezinfekce vodovodního potrubí DN od 40 do 70</t>
  </si>
  <si>
    <t>-838275138</t>
  </si>
  <si>
    <t>35+40</t>
  </si>
  <si>
    <t>892271111</t>
  </si>
  <si>
    <t>Tlaková zkouška vodou potrubí DN 100 nebo 125</t>
  </si>
  <si>
    <t>2078316172</t>
  </si>
  <si>
    <t>893811163</t>
  </si>
  <si>
    <t>Osazení vodoměrné šachty kruhové z PP samonosné pro běžné zatížení D do 1,2 m hl přes 1,4 do 1,6 m</t>
  </si>
  <si>
    <t>-2121471137</t>
  </si>
  <si>
    <t>56230595</t>
  </si>
  <si>
    <t>šachta plastová vodoměrná samonosná kruhová 1,2/1,6m</t>
  </si>
  <si>
    <t>-1928222023</t>
  </si>
  <si>
    <t>894811131</t>
  </si>
  <si>
    <t>Revizní šachta z PVC typ přímý, DN 400/160 tlak 12,5 t hl od 860 do 1230 mm</t>
  </si>
  <si>
    <t>1323520999</t>
  </si>
  <si>
    <t>62851028</t>
  </si>
  <si>
    <t>odvětrání kanalizace ploché střechy s integrovanou manžetou z modifikovaného asfaltového pásu DN 125</t>
  </si>
  <si>
    <t>-1161536629</t>
  </si>
  <si>
    <t>712</t>
  </si>
  <si>
    <t>Povlakové krytiny</t>
  </si>
  <si>
    <t>712341715</t>
  </si>
  <si>
    <t>Provedení povlakové krytiny střech do 10° pásy NAIP přitavením zaizolování prostupů kruhového průřezu D do 300 mm</t>
  </si>
  <si>
    <t>1522962212</t>
  </si>
  <si>
    <t>62851033</t>
  </si>
  <si>
    <t>prostup parozábranou s integrovanou manžetou z modifikovaného asfaltového pásu DN 125</t>
  </si>
  <si>
    <t>471958823</t>
  </si>
  <si>
    <t>721</t>
  </si>
  <si>
    <t>Zdravotechnika - vnitřní kanalizace</t>
  </si>
  <si>
    <t>721141101R</t>
  </si>
  <si>
    <t>Potrubí kanalizační litinové bezhrdlové odpadní spojované spojkami DN 50-110</t>
  </si>
  <si>
    <t>1706026407</t>
  </si>
  <si>
    <t>722</t>
  </si>
  <si>
    <t>Zdravotechnika - vnitřní vodovod</t>
  </si>
  <si>
    <t>722176114</t>
  </si>
  <si>
    <t>Montáž potrubí plastové spojované svary polyfuzně D přes 22 do 32 mm</t>
  </si>
  <si>
    <t>-55911484</t>
  </si>
  <si>
    <t>"Rozvody PP-R studená" 40</t>
  </si>
  <si>
    <t>"Rozvody PP-R teplá + cirkulace" 35</t>
  </si>
  <si>
    <t>28614176</t>
  </si>
  <si>
    <t>trubka vícevrstvá PP-RCT s vláknitou výstužnou vrstvou a kyslíkovou bariérou pro vodu a topení S 3,2 D 32mm</t>
  </si>
  <si>
    <t>-959201723</t>
  </si>
  <si>
    <t>75*1,03 'Přepočtené koeficientem množství</t>
  </si>
  <si>
    <t>722290234</t>
  </si>
  <si>
    <t>Proplach a dezinfekce vodovodního potrubí DN do 80</t>
  </si>
  <si>
    <t>768494893</t>
  </si>
  <si>
    <t>725</t>
  </si>
  <si>
    <t>Zdravotechnika - zařizovací předměty</t>
  </si>
  <si>
    <t>725119125</t>
  </si>
  <si>
    <t>Montáž klozetových mís závěsných na nosné stěny</t>
  </si>
  <si>
    <t>-95341832</t>
  </si>
  <si>
    <t>64236021</t>
  </si>
  <si>
    <t>klozet keramický bílý závěsný hluboké splachování 490x360x350mm</t>
  </si>
  <si>
    <t>1465383122</t>
  </si>
  <si>
    <t>725211641</t>
  </si>
  <si>
    <t>Umyvadlo keramické bílé šířky 600 mm do nábytku připevněné na stěnu šrouby</t>
  </si>
  <si>
    <t>326231996</t>
  </si>
  <si>
    <t>725229103</t>
  </si>
  <si>
    <t>Montáž vany se zápachovou uzávěrkou akrylátových</t>
  </si>
  <si>
    <t>-784756822</t>
  </si>
  <si>
    <t>55421008</t>
  </si>
  <si>
    <t>vana akrylátová obdélníková bílá 1700x700mm 150L</t>
  </si>
  <si>
    <t>-1277380576</t>
  </si>
  <si>
    <t>55484201</t>
  </si>
  <si>
    <t>kout sprchový čtvrtkruh zasouvací 900x1850mm</t>
  </si>
  <si>
    <t>-1888197781</t>
  </si>
  <si>
    <t>725244907</t>
  </si>
  <si>
    <t>Montáž zástěny sprchové rohové (sprchový kout)</t>
  </si>
  <si>
    <t>-2008103313</t>
  </si>
  <si>
    <t>55495071</t>
  </si>
  <si>
    <t>zástěna sprchového koutu boční bezrámová skleněná tl 6mm pevná na vaničku š 800mm</t>
  </si>
  <si>
    <t>-175188389</t>
  </si>
  <si>
    <t>725319111</t>
  </si>
  <si>
    <t>Montáž dřezu ostatních typů</t>
  </si>
  <si>
    <t>-1991401713</t>
  </si>
  <si>
    <t>55231100</t>
  </si>
  <si>
    <t>dřez nerez kruhový vestavný lesklý D 400mm s výtokem 3 1/2"</t>
  </si>
  <si>
    <t>-1539514789</t>
  </si>
  <si>
    <t>725821311</t>
  </si>
  <si>
    <t>Baterie dřezová nástěnná páková s otáčivým kulatým ústím a délkou ramínka 200 mm</t>
  </si>
  <si>
    <t>-1074805427</t>
  </si>
  <si>
    <t>725822651</t>
  </si>
  <si>
    <t>Baterie umyvadlová směšovací teplota vody na baterii</t>
  </si>
  <si>
    <t>1046301887</t>
  </si>
  <si>
    <t>725831332</t>
  </si>
  <si>
    <t>Baterie vanová stojánková páková s automatickým přepínačem</t>
  </si>
  <si>
    <t>-272461573</t>
  </si>
  <si>
    <t>725841321</t>
  </si>
  <si>
    <t>Baterie sprchová nástěnná klasická s roztečí 100 mm</t>
  </si>
  <si>
    <t>1224994208</t>
  </si>
  <si>
    <t>771591483</t>
  </si>
  <si>
    <t>Montáž spádového profilu</t>
  </si>
  <si>
    <t>2131563809</t>
  </si>
  <si>
    <t>55161770</t>
  </si>
  <si>
    <t>vpusť podlahová nerezová nízký profil 105mm DN 100</t>
  </si>
  <si>
    <t>-1909619782</t>
  </si>
  <si>
    <t>23-M</t>
  </si>
  <si>
    <t>Montáže potrubí</t>
  </si>
  <si>
    <t>230170001</t>
  </si>
  <si>
    <t>Tlakové zkoušky těsnosti potrubí - příprava DN do 40</t>
  </si>
  <si>
    <t>sada</t>
  </si>
  <si>
    <t>1526551049</t>
  </si>
  <si>
    <t>230200003</t>
  </si>
  <si>
    <t>Montáž plynovodních přípojek svářením DN 25 (1")</t>
  </si>
  <si>
    <t>-1141327844</t>
  </si>
  <si>
    <t>55138506</t>
  </si>
  <si>
    <t>trubka nerezová ohebná pro plyn vlnovcová DN 25 5/4"</t>
  </si>
  <si>
    <t>-457763198</t>
  </si>
  <si>
    <t>230230016</t>
  </si>
  <si>
    <t>Hlavní tlaková zkouška vzduchem 0,6 MPa DN 50</t>
  </si>
  <si>
    <t>-838803256</t>
  </si>
  <si>
    <t>Zámková dlažba - RD Valcha</t>
  </si>
  <si>
    <t>1 - Zemní práce</t>
  </si>
  <si>
    <t xml:space="preserve">    5 - Komunikace pozemní</t>
  </si>
  <si>
    <t xml:space="preserve">    9 - Ostatní konstrukce a práce, bourání</t>
  </si>
  <si>
    <t>122251102</t>
  </si>
  <si>
    <t>Odkopávky a prokopávky nezapažené v hornině třídy těžitelnosti I skupiny 3 objem do 50 m3 strojně</t>
  </si>
  <si>
    <t>418875050</t>
  </si>
  <si>
    <t>54,1*0,25</t>
  </si>
  <si>
    <t>162751117</t>
  </si>
  <si>
    <t>Vodorovné přemístění přes 9 000 do 10000 m výkopku/sypaniny z horniny třídy těžitelnosti I skupiny 1 až 3</t>
  </si>
  <si>
    <t>94827476</t>
  </si>
  <si>
    <t>-2108683675</t>
  </si>
  <si>
    <t>2035367042</t>
  </si>
  <si>
    <t>13,25*1,6</t>
  </si>
  <si>
    <t>591669707</t>
  </si>
  <si>
    <t>Komunikace pozemní</t>
  </si>
  <si>
    <t>564730001</t>
  </si>
  <si>
    <t>Podklad nebo kryt z kameniva hrubého drceného vel. 8-16 mm plochy do 100 m2 tl 100 mm</t>
  </si>
  <si>
    <t>-1952363742</t>
  </si>
  <si>
    <t>564760101</t>
  </si>
  <si>
    <t>Podklad nebo kryt z kameniva hrubého drceného vel. 16-32 mm plochy do 100 m2 tl 200 mm</t>
  </si>
  <si>
    <t>842900385</t>
  </si>
  <si>
    <t>564801012</t>
  </si>
  <si>
    <t>Podklad ze štěrkodrtě ŠD plochy do 100 m2 tl 40 mm</t>
  </si>
  <si>
    <t>-204915952</t>
  </si>
  <si>
    <t>596211111</t>
  </si>
  <si>
    <t>Kladení zámkové dlažby komunikací pro pěší ručně tl 60 mm skupiny A pl přes 50 do 100 m2</t>
  </si>
  <si>
    <t>-1201215214</t>
  </si>
  <si>
    <t>59245015</t>
  </si>
  <si>
    <t>dlažba zámková betonová tvaru I 200x165mm tl 60mm přírodní</t>
  </si>
  <si>
    <t>1223748107</t>
  </si>
  <si>
    <t>54,1*1,03 'Přepočtené koeficientem množství</t>
  </si>
  <si>
    <t>Ostatní konstrukce a práce, bourání</t>
  </si>
  <si>
    <t>916231213</t>
  </si>
  <si>
    <t>Osazení chodníkového obrubníku betonového stojatého s boční opěrou do lože z betonu prostého</t>
  </si>
  <si>
    <t>604587416</t>
  </si>
  <si>
    <t>6,236</t>
  </si>
  <si>
    <t>59217017</t>
  </si>
  <si>
    <t>obrubník betonový chodníkový 1000x100x250mm</t>
  </si>
  <si>
    <t>-1445242540</t>
  </si>
  <si>
    <t>6,236*1,1</t>
  </si>
  <si>
    <t>6,86*1,02 'Přepočtené koeficientem množství</t>
  </si>
  <si>
    <t>916331112</t>
  </si>
  <si>
    <t>Osazení zahradního obrubníku betonového do lože z betonu s boční opěrou</t>
  </si>
  <si>
    <t>-51674128</t>
  </si>
  <si>
    <t>3,372+0,75*2</t>
  </si>
  <si>
    <t>59217001</t>
  </si>
  <si>
    <t>obrubník zahradní betonový 1000x50x250mm</t>
  </si>
  <si>
    <t>-246489132</t>
  </si>
  <si>
    <t>4,872*1,1</t>
  </si>
  <si>
    <t>SEZNAM FIGUR</t>
  </si>
  <si>
    <t>Výměra</t>
  </si>
  <si>
    <t>F0001</t>
  </si>
  <si>
    <t>Podkladní beton</t>
  </si>
  <si>
    <t>F0001_1</t>
  </si>
  <si>
    <t>YTONG Statik 300 + ISOVER GreyWall 240 mm (komplet)</t>
  </si>
  <si>
    <t>F0002</t>
  </si>
  <si>
    <t>F0003</t>
  </si>
  <si>
    <t>DEK Hrubá podlaha PD.0002A</t>
  </si>
  <si>
    <t>F0004</t>
  </si>
  <si>
    <t>Hrubá podlaha na terénu (s podlahovým vytápěním)</t>
  </si>
  <si>
    <t>72,99</t>
  </si>
  <si>
    <t>Použití figury:</t>
  </si>
  <si>
    <t>F0006</t>
  </si>
  <si>
    <t>Fasádní systém TI.1401D (DEKTHERM ELASTIK E)</t>
  </si>
  <si>
    <t>56,8*0,5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</si>
</sst>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9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FF0000"/>
      <name val="Arial CE"/>
    </font>
    <font>
      <sz val="8"/>
      <color rgb="FF80008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8"/>
      <color rgb="FF000000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b/>
      <sz val="9"/>
      <name val="Arial CE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292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3" fillId="0" borderId="0" xfId="0" applyFont="1" applyAlignment="1" applyProtection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5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5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6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0" fillId="2" borderId="0" xfId="0" applyFont="1" applyFill="1" applyAlignment="1" applyProtection="1">
      <alignment vertical="center"/>
    </xf>
    <xf numFmtId="0" fontId="4" fillId="2" borderId="6" xfId="0" applyFont="1" applyFill="1" applyBorder="1" applyAlignment="1" applyProtection="1">
      <alignment horizontal="left" vertical="center"/>
    </xf>
    <xf numFmtId="0" fontId="0" fillId="2" borderId="7" xfId="0" applyFont="1" applyFill="1" applyBorder="1" applyAlignment="1" applyProtection="1">
      <alignment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left" vertical="center"/>
    </xf>
    <xf numFmtId="4" fontId="4" fillId="2" borderId="7" xfId="0" applyNumberFormat="1" applyFont="1" applyFill="1" applyBorder="1" applyAlignment="1" applyProtection="1">
      <alignment vertical="center"/>
    </xf>
    <xf numFmtId="0" fontId="0" fillId="2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7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5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0" borderId="1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9" fillId="0" borderId="14" xfId="0" applyFont="1" applyBorder="1" applyAlignment="1" applyProtection="1">
      <alignment horizontal="left" vertical="center"/>
    </xf>
    <xf numFmtId="0" fontId="19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0" fillId="3" borderId="6" xfId="0" applyFont="1" applyFill="1" applyBorder="1" applyAlignment="1" applyProtection="1">
      <alignment horizontal="center" vertical="center"/>
    </xf>
    <xf numFmtId="0" fontId="20" fillId="3" borderId="7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20" fillId="3" borderId="7" xfId="0" applyFont="1" applyFill="1" applyBorder="1" applyAlignment="1" applyProtection="1">
      <alignment horizontal="center" vertical="center"/>
    </xf>
    <xf numFmtId="0" fontId="20" fillId="3" borderId="7" xfId="0" applyFont="1" applyFill="1" applyBorder="1" applyAlignment="1" applyProtection="1">
      <alignment horizontal="right" vertical="center"/>
    </xf>
    <xf numFmtId="0" fontId="20" fillId="3" borderId="8" xfId="0" applyFont="1" applyFill="1" applyBorder="1" applyAlignment="1" applyProtection="1">
      <alignment horizontal="left" vertical="center"/>
    </xf>
    <xf numFmtId="0" fontId="20" fillId="3" borderId="0" xfId="0" applyFont="1" applyFill="1" applyAlignment="1" applyProtection="1">
      <alignment horizontal="center" vertical="center"/>
    </xf>
    <xf numFmtId="0" fontId="21" fillId="0" borderId="16" xfId="0" applyFont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 wrapText="1"/>
    </xf>
    <xf numFmtId="0" fontId="21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2" fillId="0" borderId="0" xfId="0" applyFont="1" applyAlignment="1" applyProtection="1">
      <alignment horizontal="left" vertical="center"/>
    </xf>
    <xf numFmtId="0" fontId="22" fillId="0" borderId="0" xfId="0" applyFont="1" applyAlignment="1" applyProtection="1">
      <alignment vertical="center"/>
    </xf>
    <xf numFmtId="4" fontId="22" fillId="0" borderId="0" xfId="0" applyNumberFormat="1" applyFont="1" applyAlignment="1" applyProtection="1">
      <alignment horizontal="right" vertical="center"/>
    </xf>
    <xf numFmtId="4" fontId="22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8" fillId="0" borderId="14" xfId="0" applyNumberFormat="1" applyFont="1" applyBorder="1" applyAlignment="1" applyProtection="1">
      <alignment vertical="center"/>
    </xf>
    <xf numFmtId="4" fontId="18" fillId="0" borderId="0" xfId="0" applyNumberFormat="1" applyFont="1" applyBorder="1" applyAlignment="1" applyProtection="1">
      <alignment vertical="center"/>
    </xf>
    <xf numFmtId="166" fontId="18" fillId="0" borderId="0" xfId="0" applyNumberFormat="1" applyFont="1" applyBorder="1" applyAlignment="1" applyProtection="1">
      <alignment vertical="center"/>
    </xf>
    <xf numFmtId="4" fontId="18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5" fillId="0" borderId="0" xfId="0" applyFont="1" applyAlignment="1" applyProtection="1">
      <alignment horizontal="left" vertical="center" wrapText="1"/>
    </xf>
    <xf numFmtId="0" fontId="26" fillId="0" borderId="0" xfId="0" applyFont="1" applyAlignment="1" applyProtection="1">
      <alignment vertical="center"/>
    </xf>
    <xf numFmtId="4" fontId="26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7" fillId="0" borderId="14" xfId="0" applyNumberFormat="1" applyFont="1" applyBorder="1" applyAlignment="1" applyProtection="1">
      <alignment vertical="center"/>
    </xf>
    <xf numFmtId="4" fontId="27" fillId="0" borderId="0" xfId="0" applyNumberFormat="1" applyFont="1" applyBorder="1" applyAlignment="1" applyProtection="1">
      <alignment vertical="center"/>
    </xf>
    <xf numFmtId="166" fontId="27" fillId="0" borderId="0" xfId="0" applyNumberFormat="1" applyFont="1" applyBorder="1" applyAlignment="1" applyProtection="1">
      <alignment vertical="center"/>
    </xf>
    <xf numFmtId="4" fontId="27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7" fillId="0" borderId="19" xfId="0" applyNumberFormat="1" applyFont="1" applyBorder="1" applyAlignment="1" applyProtection="1">
      <alignment vertical="center"/>
    </xf>
    <xf numFmtId="4" fontId="27" fillId="0" borderId="20" xfId="0" applyNumberFormat="1" applyFont="1" applyBorder="1" applyAlignment="1" applyProtection="1">
      <alignment vertical="center"/>
    </xf>
    <xf numFmtId="166" fontId="27" fillId="0" borderId="20" xfId="0" applyNumberFormat="1" applyFont="1" applyBorder="1" applyAlignment="1" applyProtection="1">
      <alignment vertical="center"/>
    </xf>
    <xf numFmtId="4" fontId="27" fillId="0" borderId="21" xfId="0" applyNumberFormat="1" applyFont="1" applyBorder="1" applyAlignment="1" applyProtection="1">
      <alignment vertical="center"/>
    </xf>
    <xf numFmtId="0" fontId="28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3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4" fontId="22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3" borderId="0" xfId="0" applyFont="1" applyFill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0" fillId="3" borderId="0" xfId="0" applyFont="1" applyFill="1" applyAlignment="1" applyProtection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20" fillId="3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0" fillId="3" borderId="16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 applyProtection="1">
      <alignment horizontal="center" vertical="center" wrapText="1"/>
    </xf>
    <xf numFmtId="0" fontId="20" fillId="3" borderId="18" xfId="0" applyFont="1" applyFill="1" applyBorder="1" applyAlignment="1" applyProtection="1">
      <alignment horizontal="center" vertical="center" wrapText="1"/>
    </xf>
    <xf numFmtId="0" fontId="20" fillId="3" borderId="0" xfId="0" applyFont="1" applyFill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2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0" fillId="0" borderId="22" xfId="0" applyFont="1" applyBorder="1" applyAlignment="1" applyProtection="1">
      <alignment horizontal="center" vertical="center"/>
    </xf>
    <xf numFmtId="49" fontId="20" fillId="0" borderId="22" xfId="0" applyNumberFormat="1" applyFont="1" applyBorder="1" applyAlignment="1" applyProtection="1">
      <alignment horizontal="left" vertical="center" wrapText="1"/>
    </xf>
    <xf numFmtId="0" fontId="20" fillId="0" borderId="22" xfId="0" applyFont="1" applyBorder="1" applyAlignment="1" applyProtection="1">
      <alignment horizontal="left" vertical="center" wrapText="1"/>
    </xf>
    <xf numFmtId="0" fontId="20" fillId="0" borderId="22" xfId="0" applyFont="1" applyBorder="1" applyAlignment="1" applyProtection="1">
      <alignment horizontal="center" vertical="center" wrapText="1"/>
    </xf>
    <xf numFmtId="167" fontId="20" fillId="0" borderId="22" xfId="0" applyNumberFormat="1" applyFont="1" applyBorder="1" applyAlignment="1" applyProtection="1">
      <alignment vertical="center"/>
    </xf>
    <xf numFmtId="4" fontId="20" fillId="0" borderId="22" xfId="0" applyNumberFormat="1" applyFont="1" applyBorder="1" applyAlignment="1" applyProtection="1">
      <alignment vertical="center"/>
    </xf>
    <xf numFmtId="0" fontId="0" fillId="0" borderId="22" xfId="0" applyFont="1" applyBorder="1" applyAlignment="1" applyProtection="1">
      <alignment vertical="center"/>
    </xf>
    <xf numFmtId="0" fontId="21" fillId="0" borderId="14" xfId="0" applyFont="1" applyBorder="1" applyAlignment="1" applyProtection="1">
      <alignment horizontal="left" vertical="center"/>
    </xf>
    <xf numFmtId="0" fontId="21" fillId="0" borderId="0" xfId="0" applyFont="1" applyBorder="1" applyAlignment="1" applyProtection="1">
      <alignment horizontal="center" vertical="center"/>
    </xf>
    <xf numFmtId="166" fontId="21" fillId="0" borderId="0" xfId="0" applyNumberFormat="1" applyFont="1" applyBorder="1" applyAlignment="1" applyProtection="1">
      <alignment vertical="center"/>
    </xf>
    <xf numFmtId="166" fontId="21" fillId="0" borderId="15" xfId="0" applyNumberFormat="1" applyFont="1" applyBorder="1" applyAlignment="1" applyProtection="1">
      <alignment vertical="center"/>
    </xf>
    <xf numFmtId="0" fontId="20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33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167" fontId="9" fillId="0" borderId="0" xfId="0" applyNumberFormat="1" applyFont="1" applyAlignment="1" applyProtection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11" fillId="0" borderId="3" xfId="0" applyFont="1" applyBorder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 wrapText="1"/>
    </xf>
    <xf numFmtId="0" fontId="11" fillId="0" borderId="3" xfId="0" applyFont="1" applyBorder="1" applyAlignment="1">
      <alignment vertical="center"/>
    </xf>
    <xf numFmtId="0" fontId="11" fillId="0" borderId="14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15" xfId="0" applyFont="1" applyBorder="1" applyAlignment="1" applyProtection="1">
      <alignment vertical="center"/>
    </xf>
    <xf numFmtId="0" fontId="11" fillId="0" borderId="0" xfId="0" applyFont="1" applyAlignment="1">
      <alignment horizontal="left" vertical="center"/>
    </xf>
    <xf numFmtId="0" fontId="34" fillId="0" borderId="0" xfId="0" applyFont="1" applyAlignment="1" applyProtection="1">
      <alignment vertical="center" wrapText="1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5" fillId="0" borderId="22" xfId="0" applyFont="1" applyBorder="1" applyAlignment="1" applyProtection="1">
      <alignment horizontal="center" vertical="center"/>
    </xf>
    <xf numFmtId="49" fontId="35" fillId="0" borderId="22" xfId="0" applyNumberFormat="1" applyFont="1" applyBorder="1" applyAlignment="1" applyProtection="1">
      <alignment horizontal="left" vertical="center" wrapText="1"/>
    </xf>
    <xf numFmtId="0" fontId="35" fillId="0" borderId="22" xfId="0" applyFont="1" applyBorder="1" applyAlignment="1" applyProtection="1">
      <alignment horizontal="left" vertical="center" wrapText="1"/>
    </xf>
    <xf numFmtId="0" fontId="35" fillId="0" borderId="22" xfId="0" applyFont="1" applyBorder="1" applyAlignment="1" applyProtection="1">
      <alignment horizontal="center" vertical="center" wrapText="1"/>
    </xf>
    <xf numFmtId="167" fontId="35" fillId="0" borderId="22" xfId="0" applyNumberFormat="1" applyFont="1" applyBorder="1" applyAlignment="1" applyProtection="1">
      <alignment vertical="center"/>
    </xf>
    <xf numFmtId="4" fontId="35" fillId="0" borderId="22" xfId="0" applyNumberFormat="1" applyFont="1" applyBorder="1" applyAlignment="1" applyProtection="1">
      <alignment vertical="center"/>
    </xf>
    <xf numFmtId="0" fontId="36" fillId="0" borderId="22" xfId="0" applyFont="1" applyBorder="1" applyAlignment="1" applyProtection="1">
      <alignment vertical="center"/>
    </xf>
    <xf numFmtId="0" fontId="36" fillId="0" borderId="3" xfId="0" applyFont="1" applyBorder="1" applyAlignment="1">
      <alignment vertical="center"/>
    </xf>
    <xf numFmtId="0" fontId="35" fillId="0" borderId="14" xfId="0" applyFont="1" applyBorder="1" applyAlignment="1" applyProtection="1">
      <alignment horizontal="left" vertical="center"/>
    </xf>
    <xf numFmtId="0" fontId="35" fillId="0" borderId="0" xfId="0" applyFont="1" applyBorder="1" applyAlignment="1" applyProtection="1">
      <alignment horizontal="center" vertical="center"/>
    </xf>
    <xf numFmtId="0" fontId="9" fillId="0" borderId="19" xfId="0" applyFont="1" applyBorder="1" applyAlignment="1" applyProtection="1">
      <alignment vertical="center"/>
    </xf>
    <xf numFmtId="0" fontId="9" fillId="0" borderId="20" xfId="0" applyFont="1" applyBorder="1" applyAlignment="1" applyProtection="1">
      <alignment vertical="center"/>
    </xf>
    <xf numFmtId="0" fontId="9" fillId="0" borderId="21" xfId="0" applyFont="1" applyBorder="1" applyAlignment="1" applyProtection="1">
      <alignment vertical="center"/>
    </xf>
    <xf numFmtId="0" fontId="35" fillId="0" borderId="19" xfId="0" applyFont="1" applyBorder="1" applyAlignment="1" applyProtection="1">
      <alignment horizontal="left" vertical="center"/>
    </xf>
    <xf numFmtId="0" fontId="35" fillId="0" borderId="20" xfId="0" applyFont="1" applyBorder="1" applyAlignment="1" applyProtection="1">
      <alignment horizontal="center" vertical="center"/>
    </xf>
    <xf numFmtId="166" fontId="21" fillId="0" borderId="20" xfId="0" applyNumberFormat="1" applyFont="1" applyBorder="1" applyAlignment="1" applyProtection="1">
      <alignment vertical="center"/>
    </xf>
    <xf numFmtId="166" fontId="21" fillId="0" borderId="21" xfId="0" applyNumberFormat="1" applyFont="1" applyBorder="1" applyAlignment="1" applyProtection="1">
      <alignment vertical="center"/>
    </xf>
    <xf numFmtId="0" fontId="21" fillId="0" borderId="19" xfId="0" applyFont="1" applyBorder="1" applyAlignment="1" applyProtection="1">
      <alignment horizontal="left" vertical="center"/>
    </xf>
    <xf numFmtId="0" fontId="21" fillId="0" borderId="20" xfId="0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3" xfId="0" applyFont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left" vertical="center"/>
    </xf>
    <xf numFmtId="167" fontId="37" fillId="0" borderId="18" xfId="0" applyNumberFormat="1" applyFont="1" applyBorder="1" applyAlignment="1">
      <alignment vertical="center"/>
    </xf>
    <xf numFmtId="0" fontId="0" fillId="0" borderId="0" xfId="0" applyFont="1" applyAlignment="1">
      <alignment horizontal="left" vertical="center" wrapText="1"/>
    </xf>
    <xf numFmtId="167" fontId="0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calcChain" Target="calcChain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6385" cy="286385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6" t="s">
        <v>0</v>
      </c>
      <c r="AZ1" s="16" t="s">
        <v>1</v>
      </c>
      <c r="BA1" s="16" t="s">
        <v>2</v>
      </c>
      <c r="BB1" s="16" t="s">
        <v>3</v>
      </c>
      <c r="BT1" s="16" t="s">
        <v>4</v>
      </c>
      <c r="BU1" s="16" t="s">
        <v>4</v>
      </c>
      <c r="BV1" s="16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7" t="s">
        <v>6</v>
      </c>
      <c r="BT2" s="17" t="s">
        <v>7</v>
      </c>
    </row>
    <row r="3" s="1" customFormat="1" ht="6.96" customHeight="1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20"/>
      <c r="BS3" s="17" t="s">
        <v>6</v>
      </c>
      <c r="BT3" s="17" t="s">
        <v>8</v>
      </c>
    </row>
    <row r="4" s="1" customFormat="1" ht="24.96" customHeight="1">
      <c r="B4" s="21"/>
      <c r="C4" s="22"/>
      <c r="D4" s="23" t="s">
        <v>9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0"/>
      <c r="AS4" s="24" t="s">
        <v>10</v>
      </c>
      <c r="BS4" s="17" t="s">
        <v>11</v>
      </c>
    </row>
    <row r="5" s="1" customFormat="1" ht="12" customHeight="1">
      <c r="B5" s="21"/>
      <c r="C5" s="22"/>
      <c r="D5" s="25" t="s">
        <v>12</v>
      </c>
      <c r="E5" s="22"/>
      <c r="F5" s="22"/>
      <c r="G5" s="22"/>
      <c r="H5" s="22"/>
      <c r="I5" s="22"/>
      <c r="J5" s="22"/>
      <c r="K5" s="26" t="s">
        <v>13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0"/>
      <c r="BS5" s="17" t="s">
        <v>6</v>
      </c>
    </row>
    <row r="6" s="1" customFormat="1" ht="36.96" customHeight="1">
      <c r="B6" s="21"/>
      <c r="C6" s="22"/>
      <c r="D6" s="27" t="s">
        <v>14</v>
      </c>
      <c r="E6" s="22"/>
      <c r="F6" s="22"/>
      <c r="G6" s="22"/>
      <c r="H6" s="22"/>
      <c r="I6" s="22"/>
      <c r="J6" s="22"/>
      <c r="K6" s="28" t="s">
        <v>15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0"/>
      <c r="BS6" s="17" t="s">
        <v>16</v>
      </c>
    </row>
    <row r="7" s="1" customFormat="1" ht="12" customHeight="1">
      <c r="B7" s="21"/>
      <c r="C7" s="22"/>
      <c r="D7" s="29" t="s">
        <v>17</v>
      </c>
      <c r="E7" s="22"/>
      <c r="F7" s="22"/>
      <c r="G7" s="22"/>
      <c r="H7" s="22"/>
      <c r="I7" s="22"/>
      <c r="J7" s="22"/>
      <c r="K7" s="26" t="s">
        <v>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9" t="s">
        <v>18</v>
      </c>
      <c r="AL7" s="22"/>
      <c r="AM7" s="22"/>
      <c r="AN7" s="26" t="s">
        <v>1</v>
      </c>
      <c r="AO7" s="22"/>
      <c r="AP7" s="22"/>
      <c r="AQ7" s="22"/>
      <c r="AR7" s="20"/>
      <c r="BS7" s="17" t="s">
        <v>19</v>
      </c>
    </row>
    <row r="8" s="1" customFormat="1" ht="12" customHeight="1">
      <c r="B8" s="21"/>
      <c r="C8" s="22"/>
      <c r="D8" s="29" t="s">
        <v>20</v>
      </c>
      <c r="E8" s="22"/>
      <c r="F8" s="22"/>
      <c r="G8" s="22"/>
      <c r="H8" s="22"/>
      <c r="I8" s="22"/>
      <c r="J8" s="22"/>
      <c r="K8" s="26" t="s">
        <v>21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9" t="s">
        <v>22</v>
      </c>
      <c r="AL8" s="22"/>
      <c r="AM8" s="22"/>
      <c r="AN8" s="26" t="s">
        <v>23</v>
      </c>
      <c r="AO8" s="22"/>
      <c r="AP8" s="22"/>
      <c r="AQ8" s="22"/>
      <c r="AR8" s="20"/>
      <c r="BS8" s="17" t="s">
        <v>24</v>
      </c>
    </row>
    <row r="9" s="1" customFormat="1" ht="14.4" customHeight="1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0"/>
      <c r="BS9" s="17" t="s">
        <v>25</v>
      </c>
    </row>
    <row r="10" s="1" customFormat="1" ht="12" customHeight="1">
      <c r="B10" s="21"/>
      <c r="C10" s="22"/>
      <c r="D10" s="29" t="s">
        <v>26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9" t="s">
        <v>27</v>
      </c>
      <c r="AL10" s="22"/>
      <c r="AM10" s="22"/>
      <c r="AN10" s="26" t="s">
        <v>1</v>
      </c>
      <c r="AO10" s="22"/>
      <c r="AP10" s="22"/>
      <c r="AQ10" s="22"/>
      <c r="AR10" s="20"/>
      <c r="BS10" s="17" t="s">
        <v>16</v>
      </c>
    </row>
    <row r="11" s="1" customFormat="1" ht="18.48" customHeight="1">
      <c r="B11" s="21"/>
      <c r="C11" s="22"/>
      <c r="D11" s="22"/>
      <c r="E11" s="26" t="s">
        <v>21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9" t="s">
        <v>28</v>
      </c>
      <c r="AL11" s="22"/>
      <c r="AM11" s="22"/>
      <c r="AN11" s="26" t="s">
        <v>1</v>
      </c>
      <c r="AO11" s="22"/>
      <c r="AP11" s="22"/>
      <c r="AQ11" s="22"/>
      <c r="AR11" s="20"/>
      <c r="BS11" s="17" t="s">
        <v>16</v>
      </c>
    </row>
    <row r="12" s="1" customFormat="1" ht="6.96" customHeight="1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0"/>
      <c r="BS12" s="17" t="s">
        <v>16</v>
      </c>
    </row>
    <row r="13" s="1" customFormat="1" ht="12" customHeight="1">
      <c r="B13" s="21"/>
      <c r="C13" s="22"/>
      <c r="D13" s="29" t="s">
        <v>29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9" t="s">
        <v>27</v>
      </c>
      <c r="AL13" s="22"/>
      <c r="AM13" s="22"/>
      <c r="AN13" s="26" t="s">
        <v>1</v>
      </c>
      <c r="AO13" s="22"/>
      <c r="AP13" s="22"/>
      <c r="AQ13" s="22"/>
      <c r="AR13" s="20"/>
      <c r="BS13" s="17" t="s">
        <v>16</v>
      </c>
    </row>
    <row r="14">
      <c r="B14" s="21"/>
      <c r="C14" s="22"/>
      <c r="D14" s="22"/>
      <c r="E14" s="26" t="s">
        <v>21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9" t="s">
        <v>28</v>
      </c>
      <c r="AL14" s="22"/>
      <c r="AM14" s="22"/>
      <c r="AN14" s="26" t="s">
        <v>1</v>
      </c>
      <c r="AO14" s="22"/>
      <c r="AP14" s="22"/>
      <c r="AQ14" s="22"/>
      <c r="AR14" s="20"/>
      <c r="BS14" s="17" t="s">
        <v>16</v>
      </c>
    </row>
    <row r="15" s="1" customFormat="1" ht="6.96" customHeight="1"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0"/>
      <c r="BS15" s="17" t="s">
        <v>4</v>
      </c>
    </row>
    <row r="16" s="1" customFormat="1" ht="12" customHeight="1">
      <c r="B16" s="21"/>
      <c r="C16" s="22"/>
      <c r="D16" s="29" t="s">
        <v>30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9" t="s">
        <v>27</v>
      </c>
      <c r="AL16" s="22"/>
      <c r="AM16" s="22"/>
      <c r="AN16" s="26" t="s">
        <v>1</v>
      </c>
      <c r="AO16" s="22"/>
      <c r="AP16" s="22"/>
      <c r="AQ16" s="22"/>
      <c r="AR16" s="20"/>
      <c r="BS16" s="17" t="s">
        <v>4</v>
      </c>
    </row>
    <row r="17" s="1" customFormat="1" ht="18.48" customHeight="1">
      <c r="B17" s="21"/>
      <c r="C17" s="22"/>
      <c r="D17" s="22"/>
      <c r="E17" s="26" t="s">
        <v>21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9" t="s">
        <v>28</v>
      </c>
      <c r="AL17" s="22"/>
      <c r="AM17" s="22"/>
      <c r="AN17" s="26" t="s">
        <v>1</v>
      </c>
      <c r="AO17" s="22"/>
      <c r="AP17" s="22"/>
      <c r="AQ17" s="22"/>
      <c r="AR17" s="20"/>
      <c r="BS17" s="17" t="s">
        <v>4</v>
      </c>
    </row>
    <row r="18" s="1" customFormat="1" ht="6.96" customHeight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0"/>
      <c r="BS18" s="17" t="s">
        <v>6</v>
      </c>
    </row>
    <row r="19" s="1" customFormat="1" ht="12" customHeight="1">
      <c r="B19" s="21"/>
      <c r="C19" s="22"/>
      <c r="D19" s="29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9" t="s">
        <v>27</v>
      </c>
      <c r="AL19" s="22"/>
      <c r="AM19" s="22"/>
      <c r="AN19" s="26" t="s">
        <v>1</v>
      </c>
      <c r="AO19" s="22"/>
      <c r="AP19" s="22"/>
      <c r="AQ19" s="22"/>
      <c r="AR19" s="20"/>
      <c r="BS19" s="17" t="s">
        <v>6</v>
      </c>
    </row>
    <row r="20" s="1" customFormat="1" ht="18.48" customHeight="1">
      <c r="B20" s="21"/>
      <c r="C20" s="22"/>
      <c r="D20" s="22"/>
      <c r="E20" s="26" t="s">
        <v>21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9" t="s">
        <v>28</v>
      </c>
      <c r="AL20" s="22"/>
      <c r="AM20" s="22"/>
      <c r="AN20" s="26" t="s">
        <v>1</v>
      </c>
      <c r="AO20" s="22"/>
      <c r="AP20" s="22"/>
      <c r="AQ20" s="22"/>
      <c r="AR20" s="20"/>
      <c r="BS20" s="17" t="s">
        <v>32</v>
      </c>
    </row>
    <row r="21" s="1" customFormat="1" ht="6.96" customHeight="1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0"/>
    </row>
    <row r="22" s="1" customFormat="1" ht="12" customHeight="1">
      <c r="B22" s="21"/>
      <c r="C22" s="22"/>
      <c r="D22" s="29" t="s">
        <v>33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0"/>
    </row>
    <row r="23" s="1" customFormat="1" ht="16.5" customHeight="1">
      <c r="B23" s="21"/>
      <c r="C23" s="22"/>
      <c r="D23" s="22"/>
      <c r="E23" s="30" t="s">
        <v>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22"/>
      <c r="AP23" s="22"/>
      <c r="AQ23" s="22"/>
      <c r="AR23" s="20"/>
    </row>
    <row r="24" s="1" customFormat="1" ht="6.96" customHeight="1"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0"/>
    </row>
    <row r="25" s="1" customFormat="1" ht="6.96" customHeight="1">
      <c r="B25" s="21"/>
      <c r="C25" s="22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22"/>
      <c r="AQ25" s="22"/>
      <c r="AR25" s="20"/>
    </row>
    <row r="26" s="2" customFormat="1" ht="25.92" customHeight="1">
      <c r="A26" s="32"/>
      <c r="B26" s="33"/>
      <c r="C26" s="34"/>
      <c r="D26" s="35" t="s">
        <v>34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7">
        <f>ROUND(AG94,2)</f>
        <v>8205797.7599999998</v>
      </c>
      <c r="AL26" s="36"/>
      <c r="AM26" s="36"/>
      <c r="AN26" s="36"/>
      <c r="AO26" s="36"/>
      <c r="AP26" s="34"/>
      <c r="AQ26" s="34"/>
      <c r="AR26" s="38"/>
      <c r="BE26" s="32"/>
    </row>
    <row r="27" s="2" customFormat="1" ht="6.96" customHeight="1">
      <c r="A27" s="32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BE27" s="32"/>
    </row>
    <row r="28" s="2" customFormat="1">
      <c r="A28" s="32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9" t="s">
        <v>35</v>
      </c>
      <c r="M28" s="39"/>
      <c r="N28" s="39"/>
      <c r="O28" s="39"/>
      <c r="P28" s="39"/>
      <c r="Q28" s="34"/>
      <c r="R28" s="34"/>
      <c r="S28" s="34"/>
      <c r="T28" s="34"/>
      <c r="U28" s="34"/>
      <c r="V28" s="34"/>
      <c r="W28" s="39" t="s">
        <v>36</v>
      </c>
      <c r="X28" s="39"/>
      <c r="Y28" s="39"/>
      <c r="Z28" s="39"/>
      <c r="AA28" s="39"/>
      <c r="AB28" s="39"/>
      <c r="AC28" s="39"/>
      <c r="AD28" s="39"/>
      <c r="AE28" s="39"/>
      <c r="AF28" s="34"/>
      <c r="AG28" s="34"/>
      <c r="AH28" s="34"/>
      <c r="AI28" s="34"/>
      <c r="AJ28" s="34"/>
      <c r="AK28" s="39" t="s">
        <v>37</v>
      </c>
      <c r="AL28" s="39"/>
      <c r="AM28" s="39"/>
      <c r="AN28" s="39"/>
      <c r="AO28" s="39"/>
      <c r="AP28" s="34"/>
      <c r="AQ28" s="34"/>
      <c r="AR28" s="38"/>
      <c r="BE28" s="32"/>
    </row>
    <row r="29" s="3" customFormat="1" ht="14.4" customHeight="1">
      <c r="A29" s="3"/>
      <c r="B29" s="40"/>
      <c r="C29" s="41"/>
      <c r="D29" s="29" t="s">
        <v>38</v>
      </c>
      <c r="E29" s="41"/>
      <c r="F29" s="29" t="s">
        <v>39</v>
      </c>
      <c r="G29" s="41"/>
      <c r="H29" s="41"/>
      <c r="I29" s="41"/>
      <c r="J29" s="41"/>
      <c r="K29" s="41"/>
      <c r="L29" s="42">
        <v>0.20999999999999999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3">
        <f>ROUND(AZ94, 2)</f>
        <v>8205797.7599999998</v>
      </c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3">
        <f>ROUND(AV94, 2)</f>
        <v>1723217.53</v>
      </c>
      <c r="AL29" s="41"/>
      <c r="AM29" s="41"/>
      <c r="AN29" s="41"/>
      <c r="AO29" s="41"/>
      <c r="AP29" s="41"/>
      <c r="AQ29" s="41"/>
      <c r="AR29" s="44"/>
      <c r="BE29" s="3"/>
    </row>
    <row r="30" s="3" customFormat="1" ht="14.4" customHeight="1">
      <c r="A30" s="3"/>
      <c r="B30" s="40"/>
      <c r="C30" s="41"/>
      <c r="D30" s="41"/>
      <c r="E30" s="41"/>
      <c r="F30" s="29" t="s">
        <v>40</v>
      </c>
      <c r="G30" s="41"/>
      <c r="H30" s="41"/>
      <c r="I30" s="41"/>
      <c r="J30" s="41"/>
      <c r="K30" s="41"/>
      <c r="L30" s="42">
        <v>0.12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3">
        <f>ROUND(BA94, 2)</f>
        <v>0</v>
      </c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3">
        <f>ROUND(AW94, 2)</f>
        <v>0</v>
      </c>
      <c r="AL30" s="41"/>
      <c r="AM30" s="41"/>
      <c r="AN30" s="41"/>
      <c r="AO30" s="41"/>
      <c r="AP30" s="41"/>
      <c r="AQ30" s="41"/>
      <c r="AR30" s="44"/>
      <c r="BE30" s="3"/>
    </row>
    <row r="31" hidden="1" s="3" customFormat="1" ht="14.4" customHeight="1">
      <c r="A31" s="3"/>
      <c r="B31" s="40"/>
      <c r="C31" s="41"/>
      <c r="D31" s="41"/>
      <c r="E31" s="41"/>
      <c r="F31" s="29" t="s">
        <v>41</v>
      </c>
      <c r="G31" s="41"/>
      <c r="H31" s="41"/>
      <c r="I31" s="41"/>
      <c r="J31" s="41"/>
      <c r="K31" s="41"/>
      <c r="L31" s="42">
        <v>0.20999999999999999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3">
        <f>ROUND(BB94, 2)</f>
        <v>0</v>
      </c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3">
        <v>0</v>
      </c>
      <c r="AL31" s="41"/>
      <c r="AM31" s="41"/>
      <c r="AN31" s="41"/>
      <c r="AO31" s="41"/>
      <c r="AP31" s="41"/>
      <c r="AQ31" s="41"/>
      <c r="AR31" s="44"/>
      <c r="BE31" s="3"/>
    </row>
    <row r="32" hidden="1" s="3" customFormat="1" ht="14.4" customHeight="1">
      <c r="A32" s="3"/>
      <c r="B32" s="40"/>
      <c r="C32" s="41"/>
      <c r="D32" s="41"/>
      <c r="E32" s="41"/>
      <c r="F32" s="29" t="s">
        <v>42</v>
      </c>
      <c r="G32" s="41"/>
      <c r="H32" s="41"/>
      <c r="I32" s="41"/>
      <c r="J32" s="41"/>
      <c r="K32" s="41"/>
      <c r="L32" s="42">
        <v>0.12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3">
        <f>ROUND(BC94, 2)</f>
        <v>0</v>
      </c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3">
        <v>0</v>
      </c>
      <c r="AL32" s="41"/>
      <c r="AM32" s="41"/>
      <c r="AN32" s="41"/>
      <c r="AO32" s="41"/>
      <c r="AP32" s="41"/>
      <c r="AQ32" s="41"/>
      <c r="AR32" s="44"/>
      <c r="BE32" s="3"/>
    </row>
    <row r="33" hidden="1" s="3" customFormat="1" ht="14.4" customHeight="1">
      <c r="A33" s="3"/>
      <c r="B33" s="40"/>
      <c r="C33" s="41"/>
      <c r="D33" s="41"/>
      <c r="E33" s="41"/>
      <c r="F33" s="29" t="s">
        <v>43</v>
      </c>
      <c r="G33" s="41"/>
      <c r="H33" s="41"/>
      <c r="I33" s="41"/>
      <c r="J33" s="41"/>
      <c r="K33" s="41"/>
      <c r="L33" s="42">
        <v>0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3">
        <f>ROUND(BD94, 2)</f>
        <v>0</v>
      </c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3">
        <v>0</v>
      </c>
      <c r="AL33" s="41"/>
      <c r="AM33" s="41"/>
      <c r="AN33" s="41"/>
      <c r="AO33" s="41"/>
      <c r="AP33" s="41"/>
      <c r="AQ33" s="41"/>
      <c r="AR33" s="44"/>
      <c r="BE33" s="3"/>
    </row>
    <row r="34" s="2" customFormat="1" ht="6.96" customHeight="1">
      <c r="A34" s="32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8"/>
      <c r="BE34" s="32"/>
    </row>
    <row r="35" s="2" customFormat="1" ht="25.92" customHeight="1">
      <c r="A35" s="32"/>
      <c r="B35" s="33"/>
      <c r="C35" s="45"/>
      <c r="D35" s="46" t="s">
        <v>44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 t="s">
        <v>45</v>
      </c>
      <c r="U35" s="47"/>
      <c r="V35" s="47"/>
      <c r="W35" s="47"/>
      <c r="X35" s="49" t="s">
        <v>46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50">
        <f>SUM(AK26:AK33)</f>
        <v>9929015.2899999991</v>
      </c>
      <c r="AL35" s="47"/>
      <c r="AM35" s="47"/>
      <c r="AN35" s="47"/>
      <c r="AO35" s="51"/>
      <c r="AP35" s="45"/>
      <c r="AQ35" s="45"/>
      <c r="AR35" s="38"/>
      <c r="BE35" s="32"/>
    </row>
    <row r="36" s="2" customFormat="1" ht="6.96" customHeight="1">
      <c r="A36" s="32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8"/>
      <c r="BE36" s="32"/>
    </row>
    <row r="37" s="2" customFormat="1" ht="14.4" customHeight="1">
      <c r="A37" s="32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8"/>
      <c r="BE37" s="32"/>
    </row>
    <row r="38" s="1" customFormat="1" ht="14.4" customHeight="1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0"/>
    </row>
    <row r="39" s="1" customFormat="1" ht="14.4" customHeight="1"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0"/>
    </row>
    <row r="40" s="1" customFormat="1" ht="14.4" customHeight="1"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0"/>
    </row>
    <row r="41" s="1" customFormat="1" ht="14.4" customHeight="1"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0"/>
    </row>
    <row r="42" s="1" customFormat="1" ht="14.4" customHeight="1"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0"/>
    </row>
    <row r="43" s="1" customFormat="1" ht="14.4" customHeight="1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0"/>
    </row>
    <row r="44" s="1" customFormat="1" ht="14.4" customHeight="1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0"/>
    </row>
    <row r="45" s="1" customFormat="1" ht="14.4" customHeight="1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0"/>
    </row>
    <row r="46" s="1" customFormat="1" ht="14.4" customHeight="1"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0"/>
    </row>
    <row r="47" s="1" customFormat="1" ht="14.4" customHeight="1"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0"/>
    </row>
    <row r="48" s="1" customFormat="1" ht="14.4" customHeight="1"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0"/>
    </row>
    <row r="49" s="2" customFormat="1" ht="14.4" customHeight="1">
      <c r="B49" s="52"/>
      <c r="C49" s="53"/>
      <c r="D49" s="54" t="s">
        <v>47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4" t="s">
        <v>48</v>
      </c>
      <c r="AI49" s="55"/>
      <c r="AJ49" s="55"/>
      <c r="AK49" s="55"/>
      <c r="AL49" s="55"/>
      <c r="AM49" s="55"/>
      <c r="AN49" s="55"/>
      <c r="AO49" s="55"/>
      <c r="AP49" s="53"/>
      <c r="AQ49" s="53"/>
      <c r="AR49" s="56"/>
    </row>
    <row r="50"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0"/>
    </row>
    <row r="51"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0"/>
    </row>
    <row r="52"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0"/>
    </row>
    <row r="53"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0"/>
    </row>
    <row r="54"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0"/>
    </row>
    <row r="55"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0"/>
    </row>
    <row r="56"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0"/>
    </row>
    <row r="57"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0"/>
    </row>
    <row r="58"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0"/>
    </row>
    <row r="59"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0"/>
    </row>
    <row r="60" s="2" customFormat="1">
      <c r="A60" s="32"/>
      <c r="B60" s="33"/>
      <c r="C60" s="34"/>
      <c r="D60" s="57" t="s">
        <v>49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57" t="s">
        <v>50</v>
      </c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57" t="s">
        <v>49</v>
      </c>
      <c r="AI60" s="36"/>
      <c r="AJ60" s="36"/>
      <c r="AK60" s="36"/>
      <c r="AL60" s="36"/>
      <c r="AM60" s="57" t="s">
        <v>50</v>
      </c>
      <c r="AN60" s="36"/>
      <c r="AO60" s="36"/>
      <c r="AP60" s="34"/>
      <c r="AQ60" s="34"/>
      <c r="AR60" s="38"/>
      <c r="BE60" s="32"/>
    </row>
    <row r="61"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0"/>
    </row>
    <row r="62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0"/>
    </row>
    <row r="63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0"/>
    </row>
    <row r="64" s="2" customFormat="1">
      <c r="A64" s="32"/>
      <c r="B64" s="33"/>
      <c r="C64" s="34"/>
      <c r="D64" s="54" t="s">
        <v>51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4" t="s">
        <v>52</v>
      </c>
      <c r="AI64" s="58"/>
      <c r="AJ64" s="58"/>
      <c r="AK64" s="58"/>
      <c r="AL64" s="58"/>
      <c r="AM64" s="58"/>
      <c r="AN64" s="58"/>
      <c r="AO64" s="58"/>
      <c r="AP64" s="34"/>
      <c r="AQ64" s="34"/>
      <c r="AR64" s="38"/>
      <c r="BE64" s="32"/>
    </row>
    <row r="65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0"/>
    </row>
    <row r="66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0"/>
    </row>
    <row r="67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0"/>
    </row>
    <row r="68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0"/>
    </row>
    <row r="69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0"/>
    </row>
    <row r="70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0"/>
    </row>
    <row r="7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0"/>
    </row>
    <row r="72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0"/>
    </row>
    <row r="73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0"/>
    </row>
    <row r="74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0"/>
    </row>
    <row r="75" s="2" customFormat="1">
      <c r="A75" s="32"/>
      <c r="B75" s="33"/>
      <c r="C75" s="34"/>
      <c r="D75" s="57" t="s">
        <v>49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57" t="s">
        <v>50</v>
      </c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57" t="s">
        <v>49</v>
      </c>
      <c r="AI75" s="36"/>
      <c r="AJ75" s="36"/>
      <c r="AK75" s="36"/>
      <c r="AL75" s="36"/>
      <c r="AM75" s="57" t="s">
        <v>50</v>
      </c>
      <c r="AN75" s="36"/>
      <c r="AO75" s="36"/>
      <c r="AP75" s="34"/>
      <c r="AQ75" s="34"/>
      <c r="AR75" s="38"/>
      <c r="BE75" s="32"/>
    </row>
    <row r="76" s="2" customFormat="1">
      <c r="A76" s="32"/>
      <c r="B76" s="33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8"/>
      <c r="BE76" s="32"/>
    </row>
    <row r="77" s="2" customFormat="1" ht="6.96" customHeight="1">
      <c r="A77" s="32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38"/>
      <c r="BE77" s="32"/>
    </row>
    <row r="81" s="2" customFormat="1" ht="6.96" customHeight="1">
      <c r="A81" s="32"/>
      <c r="B81" s="61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38"/>
      <c r="BE81" s="32"/>
    </row>
    <row r="82" s="2" customFormat="1" ht="24.96" customHeight="1">
      <c r="A82" s="32"/>
      <c r="B82" s="33"/>
      <c r="C82" s="23" t="s">
        <v>53</v>
      </c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8"/>
      <c r="B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8"/>
      <c r="BE83" s="32"/>
    </row>
    <row r="84" s="4" customFormat="1" ht="12" customHeight="1">
      <c r="A84" s="4"/>
      <c r="B84" s="63"/>
      <c r="C84" s="29" t="s">
        <v>12</v>
      </c>
      <c r="D84" s="64"/>
      <c r="E84" s="64"/>
      <c r="F84" s="64"/>
      <c r="G84" s="64"/>
      <c r="H84" s="64"/>
      <c r="I84" s="64"/>
      <c r="J84" s="64"/>
      <c r="K84" s="64"/>
      <c r="L84" s="64" t="str">
        <f>K5</f>
        <v>01-2025-AP</v>
      </c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5"/>
      <c r="BE84" s="4"/>
    </row>
    <row r="85" s="5" customFormat="1" ht="36.96" customHeight="1">
      <c r="A85" s="5"/>
      <c r="B85" s="66"/>
      <c r="C85" s="67" t="s">
        <v>14</v>
      </c>
      <c r="D85" s="68"/>
      <c r="E85" s="68"/>
      <c r="F85" s="68"/>
      <c r="G85" s="68"/>
      <c r="H85" s="68"/>
      <c r="I85" s="68"/>
      <c r="J85" s="68"/>
      <c r="K85" s="68"/>
      <c r="L85" s="69" t="str">
        <f>K6</f>
        <v>RD Valcha SO1+ SO2</v>
      </c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70"/>
      <c r="BE85" s="5"/>
    </row>
    <row r="86" s="2" customFormat="1" ht="6.96" customHeight="1">
      <c r="A86" s="32"/>
      <c r="B86" s="33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8"/>
      <c r="BE86" s="32"/>
    </row>
    <row r="87" s="2" customFormat="1" ht="12" customHeight="1">
      <c r="A87" s="32"/>
      <c r="B87" s="33"/>
      <c r="C87" s="29" t="s">
        <v>20</v>
      </c>
      <c r="D87" s="34"/>
      <c r="E87" s="34"/>
      <c r="F87" s="34"/>
      <c r="G87" s="34"/>
      <c r="H87" s="34"/>
      <c r="I87" s="34"/>
      <c r="J87" s="34"/>
      <c r="K87" s="34"/>
      <c r="L87" s="71" t="str">
        <f>IF(K8="","",K8)</f>
        <v xml:space="preserve"> 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29" t="s">
        <v>22</v>
      </c>
      <c r="AJ87" s="34"/>
      <c r="AK87" s="34"/>
      <c r="AL87" s="34"/>
      <c r="AM87" s="72" t="str">
        <f>IF(AN8= "","",AN8)</f>
        <v>8. 9. 2025</v>
      </c>
      <c r="AN87" s="72"/>
      <c r="AO87" s="34"/>
      <c r="AP87" s="34"/>
      <c r="AQ87" s="34"/>
      <c r="AR87" s="38"/>
      <c r="B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8"/>
      <c r="BE88" s="32"/>
    </row>
    <row r="89" s="2" customFormat="1" ht="15.15" customHeight="1">
      <c r="A89" s="32"/>
      <c r="B89" s="33"/>
      <c r="C89" s="29" t="s">
        <v>26</v>
      </c>
      <c r="D89" s="34"/>
      <c r="E89" s="34"/>
      <c r="F89" s="34"/>
      <c r="G89" s="34"/>
      <c r="H89" s="34"/>
      <c r="I89" s="34"/>
      <c r="J89" s="34"/>
      <c r="K89" s="34"/>
      <c r="L89" s="64" t="str">
        <f>IF(E11= "","",E11)</f>
        <v xml:space="preserve"> </v>
      </c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29" t="s">
        <v>30</v>
      </c>
      <c r="AJ89" s="34"/>
      <c r="AK89" s="34"/>
      <c r="AL89" s="34"/>
      <c r="AM89" s="73" t="str">
        <f>IF(E17="","",E17)</f>
        <v xml:space="preserve"> </v>
      </c>
      <c r="AN89" s="64"/>
      <c r="AO89" s="64"/>
      <c r="AP89" s="64"/>
      <c r="AQ89" s="34"/>
      <c r="AR89" s="38"/>
      <c r="AS89" s="74" t="s">
        <v>54</v>
      </c>
      <c r="AT89" s="75"/>
      <c r="AU89" s="76"/>
      <c r="AV89" s="76"/>
      <c r="AW89" s="76"/>
      <c r="AX89" s="76"/>
      <c r="AY89" s="76"/>
      <c r="AZ89" s="76"/>
      <c r="BA89" s="76"/>
      <c r="BB89" s="76"/>
      <c r="BC89" s="76"/>
      <c r="BD89" s="77"/>
      <c r="BE89" s="32"/>
    </row>
    <row r="90" s="2" customFormat="1" ht="15.15" customHeight="1">
      <c r="A90" s="32"/>
      <c r="B90" s="33"/>
      <c r="C90" s="29" t="s">
        <v>29</v>
      </c>
      <c r="D90" s="34"/>
      <c r="E90" s="34"/>
      <c r="F90" s="34"/>
      <c r="G90" s="34"/>
      <c r="H90" s="34"/>
      <c r="I90" s="34"/>
      <c r="J90" s="34"/>
      <c r="K90" s="34"/>
      <c r="L90" s="64" t="str">
        <f>IF(E14="","",E14)</f>
        <v xml:space="preserve"> </v>
      </c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29" t="s">
        <v>31</v>
      </c>
      <c r="AJ90" s="34"/>
      <c r="AK90" s="34"/>
      <c r="AL90" s="34"/>
      <c r="AM90" s="73" t="str">
        <f>IF(E20="","",E20)</f>
        <v xml:space="preserve"> </v>
      </c>
      <c r="AN90" s="64"/>
      <c r="AO90" s="64"/>
      <c r="AP90" s="64"/>
      <c r="AQ90" s="34"/>
      <c r="AR90" s="38"/>
      <c r="AS90" s="78"/>
      <c r="AT90" s="79"/>
      <c r="AU90" s="80"/>
      <c r="AV90" s="80"/>
      <c r="AW90" s="80"/>
      <c r="AX90" s="80"/>
      <c r="AY90" s="80"/>
      <c r="AZ90" s="80"/>
      <c r="BA90" s="80"/>
      <c r="BB90" s="80"/>
      <c r="BC90" s="80"/>
      <c r="BD90" s="81"/>
      <c r="BE90" s="32"/>
    </row>
    <row r="91" s="2" customFormat="1" ht="10.8" customHeight="1">
      <c r="A91" s="32"/>
      <c r="B91" s="33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8"/>
      <c r="AS91" s="82"/>
      <c r="AT91" s="83"/>
      <c r="AU91" s="84"/>
      <c r="AV91" s="84"/>
      <c r="AW91" s="84"/>
      <c r="AX91" s="84"/>
      <c r="AY91" s="84"/>
      <c r="AZ91" s="84"/>
      <c r="BA91" s="84"/>
      <c r="BB91" s="84"/>
      <c r="BC91" s="84"/>
      <c r="BD91" s="85"/>
      <c r="BE91" s="32"/>
    </row>
    <row r="92" s="2" customFormat="1" ht="29.28" customHeight="1">
      <c r="A92" s="32"/>
      <c r="B92" s="33"/>
      <c r="C92" s="86" t="s">
        <v>55</v>
      </c>
      <c r="D92" s="87"/>
      <c r="E92" s="87"/>
      <c r="F92" s="87"/>
      <c r="G92" s="87"/>
      <c r="H92" s="88"/>
      <c r="I92" s="89" t="s">
        <v>56</v>
      </c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90" t="s">
        <v>57</v>
      </c>
      <c r="AH92" s="87"/>
      <c r="AI92" s="87"/>
      <c r="AJ92" s="87"/>
      <c r="AK92" s="87"/>
      <c r="AL92" s="87"/>
      <c r="AM92" s="87"/>
      <c r="AN92" s="89" t="s">
        <v>58</v>
      </c>
      <c r="AO92" s="87"/>
      <c r="AP92" s="91"/>
      <c r="AQ92" s="92" t="s">
        <v>59</v>
      </c>
      <c r="AR92" s="38"/>
      <c r="AS92" s="93" t="s">
        <v>60</v>
      </c>
      <c r="AT92" s="94" t="s">
        <v>61</v>
      </c>
      <c r="AU92" s="94" t="s">
        <v>62</v>
      </c>
      <c r="AV92" s="94" t="s">
        <v>63</v>
      </c>
      <c r="AW92" s="94" t="s">
        <v>64</v>
      </c>
      <c r="AX92" s="94" t="s">
        <v>65</v>
      </c>
      <c r="AY92" s="94" t="s">
        <v>66</v>
      </c>
      <c r="AZ92" s="94" t="s">
        <v>67</v>
      </c>
      <c r="BA92" s="94" t="s">
        <v>68</v>
      </c>
      <c r="BB92" s="94" t="s">
        <v>69</v>
      </c>
      <c r="BC92" s="94" t="s">
        <v>70</v>
      </c>
      <c r="BD92" s="95" t="s">
        <v>71</v>
      </c>
      <c r="BE92" s="32"/>
    </row>
    <row r="93" s="2" customFormat="1" ht="10.8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8"/>
      <c r="AS93" s="96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8"/>
      <c r="BE93" s="32"/>
    </row>
    <row r="94" s="6" customFormat="1" ht="32.4" customHeight="1">
      <c r="A94" s="6"/>
      <c r="B94" s="99"/>
      <c r="C94" s="100" t="s">
        <v>72</v>
      </c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2">
        <f>ROUND(SUM(AG95:AG99),2)</f>
        <v>8205797.7599999998</v>
      </c>
      <c r="AH94" s="102"/>
      <c r="AI94" s="102"/>
      <c r="AJ94" s="102"/>
      <c r="AK94" s="102"/>
      <c r="AL94" s="102"/>
      <c r="AM94" s="102"/>
      <c r="AN94" s="103">
        <f>SUM(AG94,AT94)</f>
        <v>9929015.2899999991</v>
      </c>
      <c r="AO94" s="103"/>
      <c r="AP94" s="103"/>
      <c r="AQ94" s="104" t="s">
        <v>1</v>
      </c>
      <c r="AR94" s="105"/>
      <c r="AS94" s="106">
        <f>ROUND(SUM(AS95:AS99),2)</f>
        <v>0</v>
      </c>
      <c r="AT94" s="107">
        <f>ROUND(SUM(AV94:AW94),2)</f>
        <v>1723217.53</v>
      </c>
      <c r="AU94" s="108">
        <f>ROUND(SUM(AU95:AU99),5)</f>
        <v>3785.5215199999998</v>
      </c>
      <c r="AV94" s="107">
        <f>ROUND(AZ94*L29,2)</f>
        <v>1723217.53</v>
      </c>
      <c r="AW94" s="107">
        <f>ROUND(BA94*L30,2)</f>
        <v>0</v>
      </c>
      <c r="AX94" s="107">
        <f>ROUND(BB94*L29,2)</f>
        <v>0</v>
      </c>
      <c r="AY94" s="107">
        <f>ROUND(BC94*L30,2)</f>
        <v>0</v>
      </c>
      <c r="AZ94" s="107">
        <f>ROUND(SUM(AZ95:AZ99),2)</f>
        <v>8205797.7599999998</v>
      </c>
      <c r="BA94" s="107">
        <f>ROUND(SUM(BA95:BA99),2)</f>
        <v>0</v>
      </c>
      <c r="BB94" s="107">
        <f>ROUND(SUM(BB95:BB99),2)</f>
        <v>0</v>
      </c>
      <c r="BC94" s="107">
        <f>ROUND(SUM(BC95:BC99),2)</f>
        <v>0</v>
      </c>
      <c r="BD94" s="109">
        <f>ROUND(SUM(BD95:BD99),2)</f>
        <v>0</v>
      </c>
      <c r="BE94" s="6"/>
      <c r="BS94" s="110" t="s">
        <v>73</v>
      </c>
      <c r="BT94" s="110" t="s">
        <v>74</v>
      </c>
      <c r="BU94" s="111" t="s">
        <v>75</v>
      </c>
      <c r="BV94" s="110" t="s">
        <v>76</v>
      </c>
      <c r="BW94" s="110" t="s">
        <v>5</v>
      </c>
      <c r="BX94" s="110" t="s">
        <v>77</v>
      </c>
      <c r="CL94" s="110" t="s">
        <v>1</v>
      </c>
    </row>
    <row r="95" s="7" customFormat="1" ht="16.5" customHeight="1">
      <c r="A95" s="112" t="s">
        <v>78</v>
      </c>
      <c r="B95" s="113"/>
      <c r="C95" s="114"/>
      <c r="D95" s="115" t="s">
        <v>79</v>
      </c>
      <c r="E95" s="115"/>
      <c r="F95" s="115"/>
      <c r="G95" s="115"/>
      <c r="H95" s="115"/>
      <c r="I95" s="116"/>
      <c r="J95" s="115" t="s">
        <v>80</v>
      </c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7">
        <f>'SO 1 - Dům (RD Valcha)'!J30</f>
        <v>4810986.2800000003</v>
      </c>
      <c r="AH95" s="116"/>
      <c r="AI95" s="116"/>
      <c r="AJ95" s="116"/>
      <c r="AK95" s="116"/>
      <c r="AL95" s="116"/>
      <c r="AM95" s="116"/>
      <c r="AN95" s="117">
        <f>SUM(AG95,AT95)</f>
        <v>5821293.4000000004</v>
      </c>
      <c r="AO95" s="116"/>
      <c r="AP95" s="116"/>
      <c r="AQ95" s="118" t="s">
        <v>81</v>
      </c>
      <c r="AR95" s="119"/>
      <c r="AS95" s="120">
        <v>0</v>
      </c>
      <c r="AT95" s="121">
        <f>ROUND(SUM(AV95:AW95),2)</f>
        <v>1010307.12</v>
      </c>
      <c r="AU95" s="122">
        <f>'SO 1 - Dům (RD Valcha)'!P133</f>
        <v>2112.9580709999996</v>
      </c>
      <c r="AV95" s="121">
        <f>'SO 1 - Dům (RD Valcha)'!J33</f>
        <v>1010307.12</v>
      </c>
      <c r="AW95" s="121">
        <f>'SO 1 - Dům (RD Valcha)'!J34</f>
        <v>0</v>
      </c>
      <c r="AX95" s="121">
        <f>'SO 1 - Dům (RD Valcha)'!J35</f>
        <v>0</v>
      </c>
      <c r="AY95" s="121">
        <f>'SO 1 - Dům (RD Valcha)'!J36</f>
        <v>0</v>
      </c>
      <c r="AZ95" s="121">
        <f>'SO 1 - Dům (RD Valcha)'!F33</f>
        <v>4810986.2800000003</v>
      </c>
      <c r="BA95" s="121">
        <f>'SO 1 - Dům (RD Valcha)'!F34</f>
        <v>0</v>
      </c>
      <c r="BB95" s="121">
        <f>'SO 1 - Dům (RD Valcha)'!F35</f>
        <v>0</v>
      </c>
      <c r="BC95" s="121">
        <f>'SO 1 - Dům (RD Valcha)'!F36</f>
        <v>0</v>
      </c>
      <c r="BD95" s="123">
        <f>'SO 1 - Dům (RD Valcha)'!F37</f>
        <v>0</v>
      </c>
      <c r="BE95" s="7"/>
      <c r="BT95" s="124" t="s">
        <v>19</v>
      </c>
      <c r="BV95" s="124" t="s">
        <v>76</v>
      </c>
      <c r="BW95" s="124" t="s">
        <v>82</v>
      </c>
      <c r="BX95" s="124" t="s">
        <v>5</v>
      </c>
      <c r="CL95" s="124" t="s">
        <v>1</v>
      </c>
      <c r="CM95" s="124" t="s">
        <v>83</v>
      </c>
    </row>
    <row r="96" s="7" customFormat="1" ht="16.5" customHeight="1">
      <c r="A96" s="112" t="s">
        <v>78</v>
      </c>
      <c r="B96" s="113"/>
      <c r="C96" s="114"/>
      <c r="D96" s="115" t="s">
        <v>84</v>
      </c>
      <c r="E96" s="115"/>
      <c r="F96" s="115"/>
      <c r="G96" s="115"/>
      <c r="H96" s="115"/>
      <c r="I96" s="116"/>
      <c r="J96" s="115" t="s">
        <v>85</v>
      </c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7">
        <f>'SO 2 - Garaž'!J30</f>
        <v>2531283.3799999999</v>
      </c>
      <c r="AH96" s="116"/>
      <c r="AI96" s="116"/>
      <c r="AJ96" s="116"/>
      <c r="AK96" s="116"/>
      <c r="AL96" s="116"/>
      <c r="AM96" s="116"/>
      <c r="AN96" s="117">
        <f>SUM(AG96,AT96)</f>
        <v>3062852.8899999997</v>
      </c>
      <c r="AO96" s="116"/>
      <c r="AP96" s="116"/>
      <c r="AQ96" s="118" t="s">
        <v>81</v>
      </c>
      <c r="AR96" s="119"/>
      <c r="AS96" s="120">
        <v>0</v>
      </c>
      <c r="AT96" s="121">
        <f>ROUND(SUM(AV96:AW96),2)</f>
        <v>531569.51000000001</v>
      </c>
      <c r="AU96" s="122">
        <f>'SO 2 - Garaž'!P129</f>
        <v>1220.9720259999999</v>
      </c>
      <c r="AV96" s="121">
        <f>'SO 2 - Garaž'!J33</f>
        <v>531569.51000000001</v>
      </c>
      <c r="AW96" s="121">
        <f>'SO 2 - Garaž'!J34</f>
        <v>0</v>
      </c>
      <c r="AX96" s="121">
        <f>'SO 2 - Garaž'!J35</f>
        <v>0</v>
      </c>
      <c r="AY96" s="121">
        <f>'SO 2 - Garaž'!J36</f>
        <v>0</v>
      </c>
      <c r="AZ96" s="121">
        <f>'SO 2 - Garaž'!F33</f>
        <v>2531283.3799999999</v>
      </c>
      <c r="BA96" s="121">
        <f>'SO 2 - Garaž'!F34</f>
        <v>0</v>
      </c>
      <c r="BB96" s="121">
        <f>'SO 2 - Garaž'!F35</f>
        <v>0</v>
      </c>
      <c r="BC96" s="121">
        <f>'SO 2 - Garaž'!F36</f>
        <v>0</v>
      </c>
      <c r="BD96" s="123">
        <f>'SO 2 - Garaž'!F37</f>
        <v>0</v>
      </c>
      <c r="BE96" s="7"/>
      <c r="BT96" s="124" t="s">
        <v>19</v>
      </c>
      <c r="BV96" s="124" t="s">
        <v>76</v>
      </c>
      <c r="BW96" s="124" t="s">
        <v>86</v>
      </c>
      <c r="BX96" s="124" t="s">
        <v>5</v>
      </c>
      <c r="CL96" s="124" t="s">
        <v>1</v>
      </c>
      <c r="CM96" s="124" t="s">
        <v>83</v>
      </c>
    </row>
    <row r="97" s="7" customFormat="1" ht="24.75" customHeight="1">
      <c r="A97" s="112" t="s">
        <v>78</v>
      </c>
      <c r="B97" s="113"/>
      <c r="C97" s="114"/>
      <c r="D97" s="115" t="s">
        <v>87</v>
      </c>
      <c r="E97" s="115"/>
      <c r="F97" s="115"/>
      <c r="G97" s="115"/>
      <c r="H97" s="115"/>
      <c r="I97" s="116"/>
      <c r="J97" s="115" t="s">
        <v>88</v>
      </c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7">
        <f>'Elektroinstalace - RD Valcha'!J30</f>
        <v>330370.83000000002</v>
      </c>
      <c r="AH97" s="116"/>
      <c r="AI97" s="116"/>
      <c r="AJ97" s="116"/>
      <c r="AK97" s="116"/>
      <c r="AL97" s="116"/>
      <c r="AM97" s="116"/>
      <c r="AN97" s="117">
        <f>SUM(AG97,AT97)</f>
        <v>399748.70000000001</v>
      </c>
      <c r="AO97" s="116"/>
      <c r="AP97" s="116"/>
      <c r="AQ97" s="118" t="s">
        <v>81</v>
      </c>
      <c r="AR97" s="119"/>
      <c r="AS97" s="120">
        <v>0</v>
      </c>
      <c r="AT97" s="121">
        <f>ROUND(SUM(AV97:AW97),2)</f>
        <v>69377.869999999995</v>
      </c>
      <c r="AU97" s="122">
        <f>'Elektroinstalace - RD Valcha'!P120</f>
        <v>183.36600000000001</v>
      </c>
      <c r="AV97" s="121">
        <f>'Elektroinstalace - RD Valcha'!J33</f>
        <v>69377.869999999995</v>
      </c>
      <c r="AW97" s="121">
        <f>'Elektroinstalace - RD Valcha'!J34</f>
        <v>0</v>
      </c>
      <c r="AX97" s="121">
        <f>'Elektroinstalace - RD Valcha'!J35</f>
        <v>0</v>
      </c>
      <c r="AY97" s="121">
        <f>'Elektroinstalace - RD Valcha'!J36</f>
        <v>0</v>
      </c>
      <c r="AZ97" s="121">
        <f>'Elektroinstalace - RD Valcha'!F33</f>
        <v>330370.83000000002</v>
      </c>
      <c r="BA97" s="121">
        <f>'Elektroinstalace - RD Valcha'!F34</f>
        <v>0</v>
      </c>
      <c r="BB97" s="121">
        <f>'Elektroinstalace - RD Valcha'!F35</f>
        <v>0</v>
      </c>
      <c r="BC97" s="121">
        <f>'Elektroinstalace - RD Valcha'!F36</f>
        <v>0</v>
      </c>
      <c r="BD97" s="123">
        <f>'Elektroinstalace - RD Valcha'!F37</f>
        <v>0</v>
      </c>
      <c r="BE97" s="7"/>
      <c r="BT97" s="124" t="s">
        <v>19</v>
      </c>
      <c r="BV97" s="124" t="s">
        <v>76</v>
      </c>
      <c r="BW97" s="124" t="s">
        <v>89</v>
      </c>
      <c r="BX97" s="124" t="s">
        <v>5</v>
      </c>
      <c r="CL97" s="124" t="s">
        <v>1</v>
      </c>
      <c r="CM97" s="124" t="s">
        <v>83</v>
      </c>
    </row>
    <row r="98" s="7" customFormat="1" ht="16.5" customHeight="1">
      <c r="A98" s="112" t="s">
        <v>78</v>
      </c>
      <c r="B98" s="113"/>
      <c r="C98" s="114"/>
      <c r="D98" s="115" t="s">
        <v>90</v>
      </c>
      <c r="E98" s="115"/>
      <c r="F98" s="115"/>
      <c r="G98" s="115"/>
      <c r="H98" s="115"/>
      <c r="I98" s="116"/>
      <c r="J98" s="115" t="s">
        <v>88</v>
      </c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7">
        <f>'ZTI - RD Valcha'!J30</f>
        <v>433994.48999999999</v>
      </c>
      <c r="AH98" s="116"/>
      <c r="AI98" s="116"/>
      <c r="AJ98" s="116"/>
      <c r="AK98" s="116"/>
      <c r="AL98" s="116"/>
      <c r="AM98" s="116"/>
      <c r="AN98" s="117">
        <f>SUM(AG98,AT98)</f>
        <v>525133.32999999996</v>
      </c>
      <c r="AO98" s="116"/>
      <c r="AP98" s="116"/>
      <c r="AQ98" s="118" t="s">
        <v>81</v>
      </c>
      <c r="AR98" s="119"/>
      <c r="AS98" s="120">
        <v>0</v>
      </c>
      <c r="AT98" s="121">
        <f>ROUND(SUM(AV98:AW98),2)</f>
        <v>91138.839999999997</v>
      </c>
      <c r="AU98" s="122">
        <f>'ZTI - RD Valcha'!P130</f>
        <v>215.43896599999999</v>
      </c>
      <c r="AV98" s="121">
        <f>'ZTI - RD Valcha'!J33</f>
        <v>91138.839999999997</v>
      </c>
      <c r="AW98" s="121">
        <f>'ZTI - RD Valcha'!J34</f>
        <v>0</v>
      </c>
      <c r="AX98" s="121">
        <f>'ZTI - RD Valcha'!J35</f>
        <v>0</v>
      </c>
      <c r="AY98" s="121">
        <f>'ZTI - RD Valcha'!J36</f>
        <v>0</v>
      </c>
      <c r="AZ98" s="121">
        <f>'ZTI - RD Valcha'!F33</f>
        <v>433994.48999999999</v>
      </c>
      <c r="BA98" s="121">
        <f>'ZTI - RD Valcha'!F34</f>
        <v>0</v>
      </c>
      <c r="BB98" s="121">
        <f>'ZTI - RD Valcha'!F35</f>
        <v>0</v>
      </c>
      <c r="BC98" s="121">
        <f>'ZTI - RD Valcha'!F36</f>
        <v>0</v>
      </c>
      <c r="BD98" s="123">
        <f>'ZTI - RD Valcha'!F37</f>
        <v>0</v>
      </c>
      <c r="BE98" s="7"/>
      <c r="BT98" s="124" t="s">
        <v>19</v>
      </c>
      <c r="BV98" s="124" t="s">
        <v>76</v>
      </c>
      <c r="BW98" s="124" t="s">
        <v>91</v>
      </c>
      <c r="BX98" s="124" t="s">
        <v>5</v>
      </c>
      <c r="CL98" s="124" t="s">
        <v>1</v>
      </c>
      <c r="CM98" s="124" t="s">
        <v>83</v>
      </c>
    </row>
    <row r="99" s="7" customFormat="1" ht="37.5" customHeight="1">
      <c r="A99" s="112" t="s">
        <v>78</v>
      </c>
      <c r="B99" s="113"/>
      <c r="C99" s="114"/>
      <c r="D99" s="115" t="s">
        <v>92</v>
      </c>
      <c r="E99" s="115"/>
      <c r="F99" s="115"/>
      <c r="G99" s="115"/>
      <c r="H99" s="115"/>
      <c r="I99" s="116"/>
      <c r="J99" s="115" t="s">
        <v>88</v>
      </c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7">
        <f>'Zámková dlažba - RD Valcha'!J30</f>
        <v>99162.779999999999</v>
      </c>
      <c r="AH99" s="116"/>
      <c r="AI99" s="116"/>
      <c r="AJ99" s="116"/>
      <c r="AK99" s="116"/>
      <c r="AL99" s="116"/>
      <c r="AM99" s="116"/>
      <c r="AN99" s="117">
        <f>SUM(AG99,AT99)</f>
        <v>119986.95999999999</v>
      </c>
      <c r="AO99" s="116"/>
      <c r="AP99" s="116"/>
      <c r="AQ99" s="118" t="s">
        <v>81</v>
      </c>
      <c r="AR99" s="119"/>
      <c r="AS99" s="125">
        <v>0</v>
      </c>
      <c r="AT99" s="126">
        <f>ROUND(SUM(AV99:AW99),2)</f>
        <v>20824.18</v>
      </c>
      <c r="AU99" s="127">
        <f>'Zámková dlažba - RD Valcha'!P120</f>
        <v>52.786458999999994</v>
      </c>
      <c r="AV99" s="126">
        <f>'Zámková dlažba - RD Valcha'!J33</f>
        <v>20824.18</v>
      </c>
      <c r="AW99" s="126">
        <f>'Zámková dlažba - RD Valcha'!J34</f>
        <v>0</v>
      </c>
      <c r="AX99" s="126">
        <f>'Zámková dlažba - RD Valcha'!J35</f>
        <v>0</v>
      </c>
      <c r="AY99" s="126">
        <f>'Zámková dlažba - RD Valcha'!J36</f>
        <v>0</v>
      </c>
      <c r="AZ99" s="126">
        <f>'Zámková dlažba - RD Valcha'!F33</f>
        <v>99162.779999999999</v>
      </c>
      <c r="BA99" s="126">
        <f>'Zámková dlažba - RD Valcha'!F34</f>
        <v>0</v>
      </c>
      <c r="BB99" s="126">
        <f>'Zámková dlažba - RD Valcha'!F35</f>
        <v>0</v>
      </c>
      <c r="BC99" s="126">
        <f>'Zámková dlažba - RD Valcha'!F36</f>
        <v>0</v>
      </c>
      <c r="BD99" s="128">
        <f>'Zámková dlažba - RD Valcha'!F37</f>
        <v>0</v>
      </c>
      <c r="BE99" s="7"/>
      <c r="BT99" s="124" t="s">
        <v>19</v>
      </c>
      <c r="BV99" s="124" t="s">
        <v>76</v>
      </c>
      <c r="BW99" s="124" t="s">
        <v>93</v>
      </c>
      <c r="BX99" s="124" t="s">
        <v>5</v>
      </c>
      <c r="CL99" s="124" t="s">
        <v>1</v>
      </c>
      <c r="CM99" s="124" t="s">
        <v>83</v>
      </c>
    </row>
    <row r="100" s="2" customFormat="1" ht="30" customHeight="1">
      <c r="A100" s="32"/>
      <c r="B100" s="33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8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</row>
    <row r="101" s="2" customFormat="1" ht="6.96" customHeight="1">
      <c r="A101" s="32"/>
      <c r="B101" s="59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38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</row>
  </sheetData>
  <sheetProtection sheet="1" formatColumns="0" formatRows="0" objects="1" scenarios="1" spinCount="100000" saltValue="ckHw3JIhWrf8AaGH8Khp+2LAc4IX2Ec4J4Khee2e86ZplY/DaxVtv5xmue1rTnPHMGo/KDPEjzimAgpB8IGniw==" hashValue="XT9yROoJ+zJCwjVc6Jz4EdXzyKvn88E0dZzs8XPAr3xoDW4NCr/3T9HLZvyYXL9fIBkWjtZARjA/sH5aAHLk0w==" algorithmName="SHA-512" password="CC35"/>
  <mergeCells count="56">
    <mergeCell ref="L85:AO85"/>
    <mergeCell ref="AM87:AN87"/>
    <mergeCell ref="AM89:AP89"/>
    <mergeCell ref="AS89:AT91"/>
    <mergeCell ref="AM90:AP90"/>
    <mergeCell ref="C92:G92"/>
    <mergeCell ref="AN92:AP92"/>
    <mergeCell ref="AG92:AM92"/>
    <mergeCell ref="I92:AF92"/>
    <mergeCell ref="AN95:AP95"/>
    <mergeCell ref="D95:H95"/>
    <mergeCell ref="AG95:AM95"/>
    <mergeCell ref="J95:AF95"/>
    <mergeCell ref="J96:AF96"/>
    <mergeCell ref="D96:H96"/>
    <mergeCell ref="AN96:AP96"/>
    <mergeCell ref="AG96:AM96"/>
    <mergeCell ref="J97:AF97"/>
    <mergeCell ref="AG97:AM97"/>
    <mergeCell ref="D97:H97"/>
    <mergeCell ref="AN97:AP97"/>
    <mergeCell ref="AN98:AP98"/>
    <mergeCell ref="AG98:AM98"/>
    <mergeCell ref="J98:AF98"/>
    <mergeCell ref="D98:H98"/>
    <mergeCell ref="AN99:AP99"/>
    <mergeCell ref="AG99:AM99"/>
    <mergeCell ref="D99:H99"/>
    <mergeCell ref="J99:AF99"/>
    <mergeCell ref="AG94:AM94"/>
    <mergeCell ref="AN94:AP94"/>
    <mergeCell ref="K5:AO5"/>
    <mergeCell ref="K6:AO6"/>
    <mergeCell ref="E23:AN23"/>
    <mergeCell ref="AK26:AO26"/>
    <mergeCell ref="L28:P28"/>
    <mergeCell ref="W28:AE28"/>
    <mergeCell ref="AK28:AO28"/>
    <mergeCell ref="L29:P29"/>
    <mergeCell ref="W29:AE29"/>
    <mergeCell ref="AK29:AO29"/>
    <mergeCell ref="AK30:AO30"/>
    <mergeCell ref="L30:P30"/>
    <mergeCell ref="W30:AE30"/>
    <mergeCell ref="W31:AE31"/>
    <mergeCell ref="AK31:AO31"/>
    <mergeCell ref="L31:P31"/>
    <mergeCell ref="L32:P32"/>
    <mergeCell ref="W32:AE32"/>
    <mergeCell ref="AK32:AO32"/>
    <mergeCell ref="L33:P33"/>
    <mergeCell ref="W33:AE33"/>
    <mergeCell ref="AK33:AO33"/>
    <mergeCell ref="AK35:AO35"/>
    <mergeCell ref="X35:AB35"/>
    <mergeCell ref="AR2:BE2"/>
  </mergeCells>
  <hyperlinks>
    <hyperlink ref="A95" location="'SO 1 - Dům (RD Valcha)'!C2" display="/"/>
    <hyperlink ref="A96" location="'SO 2 - Garaž'!C2" display="/"/>
    <hyperlink ref="A97" location="'Elektroinstalace - RD Valcha'!C2" display="/"/>
    <hyperlink ref="A98" location="'ZTI - RD Valcha'!C2" display="/"/>
    <hyperlink ref="A99" location="'Zámková dlažba - RD Valcha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2"/>
    </row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7" t="s">
        <v>82</v>
      </c>
      <c r="AZ2" s="129" t="s">
        <v>94</v>
      </c>
      <c r="BA2" s="129" t="s">
        <v>95</v>
      </c>
      <c r="BB2" s="129" t="s">
        <v>96</v>
      </c>
      <c r="BC2" s="129" t="s">
        <v>97</v>
      </c>
      <c r="BD2" s="129" t="s">
        <v>98</v>
      </c>
    </row>
    <row r="3" s="1" customFormat="1" ht="6.96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"/>
      <c r="AT3" s="17" t="s">
        <v>83</v>
      </c>
      <c r="AZ3" s="129" t="s">
        <v>99</v>
      </c>
      <c r="BA3" s="129" t="s">
        <v>100</v>
      </c>
      <c r="BB3" s="129" t="s">
        <v>96</v>
      </c>
      <c r="BC3" s="129" t="s">
        <v>101</v>
      </c>
      <c r="BD3" s="129" t="s">
        <v>98</v>
      </c>
    </row>
    <row r="4" s="1" customFormat="1" ht="24.96" customHeight="1">
      <c r="B4" s="20"/>
      <c r="D4" s="132" t="s">
        <v>102</v>
      </c>
      <c r="L4" s="20"/>
      <c r="M4" s="133" t="s">
        <v>10</v>
      </c>
      <c r="AT4" s="17" t="s">
        <v>4</v>
      </c>
    </row>
    <row r="5" s="1" customFormat="1" ht="6.96" customHeight="1">
      <c r="B5" s="20"/>
      <c r="L5" s="20"/>
    </row>
    <row r="6" s="1" customFormat="1" ht="12" customHeight="1">
      <c r="B6" s="20"/>
      <c r="D6" s="134" t="s">
        <v>14</v>
      </c>
      <c r="L6" s="20"/>
    </row>
    <row r="7" s="1" customFormat="1" ht="16.5" customHeight="1">
      <c r="B7" s="20"/>
      <c r="E7" s="135" t="str">
        <f>'Rekapitulace stavby'!K6</f>
        <v>RD Valcha SO1+ SO2</v>
      </c>
      <c r="F7" s="134"/>
      <c r="G7" s="134"/>
      <c r="H7" s="134"/>
      <c r="L7" s="20"/>
    </row>
    <row r="8" s="2" customFormat="1" ht="12" customHeight="1">
      <c r="A8" s="32"/>
      <c r="B8" s="38"/>
      <c r="C8" s="32"/>
      <c r="D8" s="134" t="s">
        <v>103</v>
      </c>
      <c r="E8" s="32"/>
      <c r="F8" s="32"/>
      <c r="G8" s="32"/>
      <c r="H8" s="32"/>
      <c r="I8" s="32"/>
      <c r="J8" s="32"/>
      <c r="K8" s="32"/>
      <c r="L8" s="56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="2" customFormat="1" ht="16.5" customHeight="1">
      <c r="A9" s="32"/>
      <c r="B9" s="38"/>
      <c r="C9" s="32"/>
      <c r="D9" s="32"/>
      <c r="E9" s="136" t="s">
        <v>104</v>
      </c>
      <c r="F9" s="32"/>
      <c r="G9" s="32"/>
      <c r="H9" s="32"/>
      <c r="I9" s="32"/>
      <c r="J9" s="32"/>
      <c r="K9" s="32"/>
      <c r="L9" s="5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="2" customFormat="1">
      <c r="A10" s="32"/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5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="2" customFormat="1" ht="12" customHeight="1">
      <c r="A11" s="32"/>
      <c r="B11" s="38"/>
      <c r="C11" s="32"/>
      <c r="D11" s="134" t="s">
        <v>17</v>
      </c>
      <c r="E11" s="32"/>
      <c r="F11" s="137" t="s">
        <v>1</v>
      </c>
      <c r="G11" s="32"/>
      <c r="H11" s="32"/>
      <c r="I11" s="134" t="s">
        <v>18</v>
      </c>
      <c r="J11" s="137" t="s">
        <v>1</v>
      </c>
      <c r="K11" s="32"/>
      <c r="L11" s="5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="2" customFormat="1" ht="12" customHeight="1">
      <c r="A12" s="32"/>
      <c r="B12" s="38"/>
      <c r="C12" s="32"/>
      <c r="D12" s="134" t="s">
        <v>20</v>
      </c>
      <c r="E12" s="32"/>
      <c r="F12" s="137" t="s">
        <v>21</v>
      </c>
      <c r="G12" s="32"/>
      <c r="H12" s="32"/>
      <c r="I12" s="134" t="s">
        <v>22</v>
      </c>
      <c r="J12" s="138" t="str">
        <f>'Rekapitulace stavby'!AN8</f>
        <v>8. 9. 2025</v>
      </c>
      <c r="K12" s="32"/>
      <c r="L12" s="5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="2" customFormat="1" ht="10.8" customHeight="1">
      <c r="A13" s="32"/>
      <c r="B13" s="38"/>
      <c r="C13" s="32"/>
      <c r="D13" s="32"/>
      <c r="E13" s="32"/>
      <c r="F13" s="32"/>
      <c r="G13" s="32"/>
      <c r="H13" s="32"/>
      <c r="I13" s="32"/>
      <c r="J13" s="32"/>
      <c r="K13" s="32"/>
      <c r="L13" s="5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="2" customFormat="1" ht="12" customHeight="1">
      <c r="A14" s="32"/>
      <c r="B14" s="38"/>
      <c r="C14" s="32"/>
      <c r="D14" s="134" t="s">
        <v>26</v>
      </c>
      <c r="E14" s="32"/>
      <c r="F14" s="32"/>
      <c r="G14" s="32"/>
      <c r="H14" s="32"/>
      <c r="I14" s="134" t="s">
        <v>27</v>
      </c>
      <c r="J14" s="137" t="str">
        <f>IF('Rekapitulace stavby'!AN10="","",'Rekapitulace stavby'!AN10)</f>
        <v/>
      </c>
      <c r="K14" s="32"/>
      <c r="L14" s="5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="2" customFormat="1" ht="18" customHeight="1">
      <c r="A15" s="32"/>
      <c r="B15" s="38"/>
      <c r="C15" s="32"/>
      <c r="D15" s="32"/>
      <c r="E15" s="137" t="str">
        <f>IF('Rekapitulace stavby'!E11="","",'Rekapitulace stavby'!E11)</f>
        <v xml:space="preserve"> </v>
      </c>
      <c r="F15" s="32"/>
      <c r="G15" s="32"/>
      <c r="H15" s="32"/>
      <c r="I15" s="134" t="s">
        <v>28</v>
      </c>
      <c r="J15" s="137" t="str">
        <f>IF('Rekapitulace stavby'!AN11="","",'Rekapitulace stavby'!AN11)</f>
        <v/>
      </c>
      <c r="K15" s="32"/>
      <c r="L15" s="5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="2" customFormat="1" ht="6.96" customHeight="1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5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="2" customFormat="1" ht="12" customHeight="1">
      <c r="A17" s="32"/>
      <c r="B17" s="38"/>
      <c r="C17" s="32"/>
      <c r="D17" s="134" t="s">
        <v>29</v>
      </c>
      <c r="E17" s="32"/>
      <c r="F17" s="32"/>
      <c r="G17" s="32"/>
      <c r="H17" s="32"/>
      <c r="I17" s="134" t="s">
        <v>27</v>
      </c>
      <c r="J17" s="137" t="str">
        <f>'Rekapitulace stavby'!AN13</f>
        <v/>
      </c>
      <c r="K17" s="32"/>
      <c r="L17" s="5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="2" customFormat="1" ht="18" customHeight="1">
      <c r="A18" s="32"/>
      <c r="B18" s="38"/>
      <c r="C18" s="32"/>
      <c r="D18" s="32"/>
      <c r="E18" s="137" t="str">
        <f>'Rekapitulace stavby'!E14</f>
        <v xml:space="preserve"> </v>
      </c>
      <c r="F18" s="137"/>
      <c r="G18" s="137"/>
      <c r="H18" s="137"/>
      <c r="I18" s="134" t="s">
        <v>28</v>
      </c>
      <c r="J18" s="137" t="str">
        <f>'Rekapitulace stavby'!AN14</f>
        <v/>
      </c>
      <c r="K18" s="32"/>
      <c r="L18" s="5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="2" customFormat="1" ht="6.96" customHeight="1">
      <c r="A19" s="32"/>
      <c r="B19" s="38"/>
      <c r="C19" s="32"/>
      <c r="D19" s="32"/>
      <c r="E19" s="32"/>
      <c r="F19" s="32"/>
      <c r="G19" s="32"/>
      <c r="H19" s="32"/>
      <c r="I19" s="32"/>
      <c r="J19" s="32"/>
      <c r="K19" s="32"/>
      <c r="L19" s="5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="2" customFormat="1" ht="12" customHeight="1">
      <c r="A20" s="32"/>
      <c r="B20" s="38"/>
      <c r="C20" s="32"/>
      <c r="D20" s="134" t="s">
        <v>30</v>
      </c>
      <c r="E20" s="32"/>
      <c r="F20" s="32"/>
      <c r="G20" s="32"/>
      <c r="H20" s="32"/>
      <c r="I20" s="134" t="s">
        <v>27</v>
      </c>
      <c r="J20" s="137" t="str">
        <f>IF('Rekapitulace stavby'!AN16="","",'Rekapitulace stavby'!AN16)</f>
        <v/>
      </c>
      <c r="K20" s="32"/>
      <c r="L20" s="5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="2" customFormat="1" ht="18" customHeight="1">
      <c r="A21" s="32"/>
      <c r="B21" s="38"/>
      <c r="C21" s="32"/>
      <c r="D21" s="32"/>
      <c r="E21" s="137" t="str">
        <f>IF('Rekapitulace stavby'!E17="","",'Rekapitulace stavby'!E17)</f>
        <v xml:space="preserve"> </v>
      </c>
      <c r="F21" s="32"/>
      <c r="G21" s="32"/>
      <c r="H21" s="32"/>
      <c r="I21" s="134" t="s">
        <v>28</v>
      </c>
      <c r="J21" s="137" t="str">
        <f>IF('Rekapitulace stavby'!AN17="","",'Rekapitulace stavby'!AN17)</f>
        <v/>
      </c>
      <c r="K21" s="32"/>
      <c r="L21" s="5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="2" customFormat="1" ht="6.96" customHeight="1">
      <c r="A22" s="32"/>
      <c r="B22" s="38"/>
      <c r="C22" s="32"/>
      <c r="D22" s="32"/>
      <c r="E22" s="32"/>
      <c r="F22" s="32"/>
      <c r="G22" s="32"/>
      <c r="H22" s="32"/>
      <c r="I22" s="32"/>
      <c r="J22" s="32"/>
      <c r="K22" s="32"/>
      <c r="L22" s="5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="2" customFormat="1" ht="12" customHeight="1">
      <c r="A23" s="32"/>
      <c r="B23" s="38"/>
      <c r="C23" s="32"/>
      <c r="D23" s="134" t="s">
        <v>31</v>
      </c>
      <c r="E23" s="32"/>
      <c r="F23" s="32"/>
      <c r="G23" s="32"/>
      <c r="H23" s="32"/>
      <c r="I23" s="134" t="s">
        <v>27</v>
      </c>
      <c r="J23" s="137" t="str">
        <f>IF('Rekapitulace stavby'!AN19="","",'Rekapitulace stavby'!AN19)</f>
        <v/>
      </c>
      <c r="K23" s="32"/>
      <c r="L23" s="5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="2" customFormat="1" ht="18" customHeight="1">
      <c r="A24" s="32"/>
      <c r="B24" s="38"/>
      <c r="C24" s="32"/>
      <c r="D24" s="32"/>
      <c r="E24" s="137" t="str">
        <f>IF('Rekapitulace stavby'!E20="","",'Rekapitulace stavby'!E20)</f>
        <v xml:space="preserve"> </v>
      </c>
      <c r="F24" s="32"/>
      <c r="G24" s="32"/>
      <c r="H24" s="32"/>
      <c r="I24" s="134" t="s">
        <v>28</v>
      </c>
      <c r="J24" s="137" t="str">
        <f>IF('Rekapitulace stavby'!AN20="","",'Rekapitulace stavby'!AN20)</f>
        <v/>
      </c>
      <c r="K24" s="32"/>
      <c r="L24" s="5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="2" customFormat="1" ht="6.96" customHeight="1">
      <c r="A25" s="32"/>
      <c r="B25" s="38"/>
      <c r="C25" s="32"/>
      <c r="D25" s="32"/>
      <c r="E25" s="32"/>
      <c r="F25" s="32"/>
      <c r="G25" s="32"/>
      <c r="H25" s="32"/>
      <c r="I25" s="32"/>
      <c r="J25" s="32"/>
      <c r="K25" s="32"/>
      <c r="L25" s="5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="2" customFormat="1" ht="12" customHeight="1">
      <c r="A26" s="32"/>
      <c r="B26" s="38"/>
      <c r="C26" s="32"/>
      <c r="D26" s="134" t="s">
        <v>33</v>
      </c>
      <c r="E26" s="32"/>
      <c r="F26" s="32"/>
      <c r="G26" s="32"/>
      <c r="H26" s="32"/>
      <c r="I26" s="32"/>
      <c r="J26" s="32"/>
      <c r="K26" s="32"/>
      <c r="L26" s="5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="8" customFormat="1" ht="16.5" customHeight="1">
      <c r="A27" s="139"/>
      <c r="B27" s="140"/>
      <c r="C27" s="139"/>
      <c r="D27" s="139"/>
      <c r="E27" s="141" t="s">
        <v>1</v>
      </c>
      <c r="F27" s="141"/>
      <c r="G27" s="141"/>
      <c r="H27" s="141"/>
      <c r="I27" s="139"/>
      <c r="J27" s="139"/>
      <c r="K27" s="139"/>
      <c r="L27" s="142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s="2" customFormat="1" ht="6.96" customHeight="1">
      <c r="A28" s="32"/>
      <c r="B28" s="38"/>
      <c r="C28" s="32"/>
      <c r="D28" s="32"/>
      <c r="E28" s="32"/>
      <c r="F28" s="32"/>
      <c r="G28" s="32"/>
      <c r="H28" s="32"/>
      <c r="I28" s="32"/>
      <c r="J28" s="32"/>
      <c r="K28" s="32"/>
      <c r="L28" s="5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="2" customFormat="1" ht="6.96" customHeight="1">
      <c r="A29" s="32"/>
      <c r="B29" s="38"/>
      <c r="C29" s="32"/>
      <c r="D29" s="143"/>
      <c r="E29" s="143"/>
      <c r="F29" s="143"/>
      <c r="G29" s="143"/>
      <c r="H29" s="143"/>
      <c r="I29" s="143"/>
      <c r="J29" s="143"/>
      <c r="K29" s="143"/>
      <c r="L29" s="5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="2" customFormat="1" ht="25.44" customHeight="1">
      <c r="A30" s="32"/>
      <c r="B30" s="38"/>
      <c r="C30" s="32"/>
      <c r="D30" s="144" t="s">
        <v>34</v>
      </c>
      <c r="E30" s="32"/>
      <c r="F30" s="32"/>
      <c r="G30" s="32"/>
      <c r="H30" s="32"/>
      <c r="I30" s="32"/>
      <c r="J30" s="145">
        <f>ROUND(J133, 2)</f>
        <v>4810986.2800000003</v>
      </c>
      <c r="K30" s="32"/>
      <c r="L30" s="5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="2" customFormat="1" ht="6.96" customHeight="1">
      <c r="A31" s="32"/>
      <c r="B31" s="38"/>
      <c r="C31" s="32"/>
      <c r="D31" s="143"/>
      <c r="E31" s="143"/>
      <c r="F31" s="143"/>
      <c r="G31" s="143"/>
      <c r="H31" s="143"/>
      <c r="I31" s="143"/>
      <c r="J31" s="143"/>
      <c r="K31" s="143"/>
      <c r="L31" s="5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="2" customFormat="1" ht="14.4" customHeight="1">
      <c r="A32" s="32"/>
      <c r="B32" s="38"/>
      <c r="C32" s="32"/>
      <c r="D32" s="32"/>
      <c r="E32" s="32"/>
      <c r="F32" s="146" t="s">
        <v>36</v>
      </c>
      <c r="G32" s="32"/>
      <c r="H32" s="32"/>
      <c r="I32" s="146" t="s">
        <v>35</v>
      </c>
      <c r="J32" s="146" t="s">
        <v>37</v>
      </c>
      <c r="K32" s="32"/>
      <c r="L32" s="5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="2" customFormat="1" ht="14.4" customHeight="1">
      <c r="A33" s="32"/>
      <c r="B33" s="38"/>
      <c r="C33" s="32"/>
      <c r="D33" s="147" t="s">
        <v>38</v>
      </c>
      <c r="E33" s="134" t="s">
        <v>39</v>
      </c>
      <c r="F33" s="148">
        <f>ROUND((SUM(BE133:BE362)),  2)</f>
        <v>4810986.2800000003</v>
      </c>
      <c r="G33" s="32"/>
      <c r="H33" s="32"/>
      <c r="I33" s="149">
        <v>0.20999999999999999</v>
      </c>
      <c r="J33" s="148">
        <f>ROUND(((SUM(BE133:BE362))*I33),  2)</f>
        <v>1010307.12</v>
      </c>
      <c r="K33" s="32"/>
      <c r="L33" s="5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="2" customFormat="1" ht="14.4" customHeight="1">
      <c r="A34" s="32"/>
      <c r="B34" s="38"/>
      <c r="C34" s="32"/>
      <c r="D34" s="32"/>
      <c r="E34" s="134" t="s">
        <v>40</v>
      </c>
      <c r="F34" s="148">
        <f>ROUND((SUM(BF133:BF362)),  2)</f>
        <v>0</v>
      </c>
      <c r="G34" s="32"/>
      <c r="H34" s="32"/>
      <c r="I34" s="149">
        <v>0.12</v>
      </c>
      <c r="J34" s="148">
        <f>ROUND(((SUM(BF133:BF362))*I34),  2)</f>
        <v>0</v>
      </c>
      <c r="K34" s="32"/>
      <c r="L34" s="5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idden="1" s="2" customFormat="1" ht="14.4" customHeight="1">
      <c r="A35" s="32"/>
      <c r="B35" s="38"/>
      <c r="C35" s="32"/>
      <c r="D35" s="32"/>
      <c r="E35" s="134" t="s">
        <v>41</v>
      </c>
      <c r="F35" s="148">
        <f>ROUND((SUM(BG133:BG362)),  2)</f>
        <v>0</v>
      </c>
      <c r="G35" s="32"/>
      <c r="H35" s="32"/>
      <c r="I35" s="149">
        <v>0.20999999999999999</v>
      </c>
      <c r="J35" s="148">
        <f>0</f>
        <v>0</v>
      </c>
      <c r="K35" s="32"/>
      <c r="L35" s="5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idden="1" s="2" customFormat="1" ht="14.4" customHeight="1">
      <c r="A36" s="32"/>
      <c r="B36" s="38"/>
      <c r="C36" s="32"/>
      <c r="D36" s="32"/>
      <c r="E36" s="134" t="s">
        <v>42</v>
      </c>
      <c r="F36" s="148">
        <f>ROUND((SUM(BH133:BH362)),  2)</f>
        <v>0</v>
      </c>
      <c r="G36" s="32"/>
      <c r="H36" s="32"/>
      <c r="I36" s="149">
        <v>0.12</v>
      </c>
      <c r="J36" s="148">
        <f>0</f>
        <v>0</v>
      </c>
      <c r="K36" s="32"/>
      <c r="L36" s="5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idden="1" s="2" customFormat="1" ht="14.4" customHeight="1">
      <c r="A37" s="32"/>
      <c r="B37" s="38"/>
      <c r="C37" s="32"/>
      <c r="D37" s="32"/>
      <c r="E37" s="134" t="s">
        <v>43</v>
      </c>
      <c r="F37" s="148">
        <f>ROUND((SUM(BI133:BI362)),  2)</f>
        <v>0</v>
      </c>
      <c r="G37" s="32"/>
      <c r="H37" s="32"/>
      <c r="I37" s="149">
        <v>0</v>
      </c>
      <c r="J37" s="148">
        <f>0</f>
        <v>0</v>
      </c>
      <c r="K37" s="32"/>
      <c r="L37" s="5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="2" customFormat="1" ht="6.96" customHeight="1">
      <c r="A38" s="32"/>
      <c r="B38" s="38"/>
      <c r="C38" s="32"/>
      <c r="D38" s="32"/>
      <c r="E38" s="32"/>
      <c r="F38" s="32"/>
      <c r="G38" s="32"/>
      <c r="H38" s="32"/>
      <c r="I38" s="32"/>
      <c r="J38" s="32"/>
      <c r="K38" s="32"/>
      <c r="L38" s="5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="2" customFormat="1" ht="25.44" customHeight="1">
      <c r="A39" s="32"/>
      <c r="B39" s="38"/>
      <c r="C39" s="150"/>
      <c r="D39" s="151" t="s">
        <v>44</v>
      </c>
      <c r="E39" s="152"/>
      <c r="F39" s="152"/>
      <c r="G39" s="153" t="s">
        <v>45</v>
      </c>
      <c r="H39" s="154" t="s">
        <v>46</v>
      </c>
      <c r="I39" s="152"/>
      <c r="J39" s="155">
        <f>SUM(J30:J37)</f>
        <v>5821293.4000000004</v>
      </c>
      <c r="K39" s="156"/>
      <c r="L39" s="5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="2" customFormat="1" ht="14.4" customHeight="1">
      <c r="A40" s="32"/>
      <c r="B40" s="38"/>
      <c r="C40" s="32"/>
      <c r="D40" s="32"/>
      <c r="E40" s="32"/>
      <c r="F40" s="32"/>
      <c r="G40" s="32"/>
      <c r="H40" s="32"/>
      <c r="I40" s="32"/>
      <c r="J40" s="32"/>
      <c r="K40" s="32"/>
      <c r="L40" s="5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="1" customFormat="1" ht="14.4" customHeight="1">
      <c r="B41" s="20"/>
      <c r="L41" s="20"/>
    </row>
    <row r="42" s="1" customFormat="1" ht="14.4" customHeight="1">
      <c r="B42" s="20"/>
      <c r="L42" s="20"/>
    </row>
    <row r="43" s="1" customFormat="1" ht="14.4" customHeight="1">
      <c r="B43" s="20"/>
      <c r="L43" s="20"/>
    </row>
    <row r="44" s="1" customFormat="1" ht="14.4" customHeight="1">
      <c r="B44" s="20"/>
      <c r="L44" s="20"/>
    </row>
    <row r="45" s="1" customFormat="1" ht="14.4" customHeight="1">
      <c r="B45" s="20"/>
      <c r="L45" s="20"/>
    </row>
    <row r="46" s="1" customFormat="1" ht="14.4" customHeight="1">
      <c r="B46" s="20"/>
      <c r="L46" s="20"/>
    </row>
    <row r="47" s="1" customFormat="1" ht="14.4" customHeight="1">
      <c r="B47" s="20"/>
      <c r="L47" s="20"/>
    </row>
    <row r="48" s="1" customFormat="1" ht="14.4" customHeight="1">
      <c r="B48" s="20"/>
      <c r="L48" s="20"/>
    </row>
    <row r="49" s="1" customFormat="1" ht="14.4" customHeight="1">
      <c r="B49" s="20"/>
      <c r="L49" s="20"/>
    </row>
    <row r="50" s="2" customFormat="1" ht="14.4" customHeight="1">
      <c r="B50" s="56"/>
      <c r="D50" s="157" t="s">
        <v>47</v>
      </c>
      <c r="E50" s="158"/>
      <c r="F50" s="158"/>
      <c r="G50" s="157" t="s">
        <v>48</v>
      </c>
      <c r="H50" s="158"/>
      <c r="I50" s="158"/>
      <c r="J50" s="158"/>
      <c r="K50" s="158"/>
      <c r="L50" s="56"/>
    </row>
    <row r="51">
      <c r="B51" s="20"/>
      <c r="L51" s="20"/>
    </row>
    <row r="52">
      <c r="B52" s="20"/>
      <c r="L52" s="20"/>
    </row>
    <row r="53">
      <c r="B53" s="20"/>
      <c r="L53" s="20"/>
    </row>
    <row r="54">
      <c r="B54" s="20"/>
      <c r="L54" s="20"/>
    </row>
    <row r="55">
      <c r="B55" s="20"/>
      <c r="L55" s="20"/>
    </row>
    <row r="56">
      <c r="B56" s="20"/>
      <c r="L56" s="20"/>
    </row>
    <row r="57">
      <c r="B57" s="20"/>
      <c r="L57" s="20"/>
    </row>
    <row r="58">
      <c r="B58" s="20"/>
      <c r="L58" s="20"/>
    </row>
    <row r="59">
      <c r="B59" s="20"/>
      <c r="L59" s="20"/>
    </row>
    <row r="60">
      <c r="B60" s="20"/>
      <c r="L60" s="20"/>
    </row>
    <row r="61" s="2" customFormat="1">
      <c r="A61" s="32"/>
      <c r="B61" s="38"/>
      <c r="C61" s="32"/>
      <c r="D61" s="159" t="s">
        <v>49</v>
      </c>
      <c r="E61" s="160"/>
      <c r="F61" s="161" t="s">
        <v>50</v>
      </c>
      <c r="G61" s="159" t="s">
        <v>49</v>
      </c>
      <c r="H61" s="160"/>
      <c r="I61" s="160"/>
      <c r="J61" s="162" t="s">
        <v>50</v>
      </c>
      <c r="K61" s="160"/>
      <c r="L61" s="5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B62" s="20"/>
      <c r="L62" s="20"/>
    </row>
    <row r="63">
      <c r="B63" s="20"/>
      <c r="L63" s="20"/>
    </row>
    <row r="64">
      <c r="B64" s="20"/>
      <c r="L64" s="20"/>
    </row>
    <row r="65" s="2" customFormat="1">
      <c r="A65" s="32"/>
      <c r="B65" s="38"/>
      <c r="C65" s="32"/>
      <c r="D65" s="157" t="s">
        <v>51</v>
      </c>
      <c r="E65" s="163"/>
      <c r="F65" s="163"/>
      <c r="G65" s="157" t="s">
        <v>52</v>
      </c>
      <c r="H65" s="163"/>
      <c r="I65" s="163"/>
      <c r="J65" s="163"/>
      <c r="K65" s="163"/>
      <c r="L65" s="5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B66" s="20"/>
      <c r="L66" s="20"/>
    </row>
    <row r="67">
      <c r="B67" s="20"/>
      <c r="L67" s="20"/>
    </row>
    <row r="68">
      <c r="B68" s="20"/>
      <c r="L68" s="20"/>
    </row>
    <row r="69">
      <c r="B69" s="20"/>
      <c r="L69" s="20"/>
    </row>
    <row r="70">
      <c r="B70" s="20"/>
      <c r="L70" s="20"/>
    </row>
    <row r="71">
      <c r="B71" s="20"/>
      <c r="L71" s="20"/>
    </row>
    <row r="72">
      <c r="B72" s="20"/>
      <c r="L72" s="20"/>
    </row>
    <row r="73">
      <c r="B73" s="20"/>
      <c r="L73" s="20"/>
    </row>
    <row r="74">
      <c r="B74" s="20"/>
      <c r="L74" s="20"/>
    </row>
    <row r="75">
      <c r="B75" s="20"/>
      <c r="L75" s="20"/>
    </row>
    <row r="76" s="2" customFormat="1">
      <c r="A76" s="32"/>
      <c r="B76" s="38"/>
      <c r="C76" s="32"/>
      <c r="D76" s="159" t="s">
        <v>49</v>
      </c>
      <c r="E76" s="160"/>
      <c r="F76" s="161" t="s">
        <v>50</v>
      </c>
      <c r="G76" s="159" t="s">
        <v>49</v>
      </c>
      <c r="H76" s="160"/>
      <c r="I76" s="160"/>
      <c r="J76" s="162" t="s">
        <v>50</v>
      </c>
      <c r="K76" s="160"/>
      <c r="L76" s="5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="2" customFormat="1" ht="14.4" customHeight="1">
      <c r="A77" s="32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5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81" s="2" customFormat="1" ht="6.96" customHeight="1">
      <c r="A81" s="32"/>
      <c r="B81" s="166"/>
      <c r="C81" s="167"/>
      <c r="D81" s="167"/>
      <c r="E81" s="167"/>
      <c r="F81" s="167"/>
      <c r="G81" s="167"/>
      <c r="H81" s="167"/>
      <c r="I81" s="167"/>
      <c r="J81" s="167"/>
      <c r="K81" s="167"/>
      <c r="L81" s="5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="2" customFormat="1" ht="24.96" customHeight="1">
      <c r="A82" s="32"/>
      <c r="B82" s="33"/>
      <c r="C82" s="23" t="s">
        <v>105</v>
      </c>
      <c r="D82" s="34"/>
      <c r="E82" s="34"/>
      <c r="F82" s="34"/>
      <c r="G82" s="34"/>
      <c r="H82" s="34"/>
      <c r="I82" s="34"/>
      <c r="J82" s="34"/>
      <c r="K82" s="34"/>
      <c r="L82" s="5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5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="2" customFormat="1" ht="12" customHeight="1">
      <c r="A84" s="32"/>
      <c r="B84" s="33"/>
      <c r="C84" s="29" t="s">
        <v>14</v>
      </c>
      <c r="D84" s="34"/>
      <c r="E84" s="34"/>
      <c r="F84" s="34"/>
      <c r="G84" s="34"/>
      <c r="H84" s="34"/>
      <c r="I84" s="34"/>
      <c r="J84" s="34"/>
      <c r="K84" s="34"/>
      <c r="L84" s="5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="2" customFormat="1" ht="16.5" customHeight="1">
      <c r="A85" s="32"/>
      <c r="B85" s="33"/>
      <c r="C85" s="34"/>
      <c r="D85" s="34"/>
      <c r="E85" s="168" t="str">
        <f>E7</f>
        <v>RD Valcha SO1+ SO2</v>
      </c>
      <c r="F85" s="29"/>
      <c r="G85" s="29"/>
      <c r="H85" s="29"/>
      <c r="I85" s="34"/>
      <c r="J85" s="34"/>
      <c r="K85" s="34"/>
      <c r="L85" s="5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="2" customFormat="1" ht="12" customHeight="1">
      <c r="A86" s="32"/>
      <c r="B86" s="33"/>
      <c r="C86" s="29" t="s">
        <v>103</v>
      </c>
      <c r="D86" s="34"/>
      <c r="E86" s="34"/>
      <c r="F86" s="34"/>
      <c r="G86" s="34"/>
      <c r="H86" s="34"/>
      <c r="I86" s="34"/>
      <c r="J86" s="34"/>
      <c r="K86" s="34"/>
      <c r="L86" s="5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="2" customFormat="1" ht="16.5" customHeight="1">
      <c r="A87" s="32"/>
      <c r="B87" s="33"/>
      <c r="C87" s="34"/>
      <c r="D87" s="34"/>
      <c r="E87" s="69" t="str">
        <f>E9</f>
        <v>SO 1 - Dům (RD Valcha)</v>
      </c>
      <c r="F87" s="34"/>
      <c r="G87" s="34"/>
      <c r="H87" s="34"/>
      <c r="I87" s="34"/>
      <c r="J87" s="34"/>
      <c r="K87" s="34"/>
      <c r="L87" s="5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5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="2" customFormat="1" ht="12" customHeight="1">
      <c r="A89" s="32"/>
      <c r="B89" s="33"/>
      <c r="C89" s="29" t="s">
        <v>20</v>
      </c>
      <c r="D89" s="34"/>
      <c r="E89" s="34"/>
      <c r="F89" s="26" t="str">
        <f>F12</f>
        <v xml:space="preserve"> </v>
      </c>
      <c r="G89" s="34"/>
      <c r="H89" s="34"/>
      <c r="I89" s="29" t="s">
        <v>22</v>
      </c>
      <c r="J89" s="72" t="str">
        <f>IF(J12="","",J12)</f>
        <v>8. 9. 2025</v>
      </c>
      <c r="K89" s="34"/>
      <c r="L89" s="5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="2" customFormat="1" ht="6.96" customHeight="1">
      <c r="A90" s="3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5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="2" customFormat="1" ht="15.15" customHeight="1">
      <c r="A91" s="32"/>
      <c r="B91" s="33"/>
      <c r="C91" s="29" t="s">
        <v>26</v>
      </c>
      <c r="D91" s="34"/>
      <c r="E91" s="34"/>
      <c r="F91" s="26" t="str">
        <f>E15</f>
        <v xml:space="preserve"> </v>
      </c>
      <c r="G91" s="34"/>
      <c r="H91" s="34"/>
      <c r="I91" s="29" t="s">
        <v>30</v>
      </c>
      <c r="J91" s="30" t="str">
        <f>E21</f>
        <v xml:space="preserve"> </v>
      </c>
      <c r="K91" s="34"/>
      <c r="L91" s="5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="2" customFormat="1" ht="15.15" customHeight="1">
      <c r="A92" s="32"/>
      <c r="B92" s="33"/>
      <c r="C92" s="29" t="s">
        <v>29</v>
      </c>
      <c r="D92" s="34"/>
      <c r="E92" s="34"/>
      <c r="F92" s="26" t="str">
        <f>IF(E18="","",E18)</f>
        <v xml:space="preserve"> </v>
      </c>
      <c r="G92" s="34"/>
      <c r="H92" s="34"/>
      <c r="I92" s="29" t="s">
        <v>31</v>
      </c>
      <c r="J92" s="30" t="str">
        <f>E24</f>
        <v xml:space="preserve"> </v>
      </c>
      <c r="K92" s="34"/>
      <c r="L92" s="5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="2" customFormat="1" ht="10.32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5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="2" customFormat="1" ht="29.28" customHeight="1">
      <c r="A94" s="32"/>
      <c r="B94" s="33"/>
      <c r="C94" s="169" t="s">
        <v>106</v>
      </c>
      <c r="D94" s="170"/>
      <c r="E94" s="170"/>
      <c r="F94" s="170"/>
      <c r="G94" s="170"/>
      <c r="H94" s="170"/>
      <c r="I94" s="170"/>
      <c r="J94" s="171" t="s">
        <v>107</v>
      </c>
      <c r="K94" s="170"/>
      <c r="L94" s="5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="2" customFormat="1" ht="10.32" customHeight="1">
      <c r="A95" s="32"/>
      <c r="B95" s="33"/>
      <c r="C95" s="34"/>
      <c r="D95" s="34"/>
      <c r="E95" s="34"/>
      <c r="F95" s="34"/>
      <c r="G95" s="34"/>
      <c r="H95" s="34"/>
      <c r="I95" s="34"/>
      <c r="J95" s="34"/>
      <c r="K95" s="34"/>
      <c r="L95" s="5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="2" customFormat="1" ht="22.8" customHeight="1">
      <c r="A96" s="32"/>
      <c r="B96" s="33"/>
      <c r="C96" s="172" t="s">
        <v>108</v>
      </c>
      <c r="D96" s="34"/>
      <c r="E96" s="34"/>
      <c r="F96" s="34"/>
      <c r="G96" s="34"/>
      <c r="H96" s="34"/>
      <c r="I96" s="34"/>
      <c r="J96" s="103">
        <f>J133</f>
        <v>4810986.2799999993</v>
      </c>
      <c r="K96" s="34"/>
      <c r="L96" s="5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U96" s="17" t="s">
        <v>109</v>
      </c>
    </row>
    <row r="97" s="9" customFormat="1" ht="24.96" customHeight="1">
      <c r="A97" s="9"/>
      <c r="B97" s="173"/>
      <c r="C97" s="174"/>
      <c r="D97" s="175" t="s">
        <v>110</v>
      </c>
      <c r="E97" s="176"/>
      <c r="F97" s="176"/>
      <c r="G97" s="176"/>
      <c r="H97" s="176"/>
      <c r="I97" s="176"/>
      <c r="J97" s="177">
        <f>J134</f>
        <v>2763762.7399999998</v>
      </c>
      <c r="K97" s="174"/>
      <c r="L97" s="178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79"/>
      <c r="C98" s="180"/>
      <c r="D98" s="181" t="s">
        <v>111</v>
      </c>
      <c r="E98" s="182"/>
      <c r="F98" s="182"/>
      <c r="G98" s="182"/>
      <c r="H98" s="182"/>
      <c r="I98" s="182"/>
      <c r="J98" s="183">
        <f>J135</f>
        <v>62945.770000000004</v>
      </c>
      <c r="K98" s="180"/>
      <c r="L98" s="184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79"/>
      <c r="C99" s="180"/>
      <c r="D99" s="181" t="s">
        <v>112</v>
      </c>
      <c r="E99" s="182"/>
      <c r="F99" s="182"/>
      <c r="G99" s="182"/>
      <c r="H99" s="182"/>
      <c r="I99" s="182"/>
      <c r="J99" s="183">
        <f>J156</f>
        <v>631569.23999999999</v>
      </c>
      <c r="K99" s="180"/>
      <c r="L99" s="184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79"/>
      <c r="C100" s="180"/>
      <c r="D100" s="181" t="s">
        <v>113</v>
      </c>
      <c r="E100" s="182"/>
      <c r="F100" s="182"/>
      <c r="G100" s="182"/>
      <c r="H100" s="182"/>
      <c r="I100" s="182"/>
      <c r="J100" s="183">
        <f>J179</f>
        <v>861994.05999999994</v>
      </c>
      <c r="K100" s="180"/>
      <c r="L100" s="184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79"/>
      <c r="C101" s="180"/>
      <c r="D101" s="181" t="s">
        <v>114</v>
      </c>
      <c r="E101" s="182"/>
      <c r="F101" s="182"/>
      <c r="G101" s="182"/>
      <c r="H101" s="182"/>
      <c r="I101" s="182"/>
      <c r="J101" s="183">
        <f>J219</f>
        <v>775200.84999999998</v>
      </c>
      <c r="K101" s="180"/>
      <c r="L101" s="184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79"/>
      <c r="C102" s="180"/>
      <c r="D102" s="181" t="s">
        <v>115</v>
      </c>
      <c r="E102" s="182"/>
      <c r="F102" s="182"/>
      <c r="G102" s="182"/>
      <c r="H102" s="182"/>
      <c r="I102" s="182"/>
      <c r="J102" s="183">
        <f>J236</f>
        <v>432052.81999999995</v>
      </c>
      <c r="K102" s="180"/>
      <c r="L102" s="184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9" customFormat="1" ht="24.96" customHeight="1">
      <c r="A103" s="9"/>
      <c r="B103" s="173"/>
      <c r="C103" s="174"/>
      <c r="D103" s="175" t="s">
        <v>116</v>
      </c>
      <c r="E103" s="176"/>
      <c r="F103" s="176"/>
      <c r="G103" s="176"/>
      <c r="H103" s="176"/>
      <c r="I103" s="176"/>
      <c r="J103" s="177">
        <f>J253</f>
        <v>2047223.54</v>
      </c>
      <c r="K103" s="174"/>
      <c r="L103" s="178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="10" customFormat="1" ht="19.92" customHeight="1">
      <c r="A104" s="10"/>
      <c r="B104" s="179"/>
      <c r="C104" s="180"/>
      <c r="D104" s="181" t="s">
        <v>117</v>
      </c>
      <c r="E104" s="182"/>
      <c r="F104" s="182"/>
      <c r="G104" s="182"/>
      <c r="H104" s="182"/>
      <c r="I104" s="182"/>
      <c r="J104" s="183">
        <f>J254</f>
        <v>93810.840000000011</v>
      </c>
      <c r="K104" s="180"/>
      <c r="L104" s="184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79"/>
      <c r="C105" s="180"/>
      <c r="D105" s="181" t="s">
        <v>118</v>
      </c>
      <c r="E105" s="182"/>
      <c r="F105" s="182"/>
      <c r="G105" s="182"/>
      <c r="H105" s="182"/>
      <c r="I105" s="182"/>
      <c r="J105" s="183">
        <f>J261</f>
        <v>287088.37</v>
      </c>
      <c r="K105" s="180"/>
      <c r="L105" s="184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10" customFormat="1" ht="19.92" customHeight="1">
      <c r="A106" s="10"/>
      <c r="B106" s="179"/>
      <c r="C106" s="180"/>
      <c r="D106" s="181" t="s">
        <v>119</v>
      </c>
      <c r="E106" s="182"/>
      <c r="F106" s="182"/>
      <c r="G106" s="182"/>
      <c r="H106" s="182"/>
      <c r="I106" s="182"/>
      <c r="J106" s="183">
        <f>J272</f>
        <v>92100</v>
      </c>
      <c r="K106" s="180"/>
      <c r="L106" s="184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="10" customFormat="1" ht="19.92" customHeight="1">
      <c r="A107" s="10"/>
      <c r="B107" s="179"/>
      <c r="C107" s="180"/>
      <c r="D107" s="181" t="s">
        <v>120</v>
      </c>
      <c r="E107" s="182"/>
      <c r="F107" s="182"/>
      <c r="G107" s="182"/>
      <c r="H107" s="182"/>
      <c r="I107" s="182"/>
      <c r="J107" s="183">
        <f>J275</f>
        <v>245498.79000000001</v>
      </c>
      <c r="K107" s="180"/>
      <c r="L107" s="184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79"/>
      <c r="C108" s="180"/>
      <c r="D108" s="181" t="s">
        <v>121</v>
      </c>
      <c r="E108" s="182"/>
      <c r="F108" s="182"/>
      <c r="G108" s="182"/>
      <c r="H108" s="182"/>
      <c r="I108" s="182"/>
      <c r="J108" s="183">
        <f>J286</f>
        <v>64255.32</v>
      </c>
      <c r="K108" s="180"/>
      <c r="L108" s="184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10" customFormat="1" ht="19.92" customHeight="1">
      <c r="A109" s="10"/>
      <c r="B109" s="179"/>
      <c r="C109" s="180"/>
      <c r="D109" s="181" t="s">
        <v>122</v>
      </c>
      <c r="E109" s="182"/>
      <c r="F109" s="182"/>
      <c r="G109" s="182"/>
      <c r="H109" s="182"/>
      <c r="I109" s="182"/>
      <c r="J109" s="183">
        <f>J293</f>
        <v>15979</v>
      </c>
      <c r="K109" s="180"/>
      <c r="L109" s="184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="10" customFormat="1" ht="19.92" customHeight="1">
      <c r="A110" s="10"/>
      <c r="B110" s="179"/>
      <c r="C110" s="180"/>
      <c r="D110" s="181" t="s">
        <v>123</v>
      </c>
      <c r="E110" s="182"/>
      <c r="F110" s="182"/>
      <c r="G110" s="182"/>
      <c r="H110" s="182"/>
      <c r="I110" s="182"/>
      <c r="J110" s="183">
        <f>J299</f>
        <v>698322.51000000013</v>
      </c>
      <c r="K110" s="180"/>
      <c r="L110" s="184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="10" customFormat="1" ht="19.92" customHeight="1">
      <c r="A111" s="10"/>
      <c r="B111" s="179"/>
      <c r="C111" s="180"/>
      <c r="D111" s="181" t="s">
        <v>124</v>
      </c>
      <c r="E111" s="182"/>
      <c r="F111" s="182"/>
      <c r="G111" s="182"/>
      <c r="H111" s="182"/>
      <c r="I111" s="182"/>
      <c r="J111" s="183">
        <f>J327</f>
        <v>318286.40999999997</v>
      </c>
      <c r="K111" s="180"/>
      <c r="L111" s="184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="10" customFormat="1" ht="19.92" customHeight="1">
      <c r="A112" s="10"/>
      <c r="B112" s="179"/>
      <c r="C112" s="180"/>
      <c r="D112" s="181" t="s">
        <v>125</v>
      </c>
      <c r="E112" s="182"/>
      <c r="F112" s="182"/>
      <c r="G112" s="182"/>
      <c r="H112" s="182"/>
      <c r="I112" s="182"/>
      <c r="J112" s="183">
        <f>J355</f>
        <v>69853.5</v>
      </c>
      <c r="K112" s="180"/>
      <c r="L112" s="184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="10" customFormat="1" ht="19.92" customHeight="1">
      <c r="A113" s="10"/>
      <c r="B113" s="179"/>
      <c r="C113" s="180"/>
      <c r="D113" s="181" t="s">
        <v>126</v>
      </c>
      <c r="E113" s="182"/>
      <c r="F113" s="182"/>
      <c r="G113" s="182"/>
      <c r="H113" s="182"/>
      <c r="I113" s="182"/>
      <c r="J113" s="183">
        <f>J359</f>
        <v>162028.79999999999</v>
      </c>
      <c r="K113" s="180"/>
      <c r="L113" s="184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="2" customFormat="1" ht="21.84" customHeight="1">
      <c r="A114" s="32"/>
      <c r="B114" s="33"/>
      <c r="C114" s="34"/>
      <c r="D114" s="34"/>
      <c r="E114" s="34"/>
      <c r="F114" s="34"/>
      <c r="G114" s="34"/>
      <c r="H114" s="34"/>
      <c r="I114" s="34"/>
      <c r="J114" s="34"/>
      <c r="K114" s="34"/>
      <c r="L114" s="5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s="2" customFormat="1" ht="6.96" customHeight="1">
      <c r="A115" s="32"/>
      <c r="B115" s="59"/>
      <c r="C115" s="60"/>
      <c r="D115" s="60"/>
      <c r="E115" s="60"/>
      <c r="F115" s="60"/>
      <c r="G115" s="60"/>
      <c r="H115" s="60"/>
      <c r="I115" s="60"/>
      <c r="J115" s="60"/>
      <c r="K115" s="60"/>
      <c r="L115" s="5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9" s="2" customFormat="1" ht="6.96" customHeight="1">
      <c r="A119" s="32"/>
      <c r="B119" s="61"/>
      <c r="C119" s="62"/>
      <c r="D119" s="62"/>
      <c r="E119" s="62"/>
      <c r="F119" s="62"/>
      <c r="G119" s="62"/>
      <c r="H119" s="62"/>
      <c r="I119" s="62"/>
      <c r="J119" s="62"/>
      <c r="K119" s="62"/>
      <c r="L119" s="5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="2" customFormat="1" ht="24.96" customHeight="1">
      <c r="A120" s="32"/>
      <c r="B120" s="33"/>
      <c r="C120" s="23" t="s">
        <v>127</v>
      </c>
      <c r="D120" s="34"/>
      <c r="E120" s="34"/>
      <c r="F120" s="34"/>
      <c r="G120" s="34"/>
      <c r="H120" s="34"/>
      <c r="I120" s="34"/>
      <c r="J120" s="34"/>
      <c r="K120" s="34"/>
      <c r="L120" s="5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s="2" customFormat="1" ht="6.96" customHeight="1">
      <c r="A121" s="32"/>
      <c r="B121" s="33"/>
      <c r="C121" s="34"/>
      <c r="D121" s="34"/>
      <c r="E121" s="34"/>
      <c r="F121" s="34"/>
      <c r="G121" s="34"/>
      <c r="H121" s="34"/>
      <c r="I121" s="34"/>
      <c r="J121" s="34"/>
      <c r="K121" s="34"/>
      <c r="L121" s="5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s="2" customFormat="1" ht="12" customHeight="1">
      <c r="A122" s="32"/>
      <c r="B122" s="33"/>
      <c r="C122" s="29" t="s">
        <v>14</v>
      </c>
      <c r="D122" s="34"/>
      <c r="E122" s="34"/>
      <c r="F122" s="34"/>
      <c r="G122" s="34"/>
      <c r="H122" s="34"/>
      <c r="I122" s="34"/>
      <c r="J122" s="34"/>
      <c r="K122" s="34"/>
      <c r="L122" s="5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s="2" customFormat="1" ht="16.5" customHeight="1">
      <c r="A123" s="32"/>
      <c r="B123" s="33"/>
      <c r="C123" s="34"/>
      <c r="D123" s="34"/>
      <c r="E123" s="168" t="str">
        <f>E7</f>
        <v>RD Valcha SO1+ SO2</v>
      </c>
      <c r="F123" s="29"/>
      <c r="G123" s="29"/>
      <c r="H123" s="29"/>
      <c r="I123" s="34"/>
      <c r="J123" s="34"/>
      <c r="K123" s="34"/>
      <c r="L123" s="5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s="2" customFormat="1" ht="12" customHeight="1">
      <c r="A124" s="32"/>
      <c r="B124" s="33"/>
      <c r="C124" s="29" t="s">
        <v>103</v>
      </c>
      <c r="D124" s="34"/>
      <c r="E124" s="34"/>
      <c r="F124" s="34"/>
      <c r="G124" s="34"/>
      <c r="H124" s="34"/>
      <c r="I124" s="34"/>
      <c r="J124" s="34"/>
      <c r="K124" s="34"/>
      <c r="L124" s="5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s="2" customFormat="1" ht="16.5" customHeight="1">
      <c r="A125" s="32"/>
      <c r="B125" s="33"/>
      <c r="C125" s="34"/>
      <c r="D125" s="34"/>
      <c r="E125" s="69" t="str">
        <f>E9</f>
        <v>SO 1 - Dům (RD Valcha)</v>
      </c>
      <c r="F125" s="34"/>
      <c r="G125" s="34"/>
      <c r="H125" s="34"/>
      <c r="I125" s="34"/>
      <c r="J125" s="34"/>
      <c r="K125" s="34"/>
      <c r="L125" s="5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s="2" customFormat="1" ht="6.96" customHeight="1">
      <c r="A126" s="32"/>
      <c r="B126" s="33"/>
      <c r="C126" s="34"/>
      <c r="D126" s="34"/>
      <c r="E126" s="34"/>
      <c r="F126" s="34"/>
      <c r="G126" s="34"/>
      <c r="H126" s="34"/>
      <c r="I126" s="34"/>
      <c r="J126" s="34"/>
      <c r="K126" s="34"/>
      <c r="L126" s="5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s="2" customFormat="1" ht="12" customHeight="1">
      <c r="A127" s="32"/>
      <c r="B127" s="33"/>
      <c r="C127" s="29" t="s">
        <v>20</v>
      </c>
      <c r="D127" s="34"/>
      <c r="E127" s="34"/>
      <c r="F127" s="26" t="str">
        <f>F12</f>
        <v xml:space="preserve"> </v>
      </c>
      <c r="G127" s="34"/>
      <c r="H127" s="34"/>
      <c r="I127" s="29" t="s">
        <v>22</v>
      </c>
      <c r="J127" s="72" t="str">
        <f>IF(J12="","",J12)</f>
        <v>8. 9. 2025</v>
      </c>
      <c r="K127" s="34"/>
      <c r="L127" s="5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s="2" customFormat="1" ht="6.96" customHeight="1">
      <c r="A128" s="32"/>
      <c r="B128" s="33"/>
      <c r="C128" s="34"/>
      <c r="D128" s="34"/>
      <c r="E128" s="34"/>
      <c r="F128" s="34"/>
      <c r="G128" s="34"/>
      <c r="H128" s="34"/>
      <c r="I128" s="34"/>
      <c r="J128" s="34"/>
      <c r="K128" s="34"/>
      <c r="L128" s="5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s="2" customFormat="1" ht="15.15" customHeight="1">
      <c r="A129" s="32"/>
      <c r="B129" s="33"/>
      <c r="C129" s="29" t="s">
        <v>26</v>
      </c>
      <c r="D129" s="34"/>
      <c r="E129" s="34"/>
      <c r="F129" s="26" t="str">
        <f>E15</f>
        <v xml:space="preserve"> </v>
      </c>
      <c r="G129" s="34"/>
      <c r="H129" s="34"/>
      <c r="I129" s="29" t="s">
        <v>30</v>
      </c>
      <c r="J129" s="30" t="str">
        <f>E21</f>
        <v xml:space="preserve"> </v>
      </c>
      <c r="K129" s="34"/>
      <c r="L129" s="56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s="2" customFormat="1" ht="15.15" customHeight="1">
      <c r="A130" s="32"/>
      <c r="B130" s="33"/>
      <c r="C130" s="29" t="s">
        <v>29</v>
      </c>
      <c r="D130" s="34"/>
      <c r="E130" s="34"/>
      <c r="F130" s="26" t="str">
        <f>IF(E18="","",E18)</f>
        <v xml:space="preserve"> </v>
      </c>
      <c r="G130" s="34"/>
      <c r="H130" s="34"/>
      <c r="I130" s="29" t="s">
        <v>31</v>
      </c>
      <c r="J130" s="30" t="str">
        <f>E24</f>
        <v xml:space="preserve"> </v>
      </c>
      <c r="K130" s="34"/>
      <c r="L130" s="56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s="2" customFormat="1" ht="10.32" customHeight="1">
      <c r="A131" s="32"/>
      <c r="B131" s="33"/>
      <c r="C131" s="34"/>
      <c r="D131" s="34"/>
      <c r="E131" s="34"/>
      <c r="F131" s="34"/>
      <c r="G131" s="34"/>
      <c r="H131" s="34"/>
      <c r="I131" s="34"/>
      <c r="J131" s="34"/>
      <c r="K131" s="34"/>
      <c r="L131" s="56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s="11" customFormat="1" ht="29.28" customHeight="1">
      <c r="A132" s="185"/>
      <c r="B132" s="186"/>
      <c r="C132" s="187" t="s">
        <v>128</v>
      </c>
      <c r="D132" s="188" t="s">
        <v>59</v>
      </c>
      <c r="E132" s="188" t="s">
        <v>55</v>
      </c>
      <c r="F132" s="188" t="s">
        <v>56</v>
      </c>
      <c r="G132" s="188" t="s">
        <v>129</v>
      </c>
      <c r="H132" s="188" t="s">
        <v>130</v>
      </c>
      <c r="I132" s="188" t="s">
        <v>131</v>
      </c>
      <c r="J132" s="189" t="s">
        <v>107</v>
      </c>
      <c r="K132" s="190" t="s">
        <v>132</v>
      </c>
      <c r="L132" s="191"/>
      <c r="M132" s="93" t="s">
        <v>1</v>
      </c>
      <c r="N132" s="94" t="s">
        <v>38</v>
      </c>
      <c r="O132" s="94" t="s">
        <v>133</v>
      </c>
      <c r="P132" s="94" t="s">
        <v>134</v>
      </c>
      <c r="Q132" s="94" t="s">
        <v>135</v>
      </c>
      <c r="R132" s="94" t="s">
        <v>136</v>
      </c>
      <c r="S132" s="94" t="s">
        <v>137</v>
      </c>
      <c r="T132" s="95" t="s">
        <v>138</v>
      </c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</row>
    <row r="133" s="2" customFormat="1" ht="22.8" customHeight="1">
      <c r="A133" s="32"/>
      <c r="B133" s="33"/>
      <c r="C133" s="100" t="s">
        <v>139</v>
      </c>
      <c r="D133" s="34"/>
      <c r="E133" s="34"/>
      <c r="F133" s="34"/>
      <c r="G133" s="34"/>
      <c r="H133" s="34"/>
      <c r="I133" s="34"/>
      <c r="J133" s="192">
        <f>BK133</f>
        <v>4810986.2799999993</v>
      </c>
      <c r="K133" s="34"/>
      <c r="L133" s="38"/>
      <c r="M133" s="96"/>
      <c r="N133" s="193"/>
      <c r="O133" s="97"/>
      <c r="P133" s="194">
        <f>P134+P253</f>
        <v>2112.9580709999996</v>
      </c>
      <c r="Q133" s="97"/>
      <c r="R133" s="194">
        <f>R134+R253</f>
        <v>355.86830289557861</v>
      </c>
      <c r="S133" s="97"/>
      <c r="T133" s="195">
        <f>T134+T253</f>
        <v>0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T133" s="17" t="s">
        <v>73</v>
      </c>
      <c r="AU133" s="17" t="s">
        <v>109</v>
      </c>
      <c r="BK133" s="196">
        <f>BK134+BK253</f>
        <v>4810986.2799999993</v>
      </c>
    </row>
    <row r="134" s="12" customFormat="1" ht="25.92" customHeight="1">
      <c r="A134" s="12"/>
      <c r="B134" s="197"/>
      <c r="C134" s="198"/>
      <c r="D134" s="199" t="s">
        <v>73</v>
      </c>
      <c r="E134" s="200" t="s">
        <v>140</v>
      </c>
      <c r="F134" s="200" t="s">
        <v>141</v>
      </c>
      <c r="G134" s="198"/>
      <c r="H134" s="198"/>
      <c r="I134" s="198"/>
      <c r="J134" s="201">
        <f>BK134</f>
        <v>2763762.7399999998</v>
      </c>
      <c r="K134" s="198"/>
      <c r="L134" s="202"/>
      <c r="M134" s="203"/>
      <c r="N134" s="204"/>
      <c r="O134" s="204"/>
      <c r="P134" s="205">
        <f>P135+P156+P179+P219+P236</f>
        <v>1329.5429049999998</v>
      </c>
      <c r="Q134" s="204"/>
      <c r="R134" s="205">
        <f>R135+R156+R179+R219+R236</f>
        <v>343.23709385567861</v>
      </c>
      <c r="S134" s="204"/>
      <c r="T134" s="206">
        <f>T135+T156+T179+T219+T236</f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R134" s="207" t="s">
        <v>19</v>
      </c>
      <c r="AT134" s="208" t="s">
        <v>73</v>
      </c>
      <c r="AU134" s="208" t="s">
        <v>74</v>
      </c>
      <c r="AY134" s="207" t="s">
        <v>142</v>
      </c>
      <c r="BK134" s="209">
        <f>BK135+BK156+BK179+BK219+BK236</f>
        <v>2763762.7399999998</v>
      </c>
    </row>
    <row r="135" s="12" customFormat="1" ht="22.8" customHeight="1">
      <c r="A135" s="12"/>
      <c r="B135" s="197"/>
      <c r="C135" s="198"/>
      <c r="D135" s="199" t="s">
        <v>73</v>
      </c>
      <c r="E135" s="210" t="s">
        <v>19</v>
      </c>
      <c r="F135" s="210" t="s">
        <v>143</v>
      </c>
      <c r="G135" s="198"/>
      <c r="H135" s="198"/>
      <c r="I135" s="198"/>
      <c r="J135" s="211">
        <f>BK135</f>
        <v>62945.770000000004</v>
      </c>
      <c r="K135" s="198"/>
      <c r="L135" s="202"/>
      <c r="M135" s="203"/>
      <c r="N135" s="204"/>
      <c r="O135" s="204"/>
      <c r="P135" s="205">
        <f>SUM(P136:P155)</f>
        <v>63.889762000000005</v>
      </c>
      <c r="Q135" s="204"/>
      <c r="R135" s="205">
        <f>SUM(R136:R155)</f>
        <v>0</v>
      </c>
      <c r="S135" s="204"/>
      <c r="T135" s="206">
        <f>SUM(T136:T155)</f>
        <v>0</v>
      </c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R135" s="207" t="s">
        <v>19</v>
      </c>
      <c r="AT135" s="208" t="s">
        <v>73</v>
      </c>
      <c r="AU135" s="208" t="s">
        <v>19</v>
      </c>
      <c r="AY135" s="207" t="s">
        <v>142</v>
      </c>
      <c r="BK135" s="209">
        <f>SUM(BK136:BK155)</f>
        <v>62945.770000000004</v>
      </c>
    </row>
    <row r="136" s="2" customFormat="1" ht="24.15" customHeight="1">
      <c r="A136" s="32"/>
      <c r="B136" s="33"/>
      <c r="C136" s="212" t="s">
        <v>19</v>
      </c>
      <c r="D136" s="212" t="s">
        <v>144</v>
      </c>
      <c r="E136" s="213" t="s">
        <v>145</v>
      </c>
      <c r="F136" s="214" t="s">
        <v>146</v>
      </c>
      <c r="G136" s="215" t="s">
        <v>96</v>
      </c>
      <c r="H136" s="216">
        <v>123</v>
      </c>
      <c r="I136" s="217">
        <v>29.100000000000001</v>
      </c>
      <c r="J136" s="217">
        <f>ROUND(I136*H136,2)</f>
        <v>3579.3000000000002</v>
      </c>
      <c r="K136" s="218"/>
      <c r="L136" s="38"/>
      <c r="M136" s="219" t="s">
        <v>1</v>
      </c>
      <c r="N136" s="220" t="s">
        <v>39</v>
      </c>
      <c r="O136" s="221">
        <v>0.025999999999999999</v>
      </c>
      <c r="P136" s="221">
        <f>O136*H136</f>
        <v>3.198</v>
      </c>
      <c r="Q136" s="221">
        <v>0</v>
      </c>
      <c r="R136" s="221">
        <f>Q136*H136</f>
        <v>0</v>
      </c>
      <c r="S136" s="221">
        <v>0</v>
      </c>
      <c r="T136" s="222">
        <f>S136*H136</f>
        <v>0</v>
      </c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R136" s="223" t="s">
        <v>147</v>
      </c>
      <c r="AT136" s="223" t="s">
        <v>144</v>
      </c>
      <c r="AU136" s="223" t="s">
        <v>83</v>
      </c>
      <c r="AY136" s="17" t="s">
        <v>142</v>
      </c>
      <c r="BE136" s="224">
        <f>IF(N136="základní",J136,0)</f>
        <v>3579.3000000000002</v>
      </c>
      <c r="BF136" s="224">
        <f>IF(N136="snížená",J136,0)</f>
        <v>0</v>
      </c>
      <c r="BG136" s="224">
        <f>IF(N136="zákl. přenesená",J136,0)</f>
        <v>0</v>
      </c>
      <c r="BH136" s="224">
        <f>IF(N136="sníž. přenesená",J136,0)</f>
        <v>0</v>
      </c>
      <c r="BI136" s="224">
        <f>IF(N136="nulová",J136,0)</f>
        <v>0</v>
      </c>
      <c r="BJ136" s="17" t="s">
        <v>19</v>
      </c>
      <c r="BK136" s="224">
        <f>ROUND(I136*H136,2)</f>
        <v>3579.3000000000002</v>
      </c>
      <c r="BL136" s="17" t="s">
        <v>147</v>
      </c>
      <c r="BM136" s="223" t="s">
        <v>148</v>
      </c>
    </row>
    <row r="137" s="13" customFormat="1">
      <c r="A137" s="13"/>
      <c r="B137" s="225"/>
      <c r="C137" s="226"/>
      <c r="D137" s="227" t="s">
        <v>149</v>
      </c>
      <c r="E137" s="228" t="s">
        <v>1</v>
      </c>
      <c r="F137" s="229" t="s">
        <v>150</v>
      </c>
      <c r="G137" s="226"/>
      <c r="H137" s="230">
        <v>123</v>
      </c>
      <c r="I137" s="226"/>
      <c r="J137" s="226"/>
      <c r="K137" s="226"/>
      <c r="L137" s="231"/>
      <c r="M137" s="232"/>
      <c r="N137" s="233"/>
      <c r="O137" s="233"/>
      <c r="P137" s="233"/>
      <c r="Q137" s="233"/>
      <c r="R137" s="233"/>
      <c r="S137" s="233"/>
      <c r="T137" s="234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T137" s="235" t="s">
        <v>149</v>
      </c>
      <c r="AU137" s="235" t="s">
        <v>83</v>
      </c>
      <c r="AV137" s="13" t="s">
        <v>83</v>
      </c>
      <c r="AW137" s="13" t="s">
        <v>32</v>
      </c>
      <c r="AX137" s="13" t="s">
        <v>74</v>
      </c>
      <c r="AY137" s="235" t="s">
        <v>142</v>
      </c>
    </row>
    <row r="138" s="14" customFormat="1">
      <c r="A138" s="14"/>
      <c r="B138" s="236"/>
      <c r="C138" s="237"/>
      <c r="D138" s="227" t="s">
        <v>149</v>
      </c>
      <c r="E138" s="238" t="s">
        <v>1</v>
      </c>
      <c r="F138" s="239" t="s">
        <v>151</v>
      </c>
      <c r="G138" s="237"/>
      <c r="H138" s="240">
        <v>123</v>
      </c>
      <c r="I138" s="237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T138" s="245" t="s">
        <v>149</v>
      </c>
      <c r="AU138" s="245" t="s">
        <v>83</v>
      </c>
      <c r="AV138" s="14" t="s">
        <v>147</v>
      </c>
      <c r="AW138" s="14" t="s">
        <v>32</v>
      </c>
      <c r="AX138" s="14" t="s">
        <v>19</v>
      </c>
      <c r="AY138" s="245" t="s">
        <v>142</v>
      </c>
    </row>
    <row r="139" s="2" customFormat="1" ht="37.8" customHeight="1">
      <c r="A139" s="32"/>
      <c r="B139" s="33"/>
      <c r="C139" s="212" t="s">
        <v>83</v>
      </c>
      <c r="D139" s="212" t="s">
        <v>144</v>
      </c>
      <c r="E139" s="213" t="s">
        <v>152</v>
      </c>
      <c r="F139" s="214" t="s">
        <v>153</v>
      </c>
      <c r="G139" s="215" t="s">
        <v>154</v>
      </c>
      <c r="H139" s="216">
        <v>68.159999999999997</v>
      </c>
      <c r="I139" s="217">
        <v>332</v>
      </c>
      <c r="J139" s="217">
        <f>ROUND(I139*H139,2)</f>
        <v>22629.119999999999</v>
      </c>
      <c r="K139" s="218"/>
      <c r="L139" s="38"/>
      <c r="M139" s="219" t="s">
        <v>1</v>
      </c>
      <c r="N139" s="220" t="s">
        <v>39</v>
      </c>
      <c r="O139" s="221">
        <v>0.39200000000000002</v>
      </c>
      <c r="P139" s="221">
        <f>O139*H139</f>
        <v>26.718720000000001</v>
      </c>
      <c r="Q139" s="221">
        <v>0</v>
      </c>
      <c r="R139" s="221">
        <f>Q139*H139</f>
        <v>0</v>
      </c>
      <c r="S139" s="221">
        <v>0</v>
      </c>
      <c r="T139" s="222">
        <f>S139*H139</f>
        <v>0</v>
      </c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R139" s="223" t="s">
        <v>147</v>
      </c>
      <c r="AT139" s="223" t="s">
        <v>144</v>
      </c>
      <c r="AU139" s="223" t="s">
        <v>83</v>
      </c>
      <c r="AY139" s="17" t="s">
        <v>142</v>
      </c>
      <c r="BE139" s="224">
        <f>IF(N139="základní",J139,0)</f>
        <v>22629.119999999999</v>
      </c>
      <c r="BF139" s="224">
        <f>IF(N139="snížená",J139,0)</f>
        <v>0</v>
      </c>
      <c r="BG139" s="224">
        <f>IF(N139="zákl. přenesená",J139,0)</f>
        <v>0</v>
      </c>
      <c r="BH139" s="224">
        <f>IF(N139="sníž. přenesená",J139,0)</f>
        <v>0</v>
      </c>
      <c r="BI139" s="224">
        <f>IF(N139="nulová",J139,0)</f>
        <v>0</v>
      </c>
      <c r="BJ139" s="17" t="s">
        <v>19</v>
      </c>
      <c r="BK139" s="224">
        <f>ROUND(I139*H139,2)</f>
        <v>22629.119999999999</v>
      </c>
      <c r="BL139" s="17" t="s">
        <v>147</v>
      </c>
      <c r="BM139" s="223" t="s">
        <v>83</v>
      </c>
    </row>
    <row r="140" s="13" customFormat="1">
      <c r="A140" s="13"/>
      <c r="B140" s="225"/>
      <c r="C140" s="226"/>
      <c r="D140" s="227" t="s">
        <v>149</v>
      </c>
      <c r="E140" s="228" t="s">
        <v>1</v>
      </c>
      <c r="F140" s="229" t="s">
        <v>155</v>
      </c>
      <c r="G140" s="226"/>
      <c r="H140" s="230">
        <v>68.159999999999997</v>
      </c>
      <c r="I140" s="226"/>
      <c r="J140" s="226"/>
      <c r="K140" s="226"/>
      <c r="L140" s="231"/>
      <c r="M140" s="232"/>
      <c r="N140" s="233"/>
      <c r="O140" s="233"/>
      <c r="P140" s="233"/>
      <c r="Q140" s="233"/>
      <c r="R140" s="233"/>
      <c r="S140" s="233"/>
      <c r="T140" s="23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35" t="s">
        <v>149</v>
      </c>
      <c r="AU140" s="235" t="s">
        <v>83</v>
      </c>
      <c r="AV140" s="13" t="s">
        <v>83</v>
      </c>
      <c r="AW140" s="13" t="s">
        <v>32</v>
      </c>
      <c r="AX140" s="13" t="s">
        <v>19</v>
      </c>
      <c r="AY140" s="235" t="s">
        <v>142</v>
      </c>
    </row>
    <row r="141" s="2" customFormat="1" ht="24.15" customHeight="1">
      <c r="A141" s="32"/>
      <c r="B141" s="33"/>
      <c r="C141" s="212" t="s">
        <v>98</v>
      </c>
      <c r="D141" s="212" t="s">
        <v>144</v>
      </c>
      <c r="E141" s="213" t="s">
        <v>156</v>
      </c>
      <c r="F141" s="214" t="s">
        <v>157</v>
      </c>
      <c r="G141" s="215" t="s">
        <v>96</v>
      </c>
      <c r="H141" s="216">
        <v>100.8</v>
      </c>
      <c r="I141" s="217">
        <v>52.899999999999999</v>
      </c>
      <c r="J141" s="217">
        <f>ROUND(I141*H141,2)</f>
        <v>5332.3199999999997</v>
      </c>
      <c r="K141" s="218"/>
      <c r="L141" s="38"/>
      <c r="M141" s="219" t="s">
        <v>1</v>
      </c>
      <c r="N141" s="220" t="s">
        <v>39</v>
      </c>
      <c r="O141" s="221">
        <v>0.14899999999999999</v>
      </c>
      <c r="P141" s="221">
        <f>O141*H141</f>
        <v>15.0192</v>
      </c>
      <c r="Q141" s="221">
        <v>0</v>
      </c>
      <c r="R141" s="221">
        <f>Q141*H141</f>
        <v>0</v>
      </c>
      <c r="S141" s="221">
        <v>0</v>
      </c>
      <c r="T141" s="222">
        <f>S141*H141</f>
        <v>0</v>
      </c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R141" s="223" t="s">
        <v>147</v>
      </c>
      <c r="AT141" s="223" t="s">
        <v>144</v>
      </c>
      <c r="AU141" s="223" t="s">
        <v>83</v>
      </c>
      <c r="AY141" s="17" t="s">
        <v>142</v>
      </c>
      <c r="BE141" s="224">
        <f>IF(N141="základní",J141,0)</f>
        <v>5332.3199999999997</v>
      </c>
      <c r="BF141" s="224">
        <f>IF(N141="snížená",J141,0)</f>
        <v>0</v>
      </c>
      <c r="BG141" s="224">
        <f>IF(N141="zákl. přenesená",J141,0)</f>
        <v>0</v>
      </c>
      <c r="BH141" s="224">
        <f>IF(N141="sníž. přenesená",J141,0)</f>
        <v>0</v>
      </c>
      <c r="BI141" s="224">
        <f>IF(N141="nulová",J141,0)</f>
        <v>0</v>
      </c>
      <c r="BJ141" s="17" t="s">
        <v>19</v>
      </c>
      <c r="BK141" s="224">
        <f>ROUND(I141*H141,2)</f>
        <v>5332.3199999999997</v>
      </c>
      <c r="BL141" s="17" t="s">
        <v>147</v>
      </c>
      <c r="BM141" s="223" t="s">
        <v>147</v>
      </c>
    </row>
    <row r="142" s="2" customFormat="1" ht="37.8" customHeight="1">
      <c r="A142" s="32"/>
      <c r="B142" s="33"/>
      <c r="C142" s="212" t="s">
        <v>147</v>
      </c>
      <c r="D142" s="212" t="s">
        <v>144</v>
      </c>
      <c r="E142" s="213" t="s">
        <v>158</v>
      </c>
      <c r="F142" s="214" t="s">
        <v>159</v>
      </c>
      <c r="G142" s="215" t="s">
        <v>154</v>
      </c>
      <c r="H142" s="216">
        <v>42.652999999999999</v>
      </c>
      <c r="I142" s="217">
        <v>48.200000000000003</v>
      </c>
      <c r="J142" s="217">
        <f>ROUND(I142*H142,2)</f>
        <v>2055.8699999999999</v>
      </c>
      <c r="K142" s="218"/>
      <c r="L142" s="38"/>
      <c r="M142" s="219" t="s">
        <v>1</v>
      </c>
      <c r="N142" s="220" t="s">
        <v>39</v>
      </c>
      <c r="O142" s="221">
        <v>0.070000000000000007</v>
      </c>
      <c r="P142" s="221">
        <f>O142*H142</f>
        <v>2.9857100000000001</v>
      </c>
      <c r="Q142" s="221">
        <v>0</v>
      </c>
      <c r="R142" s="221">
        <f>Q142*H142</f>
        <v>0</v>
      </c>
      <c r="S142" s="221">
        <v>0</v>
      </c>
      <c r="T142" s="222">
        <f>S142*H142</f>
        <v>0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R142" s="223" t="s">
        <v>147</v>
      </c>
      <c r="AT142" s="223" t="s">
        <v>144</v>
      </c>
      <c r="AU142" s="223" t="s">
        <v>83</v>
      </c>
      <c r="AY142" s="17" t="s">
        <v>142</v>
      </c>
      <c r="BE142" s="224">
        <f>IF(N142="základní",J142,0)</f>
        <v>2055.8699999999999</v>
      </c>
      <c r="BF142" s="224">
        <f>IF(N142="snížená",J142,0)</f>
        <v>0</v>
      </c>
      <c r="BG142" s="224">
        <f>IF(N142="zákl. přenesená",J142,0)</f>
        <v>0</v>
      </c>
      <c r="BH142" s="224">
        <f>IF(N142="sníž. přenesená",J142,0)</f>
        <v>0</v>
      </c>
      <c r="BI142" s="224">
        <f>IF(N142="nulová",J142,0)</f>
        <v>0</v>
      </c>
      <c r="BJ142" s="17" t="s">
        <v>19</v>
      </c>
      <c r="BK142" s="224">
        <f>ROUND(I142*H142,2)</f>
        <v>2055.8699999999999</v>
      </c>
      <c r="BL142" s="17" t="s">
        <v>147</v>
      </c>
      <c r="BM142" s="223" t="s">
        <v>160</v>
      </c>
    </row>
    <row r="143" s="13" customFormat="1">
      <c r="A143" s="13"/>
      <c r="B143" s="225"/>
      <c r="C143" s="226"/>
      <c r="D143" s="227" t="s">
        <v>149</v>
      </c>
      <c r="E143" s="228" t="s">
        <v>1</v>
      </c>
      <c r="F143" s="229" t="s">
        <v>161</v>
      </c>
      <c r="G143" s="226"/>
      <c r="H143" s="230">
        <v>20.16</v>
      </c>
      <c r="I143" s="226"/>
      <c r="J143" s="226"/>
      <c r="K143" s="226"/>
      <c r="L143" s="231"/>
      <c r="M143" s="232"/>
      <c r="N143" s="233"/>
      <c r="O143" s="233"/>
      <c r="P143" s="233"/>
      <c r="Q143" s="233"/>
      <c r="R143" s="233"/>
      <c r="S143" s="233"/>
      <c r="T143" s="23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35" t="s">
        <v>149</v>
      </c>
      <c r="AU143" s="235" t="s">
        <v>83</v>
      </c>
      <c r="AV143" s="13" t="s">
        <v>83</v>
      </c>
      <c r="AW143" s="13" t="s">
        <v>32</v>
      </c>
      <c r="AX143" s="13" t="s">
        <v>74</v>
      </c>
      <c r="AY143" s="235" t="s">
        <v>142</v>
      </c>
    </row>
    <row r="144" s="13" customFormat="1">
      <c r="A144" s="13"/>
      <c r="B144" s="225"/>
      <c r="C144" s="226"/>
      <c r="D144" s="227" t="s">
        <v>149</v>
      </c>
      <c r="E144" s="228" t="s">
        <v>1</v>
      </c>
      <c r="F144" s="229" t="s">
        <v>162</v>
      </c>
      <c r="G144" s="226"/>
      <c r="H144" s="230">
        <v>22.492799999999999</v>
      </c>
      <c r="I144" s="226"/>
      <c r="J144" s="226"/>
      <c r="K144" s="226"/>
      <c r="L144" s="231"/>
      <c r="M144" s="232"/>
      <c r="N144" s="233"/>
      <c r="O144" s="233"/>
      <c r="P144" s="233"/>
      <c r="Q144" s="233"/>
      <c r="R144" s="233"/>
      <c r="S144" s="233"/>
      <c r="T144" s="23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5" t="s">
        <v>149</v>
      </c>
      <c r="AU144" s="235" t="s">
        <v>83</v>
      </c>
      <c r="AV144" s="13" t="s">
        <v>83</v>
      </c>
      <c r="AW144" s="13" t="s">
        <v>32</v>
      </c>
      <c r="AX144" s="13" t="s">
        <v>74</v>
      </c>
      <c r="AY144" s="235" t="s">
        <v>142</v>
      </c>
    </row>
    <row r="145" s="14" customFormat="1">
      <c r="A145" s="14"/>
      <c r="B145" s="236"/>
      <c r="C145" s="237"/>
      <c r="D145" s="227" t="s">
        <v>149</v>
      </c>
      <c r="E145" s="238" t="s">
        <v>1</v>
      </c>
      <c r="F145" s="239" t="s">
        <v>151</v>
      </c>
      <c r="G145" s="237"/>
      <c r="H145" s="240">
        <v>42.652799999999999</v>
      </c>
      <c r="I145" s="237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45" t="s">
        <v>149</v>
      </c>
      <c r="AU145" s="245" t="s">
        <v>83</v>
      </c>
      <c r="AV145" s="14" t="s">
        <v>147</v>
      </c>
      <c r="AW145" s="14" t="s">
        <v>32</v>
      </c>
      <c r="AX145" s="14" t="s">
        <v>19</v>
      </c>
      <c r="AY145" s="245" t="s">
        <v>142</v>
      </c>
    </row>
    <row r="146" s="2" customFormat="1" ht="37.8" customHeight="1">
      <c r="A146" s="32"/>
      <c r="B146" s="33"/>
      <c r="C146" s="212" t="s">
        <v>163</v>
      </c>
      <c r="D146" s="212" t="s">
        <v>144</v>
      </c>
      <c r="E146" s="213" t="s">
        <v>164</v>
      </c>
      <c r="F146" s="214" t="s">
        <v>165</v>
      </c>
      <c r="G146" s="215" t="s">
        <v>154</v>
      </c>
      <c r="H146" s="216">
        <v>639.79499999999996</v>
      </c>
      <c r="I146" s="217">
        <v>22.5</v>
      </c>
      <c r="J146" s="217">
        <f>ROUND(I146*H146,2)</f>
        <v>14395.389999999999</v>
      </c>
      <c r="K146" s="218"/>
      <c r="L146" s="38"/>
      <c r="M146" s="219" t="s">
        <v>1</v>
      </c>
      <c r="N146" s="220" t="s">
        <v>39</v>
      </c>
      <c r="O146" s="221">
        <v>0.0050000000000000001</v>
      </c>
      <c r="P146" s="221">
        <f>O146*H146</f>
        <v>3.1989749999999999</v>
      </c>
      <c r="Q146" s="221">
        <v>0</v>
      </c>
      <c r="R146" s="221">
        <f>Q146*H146</f>
        <v>0</v>
      </c>
      <c r="S146" s="221">
        <v>0</v>
      </c>
      <c r="T146" s="222">
        <f>S146*H146</f>
        <v>0</v>
      </c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R146" s="223" t="s">
        <v>147</v>
      </c>
      <c r="AT146" s="223" t="s">
        <v>144</v>
      </c>
      <c r="AU146" s="223" t="s">
        <v>83</v>
      </c>
      <c r="AY146" s="17" t="s">
        <v>142</v>
      </c>
      <c r="BE146" s="224">
        <f>IF(N146="základní",J146,0)</f>
        <v>14395.389999999999</v>
      </c>
      <c r="BF146" s="224">
        <f>IF(N146="snížená",J146,0)</f>
        <v>0</v>
      </c>
      <c r="BG146" s="224">
        <f>IF(N146="zákl. přenesená",J146,0)</f>
        <v>0</v>
      </c>
      <c r="BH146" s="224">
        <f>IF(N146="sníž. přenesená",J146,0)</f>
        <v>0</v>
      </c>
      <c r="BI146" s="224">
        <f>IF(N146="nulová",J146,0)</f>
        <v>0</v>
      </c>
      <c r="BJ146" s="17" t="s">
        <v>19</v>
      </c>
      <c r="BK146" s="224">
        <f>ROUND(I146*H146,2)</f>
        <v>14395.389999999999</v>
      </c>
      <c r="BL146" s="17" t="s">
        <v>147</v>
      </c>
      <c r="BM146" s="223" t="s">
        <v>166</v>
      </c>
    </row>
    <row r="147" s="13" customFormat="1">
      <c r="A147" s="13"/>
      <c r="B147" s="225"/>
      <c r="C147" s="226"/>
      <c r="D147" s="227" t="s">
        <v>149</v>
      </c>
      <c r="E147" s="228" t="s">
        <v>1</v>
      </c>
      <c r="F147" s="229" t="s">
        <v>167</v>
      </c>
      <c r="G147" s="226"/>
      <c r="H147" s="230">
        <v>639.79499999999996</v>
      </c>
      <c r="I147" s="226"/>
      <c r="J147" s="226"/>
      <c r="K147" s="226"/>
      <c r="L147" s="231"/>
      <c r="M147" s="232"/>
      <c r="N147" s="233"/>
      <c r="O147" s="233"/>
      <c r="P147" s="233"/>
      <c r="Q147" s="233"/>
      <c r="R147" s="233"/>
      <c r="S147" s="233"/>
      <c r="T147" s="23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35" t="s">
        <v>149</v>
      </c>
      <c r="AU147" s="235" t="s">
        <v>83</v>
      </c>
      <c r="AV147" s="13" t="s">
        <v>83</v>
      </c>
      <c r="AW147" s="13" t="s">
        <v>32</v>
      </c>
      <c r="AX147" s="13" t="s">
        <v>19</v>
      </c>
      <c r="AY147" s="235" t="s">
        <v>142</v>
      </c>
    </row>
    <row r="148" s="2" customFormat="1" ht="33" customHeight="1">
      <c r="A148" s="32"/>
      <c r="B148" s="33"/>
      <c r="C148" s="212" t="s">
        <v>168</v>
      </c>
      <c r="D148" s="212" t="s">
        <v>144</v>
      </c>
      <c r="E148" s="213" t="s">
        <v>169</v>
      </c>
      <c r="F148" s="214" t="s">
        <v>170</v>
      </c>
      <c r="G148" s="215" t="s">
        <v>171</v>
      </c>
      <c r="H148" s="216">
        <v>22.748000000000001</v>
      </c>
      <c r="I148" s="217">
        <v>352</v>
      </c>
      <c r="J148" s="217">
        <f>ROUND(I148*H148,2)</f>
        <v>8007.3000000000002</v>
      </c>
      <c r="K148" s="218"/>
      <c r="L148" s="38"/>
      <c r="M148" s="219" t="s">
        <v>1</v>
      </c>
      <c r="N148" s="220" t="s">
        <v>39</v>
      </c>
      <c r="O148" s="221">
        <v>0</v>
      </c>
      <c r="P148" s="221">
        <f>O148*H148</f>
        <v>0</v>
      </c>
      <c r="Q148" s="221">
        <v>0</v>
      </c>
      <c r="R148" s="221">
        <f>Q148*H148</f>
        <v>0</v>
      </c>
      <c r="S148" s="221">
        <v>0</v>
      </c>
      <c r="T148" s="222">
        <f>S148*H148</f>
        <v>0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R148" s="223" t="s">
        <v>147</v>
      </c>
      <c r="AT148" s="223" t="s">
        <v>144</v>
      </c>
      <c r="AU148" s="223" t="s">
        <v>83</v>
      </c>
      <c r="AY148" s="17" t="s">
        <v>142</v>
      </c>
      <c r="BE148" s="224">
        <f>IF(N148="základní",J148,0)</f>
        <v>8007.3000000000002</v>
      </c>
      <c r="BF148" s="224">
        <f>IF(N148="snížená",J148,0)</f>
        <v>0</v>
      </c>
      <c r="BG148" s="224">
        <f>IF(N148="zákl. přenesená",J148,0)</f>
        <v>0</v>
      </c>
      <c r="BH148" s="224">
        <f>IF(N148="sníž. přenesená",J148,0)</f>
        <v>0</v>
      </c>
      <c r="BI148" s="224">
        <f>IF(N148="nulová",J148,0)</f>
        <v>0</v>
      </c>
      <c r="BJ148" s="17" t="s">
        <v>19</v>
      </c>
      <c r="BK148" s="224">
        <f>ROUND(I148*H148,2)</f>
        <v>8007.3000000000002</v>
      </c>
      <c r="BL148" s="17" t="s">
        <v>147</v>
      </c>
      <c r="BM148" s="223" t="s">
        <v>172</v>
      </c>
    </row>
    <row r="149" s="13" customFormat="1">
      <c r="A149" s="13"/>
      <c r="B149" s="225"/>
      <c r="C149" s="226"/>
      <c r="D149" s="227" t="s">
        <v>149</v>
      </c>
      <c r="E149" s="228" t="s">
        <v>1</v>
      </c>
      <c r="F149" s="229" t="s">
        <v>173</v>
      </c>
      <c r="G149" s="226"/>
      <c r="H149" s="230">
        <v>22.748266666666701</v>
      </c>
      <c r="I149" s="226"/>
      <c r="J149" s="226"/>
      <c r="K149" s="226"/>
      <c r="L149" s="231"/>
      <c r="M149" s="232"/>
      <c r="N149" s="233"/>
      <c r="O149" s="233"/>
      <c r="P149" s="233"/>
      <c r="Q149" s="233"/>
      <c r="R149" s="233"/>
      <c r="S149" s="233"/>
      <c r="T149" s="23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35" t="s">
        <v>149</v>
      </c>
      <c r="AU149" s="235" t="s">
        <v>83</v>
      </c>
      <c r="AV149" s="13" t="s">
        <v>83</v>
      </c>
      <c r="AW149" s="13" t="s">
        <v>32</v>
      </c>
      <c r="AX149" s="13" t="s">
        <v>19</v>
      </c>
      <c r="AY149" s="235" t="s">
        <v>142</v>
      </c>
    </row>
    <row r="150" s="14" customFormat="1">
      <c r="A150" s="14"/>
      <c r="B150" s="236"/>
      <c r="C150" s="237"/>
      <c r="D150" s="227" t="s">
        <v>149</v>
      </c>
      <c r="E150" s="238" t="s">
        <v>1</v>
      </c>
      <c r="F150" s="239" t="s">
        <v>151</v>
      </c>
      <c r="G150" s="237"/>
      <c r="H150" s="240">
        <v>22.748266666666701</v>
      </c>
      <c r="I150" s="237"/>
      <c r="J150" s="237"/>
      <c r="K150" s="237"/>
      <c r="L150" s="241"/>
      <c r="M150" s="242"/>
      <c r="N150" s="243"/>
      <c r="O150" s="243"/>
      <c r="P150" s="243"/>
      <c r="Q150" s="243"/>
      <c r="R150" s="243"/>
      <c r="S150" s="243"/>
      <c r="T150" s="24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T150" s="245" t="s">
        <v>149</v>
      </c>
      <c r="AU150" s="245" t="s">
        <v>83</v>
      </c>
      <c r="AV150" s="14" t="s">
        <v>147</v>
      </c>
      <c r="AW150" s="14" t="s">
        <v>32</v>
      </c>
      <c r="AX150" s="14" t="s">
        <v>74</v>
      </c>
      <c r="AY150" s="245" t="s">
        <v>142</v>
      </c>
    </row>
    <row r="151" s="2" customFormat="1" ht="16.5" customHeight="1">
      <c r="A151" s="32"/>
      <c r="B151" s="33"/>
      <c r="C151" s="212" t="s">
        <v>174</v>
      </c>
      <c r="D151" s="212" t="s">
        <v>144</v>
      </c>
      <c r="E151" s="213" t="s">
        <v>175</v>
      </c>
      <c r="F151" s="214" t="s">
        <v>176</v>
      </c>
      <c r="G151" s="215" t="s">
        <v>154</v>
      </c>
      <c r="H151" s="216">
        <v>42.652999999999999</v>
      </c>
      <c r="I151" s="217">
        <v>22.100000000000001</v>
      </c>
      <c r="J151" s="217">
        <f>ROUND(I151*H151,2)</f>
        <v>942.63</v>
      </c>
      <c r="K151" s="218"/>
      <c r="L151" s="38"/>
      <c r="M151" s="219" t="s">
        <v>1</v>
      </c>
      <c r="N151" s="220" t="s">
        <v>39</v>
      </c>
      <c r="O151" s="221">
        <v>0.0089999999999999993</v>
      </c>
      <c r="P151" s="221">
        <f>O151*H151</f>
        <v>0.38387699999999997</v>
      </c>
      <c r="Q151" s="221">
        <v>0</v>
      </c>
      <c r="R151" s="221">
        <f>Q151*H151</f>
        <v>0</v>
      </c>
      <c r="S151" s="221">
        <v>0</v>
      </c>
      <c r="T151" s="222">
        <f>S151*H151</f>
        <v>0</v>
      </c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R151" s="223" t="s">
        <v>147</v>
      </c>
      <c r="AT151" s="223" t="s">
        <v>144</v>
      </c>
      <c r="AU151" s="223" t="s">
        <v>83</v>
      </c>
      <c r="AY151" s="17" t="s">
        <v>142</v>
      </c>
      <c r="BE151" s="224">
        <f>IF(N151="základní",J151,0)</f>
        <v>942.63</v>
      </c>
      <c r="BF151" s="224">
        <f>IF(N151="snížená",J151,0)</f>
        <v>0</v>
      </c>
      <c r="BG151" s="224">
        <f>IF(N151="zákl. přenesená",J151,0)</f>
        <v>0</v>
      </c>
      <c r="BH151" s="224">
        <f>IF(N151="sníž. přenesená",J151,0)</f>
        <v>0</v>
      </c>
      <c r="BI151" s="224">
        <f>IF(N151="nulová",J151,0)</f>
        <v>0</v>
      </c>
      <c r="BJ151" s="17" t="s">
        <v>19</v>
      </c>
      <c r="BK151" s="224">
        <f>ROUND(I151*H151,2)</f>
        <v>942.63</v>
      </c>
      <c r="BL151" s="17" t="s">
        <v>147</v>
      </c>
      <c r="BM151" s="223" t="s">
        <v>177</v>
      </c>
    </row>
    <row r="152" s="13" customFormat="1">
      <c r="A152" s="13"/>
      <c r="B152" s="225"/>
      <c r="C152" s="226"/>
      <c r="D152" s="227" t="s">
        <v>149</v>
      </c>
      <c r="E152" s="228" t="s">
        <v>1</v>
      </c>
      <c r="F152" s="229" t="s">
        <v>178</v>
      </c>
      <c r="G152" s="226"/>
      <c r="H152" s="230">
        <v>42.652999999999999</v>
      </c>
      <c r="I152" s="226"/>
      <c r="J152" s="226"/>
      <c r="K152" s="226"/>
      <c r="L152" s="231"/>
      <c r="M152" s="232"/>
      <c r="N152" s="233"/>
      <c r="O152" s="233"/>
      <c r="P152" s="233"/>
      <c r="Q152" s="233"/>
      <c r="R152" s="233"/>
      <c r="S152" s="233"/>
      <c r="T152" s="23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35" t="s">
        <v>149</v>
      </c>
      <c r="AU152" s="235" t="s">
        <v>83</v>
      </c>
      <c r="AV152" s="13" t="s">
        <v>83</v>
      </c>
      <c r="AW152" s="13" t="s">
        <v>32</v>
      </c>
      <c r="AX152" s="13" t="s">
        <v>19</v>
      </c>
      <c r="AY152" s="235" t="s">
        <v>142</v>
      </c>
    </row>
    <row r="153" s="2" customFormat="1" ht="24.15" customHeight="1">
      <c r="A153" s="32"/>
      <c r="B153" s="33"/>
      <c r="C153" s="212" t="s">
        <v>179</v>
      </c>
      <c r="D153" s="212" t="s">
        <v>144</v>
      </c>
      <c r="E153" s="213" t="s">
        <v>180</v>
      </c>
      <c r="F153" s="214" t="s">
        <v>181</v>
      </c>
      <c r="G153" s="215" t="s">
        <v>154</v>
      </c>
      <c r="H153" s="216">
        <v>37.759999999999998</v>
      </c>
      <c r="I153" s="217">
        <v>159</v>
      </c>
      <c r="J153" s="217">
        <f>ROUND(I153*H153,2)</f>
        <v>6003.8400000000001</v>
      </c>
      <c r="K153" s="218"/>
      <c r="L153" s="38"/>
      <c r="M153" s="219" t="s">
        <v>1</v>
      </c>
      <c r="N153" s="220" t="s">
        <v>39</v>
      </c>
      <c r="O153" s="221">
        <v>0.32800000000000001</v>
      </c>
      <c r="P153" s="221">
        <f>O153*H153</f>
        <v>12.38528</v>
      </c>
      <c r="Q153" s="221">
        <v>0</v>
      </c>
      <c r="R153" s="221">
        <f>Q153*H153</f>
        <v>0</v>
      </c>
      <c r="S153" s="221">
        <v>0</v>
      </c>
      <c r="T153" s="222">
        <f>S153*H153</f>
        <v>0</v>
      </c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R153" s="223" t="s">
        <v>147</v>
      </c>
      <c r="AT153" s="223" t="s">
        <v>144</v>
      </c>
      <c r="AU153" s="223" t="s">
        <v>83</v>
      </c>
      <c r="AY153" s="17" t="s">
        <v>142</v>
      </c>
      <c r="BE153" s="224">
        <f>IF(N153="základní",J153,0)</f>
        <v>6003.8400000000001</v>
      </c>
      <c r="BF153" s="224">
        <f>IF(N153="snížená",J153,0)</f>
        <v>0</v>
      </c>
      <c r="BG153" s="224">
        <f>IF(N153="zákl. přenesená",J153,0)</f>
        <v>0</v>
      </c>
      <c r="BH153" s="224">
        <f>IF(N153="sníž. přenesená",J153,0)</f>
        <v>0</v>
      </c>
      <c r="BI153" s="224">
        <f>IF(N153="nulová",J153,0)</f>
        <v>0</v>
      </c>
      <c r="BJ153" s="17" t="s">
        <v>19</v>
      </c>
      <c r="BK153" s="224">
        <f>ROUND(I153*H153,2)</f>
        <v>6003.8400000000001</v>
      </c>
      <c r="BL153" s="17" t="s">
        <v>147</v>
      </c>
      <c r="BM153" s="223" t="s">
        <v>182</v>
      </c>
    </row>
    <row r="154" s="13" customFormat="1">
      <c r="A154" s="13"/>
      <c r="B154" s="225"/>
      <c r="C154" s="226"/>
      <c r="D154" s="227" t="s">
        <v>149</v>
      </c>
      <c r="E154" s="228" t="s">
        <v>1</v>
      </c>
      <c r="F154" s="229" t="s">
        <v>183</v>
      </c>
      <c r="G154" s="226"/>
      <c r="H154" s="230">
        <v>37.759999999999998</v>
      </c>
      <c r="I154" s="226"/>
      <c r="J154" s="226"/>
      <c r="K154" s="226"/>
      <c r="L154" s="231"/>
      <c r="M154" s="232"/>
      <c r="N154" s="233"/>
      <c r="O154" s="233"/>
      <c r="P154" s="233"/>
      <c r="Q154" s="233"/>
      <c r="R154" s="233"/>
      <c r="S154" s="233"/>
      <c r="T154" s="23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35" t="s">
        <v>149</v>
      </c>
      <c r="AU154" s="235" t="s">
        <v>83</v>
      </c>
      <c r="AV154" s="13" t="s">
        <v>83</v>
      </c>
      <c r="AW154" s="13" t="s">
        <v>32</v>
      </c>
      <c r="AX154" s="13" t="s">
        <v>19</v>
      </c>
      <c r="AY154" s="235" t="s">
        <v>142</v>
      </c>
    </row>
    <row r="155" s="15" customFormat="1">
      <c r="A155" s="15"/>
      <c r="B155" s="246"/>
      <c r="C155" s="247"/>
      <c r="D155" s="227" t="s">
        <v>149</v>
      </c>
      <c r="E155" s="248" t="s">
        <v>1</v>
      </c>
      <c r="F155" s="249" t="s">
        <v>184</v>
      </c>
      <c r="G155" s="247"/>
      <c r="H155" s="248" t="s">
        <v>1</v>
      </c>
      <c r="I155" s="247"/>
      <c r="J155" s="247"/>
      <c r="K155" s="247"/>
      <c r="L155" s="250"/>
      <c r="M155" s="251"/>
      <c r="N155" s="252"/>
      <c r="O155" s="252"/>
      <c r="P155" s="252"/>
      <c r="Q155" s="252"/>
      <c r="R155" s="252"/>
      <c r="S155" s="252"/>
      <c r="T155" s="253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T155" s="254" t="s">
        <v>149</v>
      </c>
      <c r="AU155" s="254" t="s">
        <v>83</v>
      </c>
      <c r="AV155" s="15" t="s">
        <v>19</v>
      </c>
      <c r="AW155" s="15" t="s">
        <v>32</v>
      </c>
      <c r="AX155" s="15" t="s">
        <v>74</v>
      </c>
      <c r="AY155" s="254" t="s">
        <v>142</v>
      </c>
    </row>
    <row r="156" s="12" customFormat="1" ht="22.8" customHeight="1">
      <c r="A156" s="12"/>
      <c r="B156" s="197"/>
      <c r="C156" s="198"/>
      <c r="D156" s="199" t="s">
        <v>73</v>
      </c>
      <c r="E156" s="210" t="s">
        <v>83</v>
      </c>
      <c r="F156" s="210" t="s">
        <v>185</v>
      </c>
      <c r="G156" s="198"/>
      <c r="H156" s="198"/>
      <c r="I156" s="198"/>
      <c r="J156" s="211">
        <f>BK156</f>
        <v>631569.23999999999</v>
      </c>
      <c r="K156" s="198"/>
      <c r="L156" s="202"/>
      <c r="M156" s="203"/>
      <c r="N156" s="204"/>
      <c r="O156" s="204"/>
      <c r="P156" s="205">
        <f>SUM(P157:P178)</f>
        <v>183.40050199999999</v>
      </c>
      <c r="Q156" s="204"/>
      <c r="R156" s="205">
        <f>SUM(R157:R178)</f>
        <v>173.73233031599997</v>
      </c>
      <c r="S156" s="204"/>
      <c r="T156" s="206">
        <f>SUM(T157:T178)</f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R156" s="207" t="s">
        <v>19</v>
      </c>
      <c r="AT156" s="208" t="s">
        <v>73</v>
      </c>
      <c r="AU156" s="208" t="s">
        <v>19</v>
      </c>
      <c r="AY156" s="207" t="s">
        <v>142</v>
      </c>
      <c r="BK156" s="209">
        <f>SUM(BK157:BK178)</f>
        <v>631569.23999999999</v>
      </c>
    </row>
    <row r="157" s="2" customFormat="1" ht="16.5" customHeight="1">
      <c r="A157" s="32"/>
      <c r="B157" s="33"/>
      <c r="C157" s="212" t="s">
        <v>186</v>
      </c>
      <c r="D157" s="212" t="s">
        <v>144</v>
      </c>
      <c r="E157" s="213" t="s">
        <v>187</v>
      </c>
      <c r="F157" s="214" t="s">
        <v>188</v>
      </c>
      <c r="G157" s="215" t="s">
        <v>154</v>
      </c>
      <c r="H157" s="216">
        <v>22.719999999999999</v>
      </c>
      <c r="I157" s="217">
        <v>4150</v>
      </c>
      <c r="J157" s="217">
        <f>ROUND(I157*H157,2)</f>
        <v>94288</v>
      </c>
      <c r="K157" s="218"/>
      <c r="L157" s="38"/>
      <c r="M157" s="219" t="s">
        <v>1</v>
      </c>
      <c r="N157" s="220" t="s">
        <v>39</v>
      </c>
      <c r="O157" s="221">
        <v>0.58399999999999996</v>
      </c>
      <c r="P157" s="221">
        <f>O157*H157</f>
        <v>13.268479999999999</v>
      </c>
      <c r="Q157" s="221">
        <v>2.3010199999999998</v>
      </c>
      <c r="R157" s="221">
        <f>Q157*H157</f>
        <v>52.279174399999995</v>
      </c>
      <c r="S157" s="221">
        <v>0</v>
      </c>
      <c r="T157" s="222">
        <f>S157*H157</f>
        <v>0</v>
      </c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R157" s="223" t="s">
        <v>147</v>
      </c>
      <c r="AT157" s="223" t="s">
        <v>144</v>
      </c>
      <c r="AU157" s="223" t="s">
        <v>83</v>
      </c>
      <c r="AY157" s="17" t="s">
        <v>142</v>
      </c>
      <c r="BE157" s="224">
        <f>IF(N157="základní",J157,0)</f>
        <v>94288</v>
      </c>
      <c r="BF157" s="224">
        <f>IF(N157="snížená",J157,0)</f>
        <v>0</v>
      </c>
      <c r="BG157" s="224">
        <f>IF(N157="zákl. přenesená",J157,0)</f>
        <v>0</v>
      </c>
      <c r="BH157" s="224">
        <f>IF(N157="sníž. přenesená",J157,0)</f>
        <v>0</v>
      </c>
      <c r="BI157" s="224">
        <f>IF(N157="nulová",J157,0)</f>
        <v>0</v>
      </c>
      <c r="BJ157" s="17" t="s">
        <v>19</v>
      </c>
      <c r="BK157" s="224">
        <f>ROUND(I157*H157,2)</f>
        <v>94288</v>
      </c>
      <c r="BL157" s="17" t="s">
        <v>147</v>
      </c>
      <c r="BM157" s="223" t="s">
        <v>189</v>
      </c>
    </row>
    <row r="158" s="13" customFormat="1">
      <c r="A158" s="13"/>
      <c r="B158" s="225"/>
      <c r="C158" s="226"/>
      <c r="D158" s="227" t="s">
        <v>149</v>
      </c>
      <c r="E158" s="228" t="s">
        <v>1</v>
      </c>
      <c r="F158" s="229" t="s">
        <v>190</v>
      </c>
      <c r="G158" s="226"/>
      <c r="H158" s="230">
        <v>22.719999999999999</v>
      </c>
      <c r="I158" s="226"/>
      <c r="J158" s="226"/>
      <c r="K158" s="226"/>
      <c r="L158" s="231"/>
      <c r="M158" s="232"/>
      <c r="N158" s="233"/>
      <c r="O158" s="233"/>
      <c r="P158" s="233"/>
      <c r="Q158" s="233"/>
      <c r="R158" s="233"/>
      <c r="S158" s="233"/>
      <c r="T158" s="23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35" t="s">
        <v>149</v>
      </c>
      <c r="AU158" s="235" t="s">
        <v>83</v>
      </c>
      <c r="AV158" s="13" t="s">
        <v>83</v>
      </c>
      <c r="AW158" s="13" t="s">
        <v>32</v>
      </c>
      <c r="AX158" s="13" t="s">
        <v>19</v>
      </c>
      <c r="AY158" s="235" t="s">
        <v>142</v>
      </c>
    </row>
    <row r="159" s="2" customFormat="1" ht="16.5" customHeight="1">
      <c r="A159" s="32"/>
      <c r="B159" s="33"/>
      <c r="C159" s="212" t="s">
        <v>24</v>
      </c>
      <c r="D159" s="212" t="s">
        <v>144</v>
      </c>
      <c r="E159" s="213" t="s">
        <v>191</v>
      </c>
      <c r="F159" s="214" t="s">
        <v>192</v>
      </c>
      <c r="G159" s="215" t="s">
        <v>96</v>
      </c>
      <c r="H159" s="216">
        <v>21.199999999999999</v>
      </c>
      <c r="I159" s="217">
        <v>421</v>
      </c>
      <c r="J159" s="217">
        <f>ROUND(I159*H159,2)</f>
        <v>8925.2000000000007</v>
      </c>
      <c r="K159" s="218"/>
      <c r="L159" s="38"/>
      <c r="M159" s="219" t="s">
        <v>1</v>
      </c>
      <c r="N159" s="220" t="s">
        <v>39</v>
      </c>
      <c r="O159" s="221">
        <v>0.247</v>
      </c>
      <c r="P159" s="221">
        <f>O159*H159</f>
        <v>5.2363999999999997</v>
      </c>
      <c r="Q159" s="221">
        <v>0.0026900000000000001</v>
      </c>
      <c r="R159" s="221">
        <f>Q159*H159</f>
        <v>0.057028000000000002</v>
      </c>
      <c r="S159" s="221">
        <v>0</v>
      </c>
      <c r="T159" s="222">
        <f>S159*H159</f>
        <v>0</v>
      </c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R159" s="223" t="s">
        <v>147</v>
      </c>
      <c r="AT159" s="223" t="s">
        <v>144</v>
      </c>
      <c r="AU159" s="223" t="s">
        <v>83</v>
      </c>
      <c r="AY159" s="17" t="s">
        <v>142</v>
      </c>
      <c r="BE159" s="224">
        <f>IF(N159="základní",J159,0)</f>
        <v>8925.2000000000007</v>
      </c>
      <c r="BF159" s="224">
        <f>IF(N159="snížená",J159,0)</f>
        <v>0</v>
      </c>
      <c r="BG159" s="224">
        <f>IF(N159="zákl. přenesená",J159,0)</f>
        <v>0</v>
      </c>
      <c r="BH159" s="224">
        <f>IF(N159="sníž. přenesená",J159,0)</f>
        <v>0</v>
      </c>
      <c r="BI159" s="224">
        <f>IF(N159="nulová",J159,0)</f>
        <v>0</v>
      </c>
      <c r="BJ159" s="17" t="s">
        <v>19</v>
      </c>
      <c r="BK159" s="224">
        <f>ROUND(I159*H159,2)</f>
        <v>8925.2000000000007</v>
      </c>
      <c r="BL159" s="17" t="s">
        <v>147</v>
      </c>
      <c r="BM159" s="223" t="s">
        <v>193</v>
      </c>
    </row>
    <row r="160" s="15" customFormat="1">
      <c r="A160" s="15"/>
      <c r="B160" s="246"/>
      <c r="C160" s="247"/>
      <c r="D160" s="227" t="s">
        <v>149</v>
      </c>
      <c r="E160" s="248" t="s">
        <v>1</v>
      </c>
      <c r="F160" s="249" t="s">
        <v>194</v>
      </c>
      <c r="G160" s="247"/>
      <c r="H160" s="248" t="s">
        <v>1</v>
      </c>
      <c r="I160" s="247"/>
      <c r="J160" s="247"/>
      <c r="K160" s="247"/>
      <c r="L160" s="250"/>
      <c r="M160" s="251"/>
      <c r="N160" s="252"/>
      <c r="O160" s="252"/>
      <c r="P160" s="252"/>
      <c r="Q160" s="252"/>
      <c r="R160" s="252"/>
      <c r="S160" s="252"/>
      <c r="T160" s="253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T160" s="254" t="s">
        <v>149</v>
      </c>
      <c r="AU160" s="254" t="s">
        <v>83</v>
      </c>
      <c r="AV160" s="15" t="s">
        <v>19</v>
      </c>
      <c r="AW160" s="15" t="s">
        <v>32</v>
      </c>
      <c r="AX160" s="15" t="s">
        <v>74</v>
      </c>
      <c r="AY160" s="254" t="s">
        <v>142</v>
      </c>
    </row>
    <row r="161" s="13" customFormat="1">
      <c r="A161" s="13"/>
      <c r="B161" s="225"/>
      <c r="C161" s="226"/>
      <c r="D161" s="227" t="s">
        <v>149</v>
      </c>
      <c r="E161" s="228" t="s">
        <v>1</v>
      </c>
      <c r="F161" s="229" t="s">
        <v>195</v>
      </c>
      <c r="G161" s="226"/>
      <c r="H161" s="230">
        <v>21.199999999999999</v>
      </c>
      <c r="I161" s="226"/>
      <c r="J161" s="226"/>
      <c r="K161" s="226"/>
      <c r="L161" s="231"/>
      <c r="M161" s="232"/>
      <c r="N161" s="233"/>
      <c r="O161" s="233"/>
      <c r="P161" s="233"/>
      <c r="Q161" s="233"/>
      <c r="R161" s="233"/>
      <c r="S161" s="233"/>
      <c r="T161" s="23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35" t="s">
        <v>149</v>
      </c>
      <c r="AU161" s="235" t="s">
        <v>83</v>
      </c>
      <c r="AV161" s="13" t="s">
        <v>83</v>
      </c>
      <c r="AW161" s="13" t="s">
        <v>32</v>
      </c>
      <c r="AX161" s="13" t="s">
        <v>19</v>
      </c>
      <c r="AY161" s="235" t="s">
        <v>142</v>
      </c>
    </row>
    <row r="162" s="2" customFormat="1" ht="16.5" customHeight="1">
      <c r="A162" s="32"/>
      <c r="B162" s="33"/>
      <c r="C162" s="212" t="s">
        <v>196</v>
      </c>
      <c r="D162" s="212" t="s">
        <v>144</v>
      </c>
      <c r="E162" s="213" t="s">
        <v>197</v>
      </c>
      <c r="F162" s="214" t="s">
        <v>198</v>
      </c>
      <c r="G162" s="215" t="s">
        <v>96</v>
      </c>
      <c r="H162" s="216">
        <v>21.199999999999999</v>
      </c>
      <c r="I162" s="217">
        <v>82.200000000000003</v>
      </c>
      <c r="J162" s="217">
        <f>ROUND(I162*H162,2)</f>
        <v>1742.6400000000001</v>
      </c>
      <c r="K162" s="218"/>
      <c r="L162" s="38"/>
      <c r="M162" s="219" t="s">
        <v>1</v>
      </c>
      <c r="N162" s="220" t="s">
        <v>39</v>
      </c>
      <c r="O162" s="221">
        <v>0.083000000000000004</v>
      </c>
      <c r="P162" s="221">
        <f>O162*H162</f>
        <v>1.7596000000000001</v>
      </c>
      <c r="Q162" s="221">
        <v>0</v>
      </c>
      <c r="R162" s="221">
        <f>Q162*H162</f>
        <v>0</v>
      </c>
      <c r="S162" s="221">
        <v>0</v>
      </c>
      <c r="T162" s="222">
        <f>S162*H162</f>
        <v>0</v>
      </c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R162" s="223" t="s">
        <v>147</v>
      </c>
      <c r="AT162" s="223" t="s">
        <v>144</v>
      </c>
      <c r="AU162" s="223" t="s">
        <v>83</v>
      </c>
      <c r="AY162" s="17" t="s">
        <v>142</v>
      </c>
      <c r="BE162" s="224">
        <f>IF(N162="základní",J162,0)</f>
        <v>1742.6400000000001</v>
      </c>
      <c r="BF162" s="224">
        <f>IF(N162="snížená",J162,0)</f>
        <v>0</v>
      </c>
      <c r="BG162" s="224">
        <f>IF(N162="zákl. přenesená",J162,0)</f>
        <v>0</v>
      </c>
      <c r="BH162" s="224">
        <f>IF(N162="sníž. přenesená",J162,0)</f>
        <v>0</v>
      </c>
      <c r="BI162" s="224">
        <f>IF(N162="nulová",J162,0)</f>
        <v>0</v>
      </c>
      <c r="BJ162" s="17" t="s">
        <v>19</v>
      </c>
      <c r="BK162" s="224">
        <f>ROUND(I162*H162,2)</f>
        <v>1742.6400000000001</v>
      </c>
      <c r="BL162" s="17" t="s">
        <v>147</v>
      </c>
      <c r="BM162" s="223" t="s">
        <v>199</v>
      </c>
    </row>
    <row r="163" s="15" customFormat="1">
      <c r="A163" s="15"/>
      <c r="B163" s="246"/>
      <c r="C163" s="247"/>
      <c r="D163" s="227" t="s">
        <v>149</v>
      </c>
      <c r="E163" s="248" t="s">
        <v>1</v>
      </c>
      <c r="F163" s="249" t="s">
        <v>194</v>
      </c>
      <c r="G163" s="247"/>
      <c r="H163" s="248" t="s">
        <v>1</v>
      </c>
      <c r="I163" s="247"/>
      <c r="J163" s="247"/>
      <c r="K163" s="247"/>
      <c r="L163" s="250"/>
      <c r="M163" s="251"/>
      <c r="N163" s="252"/>
      <c r="O163" s="252"/>
      <c r="P163" s="252"/>
      <c r="Q163" s="252"/>
      <c r="R163" s="252"/>
      <c r="S163" s="252"/>
      <c r="T163" s="253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T163" s="254" t="s">
        <v>149</v>
      </c>
      <c r="AU163" s="254" t="s">
        <v>83</v>
      </c>
      <c r="AV163" s="15" t="s">
        <v>19</v>
      </c>
      <c r="AW163" s="15" t="s">
        <v>32</v>
      </c>
      <c r="AX163" s="15" t="s">
        <v>74</v>
      </c>
      <c r="AY163" s="254" t="s">
        <v>142</v>
      </c>
    </row>
    <row r="164" s="13" customFormat="1">
      <c r="A164" s="13"/>
      <c r="B164" s="225"/>
      <c r="C164" s="226"/>
      <c r="D164" s="227" t="s">
        <v>149</v>
      </c>
      <c r="E164" s="228" t="s">
        <v>1</v>
      </c>
      <c r="F164" s="229" t="s">
        <v>200</v>
      </c>
      <c r="G164" s="226"/>
      <c r="H164" s="230">
        <v>21.199999999999999</v>
      </c>
      <c r="I164" s="226"/>
      <c r="J164" s="226"/>
      <c r="K164" s="226"/>
      <c r="L164" s="231"/>
      <c r="M164" s="232"/>
      <c r="N164" s="233"/>
      <c r="O164" s="233"/>
      <c r="P164" s="233"/>
      <c r="Q164" s="233"/>
      <c r="R164" s="233"/>
      <c r="S164" s="233"/>
      <c r="T164" s="234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35" t="s">
        <v>149</v>
      </c>
      <c r="AU164" s="235" t="s">
        <v>83</v>
      </c>
      <c r="AV164" s="13" t="s">
        <v>83</v>
      </c>
      <c r="AW164" s="13" t="s">
        <v>32</v>
      </c>
      <c r="AX164" s="13" t="s">
        <v>19</v>
      </c>
      <c r="AY164" s="235" t="s">
        <v>142</v>
      </c>
    </row>
    <row r="165" s="2" customFormat="1" ht="21.75" customHeight="1">
      <c r="A165" s="32"/>
      <c r="B165" s="33"/>
      <c r="C165" s="212" t="s">
        <v>8</v>
      </c>
      <c r="D165" s="212" t="s">
        <v>144</v>
      </c>
      <c r="E165" s="213" t="s">
        <v>201</v>
      </c>
      <c r="F165" s="214" t="s">
        <v>202</v>
      </c>
      <c r="G165" s="215" t="s">
        <v>171</v>
      </c>
      <c r="H165" s="216">
        <v>1.8180000000000001</v>
      </c>
      <c r="I165" s="217">
        <v>56700</v>
      </c>
      <c r="J165" s="217">
        <f>ROUND(I165*H165,2)</f>
        <v>103080.60000000001</v>
      </c>
      <c r="K165" s="218"/>
      <c r="L165" s="38"/>
      <c r="M165" s="219" t="s">
        <v>1</v>
      </c>
      <c r="N165" s="220" t="s">
        <v>39</v>
      </c>
      <c r="O165" s="221">
        <v>23.968</v>
      </c>
      <c r="P165" s="221">
        <f>O165*H165</f>
        <v>43.573824000000002</v>
      </c>
      <c r="Q165" s="221">
        <v>1.0606199999999999</v>
      </c>
      <c r="R165" s="221">
        <f>Q165*H165</f>
        <v>1.9282071599999999</v>
      </c>
      <c r="S165" s="221">
        <v>0</v>
      </c>
      <c r="T165" s="222">
        <f>S165*H165</f>
        <v>0</v>
      </c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R165" s="223" t="s">
        <v>147</v>
      </c>
      <c r="AT165" s="223" t="s">
        <v>144</v>
      </c>
      <c r="AU165" s="223" t="s">
        <v>83</v>
      </c>
      <c r="AY165" s="17" t="s">
        <v>142</v>
      </c>
      <c r="BE165" s="224">
        <f>IF(N165="základní",J165,0)</f>
        <v>103080.60000000001</v>
      </c>
      <c r="BF165" s="224">
        <f>IF(N165="snížená",J165,0)</f>
        <v>0</v>
      </c>
      <c r="BG165" s="224">
        <f>IF(N165="zákl. přenesená",J165,0)</f>
        <v>0</v>
      </c>
      <c r="BH165" s="224">
        <f>IF(N165="sníž. přenesená",J165,0)</f>
        <v>0</v>
      </c>
      <c r="BI165" s="224">
        <f>IF(N165="nulová",J165,0)</f>
        <v>0</v>
      </c>
      <c r="BJ165" s="17" t="s">
        <v>19</v>
      </c>
      <c r="BK165" s="224">
        <f>ROUND(I165*H165,2)</f>
        <v>103080.60000000001</v>
      </c>
      <c r="BL165" s="17" t="s">
        <v>147</v>
      </c>
      <c r="BM165" s="223" t="s">
        <v>203</v>
      </c>
    </row>
    <row r="166" s="13" customFormat="1">
      <c r="A166" s="13"/>
      <c r="B166" s="225"/>
      <c r="C166" s="226"/>
      <c r="D166" s="227" t="s">
        <v>149</v>
      </c>
      <c r="E166" s="228" t="s">
        <v>1</v>
      </c>
      <c r="F166" s="229" t="s">
        <v>204</v>
      </c>
      <c r="G166" s="226"/>
      <c r="H166" s="230">
        <v>1.8176000000000001</v>
      </c>
      <c r="I166" s="226"/>
      <c r="J166" s="226"/>
      <c r="K166" s="226"/>
      <c r="L166" s="231"/>
      <c r="M166" s="232"/>
      <c r="N166" s="233"/>
      <c r="O166" s="233"/>
      <c r="P166" s="233"/>
      <c r="Q166" s="233"/>
      <c r="R166" s="233"/>
      <c r="S166" s="233"/>
      <c r="T166" s="23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35" t="s">
        <v>149</v>
      </c>
      <c r="AU166" s="235" t="s">
        <v>83</v>
      </c>
      <c r="AV166" s="13" t="s">
        <v>83</v>
      </c>
      <c r="AW166" s="13" t="s">
        <v>32</v>
      </c>
      <c r="AX166" s="13" t="s">
        <v>19</v>
      </c>
      <c r="AY166" s="235" t="s">
        <v>142</v>
      </c>
    </row>
    <row r="167" s="2" customFormat="1" ht="33" customHeight="1">
      <c r="A167" s="32"/>
      <c r="B167" s="33"/>
      <c r="C167" s="212" t="s">
        <v>205</v>
      </c>
      <c r="D167" s="212" t="s">
        <v>144</v>
      </c>
      <c r="E167" s="213" t="s">
        <v>206</v>
      </c>
      <c r="F167" s="214" t="s">
        <v>207</v>
      </c>
      <c r="G167" s="215" t="s">
        <v>96</v>
      </c>
      <c r="H167" s="216">
        <v>42.399999999999999</v>
      </c>
      <c r="I167" s="217">
        <v>3870</v>
      </c>
      <c r="J167" s="217">
        <f>ROUND(I167*H167,2)</f>
        <v>164088</v>
      </c>
      <c r="K167" s="218"/>
      <c r="L167" s="38"/>
      <c r="M167" s="219" t="s">
        <v>1</v>
      </c>
      <c r="N167" s="220" t="s">
        <v>39</v>
      </c>
      <c r="O167" s="221">
        <v>0.98699999999999999</v>
      </c>
      <c r="P167" s="221">
        <f>O167*H167</f>
        <v>41.848799999999997</v>
      </c>
      <c r="Q167" s="221">
        <v>1.81201104</v>
      </c>
      <c r="R167" s="221">
        <f>Q167*H167</f>
        <v>76.829268095999993</v>
      </c>
      <c r="S167" s="221">
        <v>0</v>
      </c>
      <c r="T167" s="222">
        <f>S167*H167</f>
        <v>0</v>
      </c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R167" s="223" t="s">
        <v>147</v>
      </c>
      <c r="AT167" s="223" t="s">
        <v>144</v>
      </c>
      <c r="AU167" s="223" t="s">
        <v>83</v>
      </c>
      <c r="AY167" s="17" t="s">
        <v>142</v>
      </c>
      <c r="BE167" s="224">
        <f>IF(N167="základní",J167,0)</f>
        <v>164088</v>
      </c>
      <c r="BF167" s="224">
        <f>IF(N167="snížená",J167,0)</f>
        <v>0</v>
      </c>
      <c r="BG167" s="224">
        <f>IF(N167="zákl. přenesená",J167,0)</f>
        <v>0</v>
      </c>
      <c r="BH167" s="224">
        <f>IF(N167="sníž. přenesená",J167,0)</f>
        <v>0</v>
      </c>
      <c r="BI167" s="224">
        <f>IF(N167="nulová",J167,0)</f>
        <v>0</v>
      </c>
      <c r="BJ167" s="17" t="s">
        <v>19</v>
      </c>
      <c r="BK167" s="224">
        <f>ROUND(I167*H167,2)</f>
        <v>164088</v>
      </c>
      <c r="BL167" s="17" t="s">
        <v>147</v>
      </c>
      <c r="BM167" s="223" t="s">
        <v>208</v>
      </c>
    </row>
    <row r="168" s="15" customFormat="1">
      <c r="A168" s="15"/>
      <c r="B168" s="246"/>
      <c r="C168" s="247"/>
      <c r="D168" s="227" t="s">
        <v>149</v>
      </c>
      <c r="E168" s="248" t="s">
        <v>1</v>
      </c>
      <c r="F168" s="249" t="s">
        <v>209</v>
      </c>
      <c r="G168" s="247"/>
      <c r="H168" s="248" t="s">
        <v>1</v>
      </c>
      <c r="I168" s="247"/>
      <c r="J168" s="247"/>
      <c r="K168" s="247"/>
      <c r="L168" s="250"/>
      <c r="M168" s="251"/>
      <c r="N168" s="252"/>
      <c r="O168" s="252"/>
      <c r="P168" s="252"/>
      <c r="Q168" s="252"/>
      <c r="R168" s="252"/>
      <c r="S168" s="252"/>
      <c r="T168" s="253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T168" s="254" t="s">
        <v>149</v>
      </c>
      <c r="AU168" s="254" t="s">
        <v>83</v>
      </c>
      <c r="AV168" s="15" t="s">
        <v>19</v>
      </c>
      <c r="AW168" s="15" t="s">
        <v>32</v>
      </c>
      <c r="AX168" s="15" t="s">
        <v>74</v>
      </c>
      <c r="AY168" s="254" t="s">
        <v>142</v>
      </c>
    </row>
    <row r="169" s="13" customFormat="1">
      <c r="A169" s="13"/>
      <c r="B169" s="225"/>
      <c r="C169" s="226"/>
      <c r="D169" s="227" t="s">
        <v>149</v>
      </c>
      <c r="E169" s="228" t="s">
        <v>1</v>
      </c>
      <c r="F169" s="229" t="s">
        <v>210</v>
      </c>
      <c r="G169" s="226"/>
      <c r="H169" s="230">
        <v>42.399999999999999</v>
      </c>
      <c r="I169" s="226"/>
      <c r="J169" s="226"/>
      <c r="K169" s="226"/>
      <c r="L169" s="231"/>
      <c r="M169" s="232"/>
      <c r="N169" s="233"/>
      <c r="O169" s="233"/>
      <c r="P169" s="233"/>
      <c r="Q169" s="233"/>
      <c r="R169" s="233"/>
      <c r="S169" s="233"/>
      <c r="T169" s="23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35" t="s">
        <v>149</v>
      </c>
      <c r="AU169" s="235" t="s">
        <v>83</v>
      </c>
      <c r="AV169" s="13" t="s">
        <v>83</v>
      </c>
      <c r="AW169" s="13" t="s">
        <v>32</v>
      </c>
      <c r="AX169" s="13" t="s">
        <v>19</v>
      </c>
      <c r="AY169" s="235" t="s">
        <v>142</v>
      </c>
    </row>
    <row r="170" s="2" customFormat="1" ht="24.15" customHeight="1">
      <c r="A170" s="32"/>
      <c r="B170" s="33"/>
      <c r="C170" s="212" t="s">
        <v>211</v>
      </c>
      <c r="D170" s="212" t="s">
        <v>144</v>
      </c>
      <c r="E170" s="213" t="s">
        <v>212</v>
      </c>
      <c r="F170" s="214" t="s">
        <v>213</v>
      </c>
      <c r="G170" s="215" t="s">
        <v>171</v>
      </c>
      <c r="H170" s="216">
        <v>0.35599999999999998</v>
      </c>
      <c r="I170" s="217">
        <v>54200</v>
      </c>
      <c r="J170" s="217">
        <f>ROUND(I170*H170,2)</f>
        <v>19295.200000000001</v>
      </c>
      <c r="K170" s="218"/>
      <c r="L170" s="38"/>
      <c r="M170" s="219" t="s">
        <v>1</v>
      </c>
      <c r="N170" s="220" t="s">
        <v>39</v>
      </c>
      <c r="O170" s="221">
        <v>0</v>
      </c>
      <c r="P170" s="221">
        <f>O170*H170</f>
        <v>0</v>
      </c>
      <c r="Q170" s="221">
        <v>1.0593999999999999</v>
      </c>
      <c r="R170" s="221">
        <f>Q170*H170</f>
        <v>0.37714639999999994</v>
      </c>
      <c r="S170" s="221">
        <v>0</v>
      </c>
      <c r="T170" s="222">
        <f>S170*H170</f>
        <v>0</v>
      </c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R170" s="223" t="s">
        <v>147</v>
      </c>
      <c r="AT170" s="223" t="s">
        <v>144</v>
      </c>
      <c r="AU170" s="223" t="s">
        <v>83</v>
      </c>
      <c r="AY170" s="17" t="s">
        <v>142</v>
      </c>
      <c r="BE170" s="224">
        <f>IF(N170="základní",J170,0)</f>
        <v>19295.200000000001</v>
      </c>
      <c r="BF170" s="224">
        <f>IF(N170="snížená",J170,0)</f>
        <v>0</v>
      </c>
      <c r="BG170" s="224">
        <f>IF(N170="zákl. přenesená",J170,0)</f>
        <v>0</v>
      </c>
      <c r="BH170" s="224">
        <f>IF(N170="sníž. přenesená",J170,0)</f>
        <v>0</v>
      </c>
      <c r="BI170" s="224">
        <f>IF(N170="nulová",J170,0)</f>
        <v>0</v>
      </c>
      <c r="BJ170" s="17" t="s">
        <v>19</v>
      </c>
      <c r="BK170" s="224">
        <f>ROUND(I170*H170,2)</f>
        <v>19295.200000000001</v>
      </c>
      <c r="BL170" s="17" t="s">
        <v>147</v>
      </c>
      <c r="BM170" s="223" t="s">
        <v>214</v>
      </c>
    </row>
    <row r="171" s="13" customFormat="1">
      <c r="A171" s="13"/>
      <c r="B171" s="225"/>
      <c r="C171" s="226"/>
      <c r="D171" s="227" t="s">
        <v>149</v>
      </c>
      <c r="E171" s="228" t="s">
        <v>1</v>
      </c>
      <c r="F171" s="229" t="s">
        <v>215</v>
      </c>
      <c r="G171" s="226"/>
      <c r="H171" s="230">
        <v>0.35615999999999998</v>
      </c>
      <c r="I171" s="226"/>
      <c r="J171" s="226"/>
      <c r="K171" s="226"/>
      <c r="L171" s="231"/>
      <c r="M171" s="232"/>
      <c r="N171" s="233"/>
      <c r="O171" s="233"/>
      <c r="P171" s="233"/>
      <c r="Q171" s="233"/>
      <c r="R171" s="233"/>
      <c r="S171" s="233"/>
      <c r="T171" s="23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35" t="s">
        <v>149</v>
      </c>
      <c r="AU171" s="235" t="s">
        <v>83</v>
      </c>
      <c r="AV171" s="13" t="s">
        <v>83</v>
      </c>
      <c r="AW171" s="13" t="s">
        <v>32</v>
      </c>
      <c r="AX171" s="13" t="s">
        <v>19</v>
      </c>
      <c r="AY171" s="235" t="s">
        <v>142</v>
      </c>
    </row>
    <row r="172" s="2" customFormat="1" ht="33" customHeight="1">
      <c r="A172" s="32"/>
      <c r="B172" s="33"/>
      <c r="C172" s="212" t="s">
        <v>216</v>
      </c>
      <c r="D172" s="212" t="s">
        <v>144</v>
      </c>
      <c r="E172" s="213" t="s">
        <v>217</v>
      </c>
      <c r="F172" s="214" t="s">
        <v>218</v>
      </c>
      <c r="G172" s="215" t="s">
        <v>154</v>
      </c>
      <c r="H172" s="216">
        <v>38.399999999999999</v>
      </c>
      <c r="I172" s="217">
        <v>4120</v>
      </c>
      <c r="J172" s="217">
        <f>ROUND(I172*H172,2)</f>
        <v>158208</v>
      </c>
      <c r="K172" s="218"/>
      <c r="L172" s="38"/>
      <c r="M172" s="219" t="s">
        <v>1</v>
      </c>
      <c r="N172" s="220" t="s">
        <v>39</v>
      </c>
      <c r="O172" s="221">
        <v>1.0249999999999999</v>
      </c>
      <c r="P172" s="221">
        <f>O172*H172</f>
        <v>39.359999999999992</v>
      </c>
      <c r="Q172" s="221">
        <v>0.1885</v>
      </c>
      <c r="R172" s="221">
        <f>Q172*H172</f>
        <v>7.2383999999999995</v>
      </c>
      <c r="S172" s="221">
        <v>0</v>
      </c>
      <c r="T172" s="222">
        <f>S172*H172</f>
        <v>0</v>
      </c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R172" s="223" t="s">
        <v>147</v>
      </c>
      <c r="AT172" s="223" t="s">
        <v>144</v>
      </c>
      <c r="AU172" s="223" t="s">
        <v>83</v>
      </c>
      <c r="AY172" s="17" t="s">
        <v>142</v>
      </c>
      <c r="BE172" s="224">
        <f>IF(N172="základní",J172,0)</f>
        <v>158208</v>
      </c>
      <c r="BF172" s="224">
        <f>IF(N172="snížená",J172,0)</f>
        <v>0</v>
      </c>
      <c r="BG172" s="224">
        <f>IF(N172="zákl. přenesená",J172,0)</f>
        <v>0</v>
      </c>
      <c r="BH172" s="224">
        <f>IF(N172="sníž. přenesená",J172,0)</f>
        <v>0</v>
      </c>
      <c r="BI172" s="224">
        <f>IF(N172="nulová",J172,0)</f>
        <v>0</v>
      </c>
      <c r="BJ172" s="17" t="s">
        <v>19</v>
      </c>
      <c r="BK172" s="224">
        <f>ROUND(I172*H172,2)</f>
        <v>158208</v>
      </c>
      <c r="BL172" s="17" t="s">
        <v>147</v>
      </c>
      <c r="BM172" s="223" t="s">
        <v>219</v>
      </c>
    </row>
    <row r="173" s="15" customFormat="1">
      <c r="A173" s="15"/>
      <c r="B173" s="246"/>
      <c r="C173" s="247"/>
      <c r="D173" s="227" t="s">
        <v>149</v>
      </c>
      <c r="E173" s="248" t="s">
        <v>1</v>
      </c>
      <c r="F173" s="249" t="s">
        <v>220</v>
      </c>
      <c r="G173" s="247"/>
      <c r="H173" s="248" t="s">
        <v>1</v>
      </c>
      <c r="I173" s="247"/>
      <c r="J173" s="247"/>
      <c r="K173" s="247"/>
      <c r="L173" s="250"/>
      <c r="M173" s="251"/>
      <c r="N173" s="252"/>
      <c r="O173" s="252"/>
      <c r="P173" s="252"/>
      <c r="Q173" s="252"/>
      <c r="R173" s="252"/>
      <c r="S173" s="252"/>
      <c r="T173" s="253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T173" s="254" t="s">
        <v>149</v>
      </c>
      <c r="AU173" s="254" t="s">
        <v>83</v>
      </c>
      <c r="AV173" s="15" t="s">
        <v>19</v>
      </c>
      <c r="AW173" s="15" t="s">
        <v>32</v>
      </c>
      <c r="AX173" s="15" t="s">
        <v>74</v>
      </c>
      <c r="AY173" s="254" t="s">
        <v>142</v>
      </c>
    </row>
    <row r="174" s="13" customFormat="1">
      <c r="A174" s="13"/>
      <c r="B174" s="225"/>
      <c r="C174" s="226"/>
      <c r="D174" s="227" t="s">
        <v>149</v>
      </c>
      <c r="E174" s="228" t="s">
        <v>1</v>
      </c>
      <c r="F174" s="229" t="s">
        <v>221</v>
      </c>
      <c r="G174" s="226"/>
      <c r="H174" s="230">
        <v>38.399999999999999</v>
      </c>
      <c r="I174" s="226"/>
      <c r="J174" s="226"/>
      <c r="K174" s="226"/>
      <c r="L174" s="231"/>
      <c r="M174" s="232"/>
      <c r="N174" s="233"/>
      <c r="O174" s="233"/>
      <c r="P174" s="233"/>
      <c r="Q174" s="233"/>
      <c r="R174" s="233"/>
      <c r="S174" s="233"/>
      <c r="T174" s="23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35" t="s">
        <v>149</v>
      </c>
      <c r="AU174" s="235" t="s">
        <v>83</v>
      </c>
      <c r="AV174" s="13" t="s">
        <v>83</v>
      </c>
      <c r="AW174" s="13" t="s">
        <v>32</v>
      </c>
      <c r="AX174" s="13" t="s">
        <v>19</v>
      </c>
      <c r="AY174" s="235" t="s">
        <v>142</v>
      </c>
    </row>
    <row r="175" s="2" customFormat="1" ht="33" customHeight="1">
      <c r="A175" s="32"/>
      <c r="B175" s="33"/>
      <c r="C175" s="212" t="s">
        <v>222</v>
      </c>
      <c r="D175" s="212" t="s">
        <v>144</v>
      </c>
      <c r="E175" s="213" t="s">
        <v>223</v>
      </c>
      <c r="F175" s="214" t="s">
        <v>224</v>
      </c>
      <c r="G175" s="215" t="s">
        <v>154</v>
      </c>
      <c r="H175" s="216">
        <v>15.119999999999999</v>
      </c>
      <c r="I175" s="217">
        <v>4860</v>
      </c>
      <c r="J175" s="217">
        <f>ROUND(I175*H175,2)</f>
        <v>73483.199999999997</v>
      </c>
      <c r="K175" s="218"/>
      <c r="L175" s="38"/>
      <c r="M175" s="219" t="s">
        <v>1</v>
      </c>
      <c r="N175" s="220" t="s">
        <v>39</v>
      </c>
      <c r="O175" s="221">
        <v>2.3170000000000002</v>
      </c>
      <c r="P175" s="221">
        <f>O175*H175</f>
        <v>35.03304</v>
      </c>
      <c r="Q175" s="221">
        <v>2.3010199999999998</v>
      </c>
      <c r="R175" s="221">
        <f>Q175*H175</f>
        <v>34.791422399999995</v>
      </c>
      <c r="S175" s="221">
        <v>0</v>
      </c>
      <c r="T175" s="222">
        <f>S175*H175</f>
        <v>0</v>
      </c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R175" s="223" t="s">
        <v>147</v>
      </c>
      <c r="AT175" s="223" t="s">
        <v>144</v>
      </c>
      <c r="AU175" s="223" t="s">
        <v>83</v>
      </c>
      <c r="AY175" s="17" t="s">
        <v>142</v>
      </c>
      <c r="BE175" s="224">
        <f>IF(N175="základní",J175,0)</f>
        <v>73483.199999999997</v>
      </c>
      <c r="BF175" s="224">
        <f>IF(N175="snížená",J175,0)</f>
        <v>0</v>
      </c>
      <c r="BG175" s="224">
        <f>IF(N175="zákl. přenesená",J175,0)</f>
        <v>0</v>
      </c>
      <c r="BH175" s="224">
        <f>IF(N175="sníž. přenesená",J175,0)</f>
        <v>0</v>
      </c>
      <c r="BI175" s="224">
        <f>IF(N175="nulová",J175,0)</f>
        <v>0</v>
      </c>
      <c r="BJ175" s="17" t="s">
        <v>19</v>
      </c>
      <c r="BK175" s="224">
        <f>ROUND(I175*H175,2)</f>
        <v>73483.199999999997</v>
      </c>
      <c r="BL175" s="17" t="s">
        <v>147</v>
      </c>
      <c r="BM175" s="223" t="s">
        <v>225</v>
      </c>
    </row>
    <row r="176" s="13" customFormat="1">
      <c r="A176" s="13"/>
      <c r="B176" s="225"/>
      <c r="C176" s="226"/>
      <c r="D176" s="227" t="s">
        <v>149</v>
      </c>
      <c r="E176" s="228" t="s">
        <v>1</v>
      </c>
      <c r="F176" s="229" t="s">
        <v>226</v>
      </c>
      <c r="G176" s="226"/>
      <c r="H176" s="230">
        <v>15.119999999999999</v>
      </c>
      <c r="I176" s="226"/>
      <c r="J176" s="226"/>
      <c r="K176" s="226"/>
      <c r="L176" s="231"/>
      <c r="M176" s="232"/>
      <c r="N176" s="233"/>
      <c r="O176" s="233"/>
      <c r="P176" s="233"/>
      <c r="Q176" s="233"/>
      <c r="R176" s="233"/>
      <c r="S176" s="233"/>
      <c r="T176" s="23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35" t="s">
        <v>149</v>
      </c>
      <c r="AU176" s="235" t="s">
        <v>83</v>
      </c>
      <c r="AV176" s="13" t="s">
        <v>83</v>
      </c>
      <c r="AW176" s="13" t="s">
        <v>32</v>
      </c>
      <c r="AX176" s="13" t="s">
        <v>19</v>
      </c>
      <c r="AY176" s="235" t="s">
        <v>142</v>
      </c>
    </row>
    <row r="177" s="2" customFormat="1" ht="16.5" customHeight="1">
      <c r="A177" s="32"/>
      <c r="B177" s="33"/>
      <c r="C177" s="212" t="s">
        <v>227</v>
      </c>
      <c r="D177" s="212" t="s">
        <v>144</v>
      </c>
      <c r="E177" s="213" t="s">
        <v>228</v>
      </c>
      <c r="F177" s="214" t="s">
        <v>229</v>
      </c>
      <c r="G177" s="215" t="s">
        <v>171</v>
      </c>
      <c r="H177" s="216">
        <v>0.218</v>
      </c>
      <c r="I177" s="217">
        <v>38800</v>
      </c>
      <c r="J177" s="217">
        <f>ROUND(I177*H177,2)</f>
        <v>8458.3999999999996</v>
      </c>
      <c r="K177" s="218"/>
      <c r="L177" s="38"/>
      <c r="M177" s="219" t="s">
        <v>1</v>
      </c>
      <c r="N177" s="220" t="s">
        <v>39</v>
      </c>
      <c r="O177" s="221">
        <v>15.231</v>
      </c>
      <c r="P177" s="221">
        <f>O177*H177</f>
        <v>3.3203580000000001</v>
      </c>
      <c r="Q177" s="221">
        <v>1.06277</v>
      </c>
      <c r="R177" s="221">
        <f>Q177*H177</f>
        <v>0.23168385999999999</v>
      </c>
      <c r="S177" s="221">
        <v>0</v>
      </c>
      <c r="T177" s="222">
        <f>S177*H177</f>
        <v>0</v>
      </c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R177" s="223" t="s">
        <v>147</v>
      </c>
      <c r="AT177" s="223" t="s">
        <v>144</v>
      </c>
      <c r="AU177" s="223" t="s">
        <v>83</v>
      </c>
      <c r="AY177" s="17" t="s">
        <v>142</v>
      </c>
      <c r="BE177" s="224">
        <f>IF(N177="základní",J177,0)</f>
        <v>8458.3999999999996</v>
      </c>
      <c r="BF177" s="224">
        <f>IF(N177="snížená",J177,0)</f>
        <v>0</v>
      </c>
      <c r="BG177" s="224">
        <f>IF(N177="zákl. přenesená",J177,0)</f>
        <v>0</v>
      </c>
      <c r="BH177" s="224">
        <f>IF(N177="sníž. přenesená",J177,0)</f>
        <v>0</v>
      </c>
      <c r="BI177" s="224">
        <f>IF(N177="nulová",J177,0)</f>
        <v>0</v>
      </c>
      <c r="BJ177" s="17" t="s">
        <v>19</v>
      </c>
      <c r="BK177" s="224">
        <f>ROUND(I177*H177,2)</f>
        <v>8458.3999999999996</v>
      </c>
      <c r="BL177" s="17" t="s">
        <v>147</v>
      </c>
      <c r="BM177" s="223" t="s">
        <v>230</v>
      </c>
    </row>
    <row r="178" s="13" customFormat="1">
      <c r="A178" s="13"/>
      <c r="B178" s="225"/>
      <c r="C178" s="226"/>
      <c r="D178" s="227" t="s">
        <v>149</v>
      </c>
      <c r="E178" s="228" t="s">
        <v>1</v>
      </c>
      <c r="F178" s="229" t="s">
        <v>231</v>
      </c>
      <c r="G178" s="226"/>
      <c r="H178" s="230">
        <v>0.21807799999999999</v>
      </c>
      <c r="I178" s="226"/>
      <c r="J178" s="226"/>
      <c r="K178" s="226"/>
      <c r="L178" s="231"/>
      <c r="M178" s="232"/>
      <c r="N178" s="233"/>
      <c r="O178" s="233"/>
      <c r="P178" s="233"/>
      <c r="Q178" s="233"/>
      <c r="R178" s="233"/>
      <c r="S178" s="233"/>
      <c r="T178" s="234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35" t="s">
        <v>149</v>
      </c>
      <c r="AU178" s="235" t="s">
        <v>83</v>
      </c>
      <c r="AV178" s="13" t="s">
        <v>83</v>
      </c>
      <c r="AW178" s="13" t="s">
        <v>32</v>
      </c>
      <c r="AX178" s="13" t="s">
        <v>19</v>
      </c>
      <c r="AY178" s="235" t="s">
        <v>142</v>
      </c>
    </row>
    <row r="179" s="12" customFormat="1" ht="22.8" customHeight="1">
      <c r="A179" s="12"/>
      <c r="B179" s="197"/>
      <c r="C179" s="198"/>
      <c r="D179" s="199" t="s">
        <v>73</v>
      </c>
      <c r="E179" s="210" t="s">
        <v>98</v>
      </c>
      <c r="F179" s="210" t="s">
        <v>232</v>
      </c>
      <c r="G179" s="198"/>
      <c r="H179" s="198"/>
      <c r="I179" s="198"/>
      <c r="J179" s="211">
        <f>BK179</f>
        <v>861994.05999999994</v>
      </c>
      <c r="K179" s="198"/>
      <c r="L179" s="202"/>
      <c r="M179" s="203"/>
      <c r="N179" s="204"/>
      <c r="O179" s="204"/>
      <c r="P179" s="205">
        <f>SUM(P180:P218)</f>
        <v>318.545185</v>
      </c>
      <c r="Q179" s="204"/>
      <c r="R179" s="205">
        <f>SUM(R180:R218)</f>
        <v>68.613150515300077</v>
      </c>
      <c r="S179" s="204"/>
      <c r="T179" s="206">
        <f>SUM(T180:T218)</f>
        <v>0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R179" s="207" t="s">
        <v>19</v>
      </c>
      <c r="AT179" s="208" t="s">
        <v>73</v>
      </c>
      <c r="AU179" s="208" t="s">
        <v>19</v>
      </c>
      <c r="AY179" s="207" t="s">
        <v>142</v>
      </c>
      <c r="BK179" s="209">
        <f>SUM(BK180:BK218)</f>
        <v>861994.05999999994</v>
      </c>
    </row>
    <row r="180" s="2" customFormat="1" ht="24.15" customHeight="1">
      <c r="A180" s="32"/>
      <c r="B180" s="33"/>
      <c r="C180" s="212" t="s">
        <v>233</v>
      </c>
      <c r="D180" s="212" t="s">
        <v>144</v>
      </c>
      <c r="E180" s="213" t="s">
        <v>234</v>
      </c>
      <c r="F180" s="214" t="s">
        <v>235</v>
      </c>
      <c r="G180" s="215" t="s">
        <v>96</v>
      </c>
      <c r="H180" s="216">
        <v>205.53</v>
      </c>
      <c r="I180" s="217">
        <v>1950</v>
      </c>
      <c r="J180" s="217">
        <f>ROUND(I180*H180,2)</f>
        <v>400783.5</v>
      </c>
      <c r="K180" s="218"/>
      <c r="L180" s="38"/>
      <c r="M180" s="219" t="s">
        <v>1</v>
      </c>
      <c r="N180" s="220" t="s">
        <v>39</v>
      </c>
      <c r="O180" s="221">
        <v>0.67600000000000005</v>
      </c>
      <c r="P180" s="221">
        <f>O180*H180</f>
        <v>138.93828000000002</v>
      </c>
      <c r="Q180" s="221">
        <v>0.210164675521822</v>
      </c>
      <c r="R180" s="221">
        <f>Q180*H180</f>
        <v>43.195145760000074</v>
      </c>
      <c r="S180" s="221">
        <v>0</v>
      </c>
      <c r="T180" s="222">
        <f>S180*H180</f>
        <v>0</v>
      </c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R180" s="223" t="s">
        <v>147</v>
      </c>
      <c r="AT180" s="223" t="s">
        <v>144</v>
      </c>
      <c r="AU180" s="223" t="s">
        <v>83</v>
      </c>
      <c r="AY180" s="17" t="s">
        <v>142</v>
      </c>
      <c r="BE180" s="224">
        <f>IF(N180="základní",J180,0)</f>
        <v>400783.5</v>
      </c>
      <c r="BF180" s="224">
        <f>IF(N180="snížená",J180,0)</f>
        <v>0</v>
      </c>
      <c r="BG180" s="224">
        <f>IF(N180="zákl. přenesená",J180,0)</f>
        <v>0</v>
      </c>
      <c r="BH180" s="224">
        <f>IF(N180="sníž. přenesená",J180,0)</f>
        <v>0</v>
      </c>
      <c r="BI180" s="224">
        <f>IF(N180="nulová",J180,0)</f>
        <v>0</v>
      </c>
      <c r="BJ180" s="17" t="s">
        <v>19</v>
      </c>
      <c r="BK180" s="224">
        <f>ROUND(I180*H180,2)</f>
        <v>400783.5</v>
      </c>
      <c r="BL180" s="17" t="s">
        <v>147</v>
      </c>
      <c r="BM180" s="223" t="s">
        <v>236</v>
      </c>
    </row>
    <row r="181" s="13" customFormat="1">
      <c r="A181" s="13"/>
      <c r="B181" s="225"/>
      <c r="C181" s="226"/>
      <c r="D181" s="227" t="s">
        <v>149</v>
      </c>
      <c r="E181" s="228" t="s">
        <v>1</v>
      </c>
      <c r="F181" s="229" t="s">
        <v>237</v>
      </c>
      <c r="G181" s="226"/>
      <c r="H181" s="230">
        <v>205.53</v>
      </c>
      <c r="I181" s="226"/>
      <c r="J181" s="226"/>
      <c r="K181" s="226"/>
      <c r="L181" s="231"/>
      <c r="M181" s="232"/>
      <c r="N181" s="233"/>
      <c r="O181" s="233"/>
      <c r="P181" s="233"/>
      <c r="Q181" s="233"/>
      <c r="R181" s="233"/>
      <c r="S181" s="233"/>
      <c r="T181" s="23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35" t="s">
        <v>149</v>
      </c>
      <c r="AU181" s="235" t="s">
        <v>83</v>
      </c>
      <c r="AV181" s="13" t="s">
        <v>83</v>
      </c>
      <c r="AW181" s="13" t="s">
        <v>32</v>
      </c>
      <c r="AX181" s="13" t="s">
        <v>19</v>
      </c>
      <c r="AY181" s="235" t="s">
        <v>142</v>
      </c>
    </row>
    <row r="182" s="2" customFormat="1" ht="21.75" customHeight="1">
      <c r="A182" s="32"/>
      <c r="B182" s="33"/>
      <c r="C182" s="212" t="s">
        <v>238</v>
      </c>
      <c r="D182" s="212" t="s">
        <v>144</v>
      </c>
      <c r="E182" s="213" t="s">
        <v>239</v>
      </c>
      <c r="F182" s="214" t="s">
        <v>240</v>
      </c>
      <c r="G182" s="215" t="s">
        <v>96</v>
      </c>
      <c r="H182" s="216">
        <v>27.739999999999998</v>
      </c>
      <c r="I182" s="217">
        <v>1580</v>
      </c>
      <c r="J182" s="217">
        <f>ROUND(I182*H182,2)</f>
        <v>43829.199999999997</v>
      </c>
      <c r="K182" s="218"/>
      <c r="L182" s="38"/>
      <c r="M182" s="219" t="s">
        <v>1</v>
      </c>
      <c r="N182" s="220" t="s">
        <v>39</v>
      </c>
      <c r="O182" s="221">
        <v>0.55000000000000004</v>
      </c>
      <c r="P182" s="221">
        <f>O182*H182</f>
        <v>15.257</v>
      </c>
      <c r="Q182" s="221">
        <v>0.14292498630136999</v>
      </c>
      <c r="R182" s="221">
        <f>Q182*H182</f>
        <v>3.9647391200000031</v>
      </c>
      <c r="S182" s="221">
        <v>0</v>
      </c>
      <c r="T182" s="222">
        <f>S182*H182</f>
        <v>0</v>
      </c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R182" s="223" t="s">
        <v>147</v>
      </c>
      <c r="AT182" s="223" t="s">
        <v>144</v>
      </c>
      <c r="AU182" s="223" t="s">
        <v>83</v>
      </c>
      <c r="AY182" s="17" t="s">
        <v>142</v>
      </c>
      <c r="BE182" s="224">
        <f>IF(N182="základní",J182,0)</f>
        <v>43829.199999999997</v>
      </c>
      <c r="BF182" s="224">
        <f>IF(N182="snížená",J182,0)</f>
        <v>0</v>
      </c>
      <c r="BG182" s="224">
        <f>IF(N182="zákl. přenesená",J182,0)</f>
        <v>0</v>
      </c>
      <c r="BH182" s="224">
        <f>IF(N182="sníž. přenesená",J182,0)</f>
        <v>0</v>
      </c>
      <c r="BI182" s="224">
        <f>IF(N182="nulová",J182,0)</f>
        <v>0</v>
      </c>
      <c r="BJ182" s="17" t="s">
        <v>19</v>
      </c>
      <c r="BK182" s="224">
        <f>ROUND(I182*H182,2)</f>
        <v>43829.199999999997</v>
      </c>
      <c r="BL182" s="17" t="s">
        <v>147</v>
      </c>
      <c r="BM182" s="223" t="s">
        <v>241</v>
      </c>
    </row>
    <row r="183" s="13" customFormat="1">
      <c r="A183" s="13"/>
      <c r="B183" s="225"/>
      <c r="C183" s="226"/>
      <c r="D183" s="227" t="s">
        <v>149</v>
      </c>
      <c r="E183" s="228" t="s">
        <v>1</v>
      </c>
      <c r="F183" s="229" t="s">
        <v>242</v>
      </c>
      <c r="G183" s="226"/>
      <c r="H183" s="230">
        <v>27.739999999999998</v>
      </c>
      <c r="I183" s="226"/>
      <c r="J183" s="226"/>
      <c r="K183" s="226"/>
      <c r="L183" s="231"/>
      <c r="M183" s="232"/>
      <c r="N183" s="233"/>
      <c r="O183" s="233"/>
      <c r="P183" s="233"/>
      <c r="Q183" s="233"/>
      <c r="R183" s="233"/>
      <c r="S183" s="233"/>
      <c r="T183" s="23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35" t="s">
        <v>149</v>
      </c>
      <c r="AU183" s="235" t="s">
        <v>83</v>
      </c>
      <c r="AV183" s="13" t="s">
        <v>83</v>
      </c>
      <c r="AW183" s="13" t="s">
        <v>32</v>
      </c>
      <c r="AX183" s="13" t="s">
        <v>19</v>
      </c>
      <c r="AY183" s="235" t="s">
        <v>142</v>
      </c>
    </row>
    <row r="184" s="2" customFormat="1" ht="21.75" customHeight="1">
      <c r="A184" s="32"/>
      <c r="B184" s="33"/>
      <c r="C184" s="212" t="s">
        <v>243</v>
      </c>
      <c r="D184" s="212" t="s">
        <v>144</v>
      </c>
      <c r="E184" s="213" t="s">
        <v>244</v>
      </c>
      <c r="F184" s="214" t="s">
        <v>245</v>
      </c>
      <c r="G184" s="215" t="s">
        <v>154</v>
      </c>
      <c r="H184" s="216">
        <v>2.601</v>
      </c>
      <c r="I184" s="217">
        <v>5360</v>
      </c>
      <c r="J184" s="217">
        <f>ROUND(I184*H184,2)</f>
        <v>13941.360000000001</v>
      </c>
      <c r="K184" s="218"/>
      <c r="L184" s="38"/>
      <c r="M184" s="219" t="s">
        <v>1</v>
      </c>
      <c r="N184" s="220" t="s">
        <v>39</v>
      </c>
      <c r="O184" s="221">
        <v>2.5910000000000002</v>
      </c>
      <c r="P184" s="221">
        <f>O184*H184</f>
        <v>6.7391910000000008</v>
      </c>
      <c r="Q184" s="221">
        <v>2.5018699999999998</v>
      </c>
      <c r="R184" s="221">
        <f>Q184*H184</f>
        <v>6.5073638699999998</v>
      </c>
      <c r="S184" s="221">
        <v>0</v>
      </c>
      <c r="T184" s="222">
        <f>S184*H184</f>
        <v>0</v>
      </c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R184" s="223" t="s">
        <v>147</v>
      </c>
      <c r="AT184" s="223" t="s">
        <v>144</v>
      </c>
      <c r="AU184" s="223" t="s">
        <v>83</v>
      </c>
      <c r="AY184" s="17" t="s">
        <v>142</v>
      </c>
      <c r="BE184" s="224">
        <f>IF(N184="základní",J184,0)</f>
        <v>13941.360000000001</v>
      </c>
      <c r="BF184" s="224">
        <f>IF(N184="snížená",J184,0)</f>
        <v>0</v>
      </c>
      <c r="BG184" s="224">
        <f>IF(N184="zákl. přenesená",J184,0)</f>
        <v>0</v>
      </c>
      <c r="BH184" s="224">
        <f>IF(N184="sníž. přenesená",J184,0)</f>
        <v>0</v>
      </c>
      <c r="BI184" s="224">
        <f>IF(N184="nulová",J184,0)</f>
        <v>0</v>
      </c>
      <c r="BJ184" s="17" t="s">
        <v>19</v>
      </c>
      <c r="BK184" s="224">
        <f>ROUND(I184*H184,2)</f>
        <v>13941.360000000001</v>
      </c>
      <c r="BL184" s="17" t="s">
        <v>147</v>
      </c>
      <c r="BM184" s="223" t="s">
        <v>246</v>
      </c>
    </row>
    <row r="185" s="13" customFormat="1">
      <c r="A185" s="13"/>
      <c r="B185" s="225"/>
      <c r="C185" s="226"/>
      <c r="D185" s="227" t="s">
        <v>149</v>
      </c>
      <c r="E185" s="228" t="s">
        <v>1</v>
      </c>
      <c r="F185" s="229" t="s">
        <v>247</v>
      </c>
      <c r="G185" s="226"/>
      <c r="H185" s="230">
        <v>2.6009375000000001</v>
      </c>
      <c r="I185" s="226"/>
      <c r="J185" s="226"/>
      <c r="K185" s="226"/>
      <c r="L185" s="231"/>
      <c r="M185" s="232"/>
      <c r="N185" s="233"/>
      <c r="O185" s="233"/>
      <c r="P185" s="233"/>
      <c r="Q185" s="233"/>
      <c r="R185" s="233"/>
      <c r="S185" s="233"/>
      <c r="T185" s="23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35" t="s">
        <v>149</v>
      </c>
      <c r="AU185" s="235" t="s">
        <v>83</v>
      </c>
      <c r="AV185" s="13" t="s">
        <v>83</v>
      </c>
      <c r="AW185" s="13" t="s">
        <v>32</v>
      </c>
      <c r="AX185" s="13" t="s">
        <v>19</v>
      </c>
      <c r="AY185" s="235" t="s">
        <v>142</v>
      </c>
    </row>
    <row r="186" s="2" customFormat="1" ht="24.15" customHeight="1">
      <c r="A186" s="32"/>
      <c r="B186" s="33"/>
      <c r="C186" s="212" t="s">
        <v>7</v>
      </c>
      <c r="D186" s="212" t="s">
        <v>144</v>
      </c>
      <c r="E186" s="213" t="s">
        <v>248</v>
      </c>
      <c r="F186" s="214" t="s">
        <v>249</v>
      </c>
      <c r="G186" s="215" t="s">
        <v>96</v>
      </c>
      <c r="H186" s="216">
        <v>31.210999999999999</v>
      </c>
      <c r="I186" s="217">
        <v>1410</v>
      </c>
      <c r="J186" s="217">
        <f>ROUND(I186*H186,2)</f>
        <v>44007.510000000002</v>
      </c>
      <c r="K186" s="218"/>
      <c r="L186" s="38"/>
      <c r="M186" s="219" t="s">
        <v>1</v>
      </c>
      <c r="N186" s="220" t="s">
        <v>39</v>
      </c>
      <c r="O186" s="221">
        <v>0.67500000000000004</v>
      </c>
      <c r="P186" s="221">
        <f>O186*H186</f>
        <v>21.067425</v>
      </c>
      <c r="Q186" s="221">
        <v>0.0027499999999999998</v>
      </c>
      <c r="R186" s="221">
        <f>Q186*H186</f>
        <v>0.085830249999999997</v>
      </c>
      <c r="S186" s="221">
        <v>0</v>
      </c>
      <c r="T186" s="222">
        <f>S186*H186</f>
        <v>0</v>
      </c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R186" s="223" t="s">
        <v>147</v>
      </c>
      <c r="AT186" s="223" t="s">
        <v>144</v>
      </c>
      <c r="AU186" s="223" t="s">
        <v>83</v>
      </c>
      <c r="AY186" s="17" t="s">
        <v>142</v>
      </c>
      <c r="BE186" s="224">
        <f>IF(N186="základní",J186,0)</f>
        <v>44007.510000000002</v>
      </c>
      <c r="BF186" s="224">
        <f>IF(N186="snížená",J186,0)</f>
        <v>0</v>
      </c>
      <c r="BG186" s="224">
        <f>IF(N186="zákl. přenesená",J186,0)</f>
        <v>0</v>
      </c>
      <c r="BH186" s="224">
        <f>IF(N186="sníž. přenesená",J186,0)</f>
        <v>0</v>
      </c>
      <c r="BI186" s="224">
        <f>IF(N186="nulová",J186,0)</f>
        <v>0</v>
      </c>
      <c r="BJ186" s="17" t="s">
        <v>19</v>
      </c>
      <c r="BK186" s="224">
        <f>ROUND(I186*H186,2)</f>
        <v>44007.510000000002</v>
      </c>
      <c r="BL186" s="17" t="s">
        <v>147</v>
      </c>
      <c r="BM186" s="223" t="s">
        <v>250</v>
      </c>
    </row>
    <row r="187" s="13" customFormat="1">
      <c r="A187" s="13"/>
      <c r="B187" s="225"/>
      <c r="C187" s="226"/>
      <c r="D187" s="227" t="s">
        <v>149</v>
      </c>
      <c r="E187" s="228" t="s">
        <v>1</v>
      </c>
      <c r="F187" s="229" t="s">
        <v>251</v>
      </c>
      <c r="G187" s="226"/>
      <c r="H187" s="230">
        <v>31.21125</v>
      </c>
      <c r="I187" s="226"/>
      <c r="J187" s="226"/>
      <c r="K187" s="226"/>
      <c r="L187" s="231"/>
      <c r="M187" s="232"/>
      <c r="N187" s="233"/>
      <c r="O187" s="233"/>
      <c r="P187" s="233"/>
      <c r="Q187" s="233"/>
      <c r="R187" s="233"/>
      <c r="S187" s="233"/>
      <c r="T187" s="23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T187" s="235" t="s">
        <v>149</v>
      </c>
      <c r="AU187" s="235" t="s">
        <v>83</v>
      </c>
      <c r="AV187" s="13" t="s">
        <v>83</v>
      </c>
      <c r="AW187" s="13" t="s">
        <v>32</v>
      </c>
      <c r="AX187" s="13" t="s">
        <v>19</v>
      </c>
      <c r="AY187" s="235" t="s">
        <v>142</v>
      </c>
    </row>
    <row r="188" s="2" customFormat="1" ht="24.15" customHeight="1">
      <c r="A188" s="32"/>
      <c r="B188" s="33"/>
      <c r="C188" s="212" t="s">
        <v>252</v>
      </c>
      <c r="D188" s="212" t="s">
        <v>144</v>
      </c>
      <c r="E188" s="213" t="s">
        <v>253</v>
      </c>
      <c r="F188" s="214" t="s">
        <v>254</v>
      </c>
      <c r="G188" s="215" t="s">
        <v>96</v>
      </c>
      <c r="H188" s="216">
        <v>31.210999999999999</v>
      </c>
      <c r="I188" s="217">
        <v>214</v>
      </c>
      <c r="J188" s="217">
        <f>ROUND(I188*H188,2)</f>
        <v>6679.1499999999996</v>
      </c>
      <c r="K188" s="218"/>
      <c r="L188" s="38"/>
      <c r="M188" s="219" t="s">
        <v>1</v>
      </c>
      <c r="N188" s="220" t="s">
        <v>39</v>
      </c>
      <c r="O188" s="221">
        <v>0.23400000000000001</v>
      </c>
      <c r="P188" s="221">
        <f>O188*H188</f>
        <v>7.3033739999999998</v>
      </c>
      <c r="Q188" s="221">
        <v>0</v>
      </c>
      <c r="R188" s="221">
        <f>Q188*H188</f>
        <v>0</v>
      </c>
      <c r="S188" s="221">
        <v>0</v>
      </c>
      <c r="T188" s="222">
        <f>S188*H188</f>
        <v>0</v>
      </c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R188" s="223" t="s">
        <v>147</v>
      </c>
      <c r="AT188" s="223" t="s">
        <v>144</v>
      </c>
      <c r="AU188" s="223" t="s">
        <v>83</v>
      </c>
      <c r="AY188" s="17" t="s">
        <v>142</v>
      </c>
      <c r="BE188" s="224">
        <f>IF(N188="základní",J188,0)</f>
        <v>6679.1499999999996</v>
      </c>
      <c r="BF188" s="224">
        <f>IF(N188="snížená",J188,0)</f>
        <v>0</v>
      </c>
      <c r="BG188" s="224">
        <f>IF(N188="zákl. přenesená",J188,0)</f>
        <v>0</v>
      </c>
      <c r="BH188" s="224">
        <f>IF(N188="sníž. přenesená",J188,0)</f>
        <v>0</v>
      </c>
      <c r="BI188" s="224">
        <f>IF(N188="nulová",J188,0)</f>
        <v>0</v>
      </c>
      <c r="BJ188" s="17" t="s">
        <v>19</v>
      </c>
      <c r="BK188" s="224">
        <f>ROUND(I188*H188,2)</f>
        <v>6679.1499999999996</v>
      </c>
      <c r="BL188" s="17" t="s">
        <v>147</v>
      </c>
      <c r="BM188" s="223" t="s">
        <v>255</v>
      </c>
    </row>
    <row r="189" s="2" customFormat="1" ht="21.75" customHeight="1">
      <c r="A189" s="32"/>
      <c r="B189" s="33"/>
      <c r="C189" s="212" t="s">
        <v>256</v>
      </c>
      <c r="D189" s="212" t="s">
        <v>144</v>
      </c>
      <c r="E189" s="213" t="s">
        <v>257</v>
      </c>
      <c r="F189" s="214" t="s">
        <v>258</v>
      </c>
      <c r="G189" s="215" t="s">
        <v>171</v>
      </c>
      <c r="H189" s="216">
        <v>0.23100000000000001</v>
      </c>
      <c r="I189" s="217">
        <v>57400</v>
      </c>
      <c r="J189" s="217">
        <f>ROUND(I189*H189,2)</f>
        <v>13259.4</v>
      </c>
      <c r="K189" s="218"/>
      <c r="L189" s="38"/>
      <c r="M189" s="219" t="s">
        <v>1</v>
      </c>
      <c r="N189" s="220" t="s">
        <v>39</v>
      </c>
      <c r="O189" s="221">
        <v>28.484999999999999</v>
      </c>
      <c r="P189" s="221">
        <f>O189*H189</f>
        <v>6.5800350000000005</v>
      </c>
      <c r="Q189" s="221">
        <v>1.05237</v>
      </c>
      <c r="R189" s="221">
        <f>Q189*H189</f>
        <v>0.24309747000000001</v>
      </c>
      <c r="S189" s="221">
        <v>0</v>
      </c>
      <c r="T189" s="222">
        <f>S189*H189</f>
        <v>0</v>
      </c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R189" s="223" t="s">
        <v>147</v>
      </c>
      <c r="AT189" s="223" t="s">
        <v>144</v>
      </c>
      <c r="AU189" s="223" t="s">
        <v>83</v>
      </c>
      <c r="AY189" s="17" t="s">
        <v>142</v>
      </c>
      <c r="BE189" s="224">
        <f>IF(N189="základní",J189,0)</f>
        <v>13259.4</v>
      </c>
      <c r="BF189" s="224">
        <f>IF(N189="snížená",J189,0)</f>
        <v>0</v>
      </c>
      <c r="BG189" s="224">
        <f>IF(N189="zákl. přenesená",J189,0)</f>
        <v>0</v>
      </c>
      <c r="BH189" s="224">
        <f>IF(N189="sníž. přenesená",J189,0)</f>
        <v>0</v>
      </c>
      <c r="BI189" s="224">
        <f>IF(N189="nulová",J189,0)</f>
        <v>0</v>
      </c>
      <c r="BJ189" s="17" t="s">
        <v>19</v>
      </c>
      <c r="BK189" s="224">
        <f>ROUND(I189*H189,2)</f>
        <v>13259.4</v>
      </c>
      <c r="BL189" s="17" t="s">
        <v>147</v>
      </c>
      <c r="BM189" s="223" t="s">
        <v>259</v>
      </c>
    </row>
    <row r="190" s="13" customFormat="1">
      <c r="A190" s="13"/>
      <c r="B190" s="225"/>
      <c r="C190" s="226"/>
      <c r="D190" s="227" t="s">
        <v>149</v>
      </c>
      <c r="E190" s="228" t="s">
        <v>1</v>
      </c>
      <c r="F190" s="229" t="s">
        <v>260</v>
      </c>
      <c r="G190" s="226"/>
      <c r="H190" s="230">
        <v>0.10027295999999999</v>
      </c>
      <c r="I190" s="226"/>
      <c r="J190" s="226"/>
      <c r="K190" s="226"/>
      <c r="L190" s="231"/>
      <c r="M190" s="232"/>
      <c r="N190" s="233"/>
      <c r="O190" s="233"/>
      <c r="P190" s="233"/>
      <c r="Q190" s="233"/>
      <c r="R190" s="233"/>
      <c r="S190" s="233"/>
      <c r="T190" s="23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35" t="s">
        <v>149</v>
      </c>
      <c r="AU190" s="235" t="s">
        <v>83</v>
      </c>
      <c r="AV190" s="13" t="s">
        <v>83</v>
      </c>
      <c r="AW190" s="13" t="s">
        <v>32</v>
      </c>
      <c r="AX190" s="13" t="s">
        <v>74</v>
      </c>
      <c r="AY190" s="235" t="s">
        <v>142</v>
      </c>
    </row>
    <row r="191" s="13" customFormat="1">
      <c r="A191" s="13"/>
      <c r="B191" s="225"/>
      <c r="C191" s="226"/>
      <c r="D191" s="227" t="s">
        <v>149</v>
      </c>
      <c r="E191" s="228" t="s">
        <v>1</v>
      </c>
      <c r="F191" s="229" t="s">
        <v>261</v>
      </c>
      <c r="G191" s="226"/>
      <c r="H191" s="230">
        <v>0.067345920000000004</v>
      </c>
      <c r="I191" s="226"/>
      <c r="J191" s="226"/>
      <c r="K191" s="226"/>
      <c r="L191" s="231"/>
      <c r="M191" s="232"/>
      <c r="N191" s="233"/>
      <c r="O191" s="233"/>
      <c r="P191" s="233"/>
      <c r="Q191" s="233"/>
      <c r="R191" s="233"/>
      <c r="S191" s="233"/>
      <c r="T191" s="23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35" t="s">
        <v>149</v>
      </c>
      <c r="AU191" s="235" t="s">
        <v>83</v>
      </c>
      <c r="AV191" s="13" t="s">
        <v>83</v>
      </c>
      <c r="AW191" s="13" t="s">
        <v>32</v>
      </c>
      <c r="AX191" s="13" t="s">
        <v>74</v>
      </c>
      <c r="AY191" s="235" t="s">
        <v>142</v>
      </c>
    </row>
    <row r="192" s="13" customFormat="1">
      <c r="A192" s="13"/>
      <c r="B192" s="225"/>
      <c r="C192" s="226"/>
      <c r="D192" s="227" t="s">
        <v>149</v>
      </c>
      <c r="E192" s="228" t="s">
        <v>1</v>
      </c>
      <c r="F192" s="229" t="s">
        <v>262</v>
      </c>
      <c r="G192" s="226"/>
      <c r="H192" s="230">
        <v>0.02793648</v>
      </c>
      <c r="I192" s="226"/>
      <c r="J192" s="226"/>
      <c r="K192" s="226"/>
      <c r="L192" s="231"/>
      <c r="M192" s="232"/>
      <c r="N192" s="233"/>
      <c r="O192" s="233"/>
      <c r="P192" s="233"/>
      <c r="Q192" s="233"/>
      <c r="R192" s="233"/>
      <c r="S192" s="233"/>
      <c r="T192" s="23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35" t="s">
        <v>149</v>
      </c>
      <c r="AU192" s="235" t="s">
        <v>83</v>
      </c>
      <c r="AV192" s="13" t="s">
        <v>83</v>
      </c>
      <c r="AW192" s="13" t="s">
        <v>32</v>
      </c>
      <c r="AX192" s="13" t="s">
        <v>74</v>
      </c>
      <c r="AY192" s="235" t="s">
        <v>142</v>
      </c>
    </row>
    <row r="193" s="13" customFormat="1">
      <c r="A193" s="13"/>
      <c r="B193" s="225"/>
      <c r="C193" s="226"/>
      <c r="D193" s="227" t="s">
        <v>149</v>
      </c>
      <c r="E193" s="228" t="s">
        <v>1</v>
      </c>
      <c r="F193" s="229" t="s">
        <v>263</v>
      </c>
      <c r="G193" s="226"/>
      <c r="H193" s="230">
        <v>0.0116960256</v>
      </c>
      <c r="I193" s="226"/>
      <c r="J193" s="226"/>
      <c r="K193" s="226"/>
      <c r="L193" s="231"/>
      <c r="M193" s="232"/>
      <c r="N193" s="233"/>
      <c r="O193" s="233"/>
      <c r="P193" s="233"/>
      <c r="Q193" s="233"/>
      <c r="R193" s="233"/>
      <c r="S193" s="233"/>
      <c r="T193" s="23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35" t="s">
        <v>149</v>
      </c>
      <c r="AU193" s="235" t="s">
        <v>83</v>
      </c>
      <c r="AV193" s="13" t="s">
        <v>83</v>
      </c>
      <c r="AW193" s="13" t="s">
        <v>32</v>
      </c>
      <c r="AX193" s="13" t="s">
        <v>74</v>
      </c>
      <c r="AY193" s="235" t="s">
        <v>142</v>
      </c>
    </row>
    <row r="194" s="13" customFormat="1">
      <c r="A194" s="13"/>
      <c r="B194" s="225"/>
      <c r="C194" s="226"/>
      <c r="D194" s="227" t="s">
        <v>149</v>
      </c>
      <c r="E194" s="228" t="s">
        <v>1</v>
      </c>
      <c r="F194" s="229" t="s">
        <v>264</v>
      </c>
      <c r="G194" s="226"/>
      <c r="H194" s="230">
        <v>0.019071682560000001</v>
      </c>
      <c r="I194" s="226"/>
      <c r="J194" s="226"/>
      <c r="K194" s="226"/>
      <c r="L194" s="231"/>
      <c r="M194" s="232"/>
      <c r="N194" s="233"/>
      <c r="O194" s="233"/>
      <c r="P194" s="233"/>
      <c r="Q194" s="233"/>
      <c r="R194" s="233"/>
      <c r="S194" s="233"/>
      <c r="T194" s="23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35" t="s">
        <v>149</v>
      </c>
      <c r="AU194" s="235" t="s">
        <v>83</v>
      </c>
      <c r="AV194" s="13" t="s">
        <v>83</v>
      </c>
      <c r="AW194" s="13" t="s">
        <v>32</v>
      </c>
      <c r="AX194" s="13" t="s">
        <v>74</v>
      </c>
      <c r="AY194" s="235" t="s">
        <v>142</v>
      </c>
    </row>
    <row r="195" s="13" customFormat="1">
      <c r="A195" s="13"/>
      <c r="B195" s="225"/>
      <c r="C195" s="226"/>
      <c r="D195" s="227" t="s">
        <v>149</v>
      </c>
      <c r="E195" s="228" t="s">
        <v>1</v>
      </c>
      <c r="F195" s="229" t="s">
        <v>265</v>
      </c>
      <c r="G195" s="226"/>
      <c r="H195" s="230">
        <v>0.0051279513599999998</v>
      </c>
      <c r="I195" s="226"/>
      <c r="J195" s="226"/>
      <c r="K195" s="226"/>
      <c r="L195" s="231"/>
      <c r="M195" s="232"/>
      <c r="N195" s="233"/>
      <c r="O195" s="233"/>
      <c r="P195" s="233"/>
      <c r="Q195" s="233"/>
      <c r="R195" s="233"/>
      <c r="S195" s="233"/>
      <c r="T195" s="23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35" t="s">
        <v>149</v>
      </c>
      <c r="AU195" s="235" t="s">
        <v>83</v>
      </c>
      <c r="AV195" s="13" t="s">
        <v>83</v>
      </c>
      <c r="AW195" s="13" t="s">
        <v>32</v>
      </c>
      <c r="AX195" s="13" t="s">
        <v>74</v>
      </c>
      <c r="AY195" s="235" t="s">
        <v>142</v>
      </c>
    </row>
    <row r="196" s="14" customFormat="1">
      <c r="A196" s="14"/>
      <c r="B196" s="236"/>
      <c r="C196" s="237"/>
      <c r="D196" s="227" t="s">
        <v>149</v>
      </c>
      <c r="E196" s="238" t="s">
        <v>1</v>
      </c>
      <c r="F196" s="239" t="s">
        <v>151</v>
      </c>
      <c r="G196" s="237"/>
      <c r="H196" s="240">
        <v>0.23145101952</v>
      </c>
      <c r="I196" s="237"/>
      <c r="J196" s="237"/>
      <c r="K196" s="237"/>
      <c r="L196" s="241"/>
      <c r="M196" s="242"/>
      <c r="N196" s="243"/>
      <c r="O196" s="243"/>
      <c r="P196" s="243"/>
      <c r="Q196" s="243"/>
      <c r="R196" s="243"/>
      <c r="S196" s="243"/>
      <c r="T196" s="24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T196" s="245" t="s">
        <v>149</v>
      </c>
      <c r="AU196" s="245" t="s">
        <v>83</v>
      </c>
      <c r="AV196" s="14" t="s">
        <v>147</v>
      </c>
      <c r="AW196" s="14" t="s">
        <v>32</v>
      </c>
      <c r="AX196" s="14" t="s">
        <v>19</v>
      </c>
      <c r="AY196" s="245" t="s">
        <v>142</v>
      </c>
    </row>
    <row r="197" s="2" customFormat="1" ht="24.15" customHeight="1">
      <c r="A197" s="32"/>
      <c r="B197" s="33"/>
      <c r="C197" s="212" t="s">
        <v>266</v>
      </c>
      <c r="D197" s="212" t="s">
        <v>144</v>
      </c>
      <c r="E197" s="213" t="s">
        <v>267</v>
      </c>
      <c r="F197" s="214" t="s">
        <v>268</v>
      </c>
      <c r="G197" s="215" t="s">
        <v>96</v>
      </c>
      <c r="H197" s="216">
        <v>86.209999999999994</v>
      </c>
      <c r="I197" s="217">
        <v>1280</v>
      </c>
      <c r="J197" s="217">
        <f>ROUND(I197*H197,2)</f>
        <v>110348.8</v>
      </c>
      <c r="K197" s="218"/>
      <c r="L197" s="38"/>
      <c r="M197" s="219" t="s">
        <v>1</v>
      </c>
      <c r="N197" s="220" t="s">
        <v>39</v>
      </c>
      <c r="O197" s="221">
        <v>0.54600000000000004</v>
      </c>
      <c r="P197" s="221">
        <f>O197*H197</f>
        <v>47.070659999999997</v>
      </c>
      <c r="Q197" s="221">
        <v>0.079236329999999994</v>
      </c>
      <c r="R197" s="221">
        <f>Q197*H197</f>
        <v>6.8309640092999988</v>
      </c>
      <c r="S197" s="221">
        <v>0</v>
      </c>
      <c r="T197" s="222">
        <f>S197*H197</f>
        <v>0</v>
      </c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R197" s="223" t="s">
        <v>147</v>
      </c>
      <c r="AT197" s="223" t="s">
        <v>144</v>
      </c>
      <c r="AU197" s="223" t="s">
        <v>83</v>
      </c>
      <c r="AY197" s="17" t="s">
        <v>142</v>
      </c>
      <c r="BE197" s="224">
        <f>IF(N197="základní",J197,0)</f>
        <v>110348.8</v>
      </c>
      <c r="BF197" s="224">
        <f>IF(N197="snížená",J197,0)</f>
        <v>0</v>
      </c>
      <c r="BG197" s="224">
        <f>IF(N197="zákl. přenesená",J197,0)</f>
        <v>0</v>
      </c>
      <c r="BH197" s="224">
        <f>IF(N197="sníž. přenesená",J197,0)</f>
        <v>0</v>
      </c>
      <c r="BI197" s="224">
        <f>IF(N197="nulová",J197,0)</f>
        <v>0</v>
      </c>
      <c r="BJ197" s="17" t="s">
        <v>19</v>
      </c>
      <c r="BK197" s="224">
        <f>ROUND(I197*H197,2)</f>
        <v>110348.8</v>
      </c>
      <c r="BL197" s="17" t="s">
        <v>147</v>
      </c>
      <c r="BM197" s="223" t="s">
        <v>269</v>
      </c>
    </row>
    <row r="198" s="13" customFormat="1">
      <c r="A198" s="13"/>
      <c r="B198" s="225"/>
      <c r="C198" s="226"/>
      <c r="D198" s="227" t="s">
        <v>149</v>
      </c>
      <c r="E198" s="228" t="s">
        <v>1</v>
      </c>
      <c r="F198" s="229" t="s">
        <v>270</v>
      </c>
      <c r="G198" s="226"/>
      <c r="H198" s="230">
        <v>86.209999999999994</v>
      </c>
      <c r="I198" s="226"/>
      <c r="J198" s="226"/>
      <c r="K198" s="226"/>
      <c r="L198" s="231"/>
      <c r="M198" s="232"/>
      <c r="N198" s="233"/>
      <c r="O198" s="233"/>
      <c r="P198" s="233"/>
      <c r="Q198" s="233"/>
      <c r="R198" s="233"/>
      <c r="S198" s="233"/>
      <c r="T198" s="23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35" t="s">
        <v>149</v>
      </c>
      <c r="AU198" s="235" t="s">
        <v>83</v>
      </c>
      <c r="AV198" s="13" t="s">
        <v>83</v>
      </c>
      <c r="AW198" s="13" t="s">
        <v>32</v>
      </c>
      <c r="AX198" s="13" t="s">
        <v>19</v>
      </c>
      <c r="AY198" s="235" t="s">
        <v>142</v>
      </c>
    </row>
    <row r="199" s="2" customFormat="1" ht="24.15" customHeight="1">
      <c r="A199" s="32"/>
      <c r="B199" s="33"/>
      <c r="C199" s="212" t="s">
        <v>271</v>
      </c>
      <c r="D199" s="212" t="s">
        <v>144</v>
      </c>
      <c r="E199" s="213" t="s">
        <v>272</v>
      </c>
      <c r="F199" s="214" t="s">
        <v>273</v>
      </c>
      <c r="G199" s="215" t="s">
        <v>96</v>
      </c>
      <c r="H199" s="216">
        <v>38.630000000000003</v>
      </c>
      <c r="I199" s="217">
        <v>902</v>
      </c>
      <c r="J199" s="217">
        <f>ROUND(I199*H199,2)</f>
        <v>34844.260000000002</v>
      </c>
      <c r="K199" s="218"/>
      <c r="L199" s="38"/>
      <c r="M199" s="219" t="s">
        <v>1</v>
      </c>
      <c r="N199" s="220" t="s">
        <v>39</v>
      </c>
      <c r="O199" s="221">
        <v>0.52000000000000002</v>
      </c>
      <c r="P199" s="221">
        <f>O199*H199</f>
        <v>20.087600000000002</v>
      </c>
      <c r="Q199" s="221">
        <v>0.061735640000000001</v>
      </c>
      <c r="R199" s="221">
        <f>Q199*H199</f>
        <v>2.3848477732000002</v>
      </c>
      <c r="S199" s="221">
        <v>0</v>
      </c>
      <c r="T199" s="222">
        <f>S199*H199</f>
        <v>0</v>
      </c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R199" s="223" t="s">
        <v>147</v>
      </c>
      <c r="AT199" s="223" t="s">
        <v>144</v>
      </c>
      <c r="AU199" s="223" t="s">
        <v>83</v>
      </c>
      <c r="AY199" s="17" t="s">
        <v>142</v>
      </c>
      <c r="BE199" s="224">
        <f>IF(N199="základní",J199,0)</f>
        <v>34844.260000000002</v>
      </c>
      <c r="BF199" s="224">
        <f>IF(N199="snížená",J199,0)</f>
        <v>0</v>
      </c>
      <c r="BG199" s="224">
        <f>IF(N199="zákl. přenesená",J199,0)</f>
        <v>0</v>
      </c>
      <c r="BH199" s="224">
        <f>IF(N199="sníž. přenesená",J199,0)</f>
        <v>0</v>
      </c>
      <c r="BI199" s="224">
        <f>IF(N199="nulová",J199,0)</f>
        <v>0</v>
      </c>
      <c r="BJ199" s="17" t="s">
        <v>19</v>
      </c>
      <c r="BK199" s="224">
        <f>ROUND(I199*H199,2)</f>
        <v>34844.260000000002</v>
      </c>
      <c r="BL199" s="17" t="s">
        <v>147</v>
      </c>
      <c r="BM199" s="223" t="s">
        <v>274</v>
      </c>
    </row>
    <row r="200" s="13" customFormat="1">
      <c r="A200" s="13"/>
      <c r="B200" s="225"/>
      <c r="C200" s="226"/>
      <c r="D200" s="227" t="s">
        <v>149</v>
      </c>
      <c r="E200" s="228" t="s">
        <v>1</v>
      </c>
      <c r="F200" s="229" t="s">
        <v>275</v>
      </c>
      <c r="G200" s="226"/>
      <c r="H200" s="230">
        <v>38.630000000000003</v>
      </c>
      <c r="I200" s="226"/>
      <c r="J200" s="226"/>
      <c r="K200" s="226"/>
      <c r="L200" s="231"/>
      <c r="M200" s="232"/>
      <c r="N200" s="233"/>
      <c r="O200" s="233"/>
      <c r="P200" s="233"/>
      <c r="Q200" s="233"/>
      <c r="R200" s="233"/>
      <c r="S200" s="233"/>
      <c r="T200" s="234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T200" s="235" t="s">
        <v>149</v>
      </c>
      <c r="AU200" s="235" t="s">
        <v>83</v>
      </c>
      <c r="AV200" s="13" t="s">
        <v>83</v>
      </c>
      <c r="AW200" s="13" t="s">
        <v>32</v>
      </c>
      <c r="AX200" s="13" t="s">
        <v>19</v>
      </c>
      <c r="AY200" s="235" t="s">
        <v>142</v>
      </c>
    </row>
    <row r="201" s="2" customFormat="1" ht="24.15" customHeight="1">
      <c r="A201" s="32"/>
      <c r="B201" s="33"/>
      <c r="C201" s="212" t="s">
        <v>276</v>
      </c>
      <c r="D201" s="212" t="s">
        <v>144</v>
      </c>
      <c r="E201" s="213" t="s">
        <v>277</v>
      </c>
      <c r="F201" s="214" t="s">
        <v>278</v>
      </c>
      <c r="G201" s="215" t="s">
        <v>96</v>
      </c>
      <c r="H201" s="216">
        <v>19.84</v>
      </c>
      <c r="I201" s="217">
        <v>642</v>
      </c>
      <c r="J201" s="217">
        <f>ROUND(I201*H201,2)</f>
        <v>12737.280000000001</v>
      </c>
      <c r="K201" s="218"/>
      <c r="L201" s="38"/>
      <c r="M201" s="219" t="s">
        <v>1</v>
      </c>
      <c r="N201" s="220" t="s">
        <v>39</v>
      </c>
      <c r="O201" s="221">
        <v>0.496</v>
      </c>
      <c r="P201" s="221">
        <f>O201*H201</f>
        <v>9.8406400000000005</v>
      </c>
      <c r="Q201" s="221">
        <v>0.044344920000000003</v>
      </c>
      <c r="R201" s="221">
        <f>Q201*H201</f>
        <v>0.87980321280000007</v>
      </c>
      <c r="S201" s="221">
        <v>0</v>
      </c>
      <c r="T201" s="222">
        <f>S201*H201</f>
        <v>0</v>
      </c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R201" s="223" t="s">
        <v>147</v>
      </c>
      <c r="AT201" s="223" t="s">
        <v>144</v>
      </c>
      <c r="AU201" s="223" t="s">
        <v>83</v>
      </c>
      <c r="AY201" s="17" t="s">
        <v>142</v>
      </c>
      <c r="BE201" s="224">
        <f>IF(N201="základní",J201,0)</f>
        <v>12737.280000000001</v>
      </c>
      <c r="BF201" s="224">
        <f>IF(N201="snížená",J201,0)</f>
        <v>0</v>
      </c>
      <c r="BG201" s="224">
        <f>IF(N201="zákl. přenesená",J201,0)</f>
        <v>0</v>
      </c>
      <c r="BH201" s="224">
        <f>IF(N201="sníž. přenesená",J201,0)</f>
        <v>0</v>
      </c>
      <c r="BI201" s="224">
        <f>IF(N201="nulová",J201,0)</f>
        <v>0</v>
      </c>
      <c r="BJ201" s="17" t="s">
        <v>19</v>
      </c>
      <c r="BK201" s="224">
        <f>ROUND(I201*H201,2)</f>
        <v>12737.280000000001</v>
      </c>
      <c r="BL201" s="17" t="s">
        <v>147</v>
      </c>
      <c r="BM201" s="223" t="s">
        <v>279</v>
      </c>
    </row>
    <row r="202" s="13" customFormat="1">
      <c r="A202" s="13"/>
      <c r="B202" s="225"/>
      <c r="C202" s="226"/>
      <c r="D202" s="227" t="s">
        <v>149</v>
      </c>
      <c r="E202" s="228" t="s">
        <v>1</v>
      </c>
      <c r="F202" s="229" t="s">
        <v>280</v>
      </c>
      <c r="G202" s="226"/>
      <c r="H202" s="230">
        <v>19.84</v>
      </c>
      <c r="I202" s="226"/>
      <c r="J202" s="226"/>
      <c r="K202" s="226"/>
      <c r="L202" s="231"/>
      <c r="M202" s="232"/>
      <c r="N202" s="233"/>
      <c r="O202" s="233"/>
      <c r="P202" s="233"/>
      <c r="Q202" s="233"/>
      <c r="R202" s="233"/>
      <c r="S202" s="233"/>
      <c r="T202" s="23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35" t="s">
        <v>149</v>
      </c>
      <c r="AU202" s="235" t="s">
        <v>83</v>
      </c>
      <c r="AV202" s="13" t="s">
        <v>83</v>
      </c>
      <c r="AW202" s="13" t="s">
        <v>32</v>
      </c>
      <c r="AX202" s="13" t="s">
        <v>19</v>
      </c>
      <c r="AY202" s="235" t="s">
        <v>142</v>
      </c>
    </row>
    <row r="203" s="2" customFormat="1" ht="21.75" customHeight="1">
      <c r="A203" s="32"/>
      <c r="B203" s="33"/>
      <c r="C203" s="212" t="s">
        <v>281</v>
      </c>
      <c r="D203" s="212" t="s">
        <v>144</v>
      </c>
      <c r="E203" s="213" t="s">
        <v>282</v>
      </c>
      <c r="F203" s="214" t="s">
        <v>283</v>
      </c>
      <c r="G203" s="215" t="s">
        <v>284</v>
      </c>
      <c r="H203" s="216">
        <v>3</v>
      </c>
      <c r="I203" s="217">
        <v>5020</v>
      </c>
      <c r="J203" s="217">
        <f>ROUND(I203*H203,2)</f>
        <v>15060</v>
      </c>
      <c r="K203" s="218"/>
      <c r="L203" s="38"/>
      <c r="M203" s="219" t="s">
        <v>1</v>
      </c>
      <c r="N203" s="220" t="s">
        <v>39</v>
      </c>
      <c r="O203" s="221">
        <v>0.36099999999999999</v>
      </c>
      <c r="P203" s="221">
        <f>O203*H203</f>
        <v>1.083</v>
      </c>
      <c r="Q203" s="221">
        <v>0.12539</v>
      </c>
      <c r="R203" s="221">
        <f>Q203*H203</f>
        <v>0.37617</v>
      </c>
      <c r="S203" s="221">
        <v>0</v>
      </c>
      <c r="T203" s="222">
        <f>S203*H203</f>
        <v>0</v>
      </c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R203" s="223" t="s">
        <v>147</v>
      </c>
      <c r="AT203" s="223" t="s">
        <v>144</v>
      </c>
      <c r="AU203" s="223" t="s">
        <v>83</v>
      </c>
      <c r="AY203" s="17" t="s">
        <v>142</v>
      </c>
      <c r="BE203" s="224">
        <f>IF(N203="základní",J203,0)</f>
        <v>15060</v>
      </c>
      <c r="BF203" s="224">
        <f>IF(N203="snížená",J203,0)</f>
        <v>0</v>
      </c>
      <c r="BG203" s="224">
        <f>IF(N203="zákl. přenesená",J203,0)</f>
        <v>0</v>
      </c>
      <c r="BH203" s="224">
        <f>IF(N203="sníž. přenesená",J203,0)</f>
        <v>0</v>
      </c>
      <c r="BI203" s="224">
        <f>IF(N203="nulová",J203,0)</f>
        <v>0</v>
      </c>
      <c r="BJ203" s="17" t="s">
        <v>19</v>
      </c>
      <c r="BK203" s="224">
        <f>ROUND(I203*H203,2)</f>
        <v>15060</v>
      </c>
      <c r="BL203" s="17" t="s">
        <v>147</v>
      </c>
      <c r="BM203" s="223" t="s">
        <v>285</v>
      </c>
    </row>
    <row r="204" s="2" customFormat="1" ht="21.75" customHeight="1">
      <c r="A204" s="32"/>
      <c r="B204" s="33"/>
      <c r="C204" s="212" t="s">
        <v>286</v>
      </c>
      <c r="D204" s="212" t="s">
        <v>144</v>
      </c>
      <c r="E204" s="213" t="s">
        <v>287</v>
      </c>
      <c r="F204" s="214" t="s">
        <v>288</v>
      </c>
      <c r="G204" s="215" t="s">
        <v>284</v>
      </c>
      <c r="H204" s="216">
        <v>2</v>
      </c>
      <c r="I204" s="217">
        <v>8780</v>
      </c>
      <c r="J204" s="217">
        <f>ROUND(I204*H204,2)</f>
        <v>17560</v>
      </c>
      <c r="K204" s="218"/>
      <c r="L204" s="38"/>
      <c r="M204" s="219" t="s">
        <v>1</v>
      </c>
      <c r="N204" s="220" t="s">
        <v>39</v>
      </c>
      <c r="O204" s="221">
        <v>0.36099999999999999</v>
      </c>
      <c r="P204" s="221">
        <f>O204*H204</f>
        <v>0.72199999999999998</v>
      </c>
      <c r="Q204" s="221">
        <v>0.10931</v>
      </c>
      <c r="R204" s="221">
        <f>Q204*H204</f>
        <v>0.21862000000000001</v>
      </c>
      <c r="S204" s="221">
        <v>0</v>
      </c>
      <c r="T204" s="222">
        <f>S204*H204</f>
        <v>0</v>
      </c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R204" s="223" t="s">
        <v>147</v>
      </c>
      <c r="AT204" s="223" t="s">
        <v>144</v>
      </c>
      <c r="AU204" s="223" t="s">
        <v>83</v>
      </c>
      <c r="AY204" s="17" t="s">
        <v>142</v>
      </c>
      <c r="BE204" s="224">
        <f>IF(N204="základní",J204,0)</f>
        <v>17560</v>
      </c>
      <c r="BF204" s="224">
        <f>IF(N204="snížená",J204,0)</f>
        <v>0</v>
      </c>
      <c r="BG204" s="224">
        <f>IF(N204="zákl. přenesená",J204,0)</f>
        <v>0</v>
      </c>
      <c r="BH204" s="224">
        <f>IF(N204="sníž. přenesená",J204,0)</f>
        <v>0</v>
      </c>
      <c r="BI204" s="224">
        <f>IF(N204="nulová",J204,0)</f>
        <v>0</v>
      </c>
      <c r="BJ204" s="17" t="s">
        <v>19</v>
      </c>
      <c r="BK204" s="224">
        <f>ROUND(I204*H204,2)</f>
        <v>17560</v>
      </c>
      <c r="BL204" s="17" t="s">
        <v>147</v>
      </c>
      <c r="BM204" s="223" t="s">
        <v>289</v>
      </c>
    </row>
    <row r="205" s="2" customFormat="1" ht="21.75" customHeight="1">
      <c r="A205" s="32"/>
      <c r="B205" s="33"/>
      <c r="C205" s="212" t="s">
        <v>290</v>
      </c>
      <c r="D205" s="212" t="s">
        <v>144</v>
      </c>
      <c r="E205" s="213" t="s">
        <v>291</v>
      </c>
      <c r="F205" s="214" t="s">
        <v>292</v>
      </c>
      <c r="G205" s="215" t="s">
        <v>284</v>
      </c>
      <c r="H205" s="216">
        <v>1</v>
      </c>
      <c r="I205" s="217">
        <v>1640</v>
      </c>
      <c r="J205" s="217">
        <f>ROUND(I205*H205,2)</f>
        <v>1640</v>
      </c>
      <c r="K205" s="218"/>
      <c r="L205" s="38"/>
      <c r="M205" s="219" t="s">
        <v>1</v>
      </c>
      <c r="N205" s="220" t="s">
        <v>39</v>
      </c>
      <c r="O205" s="221">
        <v>0.23699999999999999</v>
      </c>
      <c r="P205" s="221">
        <f>O205*H205</f>
        <v>0.23699999999999999</v>
      </c>
      <c r="Q205" s="221">
        <v>0.033520000000000001</v>
      </c>
      <c r="R205" s="221">
        <f>Q205*H205</f>
        <v>0.033520000000000001</v>
      </c>
      <c r="S205" s="221">
        <v>0</v>
      </c>
      <c r="T205" s="222">
        <f>S205*H205</f>
        <v>0</v>
      </c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R205" s="223" t="s">
        <v>147</v>
      </c>
      <c r="AT205" s="223" t="s">
        <v>144</v>
      </c>
      <c r="AU205" s="223" t="s">
        <v>83</v>
      </c>
      <c r="AY205" s="17" t="s">
        <v>142</v>
      </c>
      <c r="BE205" s="224">
        <f>IF(N205="základní",J205,0)</f>
        <v>1640</v>
      </c>
      <c r="BF205" s="224">
        <f>IF(N205="snížená",J205,0)</f>
        <v>0</v>
      </c>
      <c r="BG205" s="224">
        <f>IF(N205="zákl. přenesená",J205,0)</f>
        <v>0</v>
      </c>
      <c r="BH205" s="224">
        <f>IF(N205="sníž. přenesená",J205,0)</f>
        <v>0</v>
      </c>
      <c r="BI205" s="224">
        <f>IF(N205="nulová",J205,0)</f>
        <v>0</v>
      </c>
      <c r="BJ205" s="17" t="s">
        <v>19</v>
      </c>
      <c r="BK205" s="224">
        <f>ROUND(I205*H205,2)</f>
        <v>1640</v>
      </c>
      <c r="BL205" s="17" t="s">
        <v>147</v>
      </c>
      <c r="BM205" s="223" t="s">
        <v>293</v>
      </c>
    </row>
    <row r="206" s="2" customFormat="1" ht="24.15" customHeight="1">
      <c r="A206" s="32"/>
      <c r="B206" s="33"/>
      <c r="C206" s="212" t="s">
        <v>236</v>
      </c>
      <c r="D206" s="212" t="s">
        <v>144</v>
      </c>
      <c r="E206" s="213" t="s">
        <v>294</v>
      </c>
      <c r="F206" s="214" t="s">
        <v>295</v>
      </c>
      <c r="G206" s="215" t="s">
        <v>284</v>
      </c>
      <c r="H206" s="216">
        <v>4</v>
      </c>
      <c r="I206" s="217">
        <v>919</v>
      </c>
      <c r="J206" s="217">
        <f>ROUND(I206*H206,2)</f>
        <v>3676</v>
      </c>
      <c r="K206" s="218"/>
      <c r="L206" s="38"/>
      <c r="M206" s="219" t="s">
        <v>1</v>
      </c>
      <c r="N206" s="220" t="s">
        <v>39</v>
      </c>
      <c r="O206" s="221">
        <v>0.19600000000000001</v>
      </c>
      <c r="P206" s="221">
        <f>O206*H206</f>
        <v>0.78400000000000003</v>
      </c>
      <c r="Q206" s="221">
        <v>0.026280000000000001</v>
      </c>
      <c r="R206" s="221">
        <f>Q206*H206</f>
        <v>0.10512000000000001</v>
      </c>
      <c r="S206" s="221">
        <v>0</v>
      </c>
      <c r="T206" s="222">
        <f>S206*H206</f>
        <v>0</v>
      </c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R206" s="223" t="s">
        <v>147</v>
      </c>
      <c r="AT206" s="223" t="s">
        <v>144</v>
      </c>
      <c r="AU206" s="223" t="s">
        <v>83</v>
      </c>
      <c r="AY206" s="17" t="s">
        <v>142</v>
      </c>
      <c r="BE206" s="224">
        <f>IF(N206="základní",J206,0)</f>
        <v>3676</v>
      </c>
      <c r="BF206" s="224">
        <f>IF(N206="snížená",J206,0)</f>
        <v>0</v>
      </c>
      <c r="BG206" s="224">
        <f>IF(N206="zákl. přenesená",J206,0)</f>
        <v>0</v>
      </c>
      <c r="BH206" s="224">
        <f>IF(N206="sníž. přenesená",J206,0)</f>
        <v>0</v>
      </c>
      <c r="BI206" s="224">
        <f>IF(N206="nulová",J206,0)</f>
        <v>0</v>
      </c>
      <c r="BJ206" s="17" t="s">
        <v>19</v>
      </c>
      <c r="BK206" s="224">
        <f>ROUND(I206*H206,2)</f>
        <v>3676</v>
      </c>
      <c r="BL206" s="17" t="s">
        <v>147</v>
      </c>
      <c r="BM206" s="223" t="s">
        <v>296</v>
      </c>
    </row>
    <row r="207" s="2" customFormat="1" ht="24.15" customHeight="1">
      <c r="A207" s="32"/>
      <c r="B207" s="33"/>
      <c r="C207" s="212" t="s">
        <v>297</v>
      </c>
      <c r="D207" s="212" t="s">
        <v>144</v>
      </c>
      <c r="E207" s="213" t="s">
        <v>298</v>
      </c>
      <c r="F207" s="214" t="s">
        <v>299</v>
      </c>
      <c r="G207" s="215" t="s">
        <v>284</v>
      </c>
      <c r="H207" s="216">
        <v>3</v>
      </c>
      <c r="I207" s="217">
        <v>1380</v>
      </c>
      <c r="J207" s="217">
        <f>ROUND(I207*H207,2)</f>
        <v>4140</v>
      </c>
      <c r="K207" s="218"/>
      <c r="L207" s="38"/>
      <c r="M207" s="219" t="s">
        <v>1</v>
      </c>
      <c r="N207" s="220" t="s">
        <v>39</v>
      </c>
      <c r="O207" s="221">
        <v>0.246</v>
      </c>
      <c r="P207" s="221">
        <f>O207*H207</f>
        <v>0.73799999999999999</v>
      </c>
      <c r="Q207" s="221">
        <v>0.03193</v>
      </c>
      <c r="R207" s="221">
        <f>Q207*H207</f>
        <v>0.09579</v>
      </c>
      <c r="S207" s="221">
        <v>0</v>
      </c>
      <c r="T207" s="222">
        <f>S207*H207</f>
        <v>0</v>
      </c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R207" s="223" t="s">
        <v>147</v>
      </c>
      <c r="AT207" s="223" t="s">
        <v>144</v>
      </c>
      <c r="AU207" s="223" t="s">
        <v>83</v>
      </c>
      <c r="AY207" s="17" t="s">
        <v>142</v>
      </c>
      <c r="BE207" s="224">
        <f>IF(N207="základní",J207,0)</f>
        <v>4140</v>
      </c>
      <c r="BF207" s="224">
        <f>IF(N207="snížená",J207,0)</f>
        <v>0</v>
      </c>
      <c r="BG207" s="224">
        <f>IF(N207="zákl. přenesená",J207,0)</f>
        <v>0</v>
      </c>
      <c r="BH207" s="224">
        <f>IF(N207="sníž. přenesená",J207,0)</f>
        <v>0</v>
      </c>
      <c r="BI207" s="224">
        <f>IF(N207="nulová",J207,0)</f>
        <v>0</v>
      </c>
      <c r="BJ207" s="17" t="s">
        <v>19</v>
      </c>
      <c r="BK207" s="224">
        <f>ROUND(I207*H207,2)</f>
        <v>4140</v>
      </c>
      <c r="BL207" s="17" t="s">
        <v>147</v>
      </c>
      <c r="BM207" s="223" t="s">
        <v>300</v>
      </c>
    </row>
    <row r="208" s="2" customFormat="1" ht="21.75" customHeight="1">
      <c r="A208" s="32"/>
      <c r="B208" s="33"/>
      <c r="C208" s="212" t="s">
        <v>241</v>
      </c>
      <c r="D208" s="212" t="s">
        <v>144</v>
      </c>
      <c r="E208" s="213" t="s">
        <v>301</v>
      </c>
      <c r="F208" s="214" t="s">
        <v>302</v>
      </c>
      <c r="G208" s="215" t="s">
        <v>284</v>
      </c>
      <c r="H208" s="216">
        <v>3</v>
      </c>
      <c r="I208" s="217">
        <v>2180</v>
      </c>
      <c r="J208" s="217">
        <f>ROUND(I208*H208,2)</f>
        <v>6540</v>
      </c>
      <c r="K208" s="218"/>
      <c r="L208" s="38"/>
      <c r="M208" s="219" t="s">
        <v>1</v>
      </c>
      <c r="N208" s="220" t="s">
        <v>39</v>
      </c>
      <c r="O208" s="221">
        <v>0.24199999999999999</v>
      </c>
      <c r="P208" s="221">
        <f>O208*H208</f>
        <v>0.72599999999999998</v>
      </c>
      <c r="Q208" s="221">
        <v>0.054210000000000001</v>
      </c>
      <c r="R208" s="221">
        <f>Q208*H208</f>
        <v>0.16263</v>
      </c>
      <c r="S208" s="221">
        <v>0</v>
      </c>
      <c r="T208" s="222">
        <f>S208*H208</f>
        <v>0</v>
      </c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R208" s="223" t="s">
        <v>147</v>
      </c>
      <c r="AT208" s="223" t="s">
        <v>144</v>
      </c>
      <c r="AU208" s="223" t="s">
        <v>83</v>
      </c>
      <c r="AY208" s="17" t="s">
        <v>142</v>
      </c>
      <c r="BE208" s="224">
        <f>IF(N208="základní",J208,0)</f>
        <v>6540</v>
      </c>
      <c r="BF208" s="224">
        <f>IF(N208="snížená",J208,0)</f>
        <v>0</v>
      </c>
      <c r="BG208" s="224">
        <f>IF(N208="zákl. přenesená",J208,0)</f>
        <v>0</v>
      </c>
      <c r="BH208" s="224">
        <f>IF(N208="sníž. přenesená",J208,0)</f>
        <v>0</v>
      </c>
      <c r="BI208" s="224">
        <f>IF(N208="nulová",J208,0)</f>
        <v>0</v>
      </c>
      <c r="BJ208" s="17" t="s">
        <v>19</v>
      </c>
      <c r="BK208" s="224">
        <f>ROUND(I208*H208,2)</f>
        <v>6540</v>
      </c>
      <c r="BL208" s="17" t="s">
        <v>147</v>
      </c>
      <c r="BM208" s="223" t="s">
        <v>303</v>
      </c>
    </row>
    <row r="209" s="2" customFormat="1" ht="21.75" customHeight="1">
      <c r="A209" s="32"/>
      <c r="B209" s="33"/>
      <c r="C209" s="212" t="s">
        <v>304</v>
      </c>
      <c r="D209" s="212" t="s">
        <v>144</v>
      </c>
      <c r="E209" s="213" t="s">
        <v>305</v>
      </c>
      <c r="F209" s="214" t="s">
        <v>306</v>
      </c>
      <c r="G209" s="215" t="s">
        <v>284</v>
      </c>
      <c r="H209" s="216">
        <v>1</v>
      </c>
      <c r="I209" s="217">
        <v>2510</v>
      </c>
      <c r="J209" s="217">
        <f>ROUND(I209*H209,2)</f>
        <v>2510</v>
      </c>
      <c r="K209" s="218"/>
      <c r="L209" s="38"/>
      <c r="M209" s="219" t="s">
        <v>1</v>
      </c>
      <c r="N209" s="220" t="s">
        <v>39</v>
      </c>
      <c r="O209" s="221">
        <v>0.30099999999999999</v>
      </c>
      <c r="P209" s="221">
        <f>O209*H209</f>
        <v>0.30099999999999999</v>
      </c>
      <c r="Q209" s="221">
        <v>0.062210000000000001</v>
      </c>
      <c r="R209" s="221">
        <f>Q209*H209</f>
        <v>0.062210000000000001</v>
      </c>
      <c r="S209" s="221">
        <v>0</v>
      </c>
      <c r="T209" s="222">
        <f>S209*H209</f>
        <v>0</v>
      </c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R209" s="223" t="s">
        <v>147</v>
      </c>
      <c r="AT209" s="223" t="s">
        <v>144</v>
      </c>
      <c r="AU209" s="223" t="s">
        <v>83</v>
      </c>
      <c r="AY209" s="17" t="s">
        <v>142</v>
      </c>
      <c r="BE209" s="224">
        <f>IF(N209="základní",J209,0)</f>
        <v>2510</v>
      </c>
      <c r="BF209" s="224">
        <f>IF(N209="snížená",J209,0)</f>
        <v>0</v>
      </c>
      <c r="BG209" s="224">
        <f>IF(N209="zákl. přenesená",J209,0)</f>
        <v>0</v>
      </c>
      <c r="BH209" s="224">
        <f>IF(N209="sníž. přenesená",J209,0)</f>
        <v>0</v>
      </c>
      <c r="BI209" s="224">
        <f>IF(N209="nulová",J209,0)</f>
        <v>0</v>
      </c>
      <c r="BJ209" s="17" t="s">
        <v>19</v>
      </c>
      <c r="BK209" s="224">
        <f>ROUND(I209*H209,2)</f>
        <v>2510</v>
      </c>
      <c r="BL209" s="17" t="s">
        <v>147</v>
      </c>
      <c r="BM209" s="223" t="s">
        <v>307</v>
      </c>
    </row>
    <row r="210" s="2" customFormat="1" ht="21.75" customHeight="1">
      <c r="A210" s="32"/>
      <c r="B210" s="33"/>
      <c r="C210" s="212" t="s">
        <v>269</v>
      </c>
      <c r="D210" s="212" t="s">
        <v>144</v>
      </c>
      <c r="E210" s="213" t="s">
        <v>308</v>
      </c>
      <c r="F210" s="214" t="s">
        <v>309</v>
      </c>
      <c r="G210" s="215" t="s">
        <v>284</v>
      </c>
      <c r="H210" s="216">
        <v>3</v>
      </c>
      <c r="I210" s="217">
        <v>3260</v>
      </c>
      <c r="J210" s="217">
        <f>ROUND(I210*H210,2)</f>
        <v>9780</v>
      </c>
      <c r="K210" s="218"/>
      <c r="L210" s="38"/>
      <c r="M210" s="219" t="s">
        <v>1</v>
      </c>
      <c r="N210" s="220" t="s">
        <v>39</v>
      </c>
      <c r="O210" s="221">
        <v>0.29099999999999998</v>
      </c>
      <c r="P210" s="221">
        <f>O210*H210</f>
        <v>0.873</v>
      </c>
      <c r="Q210" s="221">
        <v>0.081309999999999993</v>
      </c>
      <c r="R210" s="221">
        <f>Q210*H210</f>
        <v>0.24392999999999998</v>
      </c>
      <c r="S210" s="221">
        <v>0</v>
      </c>
      <c r="T210" s="222">
        <f>S210*H210</f>
        <v>0</v>
      </c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R210" s="223" t="s">
        <v>147</v>
      </c>
      <c r="AT210" s="223" t="s">
        <v>144</v>
      </c>
      <c r="AU210" s="223" t="s">
        <v>83</v>
      </c>
      <c r="AY210" s="17" t="s">
        <v>142</v>
      </c>
      <c r="BE210" s="224">
        <f>IF(N210="základní",J210,0)</f>
        <v>9780</v>
      </c>
      <c r="BF210" s="224">
        <f>IF(N210="snížená",J210,0)</f>
        <v>0</v>
      </c>
      <c r="BG210" s="224">
        <f>IF(N210="zákl. přenesená",J210,0)</f>
        <v>0</v>
      </c>
      <c r="BH210" s="224">
        <f>IF(N210="sníž. přenesená",J210,0)</f>
        <v>0</v>
      </c>
      <c r="BI210" s="224">
        <f>IF(N210="nulová",J210,0)</f>
        <v>0</v>
      </c>
      <c r="BJ210" s="17" t="s">
        <v>19</v>
      </c>
      <c r="BK210" s="224">
        <f>ROUND(I210*H210,2)</f>
        <v>9780</v>
      </c>
      <c r="BL210" s="17" t="s">
        <v>147</v>
      </c>
      <c r="BM210" s="223" t="s">
        <v>310</v>
      </c>
    </row>
    <row r="211" s="2" customFormat="1" ht="21.75" customHeight="1">
      <c r="A211" s="32"/>
      <c r="B211" s="33"/>
      <c r="C211" s="212" t="s">
        <v>311</v>
      </c>
      <c r="D211" s="212" t="s">
        <v>144</v>
      </c>
      <c r="E211" s="213" t="s">
        <v>312</v>
      </c>
      <c r="F211" s="214" t="s">
        <v>313</v>
      </c>
      <c r="G211" s="215" t="s">
        <v>284</v>
      </c>
      <c r="H211" s="216">
        <v>1</v>
      </c>
      <c r="I211" s="217">
        <v>3760</v>
      </c>
      <c r="J211" s="217">
        <f>ROUND(I211*H211,2)</f>
        <v>3760</v>
      </c>
      <c r="K211" s="218"/>
      <c r="L211" s="38"/>
      <c r="M211" s="219" t="s">
        <v>1</v>
      </c>
      <c r="N211" s="220" t="s">
        <v>39</v>
      </c>
      <c r="O211" s="221">
        <v>0.36099999999999999</v>
      </c>
      <c r="P211" s="221">
        <f>O211*H211</f>
        <v>0.36099999999999999</v>
      </c>
      <c r="Q211" s="221">
        <v>0.094310000000000005</v>
      </c>
      <c r="R211" s="221">
        <f>Q211*H211</f>
        <v>0.094310000000000005</v>
      </c>
      <c r="S211" s="221">
        <v>0</v>
      </c>
      <c r="T211" s="222">
        <f>S211*H211</f>
        <v>0</v>
      </c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R211" s="223" t="s">
        <v>147</v>
      </c>
      <c r="AT211" s="223" t="s">
        <v>144</v>
      </c>
      <c r="AU211" s="223" t="s">
        <v>83</v>
      </c>
      <c r="AY211" s="17" t="s">
        <v>142</v>
      </c>
      <c r="BE211" s="224">
        <f>IF(N211="základní",J211,0)</f>
        <v>3760</v>
      </c>
      <c r="BF211" s="224">
        <f>IF(N211="snížená",J211,0)</f>
        <v>0</v>
      </c>
      <c r="BG211" s="224">
        <f>IF(N211="zákl. přenesená",J211,0)</f>
        <v>0</v>
      </c>
      <c r="BH211" s="224">
        <f>IF(N211="sníž. přenesená",J211,0)</f>
        <v>0</v>
      </c>
      <c r="BI211" s="224">
        <f>IF(N211="nulová",J211,0)</f>
        <v>0</v>
      </c>
      <c r="BJ211" s="17" t="s">
        <v>19</v>
      </c>
      <c r="BK211" s="224">
        <f>ROUND(I211*H211,2)</f>
        <v>3760</v>
      </c>
      <c r="BL211" s="17" t="s">
        <v>147</v>
      </c>
      <c r="BM211" s="223" t="s">
        <v>314</v>
      </c>
    </row>
    <row r="212" s="2" customFormat="1" ht="24.15" customHeight="1">
      <c r="A212" s="32"/>
      <c r="B212" s="33"/>
      <c r="C212" s="212" t="s">
        <v>274</v>
      </c>
      <c r="D212" s="212" t="s">
        <v>144</v>
      </c>
      <c r="E212" s="213" t="s">
        <v>315</v>
      </c>
      <c r="F212" s="214" t="s">
        <v>316</v>
      </c>
      <c r="G212" s="215" t="s">
        <v>284</v>
      </c>
      <c r="H212" s="216">
        <v>1</v>
      </c>
      <c r="I212" s="217">
        <v>14800</v>
      </c>
      <c r="J212" s="217">
        <f>ROUND(I212*H212,2)</f>
        <v>14800</v>
      </c>
      <c r="K212" s="218"/>
      <c r="L212" s="38"/>
      <c r="M212" s="219" t="s">
        <v>1</v>
      </c>
      <c r="N212" s="220" t="s">
        <v>39</v>
      </c>
      <c r="O212" s="221">
        <v>0.46600000000000003</v>
      </c>
      <c r="P212" s="221">
        <f>O212*H212</f>
        <v>0.46600000000000003</v>
      </c>
      <c r="Q212" s="221">
        <v>0.098640000000000005</v>
      </c>
      <c r="R212" s="221">
        <f>Q212*H212</f>
        <v>0.098640000000000005</v>
      </c>
      <c r="S212" s="221">
        <v>0</v>
      </c>
      <c r="T212" s="222">
        <f>S212*H212</f>
        <v>0</v>
      </c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R212" s="223" t="s">
        <v>147</v>
      </c>
      <c r="AT212" s="223" t="s">
        <v>144</v>
      </c>
      <c r="AU212" s="223" t="s">
        <v>83</v>
      </c>
      <c r="AY212" s="17" t="s">
        <v>142</v>
      </c>
      <c r="BE212" s="224">
        <f>IF(N212="základní",J212,0)</f>
        <v>14800</v>
      </c>
      <c r="BF212" s="224">
        <f>IF(N212="snížená",J212,0)</f>
        <v>0</v>
      </c>
      <c r="BG212" s="224">
        <f>IF(N212="zákl. přenesená",J212,0)</f>
        <v>0</v>
      </c>
      <c r="BH212" s="224">
        <f>IF(N212="sníž. přenesená",J212,0)</f>
        <v>0</v>
      </c>
      <c r="BI212" s="224">
        <f>IF(N212="nulová",J212,0)</f>
        <v>0</v>
      </c>
      <c r="BJ212" s="17" t="s">
        <v>19</v>
      </c>
      <c r="BK212" s="224">
        <f>ROUND(I212*H212,2)</f>
        <v>14800</v>
      </c>
      <c r="BL212" s="17" t="s">
        <v>147</v>
      </c>
      <c r="BM212" s="223" t="s">
        <v>317</v>
      </c>
    </row>
    <row r="213" s="2" customFormat="1" ht="44.25" customHeight="1">
      <c r="A213" s="32"/>
      <c r="B213" s="33"/>
      <c r="C213" s="212" t="s">
        <v>318</v>
      </c>
      <c r="D213" s="212" t="s">
        <v>144</v>
      </c>
      <c r="E213" s="213" t="s">
        <v>319</v>
      </c>
      <c r="F213" s="214" t="s">
        <v>320</v>
      </c>
      <c r="G213" s="215" t="s">
        <v>321</v>
      </c>
      <c r="H213" s="216">
        <v>1</v>
      </c>
      <c r="I213" s="217">
        <v>31400</v>
      </c>
      <c r="J213" s="217">
        <f>ROUND(I213*H213,2)</f>
        <v>31400</v>
      </c>
      <c r="K213" s="218"/>
      <c r="L213" s="38"/>
      <c r="M213" s="219" t="s">
        <v>1</v>
      </c>
      <c r="N213" s="220" t="s">
        <v>39</v>
      </c>
      <c r="O213" s="221">
        <v>7.5220000000000002</v>
      </c>
      <c r="P213" s="221">
        <f>O213*H213</f>
        <v>7.5220000000000002</v>
      </c>
      <c r="Q213" s="221">
        <v>0.71945000000000003</v>
      </c>
      <c r="R213" s="221">
        <f>Q213*H213</f>
        <v>0.71945000000000003</v>
      </c>
      <c r="S213" s="221">
        <v>0</v>
      </c>
      <c r="T213" s="222">
        <f>S213*H213</f>
        <v>0</v>
      </c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R213" s="223" t="s">
        <v>147</v>
      </c>
      <c r="AT213" s="223" t="s">
        <v>144</v>
      </c>
      <c r="AU213" s="223" t="s">
        <v>83</v>
      </c>
      <c r="AY213" s="17" t="s">
        <v>142</v>
      </c>
      <c r="BE213" s="224">
        <f>IF(N213="základní",J213,0)</f>
        <v>31400</v>
      </c>
      <c r="BF213" s="224">
        <f>IF(N213="snížená",J213,0)</f>
        <v>0</v>
      </c>
      <c r="BG213" s="224">
        <f>IF(N213="zákl. přenesená",J213,0)</f>
        <v>0</v>
      </c>
      <c r="BH213" s="224">
        <f>IF(N213="sníž. přenesená",J213,0)</f>
        <v>0</v>
      </c>
      <c r="BI213" s="224">
        <f>IF(N213="nulová",J213,0)</f>
        <v>0</v>
      </c>
      <c r="BJ213" s="17" t="s">
        <v>19</v>
      </c>
      <c r="BK213" s="224">
        <f>ROUND(I213*H213,2)</f>
        <v>31400</v>
      </c>
      <c r="BL213" s="17" t="s">
        <v>147</v>
      </c>
      <c r="BM213" s="223" t="s">
        <v>322</v>
      </c>
    </row>
    <row r="214" s="2" customFormat="1" ht="49.05" customHeight="1">
      <c r="A214" s="32"/>
      <c r="B214" s="33"/>
      <c r="C214" s="212" t="s">
        <v>323</v>
      </c>
      <c r="D214" s="212" t="s">
        <v>144</v>
      </c>
      <c r="E214" s="213" t="s">
        <v>324</v>
      </c>
      <c r="F214" s="214" t="s">
        <v>325</v>
      </c>
      <c r="G214" s="215" t="s">
        <v>326</v>
      </c>
      <c r="H214" s="216">
        <v>7.3949999999999996</v>
      </c>
      <c r="I214" s="217">
        <v>1490</v>
      </c>
      <c r="J214" s="217">
        <f>ROUND(I214*H214,2)</f>
        <v>11018.549999999999</v>
      </c>
      <c r="K214" s="218"/>
      <c r="L214" s="38"/>
      <c r="M214" s="219" t="s">
        <v>1</v>
      </c>
      <c r="N214" s="220" t="s">
        <v>39</v>
      </c>
      <c r="O214" s="221">
        <v>0.90000000000000002</v>
      </c>
      <c r="P214" s="221">
        <f>O214*H214</f>
        <v>6.6555</v>
      </c>
      <c r="Q214" s="221">
        <v>0.0848</v>
      </c>
      <c r="R214" s="221">
        <f>Q214*H214</f>
        <v>0.62709599999999999</v>
      </c>
      <c r="S214" s="221">
        <v>0</v>
      </c>
      <c r="T214" s="222">
        <f>S214*H214</f>
        <v>0</v>
      </c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R214" s="223" t="s">
        <v>147</v>
      </c>
      <c r="AT214" s="223" t="s">
        <v>144</v>
      </c>
      <c r="AU214" s="223" t="s">
        <v>83</v>
      </c>
      <c r="AY214" s="17" t="s">
        <v>142</v>
      </c>
      <c r="BE214" s="224">
        <f>IF(N214="základní",J214,0)</f>
        <v>11018.549999999999</v>
      </c>
      <c r="BF214" s="224">
        <f>IF(N214="snížená",J214,0)</f>
        <v>0</v>
      </c>
      <c r="BG214" s="224">
        <f>IF(N214="zákl. přenesená",J214,0)</f>
        <v>0</v>
      </c>
      <c r="BH214" s="224">
        <f>IF(N214="sníž. přenesená",J214,0)</f>
        <v>0</v>
      </c>
      <c r="BI214" s="224">
        <f>IF(N214="nulová",J214,0)</f>
        <v>0</v>
      </c>
      <c r="BJ214" s="17" t="s">
        <v>19</v>
      </c>
      <c r="BK214" s="224">
        <f>ROUND(I214*H214,2)</f>
        <v>11018.549999999999</v>
      </c>
      <c r="BL214" s="17" t="s">
        <v>147</v>
      </c>
      <c r="BM214" s="223" t="s">
        <v>327</v>
      </c>
    </row>
    <row r="215" s="13" customFormat="1">
      <c r="A215" s="13"/>
      <c r="B215" s="225"/>
      <c r="C215" s="226"/>
      <c r="D215" s="227" t="s">
        <v>149</v>
      </c>
      <c r="E215" s="228" t="s">
        <v>1</v>
      </c>
      <c r="F215" s="229" t="s">
        <v>328</v>
      </c>
      <c r="G215" s="226"/>
      <c r="H215" s="230">
        <v>7.3949999999999996</v>
      </c>
      <c r="I215" s="226"/>
      <c r="J215" s="226"/>
      <c r="K215" s="226"/>
      <c r="L215" s="231"/>
      <c r="M215" s="232"/>
      <c r="N215" s="233"/>
      <c r="O215" s="233"/>
      <c r="P215" s="233"/>
      <c r="Q215" s="233"/>
      <c r="R215" s="233"/>
      <c r="S215" s="233"/>
      <c r="T215" s="23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35" t="s">
        <v>149</v>
      </c>
      <c r="AU215" s="235" t="s">
        <v>83</v>
      </c>
      <c r="AV215" s="13" t="s">
        <v>83</v>
      </c>
      <c r="AW215" s="13" t="s">
        <v>32</v>
      </c>
      <c r="AX215" s="13" t="s">
        <v>19</v>
      </c>
      <c r="AY215" s="235" t="s">
        <v>142</v>
      </c>
    </row>
    <row r="216" s="2" customFormat="1" ht="49.05" customHeight="1">
      <c r="A216" s="32"/>
      <c r="B216" s="33"/>
      <c r="C216" s="212" t="s">
        <v>329</v>
      </c>
      <c r="D216" s="212" t="s">
        <v>144</v>
      </c>
      <c r="E216" s="213" t="s">
        <v>330</v>
      </c>
      <c r="F216" s="214" t="s">
        <v>331</v>
      </c>
      <c r="G216" s="215" t="s">
        <v>326</v>
      </c>
      <c r="H216" s="216">
        <v>4.3949999999999996</v>
      </c>
      <c r="I216" s="217">
        <v>7390</v>
      </c>
      <c r="J216" s="217">
        <f>ROUND(I216*H216,2)</f>
        <v>32479.049999999999</v>
      </c>
      <c r="K216" s="218"/>
      <c r="L216" s="38"/>
      <c r="M216" s="219" t="s">
        <v>1</v>
      </c>
      <c r="N216" s="220" t="s">
        <v>39</v>
      </c>
      <c r="O216" s="221">
        <v>3.6240000000000001</v>
      </c>
      <c r="P216" s="221">
        <f>O216*H216</f>
        <v>15.927479999999999</v>
      </c>
      <c r="Q216" s="221">
        <v>0.22919000000000001</v>
      </c>
      <c r="R216" s="221">
        <f>Q216*H216</f>
        <v>1.0072900499999999</v>
      </c>
      <c r="S216" s="221">
        <v>0</v>
      </c>
      <c r="T216" s="222">
        <f>S216*H216</f>
        <v>0</v>
      </c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R216" s="223" t="s">
        <v>147</v>
      </c>
      <c r="AT216" s="223" t="s">
        <v>144</v>
      </c>
      <c r="AU216" s="223" t="s">
        <v>83</v>
      </c>
      <c r="AY216" s="17" t="s">
        <v>142</v>
      </c>
      <c r="BE216" s="224">
        <f>IF(N216="základní",J216,0)</f>
        <v>32479.049999999999</v>
      </c>
      <c r="BF216" s="224">
        <f>IF(N216="snížená",J216,0)</f>
        <v>0</v>
      </c>
      <c r="BG216" s="224">
        <f>IF(N216="zákl. přenesená",J216,0)</f>
        <v>0</v>
      </c>
      <c r="BH216" s="224">
        <f>IF(N216="sníž. přenesená",J216,0)</f>
        <v>0</v>
      </c>
      <c r="BI216" s="224">
        <f>IF(N216="nulová",J216,0)</f>
        <v>0</v>
      </c>
      <c r="BJ216" s="17" t="s">
        <v>19</v>
      </c>
      <c r="BK216" s="224">
        <f>ROUND(I216*H216,2)</f>
        <v>32479.049999999999</v>
      </c>
      <c r="BL216" s="17" t="s">
        <v>147</v>
      </c>
      <c r="BM216" s="223" t="s">
        <v>332</v>
      </c>
    </row>
    <row r="217" s="13" customFormat="1">
      <c r="A217" s="13"/>
      <c r="B217" s="225"/>
      <c r="C217" s="226"/>
      <c r="D217" s="227" t="s">
        <v>149</v>
      </c>
      <c r="E217" s="228" t="s">
        <v>1</v>
      </c>
      <c r="F217" s="229" t="s">
        <v>333</v>
      </c>
      <c r="G217" s="226"/>
      <c r="H217" s="230">
        <v>4.3949999999999996</v>
      </c>
      <c r="I217" s="226"/>
      <c r="J217" s="226"/>
      <c r="K217" s="226"/>
      <c r="L217" s="231"/>
      <c r="M217" s="232"/>
      <c r="N217" s="233"/>
      <c r="O217" s="233"/>
      <c r="P217" s="233"/>
      <c r="Q217" s="233"/>
      <c r="R217" s="233"/>
      <c r="S217" s="233"/>
      <c r="T217" s="23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35" t="s">
        <v>149</v>
      </c>
      <c r="AU217" s="235" t="s">
        <v>83</v>
      </c>
      <c r="AV217" s="13" t="s">
        <v>83</v>
      </c>
      <c r="AW217" s="13" t="s">
        <v>32</v>
      </c>
      <c r="AX217" s="13" t="s">
        <v>19</v>
      </c>
      <c r="AY217" s="235" t="s">
        <v>142</v>
      </c>
    </row>
    <row r="218" s="2" customFormat="1" ht="49.05" customHeight="1">
      <c r="A218" s="32"/>
      <c r="B218" s="33"/>
      <c r="C218" s="212" t="s">
        <v>334</v>
      </c>
      <c r="D218" s="212" t="s">
        <v>144</v>
      </c>
      <c r="E218" s="213" t="s">
        <v>335</v>
      </c>
      <c r="F218" s="214" t="s">
        <v>336</v>
      </c>
      <c r="G218" s="215" t="s">
        <v>326</v>
      </c>
      <c r="H218" s="216">
        <v>1.7</v>
      </c>
      <c r="I218" s="217">
        <v>16000</v>
      </c>
      <c r="J218" s="217">
        <f>ROUND(I218*H218,2)</f>
        <v>27200</v>
      </c>
      <c r="K218" s="218"/>
      <c r="L218" s="38"/>
      <c r="M218" s="219" t="s">
        <v>1</v>
      </c>
      <c r="N218" s="220" t="s">
        <v>39</v>
      </c>
      <c r="O218" s="221">
        <v>5.4500000000000002</v>
      </c>
      <c r="P218" s="221">
        <f>O218*H218</f>
        <v>9.2650000000000006</v>
      </c>
      <c r="Q218" s="221">
        <v>0.39799000000000001</v>
      </c>
      <c r="R218" s="221">
        <f>Q218*H218</f>
        <v>0.67658300000000005</v>
      </c>
      <c r="S218" s="221">
        <v>0</v>
      </c>
      <c r="T218" s="222">
        <f>S218*H218</f>
        <v>0</v>
      </c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R218" s="223" t="s">
        <v>147</v>
      </c>
      <c r="AT218" s="223" t="s">
        <v>144</v>
      </c>
      <c r="AU218" s="223" t="s">
        <v>83</v>
      </c>
      <c r="AY218" s="17" t="s">
        <v>142</v>
      </c>
      <c r="BE218" s="224">
        <f>IF(N218="základní",J218,0)</f>
        <v>27200</v>
      </c>
      <c r="BF218" s="224">
        <f>IF(N218="snížená",J218,0)</f>
        <v>0</v>
      </c>
      <c r="BG218" s="224">
        <f>IF(N218="zákl. přenesená",J218,0)</f>
        <v>0</v>
      </c>
      <c r="BH218" s="224">
        <f>IF(N218="sníž. přenesená",J218,0)</f>
        <v>0</v>
      </c>
      <c r="BI218" s="224">
        <f>IF(N218="nulová",J218,0)</f>
        <v>0</v>
      </c>
      <c r="BJ218" s="17" t="s">
        <v>19</v>
      </c>
      <c r="BK218" s="224">
        <f>ROUND(I218*H218,2)</f>
        <v>27200</v>
      </c>
      <c r="BL218" s="17" t="s">
        <v>147</v>
      </c>
      <c r="BM218" s="223" t="s">
        <v>337</v>
      </c>
    </row>
    <row r="219" s="12" customFormat="1" ht="22.8" customHeight="1">
      <c r="A219" s="12"/>
      <c r="B219" s="197"/>
      <c r="C219" s="198"/>
      <c r="D219" s="199" t="s">
        <v>73</v>
      </c>
      <c r="E219" s="210" t="s">
        <v>147</v>
      </c>
      <c r="F219" s="210" t="s">
        <v>338</v>
      </c>
      <c r="G219" s="198"/>
      <c r="H219" s="198"/>
      <c r="I219" s="198"/>
      <c r="J219" s="211">
        <f>BK219</f>
        <v>775200.84999999998</v>
      </c>
      <c r="K219" s="198"/>
      <c r="L219" s="202"/>
      <c r="M219" s="203"/>
      <c r="N219" s="204"/>
      <c r="O219" s="204"/>
      <c r="P219" s="205">
        <f>SUM(P220:P235)</f>
        <v>313.60294000000005</v>
      </c>
      <c r="Q219" s="204"/>
      <c r="R219" s="205">
        <f>SUM(R220:R235)</f>
        <v>71.968801904378537</v>
      </c>
      <c r="S219" s="204"/>
      <c r="T219" s="206">
        <f>SUM(T220:T235)</f>
        <v>0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R219" s="207" t="s">
        <v>19</v>
      </c>
      <c r="AT219" s="208" t="s">
        <v>73</v>
      </c>
      <c r="AU219" s="208" t="s">
        <v>19</v>
      </c>
      <c r="AY219" s="207" t="s">
        <v>142</v>
      </c>
      <c r="BK219" s="209">
        <f>SUM(BK220:BK235)</f>
        <v>775200.84999999998</v>
      </c>
    </row>
    <row r="220" s="2" customFormat="1" ht="44.25" customHeight="1">
      <c r="A220" s="32"/>
      <c r="B220" s="33"/>
      <c r="C220" s="212" t="s">
        <v>339</v>
      </c>
      <c r="D220" s="212" t="s">
        <v>144</v>
      </c>
      <c r="E220" s="213" t="s">
        <v>340</v>
      </c>
      <c r="F220" s="214" t="s">
        <v>341</v>
      </c>
      <c r="G220" s="215" t="s">
        <v>96</v>
      </c>
      <c r="H220" s="216">
        <v>75.870000000000005</v>
      </c>
      <c r="I220" s="217">
        <v>3600</v>
      </c>
      <c r="J220" s="217">
        <f>ROUND(I220*H220,2)</f>
        <v>273132</v>
      </c>
      <c r="K220" s="218"/>
      <c r="L220" s="38"/>
      <c r="M220" s="219" t="s">
        <v>1</v>
      </c>
      <c r="N220" s="220" t="s">
        <v>39</v>
      </c>
      <c r="O220" s="221">
        <v>1.4359999999999999</v>
      </c>
      <c r="P220" s="221">
        <f>O220*H220</f>
        <v>108.94932</v>
      </c>
      <c r="Q220" s="221">
        <v>0.343745159062324</v>
      </c>
      <c r="R220" s="221">
        <f>Q220*H220</f>
        <v>26.079945218058523</v>
      </c>
      <c r="S220" s="221">
        <v>0</v>
      </c>
      <c r="T220" s="222">
        <f>S220*H220</f>
        <v>0</v>
      </c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R220" s="223" t="s">
        <v>147</v>
      </c>
      <c r="AT220" s="223" t="s">
        <v>144</v>
      </c>
      <c r="AU220" s="223" t="s">
        <v>83</v>
      </c>
      <c r="AY220" s="17" t="s">
        <v>142</v>
      </c>
      <c r="BE220" s="224">
        <f>IF(N220="základní",J220,0)</f>
        <v>273132</v>
      </c>
      <c r="BF220" s="224">
        <f>IF(N220="snížená",J220,0)</f>
        <v>0</v>
      </c>
      <c r="BG220" s="224">
        <f>IF(N220="zákl. přenesená",J220,0)</f>
        <v>0</v>
      </c>
      <c r="BH220" s="224">
        <f>IF(N220="sníž. přenesená",J220,0)</f>
        <v>0</v>
      </c>
      <c r="BI220" s="224">
        <f>IF(N220="nulová",J220,0)</f>
        <v>0</v>
      </c>
      <c r="BJ220" s="17" t="s">
        <v>19</v>
      </c>
      <c r="BK220" s="224">
        <f>ROUND(I220*H220,2)</f>
        <v>273132</v>
      </c>
      <c r="BL220" s="17" t="s">
        <v>147</v>
      </c>
      <c r="BM220" s="223" t="s">
        <v>342</v>
      </c>
    </row>
    <row r="221" s="2" customFormat="1">
      <c r="A221" s="32"/>
      <c r="B221" s="33"/>
      <c r="C221" s="34"/>
      <c r="D221" s="227" t="s">
        <v>343</v>
      </c>
      <c r="E221" s="34"/>
      <c r="F221" s="255" t="s">
        <v>344</v>
      </c>
      <c r="G221" s="34"/>
      <c r="H221" s="34"/>
      <c r="I221" s="34"/>
      <c r="J221" s="34"/>
      <c r="K221" s="34"/>
      <c r="L221" s="38"/>
      <c r="M221" s="256"/>
      <c r="N221" s="257"/>
      <c r="O221" s="84"/>
      <c r="P221" s="84"/>
      <c r="Q221" s="84"/>
      <c r="R221" s="84"/>
      <c r="S221" s="84"/>
      <c r="T221" s="85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T221" s="17" t="s">
        <v>343</v>
      </c>
      <c r="AU221" s="17" t="s">
        <v>83</v>
      </c>
    </row>
    <row r="222" s="13" customFormat="1">
      <c r="A222" s="13"/>
      <c r="B222" s="225"/>
      <c r="C222" s="226"/>
      <c r="D222" s="227" t="s">
        <v>149</v>
      </c>
      <c r="E222" s="228" t="s">
        <v>1</v>
      </c>
      <c r="F222" s="229" t="s">
        <v>345</v>
      </c>
      <c r="G222" s="226"/>
      <c r="H222" s="230">
        <v>75.870000000000005</v>
      </c>
      <c r="I222" s="226"/>
      <c r="J222" s="226"/>
      <c r="K222" s="226"/>
      <c r="L222" s="231"/>
      <c r="M222" s="232"/>
      <c r="N222" s="233"/>
      <c r="O222" s="233"/>
      <c r="P222" s="233"/>
      <c r="Q222" s="233"/>
      <c r="R222" s="233"/>
      <c r="S222" s="233"/>
      <c r="T222" s="234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T222" s="235" t="s">
        <v>149</v>
      </c>
      <c r="AU222" s="235" t="s">
        <v>83</v>
      </c>
      <c r="AV222" s="13" t="s">
        <v>83</v>
      </c>
      <c r="AW222" s="13" t="s">
        <v>32</v>
      </c>
      <c r="AX222" s="13" t="s">
        <v>19</v>
      </c>
      <c r="AY222" s="235" t="s">
        <v>142</v>
      </c>
    </row>
    <row r="223" s="2" customFormat="1" ht="24.15" customHeight="1">
      <c r="A223" s="32"/>
      <c r="B223" s="33"/>
      <c r="C223" s="212" t="s">
        <v>346</v>
      </c>
      <c r="D223" s="212" t="s">
        <v>144</v>
      </c>
      <c r="E223" s="213" t="s">
        <v>347</v>
      </c>
      <c r="F223" s="214" t="s">
        <v>348</v>
      </c>
      <c r="G223" s="215" t="s">
        <v>326</v>
      </c>
      <c r="H223" s="216">
        <v>77.180000000000007</v>
      </c>
      <c r="I223" s="217">
        <v>423</v>
      </c>
      <c r="J223" s="217">
        <f>ROUND(I223*H223,2)</f>
        <v>32647.139999999999</v>
      </c>
      <c r="K223" s="218"/>
      <c r="L223" s="38"/>
      <c r="M223" s="219" t="s">
        <v>1</v>
      </c>
      <c r="N223" s="220" t="s">
        <v>39</v>
      </c>
      <c r="O223" s="221">
        <v>0.11500000000000001</v>
      </c>
      <c r="P223" s="221">
        <f>O223*H223</f>
        <v>8.8757000000000019</v>
      </c>
      <c r="Q223" s="221">
        <v>0.0112684166882612</v>
      </c>
      <c r="R223" s="221">
        <f>Q223*H223</f>
        <v>0.86969639999999948</v>
      </c>
      <c r="S223" s="221">
        <v>0</v>
      </c>
      <c r="T223" s="222">
        <f>S223*H223</f>
        <v>0</v>
      </c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R223" s="223" t="s">
        <v>147</v>
      </c>
      <c r="AT223" s="223" t="s">
        <v>144</v>
      </c>
      <c r="AU223" s="223" t="s">
        <v>83</v>
      </c>
      <c r="AY223" s="17" t="s">
        <v>142</v>
      </c>
      <c r="BE223" s="224">
        <f>IF(N223="základní",J223,0)</f>
        <v>32647.139999999999</v>
      </c>
      <c r="BF223" s="224">
        <f>IF(N223="snížená",J223,0)</f>
        <v>0</v>
      </c>
      <c r="BG223" s="224">
        <f>IF(N223="zákl. přenesená",J223,0)</f>
        <v>0</v>
      </c>
      <c r="BH223" s="224">
        <f>IF(N223="sníž. přenesená",J223,0)</f>
        <v>0</v>
      </c>
      <c r="BI223" s="224">
        <f>IF(N223="nulová",J223,0)</f>
        <v>0</v>
      </c>
      <c r="BJ223" s="17" t="s">
        <v>19</v>
      </c>
      <c r="BK223" s="224">
        <f>ROUND(I223*H223,2)</f>
        <v>32647.139999999999</v>
      </c>
      <c r="BL223" s="17" t="s">
        <v>147</v>
      </c>
      <c r="BM223" s="223" t="s">
        <v>349</v>
      </c>
    </row>
    <row r="224" s="13" customFormat="1">
      <c r="A224" s="13"/>
      <c r="B224" s="225"/>
      <c r="C224" s="226"/>
      <c r="D224" s="227" t="s">
        <v>149</v>
      </c>
      <c r="E224" s="228" t="s">
        <v>1</v>
      </c>
      <c r="F224" s="229" t="s">
        <v>350</v>
      </c>
      <c r="G224" s="226"/>
      <c r="H224" s="230">
        <v>77.180000000000007</v>
      </c>
      <c r="I224" s="226"/>
      <c r="J224" s="226"/>
      <c r="K224" s="226"/>
      <c r="L224" s="231"/>
      <c r="M224" s="232"/>
      <c r="N224" s="233"/>
      <c r="O224" s="233"/>
      <c r="P224" s="233"/>
      <c r="Q224" s="233"/>
      <c r="R224" s="233"/>
      <c r="S224" s="233"/>
      <c r="T224" s="234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35" t="s">
        <v>149</v>
      </c>
      <c r="AU224" s="235" t="s">
        <v>83</v>
      </c>
      <c r="AV224" s="13" t="s">
        <v>83</v>
      </c>
      <c r="AW224" s="13" t="s">
        <v>32</v>
      </c>
      <c r="AX224" s="13" t="s">
        <v>19</v>
      </c>
      <c r="AY224" s="235" t="s">
        <v>142</v>
      </c>
    </row>
    <row r="225" s="2" customFormat="1" ht="44.25" customHeight="1">
      <c r="A225" s="32"/>
      <c r="B225" s="33"/>
      <c r="C225" s="212" t="s">
        <v>351</v>
      </c>
      <c r="D225" s="212" t="s">
        <v>144</v>
      </c>
      <c r="E225" s="213" t="s">
        <v>352</v>
      </c>
      <c r="F225" s="214" t="s">
        <v>353</v>
      </c>
      <c r="G225" s="215" t="s">
        <v>96</v>
      </c>
      <c r="H225" s="216">
        <v>82.260000000000005</v>
      </c>
      <c r="I225" s="217">
        <v>3900</v>
      </c>
      <c r="J225" s="217">
        <f>ROUND(I225*H225,2)</f>
        <v>320814</v>
      </c>
      <c r="K225" s="218"/>
      <c r="L225" s="38"/>
      <c r="M225" s="219" t="s">
        <v>1</v>
      </c>
      <c r="N225" s="220" t="s">
        <v>39</v>
      </c>
      <c r="O225" s="221">
        <v>1.6790000000000001</v>
      </c>
      <c r="P225" s="221">
        <f>O225*H225</f>
        <v>138.11454000000001</v>
      </c>
      <c r="Q225" s="221">
        <v>0.31307206542669602</v>
      </c>
      <c r="R225" s="221">
        <f>Q225*H225</f>
        <v>25.753308102000016</v>
      </c>
      <c r="S225" s="221">
        <v>0</v>
      </c>
      <c r="T225" s="222">
        <f>S225*H225</f>
        <v>0</v>
      </c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R225" s="223" t="s">
        <v>147</v>
      </c>
      <c r="AT225" s="223" t="s">
        <v>144</v>
      </c>
      <c r="AU225" s="223" t="s">
        <v>83</v>
      </c>
      <c r="AY225" s="17" t="s">
        <v>142</v>
      </c>
      <c r="BE225" s="224">
        <f>IF(N225="základní",J225,0)</f>
        <v>320814</v>
      </c>
      <c r="BF225" s="224">
        <f>IF(N225="snížená",J225,0)</f>
        <v>0</v>
      </c>
      <c r="BG225" s="224">
        <f>IF(N225="zákl. přenesená",J225,0)</f>
        <v>0</v>
      </c>
      <c r="BH225" s="224">
        <f>IF(N225="sníž. přenesená",J225,0)</f>
        <v>0</v>
      </c>
      <c r="BI225" s="224">
        <f>IF(N225="nulová",J225,0)</f>
        <v>0</v>
      </c>
      <c r="BJ225" s="17" t="s">
        <v>19</v>
      </c>
      <c r="BK225" s="224">
        <f>ROUND(I225*H225,2)</f>
        <v>320814</v>
      </c>
      <c r="BL225" s="17" t="s">
        <v>147</v>
      </c>
      <c r="BM225" s="223" t="s">
        <v>354</v>
      </c>
    </row>
    <row r="226" s="13" customFormat="1">
      <c r="A226" s="13"/>
      <c r="B226" s="225"/>
      <c r="C226" s="226"/>
      <c r="D226" s="227" t="s">
        <v>149</v>
      </c>
      <c r="E226" s="228" t="s">
        <v>1</v>
      </c>
      <c r="F226" s="229" t="s">
        <v>355</v>
      </c>
      <c r="G226" s="226"/>
      <c r="H226" s="230">
        <v>82.260000000000005</v>
      </c>
      <c r="I226" s="226"/>
      <c r="J226" s="226"/>
      <c r="K226" s="226"/>
      <c r="L226" s="231"/>
      <c r="M226" s="232"/>
      <c r="N226" s="233"/>
      <c r="O226" s="233"/>
      <c r="P226" s="233"/>
      <c r="Q226" s="233"/>
      <c r="R226" s="233"/>
      <c r="S226" s="233"/>
      <c r="T226" s="234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35" t="s">
        <v>149</v>
      </c>
      <c r="AU226" s="235" t="s">
        <v>83</v>
      </c>
      <c r="AV226" s="13" t="s">
        <v>83</v>
      </c>
      <c r="AW226" s="13" t="s">
        <v>32</v>
      </c>
      <c r="AX226" s="13" t="s">
        <v>19</v>
      </c>
      <c r="AY226" s="235" t="s">
        <v>142</v>
      </c>
    </row>
    <row r="227" s="2" customFormat="1" ht="16.5" customHeight="1">
      <c r="A227" s="32"/>
      <c r="B227" s="33"/>
      <c r="C227" s="212" t="s">
        <v>356</v>
      </c>
      <c r="D227" s="212" t="s">
        <v>144</v>
      </c>
      <c r="E227" s="213" t="s">
        <v>357</v>
      </c>
      <c r="F227" s="214" t="s">
        <v>358</v>
      </c>
      <c r="G227" s="215" t="s">
        <v>154</v>
      </c>
      <c r="H227" s="216">
        <v>6.2389999999999999</v>
      </c>
      <c r="I227" s="217">
        <v>4790</v>
      </c>
      <c r="J227" s="217">
        <f>ROUND(I227*H227,2)</f>
        <v>29884.810000000001</v>
      </c>
      <c r="K227" s="218"/>
      <c r="L227" s="38"/>
      <c r="M227" s="219" t="s">
        <v>1</v>
      </c>
      <c r="N227" s="220" t="s">
        <v>39</v>
      </c>
      <c r="O227" s="221">
        <v>1.448</v>
      </c>
      <c r="P227" s="221">
        <f>O227*H227</f>
        <v>9.0340720000000001</v>
      </c>
      <c r="Q227" s="221">
        <v>2.5018699999999998</v>
      </c>
      <c r="R227" s="221">
        <f>Q227*H227</f>
        <v>15.609166929999999</v>
      </c>
      <c r="S227" s="221">
        <v>0</v>
      </c>
      <c r="T227" s="222">
        <f>S227*H227</f>
        <v>0</v>
      </c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R227" s="223" t="s">
        <v>147</v>
      </c>
      <c r="AT227" s="223" t="s">
        <v>144</v>
      </c>
      <c r="AU227" s="223" t="s">
        <v>83</v>
      </c>
      <c r="AY227" s="17" t="s">
        <v>142</v>
      </c>
      <c r="BE227" s="224">
        <f>IF(N227="základní",J227,0)</f>
        <v>29884.810000000001</v>
      </c>
      <c r="BF227" s="224">
        <f>IF(N227="snížená",J227,0)</f>
        <v>0</v>
      </c>
      <c r="BG227" s="224">
        <f>IF(N227="zákl. přenesená",J227,0)</f>
        <v>0</v>
      </c>
      <c r="BH227" s="224">
        <f>IF(N227="sníž. přenesená",J227,0)</f>
        <v>0</v>
      </c>
      <c r="BI227" s="224">
        <f>IF(N227="nulová",J227,0)</f>
        <v>0</v>
      </c>
      <c r="BJ227" s="17" t="s">
        <v>19</v>
      </c>
      <c r="BK227" s="224">
        <f>ROUND(I227*H227,2)</f>
        <v>29884.810000000001</v>
      </c>
      <c r="BL227" s="17" t="s">
        <v>147</v>
      </c>
      <c r="BM227" s="223" t="s">
        <v>359</v>
      </c>
    </row>
    <row r="228" s="15" customFormat="1">
      <c r="A228" s="15"/>
      <c r="B228" s="246"/>
      <c r="C228" s="247"/>
      <c r="D228" s="227" t="s">
        <v>149</v>
      </c>
      <c r="E228" s="248" t="s">
        <v>1</v>
      </c>
      <c r="F228" s="249" t="s">
        <v>360</v>
      </c>
      <c r="G228" s="247"/>
      <c r="H228" s="248" t="s">
        <v>1</v>
      </c>
      <c r="I228" s="247"/>
      <c r="J228" s="247"/>
      <c r="K228" s="247"/>
      <c r="L228" s="250"/>
      <c r="M228" s="251"/>
      <c r="N228" s="252"/>
      <c r="O228" s="252"/>
      <c r="P228" s="252"/>
      <c r="Q228" s="252"/>
      <c r="R228" s="252"/>
      <c r="S228" s="252"/>
      <c r="T228" s="253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T228" s="254" t="s">
        <v>149</v>
      </c>
      <c r="AU228" s="254" t="s">
        <v>83</v>
      </c>
      <c r="AV228" s="15" t="s">
        <v>19</v>
      </c>
      <c r="AW228" s="15" t="s">
        <v>32</v>
      </c>
      <c r="AX228" s="15" t="s">
        <v>74</v>
      </c>
      <c r="AY228" s="254" t="s">
        <v>142</v>
      </c>
    </row>
    <row r="229" s="13" customFormat="1">
      <c r="A229" s="13"/>
      <c r="B229" s="225"/>
      <c r="C229" s="226"/>
      <c r="D229" s="227" t="s">
        <v>149</v>
      </c>
      <c r="E229" s="228" t="s">
        <v>1</v>
      </c>
      <c r="F229" s="229" t="s">
        <v>361</v>
      </c>
      <c r="G229" s="226"/>
      <c r="H229" s="230">
        <v>6.2385000000000002</v>
      </c>
      <c r="I229" s="226"/>
      <c r="J229" s="226"/>
      <c r="K229" s="226"/>
      <c r="L229" s="231"/>
      <c r="M229" s="232"/>
      <c r="N229" s="233"/>
      <c r="O229" s="233"/>
      <c r="P229" s="233"/>
      <c r="Q229" s="233"/>
      <c r="R229" s="233"/>
      <c r="S229" s="233"/>
      <c r="T229" s="23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35" t="s">
        <v>149</v>
      </c>
      <c r="AU229" s="235" t="s">
        <v>83</v>
      </c>
      <c r="AV229" s="13" t="s">
        <v>83</v>
      </c>
      <c r="AW229" s="13" t="s">
        <v>32</v>
      </c>
      <c r="AX229" s="13" t="s">
        <v>19</v>
      </c>
      <c r="AY229" s="235" t="s">
        <v>142</v>
      </c>
    </row>
    <row r="230" s="2" customFormat="1" ht="16.5" customHeight="1">
      <c r="A230" s="32"/>
      <c r="B230" s="33"/>
      <c r="C230" s="212" t="s">
        <v>362</v>
      </c>
      <c r="D230" s="212" t="s">
        <v>144</v>
      </c>
      <c r="E230" s="213" t="s">
        <v>363</v>
      </c>
      <c r="F230" s="214" t="s">
        <v>364</v>
      </c>
      <c r="G230" s="215" t="s">
        <v>96</v>
      </c>
      <c r="H230" s="216">
        <v>19.199999999999999</v>
      </c>
      <c r="I230" s="217">
        <v>784</v>
      </c>
      <c r="J230" s="217">
        <f>ROUND(I230*H230,2)</f>
        <v>15052.799999999999</v>
      </c>
      <c r="K230" s="218"/>
      <c r="L230" s="38"/>
      <c r="M230" s="219" t="s">
        <v>1</v>
      </c>
      <c r="N230" s="220" t="s">
        <v>39</v>
      </c>
      <c r="O230" s="221">
        <v>1.1200000000000001</v>
      </c>
      <c r="P230" s="221">
        <f>O230*H230</f>
        <v>21.504000000000001</v>
      </c>
      <c r="Q230" s="221">
        <v>0.011169999999999999</v>
      </c>
      <c r="R230" s="221">
        <f>Q230*H230</f>
        <v>0.21446399999999999</v>
      </c>
      <c r="S230" s="221">
        <v>0</v>
      </c>
      <c r="T230" s="222">
        <f>S230*H230</f>
        <v>0</v>
      </c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R230" s="223" t="s">
        <v>147</v>
      </c>
      <c r="AT230" s="223" t="s">
        <v>144</v>
      </c>
      <c r="AU230" s="223" t="s">
        <v>83</v>
      </c>
      <c r="AY230" s="17" t="s">
        <v>142</v>
      </c>
      <c r="BE230" s="224">
        <f>IF(N230="základní",J230,0)</f>
        <v>15052.799999999999</v>
      </c>
      <c r="BF230" s="224">
        <f>IF(N230="snížená",J230,0)</f>
        <v>0</v>
      </c>
      <c r="BG230" s="224">
        <f>IF(N230="zákl. přenesená",J230,0)</f>
        <v>0</v>
      </c>
      <c r="BH230" s="224">
        <f>IF(N230="sníž. přenesená",J230,0)</f>
        <v>0</v>
      </c>
      <c r="BI230" s="224">
        <f>IF(N230="nulová",J230,0)</f>
        <v>0</v>
      </c>
      <c r="BJ230" s="17" t="s">
        <v>19</v>
      </c>
      <c r="BK230" s="224">
        <f>ROUND(I230*H230,2)</f>
        <v>15052.799999999999</v>
      </c>
      <c r="BL230" s="17" t="s">
        <v>147</v>
      </c>
      <c r="BM230" s="223" t="s">
        <v>365</v>
      </c>
    </row>
    <row r="231" s="13" customFormat="1">
      <c r="A231" s="13"/>
      <c r="B231" s="225"/>
      <c r="C231" s="226"/>
      <c r="D231" s="227" t="s">
        <v>149</v>
      </c>
      <c r="E231" s="228" t="s">
        <v>1</v>
      </c>
      <c r="F231" s="229" t="s">
        <v>366</v>
      </c>
      <c r="G231" s="226"/>
      <c r="H231" s="230">
        <v>19.199999999999999</v>
      </c>
      <c r="I231" s="226"/>
      <c r="J231" s="226"/>
      <c r="K231" s="226"/>
      <c r="L231" s="231"/>
      <c r="M231" s="232"/>
      <c r="N231" s="233"/>
      <c r="O231" s="233"/>
      <c r="P231" s="233"/>
      <c r="Q231" s="233"/>
      <c r="R231" s="233"/>
      <c r="S231" s="233"/>
      <c r="T231" s="23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35" t="s">
        <v>149</v>
      </c>
      <c r="AU231" s="235" t="s">
        <v>83</v>
      </c>
      <c r="AV231" s="13" t="s">
        <v>83</v>
      </c>
      <c r="AW231" s="13" t="s">
        <v>32</v>
      </c>
      <c r="AX231" s="13" t="s">
        <v>19</v>
      </c>
      <c r="AY231" s="235" t="s">
        <v>142</v>
      </c>
    </row>
    <row r="232" s="2" customFormat="1" ht="16.5" customHeight="1">
      <c r="A232" s="32"/>
      <c r="B232" s="33"/>
      <c r="C232" s="212" t="s">
        <v>367</v>
      </c>
      <c r="D232" s="212" t="s">
        <v>144</v>
      </c>
      <c r="E232" s="213" t="s">
        <v>368</v>
      </c>
      <c r="F232" s="214" t="s">
        <v>369</v>
      </c>
      <c r="G232" s="215" t="s">
        <v>96</v>
      </c>
      <c r="H232" s="216">
        <v>19.199999999999999</v>
      </c>
      <c r="I232" s="217">
        <v>154</v>
      </c>
      <c r="J232" s="217">
        <f>ROUND(I232*H232,2)</f>
        <v>2956.8000000000002</v>
      </c>
      <c r="K232" s="218"/>
      <c r="L232" s="38"/>
      <c r="M232" s="219" t="s">
        <v>1</v>
      </c>
      <c r="N232" s="220" t="s">
        <v>39</v>
      </c>
      <c r="O232" s="221">
        <v>0.33000000000000002</v>
      </c>
      <c r="P232" s="221">
        <f>O232*H232</f>
        <v>6.3360000000000003</v>
      </c>
      <c r="Q232" s="221">
        <v>0</v>
      </c>
      <c r="R232" s="221">
        <f>Q232*H232</f>
        <v>0</v>
      </c>
      <c r="S232" s="221">
        <v>0</v>
      </c>
      <c r="T232" s="222">
        <f>S232*H232</f>
        <v>0</v>
      </c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R232" s="223" t="s">
        <v>147</v>
      </c>
      <c r="AT232" s="223" t="s">
        <v>144</v>
      </c>
      <c r="AU232" s="223" t="s">
        <v>83</v>
      </c>
      <c r="AY232" s="17" t="s">
        <v>142</v>
      </c>
      <c r="BE232" s="224">
        <f>IF(N232="základní",J232,0)</f>
        <v>2956.8000000000002</v>
      </c>
      <c r="BF232" s="224">
        <f>IF(N232="snížená",J232,0)</f>
        <v>0</v>
      </c>
      <c r="BG232" s="224">
        <f>IF(N232="zákl. přenesená",J232,0)</f>
        <v>0</v>
      </c>
      <c r="BH232" s="224">
        <f>IF(N232="sníž. přenesená",J232,0)</f>
        <v>0</v>
      </c>
      <c r="BI232" s="224">
        <f>IF(N232="nulová",J232,0)</f>
        <v>0</v>
      </c>
      <c r="BJ232" s="17" t="s">
        <v>19</v>
      </c>
      <c r="BK232" s="224">
        <f>ROUND(I232*H232,2)</f>
        <v>2956.8000000000002</v>
      </c>
      <c r="BL232" s="17" t="s">
        <v>147</v>
      </c>
      <c r="BM232" s="223" t="s">
        <v>370</v>
      </c>
    </row>
    <row r="233" s="2" customFormat="1" ht="24.15" customHeight="1">
      <c r="A233" s="32"/>
      <c r="B233" s="33"/>
      <c r="C233" s="212" t="s">
        <v>371</v>
      </c>
      <c r="D233" s="212" t="s">
        <v>144</v>
      </c>
      <c r="E233" s="213" t="s">
        <v>372</v>
      </c>
      <c r="F233" s="214" t="s">
        <v>373</v>
      </c>
      <c r="G233" s="215" t="s">
        <v>171</v>
      </c>
      <c r="H233" s="216">
        <v>0.499</v>
      </c>
      <c r="I233" s="217">
        <v>56700</v>
      </c>
      <c r="J233" s="217">
        <f>ROUND(I233*H233,2)</f>
        <v>28293.299999999999</v>
      </c>
      <c r="K233" s="218"/>
      <c r="L233" s="38"/>
      <c r="M233" s="219" t="s">
        <v>1</v>
      </c>
      <c r="N233" s="220" t="s">
        <v>39</v>
      </c>
      <c r="O233" s="221">
        <v>28.692</v>
      </c>
      <c r="P233" s="221">
        <f>O233*H233</f>
        <v>14.317308000000001</v>
      </c>
      <c r="Q233" s="221">
        <v>1.0529056800000001</v>
      </c>
      <c r="R233" s="221">
        <f>Q233*H233</f>
        <v>0.52539993431999998</v>
      </c>
      <c r="S233" s="221">
        <v>0</v>
      </c>
      <c r="T233" s="222">
        <f>S233*H233</f>
        <v>0</v>
      </c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R233" s="223" t="s">
        <v>147</v>
      </c>
      <c r="AT233" s="223" t="s">
        <v>144</v>
      </c>
      <c r="AU233" s="223" t="s">
        <v>83</v>
      </c>
      <c r="AY233" s="17" t="s">
        <v>142</v>
      </c>
      <c r="BE233" s="224">
        <f>IF(N233="základní",J233,0)</f>
        <v>28293.299999999999</v>
      </c>
      <c r="BF233" s="224">
        <f>IF(N233="snížená",J233,0)</f>
        <v>0</v>
      </c>
      <c r="BG233" s="224">
        <f>IF(N233="zákl. přenesená",J233,0)</f>
        <v>0</v>
      </c>
      <c r="BH233" s="224">
        <f>IF(N233="sníž. přenesená",J233,0)</f>
        <v>0</v>
      </c>
      <c r="BI233" s="224">
        <f>IF(N233="nulová",J233,0)</f>
        <v>0</v>
      </c>
      <c r="BJ233" s="17" t="s">
        <v>19</v>
      </c>
      <c r="BK233" s="224">
        <f>ROUND(I233*H233,2)</f>
        <v>28293.299999999999</v>
      </c>
      <c r="BL233" s="17" t="s">
        <v>147</v>
      </c>
      <c r="BM233" s="223" t="s">
        <v>374</v>
      </c>
    </row>
    <row r="234" s="2" customFormat="1" ht="24.15" customHeight="1">
      <c r="A234" s="32"/>
      <c r="B234" s="33"/>
      <c r="C234" s="212" t="s">
        <v>375</v>
      </c>
      <c r="D234" s="212" t="s">
        <v>144</v>
      </c>
      <c r="E234" s="213" t="s">
        <v>376</v>
      </c>
      <c r="F234" s="214" t="s">
        <v>377</v>
      </c>
      <c r="G234" s="215" t="s">
        <v>284</v>
      </c>
      <c r="H234" s="216">
        <v>1</v>
      </c>
      <c r="I234" s="217">
        <v>61500</v>
      </c>
      <c r="J234" s="217">
        <f>ROUND(I234*H234,2)</f>
        <v>61500</v>
      </c>
      <c r="K234" s="218"/>
      <c r="L234" s="38"/>
      <c r="M234" s="219" t="s">
        <v>1</v>
      </c>
      <c r="N234" s="220" t="s">
        <v>39</v>
      </c>
      <c r="O234" s="221">
        <v>1.5600000000000001</v>
      </c>
      <c r="P234" s="221">
        <f>O234*H234</f>
        <v>1.5600000000000001</v>
      </c>
      <c r="Q234" s="221">
        <v>2.6033542000000001</v>
      </c>
      <c r="R234" s="221">
        <f>Q234*H234</f>
        <v>2.6033542000000001</v>
      </c>
      <c r="S234" s="221">
        <v>0</v>
      </c>
      <c r="T234" s="222">
        <f>S234*H234</f>
        <v>0</v>
      </c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R234" s="223" t="s">
        <v>147</v>
      </c>
      <c r="AT234" s="223" t="s">
        <v>144</v>
      </c>
      <c r="AU234" s="223" t="s">
        <v>83</v>
      </c>
      <c r="AY234" s="17" t="s">
        <v>142</v>
      </c>
      <c r="BE234" s="224">
        <f>IF(N234="základní",J234,0)</f>
        <v>61500</v>
      </c>
      <c r="BF234" s="224">
        <f>IF(N234="snížená",J234,0)</f>
        <v>0</v>
      </c>
      <c r="BG234" s="224">
        <f>IF(N234="zákl. přenesená",J234,0)</f>
        <v>0</v>
      </c>
      <c r="BH234" s="224">
        <f>IF(N234="sníž. přenesená",J234,0)</f>
        <v>0</v>
      </c>
      <c r="BI234" s="224">
        <f>IF(N234="nulová",J234,0)</f>
        <v>0</v>
      </c>
      <c r="BJ234" s="17" t="s">
        <v>19</v>
      </c>
      <c r="BK234" s="224">
        <f>ROUND(I234*H234,2)</f>
        <v>61500</v>
      </c>
      <c r="BL234" s="17" t="s">
        <v>147</v>
      </c>
      <c r="BM234" s="223" t="s">
        <v>378</v>
      </c>
    </row>
    <row r="235" s="2" customFormat="1" ht="33" customHeight="1">
      <c r="A235" s="32"/>
      <c r="B235" s="33"/>
      <c r="C235" s="212" t="s">
        <v>379</v>
      </c>
      <c r="D235" s="212" t="s">
        <v>144</v>
      </c>
      <c r="E235" s="213" t="s">
        <v>380</v>
      </c>
      <c r="F235" s="214" t="s">
        <v>381</v>
      </c>
      <c r="G235" s="215" t="s">
        <v>326</v>
      </c>
      <c r="H235" s="216">
        <v>4</v>
      </c>
      <c r="I235" s="217">
        <v>2730</v>
      </c>
      <c r="J235" s="217">
        <f>ROUND(I235*H235,2)</f>
        <v>10920</v>
      </c>
      <c r="K235" s="218"/>
      <c r="L235" s="38"/>
      <c r="M235" s="219" t="s">
        <v>1</v>
      </c>
      <c r="N235" s="220" t="s">
        <v>39</v>
      </c>
      <c r="O235" s="221">
        <v>1.228</v>
      </c>
      <c r="P235" s="221">
        <f>O235*H235</f>
        <v>4.9119999999999999</v>
      </c>
      <c r="Q235" s="221">
        <v>0.078366779999999997</v>
      </c>
      <c r="R235" s="221">
        <f>Q235*H235</f>
        <v>0.31346711999999999</v>
      </c>
      <c r="S235" s="221">
        <v>0</v>
      </c>
      <c r="T235" s="222">
        <f>S235*H235</f>
        <v>0</v>
      </c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R235" s="223" t="s">
        <v>147</v>
      </c>
      <c r="AT235" s="223" t="s">
        <v>144</v>
      </c>
      <c r="AU235" s="223" t="s">
        <v>83</v>
      </c>
      <c r="AY235" s="17" t="s">
        <v>142</v>
      </c>
      <c r="BE235" s="224">
        <f>IF(N235="základní",J235,0)</f>
        <v>10920</v>
      </c>
      <c r="BF235" s="224">
        <f>IF(N235="snížená",J235,0)</f>
        <v>0</v>
      </c>
      <c r="BG235" s="224">
        <f>IF(N235="zákl. přenesená",J235,0)</f>
        <v>0</v>
      </c>
      <c r="BH235" s="224">
        <f>IF(N235="sníž. přenesená",J235,0)</f>
        <v>0</v>
      </c>
      <c r="BI235" s="224">
        <f>IF(N235="nulová",J235,0)</f>
        <v>0</v>
      </c>
      <c r="BJ235" s="17" t="s">
        <v>19</v>
      </c>
      <c r="BK235" s="224">
        <f>ROUND(I235*H235,2)</f>
        <v>10920</v>
      </c>
      <c r="BL235" s="17" t="s">
        <v>147</v>
      </c>
      <c r="BM235" s="223" t="s">
        <v>382</v>
      </c>
    </row>
    <row r="236" s="12" customFormat="1" ht="22.8" customHeight="1">
      <c r="A236" s="12"/>
      <c r="B236" s="197"/>
      <c r="C236" s="198"/>
      <c r="D236" s="199" t="s">
        <v>73</v>
      </c>
      <c r="E236" s="210" t="s">
        <v>168</v>
      </c>
      <c r="F236" s="210" t="s">
        <v>383</v>
      </c>
      <c r="G236" s="198"/>
      <c r="H236" s="198"/>
      <c r="I236" s="198"/>
      <c r="J236" s="211">
        <f>BK236</f>
        <v>432052.81999999995</v>
      </c>
      <c r="K236" s="198"/>
      <c r="L236" s="202"/>
      <c r="M236" s="203"/>
      <c r="N236" s="204"/>
      <c r="O236" s="204"/>
      <c r="P236" s="205">
        <f>SUM(P237:P252)</f>
        <v>450.10451599999999</v>
      </c>
      <c r="Q236" s="204"/>
      <c r="R236" s="205">
        <f>SUM(R237:R252)</f>
        <v>28.922811119999999</v>
      </c>
      <c r="S236" s="204"/>
      <c r="T236" s="206">
        <f>SUM(T237:T252)</f>
        <v>0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R236" s="207" t="s">
        <v>19</v>
      </c>
      <c r="AT236" s="208" t="s">
        <v>73</v>
      </c>
      <c r="AU236" s="208" t="s">
        <v>19</v>
      </c>
      <c r="AY236" s="207" t="s">
        <v>142</v>
      </c>
      <c r="BK236" s="209">
        <f>SUM(BK237:BK252)</f>
        <v>432052.81999999995</v>
      </c>
    </row>
    <row r="237" s="2" customFormat="1" ht="24.15" customHeight="1">
      <c r="A237" s="32"/>
      <c r="B237" s="33"/>
      <c r="C237" s="212" t="s">
        <v>384</v>
      </c>
      <c r="D237" s="212" t="s">
        <v>144</v>
      </c>
      <c r="E237" s="213" t="s">
        <v>385</v>
      </c>
      <c r="F237" s="214" t="s">
        <v>386</v>
      </c>
      <c r="G237" s="215" t="s">
        <v>96</v>
      </c>
      <c r="H237" s="216">
        <v>161.19999999999999</v>
      </c>
      <c r="I237" s="217">
        <v>161</v>
      </c>
      <c r="J237" s="217">
        <f>ROUND(I237*H237,2)</f>
        <v>25953.200000000001</v>
      </c>
      <c r="K237" s="218"/>
      <c r="L237" s="38"/>
      <c r="M237" s="219" t="s">
        <v>1</v>
      </c>
      <c r="N237" s="220" t="s">
        <v>39</v>
      </c>
      <c r="O237" s="221">
        <v>0.154</v>
      </c>
      <c r="P237" s="221">
        <f>O237*H237</f>
        <v>24.824799999999996</v>
      </c>
      <c r="Q237" s="221">
        <v>0.0080000000000000002</v>
      </c>
      <c r="R237" s="221">
        <f>Q237*H237</f>
        <v>1.2895999999999999</v>
      </c>
      <c r="S237" s="221">
        <v>0</v>
      </c>
      <c r="T237" s="222">
        <f>S237*H237</f>
        <v>0</v>
      </c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R237" s="223" t="s">
        <v>147</v>
      </c>
      <c r="AT237" s="223" t="s">
        <v>144</v>
      </c>
      <c r="AU237" s="223" t="s">
        <v>83</v>
      </c>
      <c r="AY237" s="17" t="s">
        <v>142</v>
      </c>
      <c r="BE237" s="224">
        <f>IF(N237="základní",J237,0)</f>
        <v>25953.200000000001</v>
      </c>
      <c r="BF237" s="224">
        <f>IF(N237="snížená",J237,0)</f>
        <v>0</v>
      </c>
      <c r="BG237" s="224">
        <f>IF(N237="zákl. přenesená",J237,0)</f>
        <v>0</v>
      </c>
      <c r="BH237" s="224">
        <f>IF(N237="sníž. přenesená",J237,0)</f>
        <v>0</v>
      </c>
      <c r="BI237" s="224">
        <f>IF(N237="nulová",J237,0)</f>
        <v>0</v>
      </c>
      <c r="BJ237" s="17" t="s">
        <v>19</v>
      </c>
      <c r="BK237" s="224">
        <f>ROUND(I237*H237,2)</f>
        <v>25953.200000000001</v>
      </c>
      <c r="BL237" s="17" t="s">
        <v>147</v>
      </c>
      <c r="BM237" s="223" t="s">
        <v>387</v>
      </c>
    </row>
    <row r="238" s="2" customFormat="1" ht="24.15" customHeight="1">
      <c r="A238" s="32"/>
      <c r="B238" s="33"/>
      <c r="C238" s="212" t="s">
        <v>388</v>
      </c>
      <c r="D238" s="212" t="s">
        <v>144</v>
      </c>
      <c r="E238" s="213" t="s">
        <v>389</v>
      </c>
      <c r="F238" s="214" t="s">
        <v>390</v>
      </c>
      <c r="G238" s="215" t="s">
        <v>96</v>
      </c>
      <c r="H238" s="216">
        <v>161.19999999999999</v>
      </c>
      <c r="I238" s="217">
        <v>309</v>
      </c>
      <c r="J238" s="217">
        <f>ROUND(I238*H238,2)</f>
        <v>49810.800000000003</v>
      </c>
      <c r="K238" s="218"/>
      <c r="L238" s="38"/>
      <c r="M238" s="219" t="s">
        <v>1</v>
      </c>
      <c r="N238" s="220" t="s">
        <v>39</v>
      </c>
      <c r="O238" s="221">
        <v>0.41999999999999998</v>
      </c>
      <c r="P238" s="221">
        <f>O238*H238</f>
        <v>67.703999999999994</v>
      </c>
      <c r="Q238" s="221">
        <v>0.01575</v>
      </c>
      <c r="R238" s="221">
        <f>Q238*H238</f>
        <v>2.5388999999999999</v>
      </c>
      <c r="S238" s="221">
        <v>0</v>
      </c>
      <c r="T238" s="222">
        <f>S238*H238</f>
        <v>0</v>
      </c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R238" s="223" t="s">
        <v>147</v>
      </c>
      <c r="AT238" s="223" t="s">
        <v>144</v>
      </c>
      <c r="AU238" s="223" t="s">
        <v>83</v>
      </c>
      <c r="AY238" s="17" t="s">
        <v>142</v>
      </c>
      <c r="BE238" s="224">
        <f>IF(N238="základní",J238,0)</f>
        <v>49810.800000000003</v>
      </c>
      <c r="BF238" s="224">
        <f>IF(N238="snížená",J238,0)</f>
        <v>0</v>
      </c>
      <c r="BG238" s="224">
        <f>IF(N238="zákl. přenesená",J238,0)</f>
        <v>0</v>
      </c>
      <c r="BH238" s="224">
        <f>IF(N238="sníž. přenesená",J238,0)</f>
        <v>0</v>
      </c>
      <c r="BI238" s="224">
        <f>IF(N238="nulová",J238,0)</f>
        <v>0</v>
      </c>
      <c r="BJ238" s="17" t="s">
        <v>19</v>
      </c>
      <c r="BK238" s="224">
        <f>ROUND(I238*H238,2)</f>
        <v>49810.800000000003</v>
      </c>
      <c r="BL238" s="17" t="s">
        <v>147</v>
      </c>
      <c r="BM238" s="223" t="s">
        <v>391</v>
      </c>
    </row>
    <row r="239" s="13" customFormat="1">
      <c r="A239" s="13"/>
      <c r="B239" s="225"/>
      <c r="C239" s="226"/>
      <c r="D239" s="227" t="s">
        <v>149</v>
      </c>
      <c r="E239" s="228" t="s">
        <v>1</v>
      </c>
      <c r="F239" s="229" t="s">
        <v>392</v>
      </c>
      <c r="G239" s="226"/>
      <c r="H239" s="230">
        <v>161.19999999999999</v>
      </c>
      <c r="I239" s="226"/>
      <c r="J239" s="226"/>
      <c r="K239" s="226"/>
      <c r="L239" s="231"/>
      <c r="M239" s="232"/>
      <c r="N239" s="233"/>
      <c r="O239" s="233"/>
      <c r="P239" s="233"/>
      <c r="Q239" s="233"/>
      <c r="R239" s="233"/>
      <c r="S239" s="233"/>
      <c r="T239" s="23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35" t="s">
        <v>149</v>
      </c>
      <c r="AU239" s="235" t="s">
        <v>83</v>
      </c>
      <c r="AV239" s="13" t="s">
        <v>83</v>
      </c>
      <c r="AW239" s="13" t="s">
        <v>32</v>
      </c>
      <c r="AX239" s="13" t="s">
        <v>19</v>
      </c>
      <c r="AY239" s="235" t="s">
        <v>142</v>
      </c>
    </row>
    <row r="240" s="2" customFormat="1" ht="24.15" customHeight="1">
      <c r="A240" s="32"/>
      <c r="B240" s="33"/>
      <c r="C240" s="212" t="s">
        <v>393</v>
      </c>
      <c r="D240" s="212" t="s">
        <v>144</v>
      </c>
      <c r="E240" s="213" t="s">
        <v>394</v>
      </c>
      <c r="F240" s="214" t="s">
        <v>395</v>
      </c>
      <c r="G240" s="215" t="s">
        <v>96</v>
      </c>
      <c r="H240" s="216">
        <v>347.80399999999997</v>
      </c>
      <c r="I240" s="217">
        <v>142</v>
      </c>
      <c r="J240" s="217">
        <f>ROUND(I240*H240,2)</f>
        <v>49388.169999999998</v>
      </c>
      <c r="K240" s="218"/>
      <c r="L240" s="38"/>
      <c r="M240" s="219" t="s">
        <v>1</v>
      </c>
      <c r="N240" s="220" t="s">
        <v>39</v>
      </c>
      <c r="O240" s="221">
        <v>0.11700000000000001</v>
      </c>
      <c r="P240" s="221">
        <f>O240*H240</f>
        <v>40.693067999999997</v>
      </c>
      <c r="Q240" s="221">
        <v>0.0080000000000000002</v>
      </c>
      <c r="R240" s="221">
        <f>Q240*H240</f>
        <v>2.782432</v>
      </c>
      <c r="S240" s="221">
        <v>0</v>
      </c>
      <c r="T240" s="222">
        <f>S240*H240</f>
        <v>0</v>
      </c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R240" s="223" t="s">
        <v>147</v>
      </c>
      <c r="AT240" s="223" t="s">
        <v>144</v>
      </c>
      <c r="AU240" s="223" t="s">
        <v>83</v>
      </c>
      <c r="AY240" s="17" t="s">
        <v>142</v>
      </c>
      <c r="BE240" s="224">
        <f>IF(N240="základní",J240,0)</f>
        <v>49388.169999999998</v>
      </c>
      <c r="BF240" s="224">
        <f>IF(N240="snížená",J240,0)</f>
        <v>0</v>
      </c>
      <c r="BG240" s="224">
        <f>IF(N240="zákl. přenesená",J240,0)</f>
        <v>0</v>
      </c>
      <c r="BH240" s="224">
        <f>IF(N240="sníž. přenesená",J240,0)</f>
        <v>0</v>
      </c>
      <c r="BI240" s="224">
        <f>IF(N240="nulová",J240,0)</f>
        <v>0</v>
      </c>
      <c r="BJ240" s="17" t="s">
        <v>19</v>
      </c>
      <c r="BK240" s="224">
        <f>ROUND(I240*H240,2)</f>
        <v>49388.169999999998</v>
      </c>
      <c r="BL240" s="17" t="s">
        <v>147</v>
      </c>
      <c r="BM240" s="223" t="s">
        <v>396</v>
      </c>
    </row>
    <row r="241" s="2" customFormat="1" ht="24.15" customHeight="1">
      <c r="A241" s="32"/>
      <c r="B241" s="33"/>
      <c r="C241" s="212" t="s">
        <v>397</v>
      </c>
      <c r="D241" s="212" t="s">
        <v>144</v>
      </c>
      <c r="E241" s="213" t="s">
        <v>398</v>
      </c>
      <c r="F241" s="214" t="s">
        <v>399</v>
      </c>
      <c r="G241" s="215" t="s">
        <v>96</v>
      </c>
      <c r="H241" s="216">
        <v>347.80399999999997</v>
      </c>
      <c r="I241" s="217">
        <v>273</v>
      </c>
      <c r="J241" s="217">
        <f>ROUND(I241*H241,2)</f>
        <v>94950.490000000005</v>
      </c>
      <c r="K241" s="218"/>
      <c r="L241" s="38"/>
      <c r="M241" s="219" t="s">
        <v>1</v>
      </c>
      <c r="N241" s="220" t="s">
        <v>39</v>
      </c>
      <c r="O241" s="221">
        <v>0.34999999999999998</v>
      </c>
      <c r="P241" s="221">
        <f>O241*H241</f>
        <v>121.73139999999998</v>
      </c>
      <c r="Q241" s="221">
        <v>0.01575</v>
      </c>
      <c r="R241" s="221">
        <f>Q241*H241</f>
        <v>5.477913</v>
      </c>
      <c r="S241" s="221">
        <v>0</v>
      </c>
      <c r="T241" s="222">
        <f>S241*H241</f>
        <v>0</v>
      </c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R241" s="223" t="s">
        <v>147</v>
      </c>
      <c r="AT241" s="223" t="s">
        <v>144</v>
      </c>
      <c r="AU241" s="223" t="s">
        <v>83</v>
      </c>
      <c r="AY241" s="17" t="s">
        <v>142</v>
      </c>
      <c r="BE241" s="224">
        <f>IF(N241="základní",J241,0)</f>
        <v>94950.490000000005</v>
      </c>
      <c r="BF241" s="224">
        <f>IF(N241="snížená",J241,0)</f>
        <v>0</v>
      </c>
      <c r="BG241" s="224">
        <f>IF(N241="zákl. přenesená",J241,0)</f>
        <v>0</v>
      </c>
      <c r="BH241" s="224">
        <f>IF(N241="sníž. přenesená",J241,0)</f>
        <v>0</v>
      </c>
      <c r="BI241" s="224">
        <f>IF(N241="nulová",J241,0)</f>
        <v>0</v>
      </c>
      <c r="BJ241" s="17" t="s">
        <v>19</v>
      </c>
      <c r="BK241" s="224">
        <f>ROUND(I241*H241,2)</f>
        <v>94950.490000000005</v>
      </c>
      <c r="BL241" s="17" t="s">
        <v>147</v>
      </c>
      <c r="BM241" s="223" t="s">
        <v>400</v>
      </c>
    </row>
    <row r="242" s="13" customFormat="1">
      <c r="A242" s="13"/>
      <c r="B242" s="225"/>
      <c r="C242" s="226"/>
      <c r="D242" s="227" t="s">
        <v>149</v>
      </c>
      <c r="E242" s="228" t="s">
        <v>1</v>
      </c>
      <c r="F242" s="229" t="s">
        <v>401</v>
      </c>
      <c r="G242" s="226"/>
      <c r="H242" s="230">
        <v>347.80399999999997</v>
      </c>
      <c r="I242" s="226"/>
      <c r="J242" s="226"/>
      <c r="K242" s="226"/>
      <c r="L242" s="231"/>
      <c r="M242" s="232"/>
      <c r="N242" s="233"/>
      <c r="O242" s="233"/>
      <c r="P242" s="233"/>
      <c r="Q242" s="233"/>
      <c r="R242" s="233"/>
      <c r="S242" s="233"/>
      <c r="T242" s="234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T242" s="235" t="s">
        <v>149</v>
      </c>
      <c r="AU242" s="235" t="s">
        <v>83</v>
      </c>
      <c r="AV242" s="13" t="s">
        <v>83</v>
      </c>
      <c r="AW242" s="13" t="s">
        <v>32</v>
      </c>
      <c r="AX242" s="13" t="s">
        <v>19</v>
      </c>
      <c r="AY242" s="235" t="s">
        <v>142</v>
      </c>
    </row>
    <row r="243" s="2" customFormat="1" ht="24.15" customHeight="1">
      <c r="A243" s="32"/>
      <c r="B243" s="33"/>
      <c r="C243" s="212" t="s">
        <v>402</v>
      </c>
      <c r="D243" s="212" t="s">
        <v>144</v>
      </c>
      <c r="E243" s="213" t="s">
        <v>403</v>
      </c>
      <c r="F243" s="214" t="s">
        <v>404</v>
      </c>
      <c r="G243" s="215" t="s">
        <v>96</v>
      </c>
      <c r="H243" s="216">
        <v>211.91399999999999</v>
      </c>
      <c r="I243" s="217">
        <v>138</v>
      </c>
      <c r="J243" s="217">
        <f>ROUND(I243*H243,2)</f>
        <v>29244.130000000001</v>
      </c>
      <c r="K243" s="218"/>
      <c r="L243" s="38"/>
      <c r="M243" s="219" t="s">
        <v>1</v>
      </c>
      <c r="N243" s="220" t="s">
        <v>39</v>
      </c>
      <c r="O243" s="221">
        <v>0.086999999999999994</v>
      </c>
      <c r="P243" s="221">
        <f>O243*H243</f>
        <v>18.436517999999996</v>
      </c>
      <c r="Q243" s="221">
        <v>0.0089999999999999993</v>
      </c>
      <c r="R243" s="221">
        <f>Q243*H243</f>
        <v>1.9072259999999996</v>
      </c>
      <c r="S243" s="221">
        <v>0</v>
      </c>
      <c r="T243" s="222">
        <f>S243*H243</f>
        <v>0</v>
      </c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R243" s="223" t="s">
        <v>147</v>
      </c>
      <c r="AT243" s="223" t="s">
        <v>144</v>
      </c>
      <c r="AU243" s="223" t="s">
        <v>83</v>
      </c>
      <c r="AY243" s="17" t="s">
        <v>142</v>
      </c>
      <c r="BE243" s="224">
        <f>IF(N243="základní",J243,0)</f>
        <v>29244.130000000001</v>
      </c>
      <c r="BF243" s="224">
        <f>IF(N243="snížená",J243,0)</f>
        <v>0</v>
      </c>
      <c r="BG243" s="224">
        <f>IF(N243="zákl. přenesená",J243,0)</f>
        <v>0</v>
      </c>
      <c r="BH243" s="224">
        <f>IF(N243="sníž. přenesená",J243,0)</f>
        <v>0</v>
      </c>
      <c r="BI243" s="224">
        <f>IF(N243="nulová",J243,0)</f>
        <v>0</v>
      </c>
      <c r="BJ243" s="17" t="s">
        <v>19</v>
      </c>
      <c r="BK243" s="224">
        <f>ROUND(I243*H243,2)</f>
        <v>29244.130000000001</v>
      </c>
      <c r="BL243" s="17" t="s">
        <v>147</v>
      </c>
      <c r="BM243" s="223" t="s">
        <v>405</v>
      </c>
    </row>
    <row r="244" s="13" customFormat="1">
      <c r="A244" s="13"/>
      <c r="B244" s="225"/>
      <c r="C244" s="226"/>
      <c r="D244" s="227" t="s">
        <v>149</v>
      </c>
      <c r="E244" s="228" t="s">
        <v>1</v>
      </c>
      <c r="F244" s="229" t="s">
        <v>406</v>
      </c>
      <c r="G244" s="226"/>
      <c r="H244" s="230">
        <v>211.91399999999999</v>
      </c>
      <c r="I244" s="226"/>
      <c r="J244" s="226"/>
      <c r="K244" s="226"/>
      <c r="L244" s="231"/>
      <c r="M244" s="232"/>
      <c r="N244" s="233"/>
      <c r="O244" s="233"/>
      <c r="P244" s="233"/>
      <c r="Q244" s="233"/>
      <c r="R244" s="233"/>
      <c r="S244" s="233"/>
      <c r="T244" s="234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T244" s="235" t="s">
        <v>149</v>
      </c>
      <c r="AU244" s="235" t="s">
        <v>83</v>
      </c>
      <c r="AV244" s="13" t="s">
        <v>83</v>
      </c>
      <c r="AW244" s="13" t="s">
        <v>32</v>
      </c>
      <c r="AX244" s="13" t="s">
        <v>19</v>
      </c>
      <c r="AY244" s="235" t="s">
        <v>142</v>
      </c>
    </row>
    <row r="245" s="2" customFormat="1" ht="21.75" customHeight="1">
      <c r="A245" s="32"/>
      <c r="B245" s="33"/>
      <c r="C245" s="212" t="s">
        <v>407</v>
      </c>
      <c r="D245" s="212" t="s">
        <v>144</v>
      </c>
      <c r="E245" s="213" t="s">
        <v>408</v>
      </c>
      <c r="F245" s="214" t="s">
        <v>409</v>
      </c>
      <c r="G245" s="215" t="s">
        <v>96</v>
      </c>
      <c r="H245" s="216">
        <v>211.91399999999999</v>
      </c>
      <c r="I245" s="217">
        <v>286</v>
      </c>
      <c r="J245" s="217">
        <f>ROUND(I245*H245,2)</f>
        <v>60607.400000000001</v>
      </c>
      <c r="K245" s="218"/>
      <c r="L245" s="38"/>
      <c r="M245" s="219" t="s">
        <v>1</v>
      </c>
      <c r="N245" s="220" t="s">
        <v>39</v>
      </c>
      <c r="O245" s="221">
        <v>0.33000000000000002</v>
      </c>
      <c r="P245" s="221">
        <f>O245*H245</f>
        <v>69.931619999999995</v>
      </c>
      <c r="Q245" s="221">
        <v>0.0043800000000000002</v>
      </c>
      <c r="R245" s="221">
        <f>Q245*H245</f>
        <v>0.92818332000000003</v>
      </c>
      <c r="S245" s="221">
        <v>0</v>
      </c>
      <c r="T245" s="222">
        <f>S245*H245</f>
        <v>0</v>
      </c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R245" s="223" t="s">
        <v>147</v>
      </c>
      <c r="AT245" s="223" t="s">
        <v>144</v>
      </c>
      <c r="AU245" s="223" t="s">
        <v>83</v>
      </c>
      <c r="AY245" s="17" t="s">
        <v>142</v>
      </c>
      <c r="BE245" s="224">
        <f>IF(N245="základní",J245,0)</f>
        <v>60607.400000000001</v>
      </c>
      <c r="BF245" s="224">
        <f>IF(N245="snížená",J245,0)</f>
        <v>0</v>
      </c>
      <c r="BG245" s="224">
        <f>IF(N245="zákl. přenesená",J245,0)</f>
        <v>0</v>
      </c>
      <c r="BH245" s="224">
        <f>IF(N245="sníž. přenesená",J245,0)</f>
        <v>0</v>
      </c>
      <c r="BI245" s="224">
        <f>IF(N245="nulová",J245,0)</f>
        <v>0</v>
      </c>
      <c r="BJ245" s="17" t="s">
        <v>19</v>
      </c>
      <c r="BK245" s="224">
        <f>ROUND(I245*H245,2)</f>
        <v>60607.400000000001</v>
      </c>
      <c r="BL245" s="17" t="s">
        <v>147</v>
      </c>
      <c r="BM245" s="223" t="s">
        <v>410</v>
      </c>
    </row>
    <row r="246" s="13" customFormat="1">
      <c r="A246" s="13"/>
      <c r="B246" s="225"/>
      <c r="C246" s="226"/>
      <c r="D246" s="227" t="s">
        <v>149</v>
      </c>
      <c r="E246" s="228" t="s">
        <v>1</v>
      </c>
      <c r="F246" s="229" t="s">
        <v>406</v>
      </c>
      <c r="G246" s="226"/>
      <c r="H246" s="230">
        <v>211.91399999999999</v>
      </c>
      <c r="I246" s="226"/>
      <c r="J246" s="226"/>
      <c r="K246" s="226"/>
      <c r="L246" s="231"/>
      <c r="M246" s="232"/>
      <c r="N246" s="233"/>
      <c r="O246" s="233"/>
      <c r="P246" s="233"/>
      <c r="Q246" s="233"/>
      <c r="R246" s="233"/>
      <c r="S246" s="233"/>
      <c r="T246" s="234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35" t="s">
        <v>149</v>
      </c>
      <c r="AU246" s="235" t="s">
        <v>83</v>
      </c>
      <c r="AV246" s="13" t="s">
        <v>83</v>
      </c>
      <c r="AW246" s="13" t="s">
        <v>32</v>
      </c>
      <c r="AX246" s="13" t="s">
        <v>19</v>
      </c>
      <c r="AY246" s="235" t="s">
        <v>142</v>
      </c>
    </row>
    <row r="247" s="2" customFormat="1" ht="24.15" customHeight="1">
      <c r="A247" s="32"/>
      <c r="B247" s="33"/>
      <c r="C247" s="212" t="s">
        <v>411</v>
      </c>
      <c r="D247" s="212" t="s">
        <v>144</v>
      </c>
      <c r="E247" s="213" t="s">
        <v>412</v>
      </c>
      <c r="F247" s="214" t="s">
        <v>413</v>
      </c>
      <c r="G247" s="215" t="s">
        <v>96</v>
      </c>
      <c r="H247" s="216">
        <v>211.91399999999999</v>
      </c>
      <c r="I247" s="217">
        <v>269</v>
      </c>
      <c r="J247" s="217">
        <f>ROUND(I247*H247,2)</f>
        <v>57004.870000000003</v>
      </c>
      <c r="K247" s="218"/>
      <c r="L247" s="38"/>
      <c r="M247" s="219" t="s">
        <v>1</v>
      </c>
      <c r="N247" s="220" t="s">
        <v>39</v>
      </c>
      <c r="O247" s="221">
        <v>0.29499999999999998</v>
      </c>
      <c r="P247" s="221">
        <f>O247*H247</f>
        <v>62.51462999999999</v>
      </c>
      <c r="Q247" s="221">
        <v>0.0032000000000000002</v>
      </c>
      <c r="R247" s="221">
        <f>Q247*H247</f>
        <v>0.67812479999999997</v>
      </c>
      <c r="S247" s="221">
        <v>0</v>
      </c>
      <c r="T247" s="222">
        <f>S247*H247</f>
        <v>0</v>
      </c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R247" s="223" t="s">
        <v>147</v>
      </c>
      <c r="AT247" s="223" t="s">
        <v>144</v>
      </c>
      <c r="AU247" s="223" t="s">
        <v>83</v>
      </c>
      <c r="AY247" s="17" t="s">
        <v>142</v>
      </c>
      <c r="BE247" s="224">
        <f>IF(N247="základní",J247,0)</f>
        <v>57004.870000000003</v>
      </c>
      <c r="BF247" s="224">
        <f>IF(N247="snížená",J247,0)</f>
        <v>0</v>
      </c>
      <c r="BG247" s="224">
        <f>IF(N247="zákl. přenesená",J247,0)</f>
        <v>0</v>
      </c>
      <c r="BH247" s="224">
        <f>IF(N247="sníž. přenesená",J247,0)</f>
        <v>0</v>
      </c>
      <c r="BI247" s="224">
        <f>IF(N247="nulová",J247,0)</f>
        <v>0</v>
      </c>
      <c r="BJ247" s="17" t="s">
        <v>19</v>
      </c>
      <c r="BK247" s="224">
        <f>ROUND(I247*H247,2)</f>
        <v>57004.870000000003</v>
      </c>
      <c r="BL247" s="17" t="s">
        <v>147</v>
      </c>
      <c r="BM247" s="223" t="s">
        <v>414</v>
      </c>
    </row>
    <row r="248" s="13" customFormat="1">
      <c r="A248" s="13"/>
      <c r="B248" s="225"/>
      <c r="C248" s="226"/>
      <c r="D248" s="227" t="s">
        <v>149</v>
      </c>
      <c r="E248" s="228" t="s">
        <v>1</v>
      </c>
      <c r="F248" s="229" t="s">
        <v>406</v>
      </c>
      <c r="G248" s="226"/>
      <c r="H248" s="230">
        <v>211.91399999999999</v>
      </c>
      <c r="I248" s="226"/>
      <c r="J248" s="226"/>
      <c r="K248" s="226"/>
      <c r="L248" s="231"/>
      <c r="M248" s="232"/>
      <c r="N248" s="233"/>
      <c r="O248" s="233"/>
      <c r="P248" s="233"/>
      <c r="Q248" s="233"/>
      <c r="R248" s="233"/>
      <c r="S248" s="233"/>
      <c r="T248" s="234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35" t="s">
        <v>149</v>
      </c>
      <c r="AU248" s="235" t="s">
        <v>83</v>
      </c>
      <c r="AV248" s="13" t="s">
        <v>83</v>
      </c>
      <c r="AW248" s="13" t="s">
        <v>32</v>
      </c>
      <c r="AX248" s="13" t="s">
        <v>19</v>
      </c>
      <c r="AY248" s="235" t="s">
        <v>142</v>
      </c>
    </row>
    <row r="249" s="2" customFormat="1" ht="24.15" customHeight="1">
      <c r="A249" s="32"/>
      <c r="B249" s="33"/>
      <c r="C249" s="212" t="s">
        <v>415</v>
      </c>
      <c r="D249" s="212" t="s">
        <v>144</v>
      </c>
      <c r="E249" s="213" t="s">
        <v>416</v>
      </c>
      <c r="F249" s="214" t="s">
        <v>417</v>
      </c>
      <c r="G249" s="215" t="s">
        <v>96</v>
      </c>
      <c r="H249" s="216">
        <v>144.96000000000001</v>
      </c>
      <c r="I249" s="217">
        <v>435</v>
      </c>
      <c r="J249" s="217">
        <f>ROUND(I249*H249,2)</f>
        <v>63057.599999999999</v>
      </c>
      <c r="K249" s="218"/>
      <c r="L249" s="38"/>
      <c r="M249" s="219" t="s">
        <v>1</v>
      </c>
      <c r="N249" s="220" t="s">
        <v>39</v>
      </c>
      <c r="O249" s="221">
        <v>0.28799999999999998</v>
      </c>
      <c r="P249" s="221">
        <f>O249*H249</f>
        <v>41.748480000000001</v>
      </c>
      <c r="Q249" s="221">
        <v>0.091800000000000007</v>
      </c>
      <c r="R249" s="221">
        <f>Q249*H249</f>
        <v>13.307328000000002</v>
      </c>
      <c r="S249" s="221">
        <v>0</v>
      </c>
      <c r="T249" s="222">
        <f>S249*H249</f>
        <v>0</v>
      </c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R249" s="223" t="s">
        <v>147</v>
      </c>
      <c r="AT249" s="223" t="s">
        <v>144</v>
      </c>
      <c r="AU249" s="223" t="s">
        <v>83</v>
      </c>
      <c r="AY249" s="17" t="s">
        <v>142</v>
      </c>
      <c r="BE249" s="224">
        <f>IF(N249="základní",J249,0)</f>
        <v>63057.599999999999</v>
      </c>
      <c r="BF249" s="224">
        <f>IF(N249="snížená",J249,0)</f>
        <v>0</v>
      </c>
      <c r="BG249" s="224">
        <f>IF(N249="zákl. přenesená",J249,0)</f>
        <v>0</v>
      </c>
      <c r="BH249" s="224">
        <f>IF(N249="sníž. přenesená",J249,0)</f>
        <v>0</v>
      </c>
      <c r="BI249" s="224">
        <f>IF(N249="nulová",J249,0)</f>
        <v>0</v>
      </c>
      <c r="BJ249" s="17" t="s">
        <v>19</v>
      </c>
      <c r="BK249" s="224">
        <f>ROUND(I249*H249,2)</f>
        <v>63057.599999999999</v>
      </c>
      <c r="BL249" s="17" t="s">
        <v>147</v>
      </c>
      <c r="BM249" s="223" t="s">
        <v>418</v>
      </c>
    </row>
    <row r="250" s="13" customFormat="1">
      <c r="A250" s="13"/>
      <c r="B250" s="225"/>
      <c r="C250" s="226"/>
      <c r="D250" s="227" t="s">
        <v>149</v>
      </c>
      <c r="E250" s="228" t="s">
        <v>1</v>
      </c>
      <c r="F250" s="229" t="s">
        <v>419</v>
      </c>
      <c r="G250" s="226"/>
      <c r="H250" s="230">
        <v>144.96000000000001</v>
      </c>
      <c r="I250" s="226"/>
      <c r="J250" s="226"/>
      <c r="K250" s="226"/>
      <c r="L250" s="231"/>
      <c r="M250" s="232"/>
      <c r="N250" s="233"/>
      <c r="O250" s="233"/>
      <c r="P250" s="233"/>
      <c r="Q250" s="233"/>
      <c r="R250" s="233"/>
      <c r="S250" s="233"/>
      <c r="T250" s="234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35" t="s">
        <v>149</v>
      </c>
      <c r="AU250" s="235" t="s">
        <v>83</v>
      </c>
      <c r="AV250" s="13" t="s">
        <v>83</v>
      </c>
      <c r="AW250" s="13" t="s">
        <v>32</v>
      </c>
      <c r="AX250" s="13" t="s">
        <v>19</v>
      </c>
      <c r="AY250" s="235" t="s">
        <v>142</v>
      </c>
    </row>
    <row r="251" s="2" customFormat="1" ht="16.5" customHeight="1">
      <c r="A251" s="32"/>
      <c r="B251" s="33"/>
      <c r="C251" s="212" t="s">
        <v>420</v>
      </c>
      <c r="D251" s="212" t="s">
        <v>144</v>
      </c>
      <c r="E251" s="213" t="s">
        <v>421</v>
      </c>
      <c r="F251" s="214" t="s">
        <v>422</v>
      </c>
      <c r="G251" s="215" t="s">
        <v>96</v>
      </c>
      <c r="H251" s="216">
        <v>100.8</v>
      </c>
      <c r="I251" s="217">
        <v>20.199999999999999</v>
      </c>
      <c r="J251" s="217">
        <f>ROUND(I251*H251,2)</f>
        <v>2036.1600000000001</v>
      </c>
      <c r="K251" s="218"/>
      <c r="L251" s="38"/>
      <c r="M251" s="219" t="s">
        <v>1</v>
      </c>
      <c r="N251" s="220" t="s">
        <v>39</v>
      </c>
      <c r="O251" s="221">
        <v>0.025000000000000001</v>
      </c>
      <c r="P251" s="221">
        <f>O251*H251</f>
        <v>2.52</v>
      </c>
      <c r="Q251" s="221">
        <v>0.00012999999999999999</v>
      </c>
      <c r="R251" s="221">
        <f>Q251*H251</f>
        <v>0.013103999999999999</v>
      </c>
      <c r="S251" s="221">
        <v>0</v>
      </c>
      <c r="T251" s="222">
        <f>S251*H251</f>
        <v>0</v>
      </c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R251" s="223" t="s">
        <v>147</v>
      </c>
      <c r="AT251" s="223" t="s">
        <v>144</v>
      </c>
      <c r="AU251" s="223" t="s">
        <v>83</v>
      </c>
      <c r="AY251" s="17" t="s">
        <v>142</v>
      </c>
      <c r="BE251" s="224">
        <f>IF(N251="základní",J251,0)</f>
        <v>2036.1600000000001</v>
      </c>
      <c r="BF251" s="224">
        <f>IF(N251="snížená",J251,0)</f>
        <v>0</v>
      </c>
      <c r="BG251" s="224">
        <f>IF(N251="zákl. přenesená",J251,0)</f>
        <v>0</v>
      </c>
      <c r="BH251" s="224">
        <f>IF(N251="sníž. přenesená",J251,0)</f>
        <v>0</v>
      </c>
      <c r="BI251" s="224">
        <f>IF(N251="nulová",J251,0)</f>
        <v>0</v>
      </c>
      <c r="BJ251" s="17" t="s">
        <v>19</v>
      </c>
      <c r="BK251" s="224">
        <f>ROUND(I251*H251,2)</f>
        <v>2036.1600000000001</v>
      </c>
      <c r="BL251" s="17" t="s">
        <v>147</v>
      </c>
      <c r="BM251" s="223" t="s">
        <v>423</v>
      </c>
    </row>
    <row r="252" s="13" customFormat="1">
      <c r="A252" s="13"/>
      <c r="B252" s="225"/>
      <c r="C252" s="226"/>
      <c r="D252" s="227" t="s">
        <v>149</v>
      </c>
      <c r="E252" s="228" t="s">
        <v>1</v>
      </c>
      <c r="F252" s="229" t="s">
        <v>424</v>
      </c>
      <c r="G252" s="226"/>
      <c r="H252" s="230">
        <v>100.8</v>
      </c>
      <c r="I252" s="226"/>
      <c r="J252" s="226"/>
      <c r="K252" s="226"/>
      <c r="L252" s="231"/>
      <c r="M252" s="232"/>
      <c r="N252" s="233"/>
      <c r="O252" s="233"/>
      <c r="P252" s="233"/>
      <c r="Q252" s="233"/>
      <c r="R252" s="233"/>
      <c r="S252" s="233"/>
      <c r="T252" s="234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35" t="s">
        <v>149</v>
      </c>
      <c r="AU252" s="235" t="s">
        <v>83</v>
      </c>
      <c r="AV252" s="13" t="s">
        <v>83</v>
      </c>
      <c r="AW252" s="13" t="s">
        <v>32</v>
      </c>
      <c r="AX252" s="13" t="s">
        <v>19</v>
      </c>
      <c r="AY252" s="235" t="s">
        <v>142</v>
      </c>
    </row>
    <row r="253" s="12" customFormat="1" ht="25.92" customHeight="1">
      <c r="A253" s="12"/>
      <c r="B253" s="197"/>
      <c r="C253" s="198"/>
      <c r="D253" s="199" t="s">
        <v>73</v>
      </c>
      <c r="E253" s="200" t="s">
        <v>425</v>
      </c>
      <c r="F253" s="200" t="s">
        <v>426</v>
      </c>
      <c r="G253" s="198"/>
      <c r="H253" s="198"/>
      <c r="I253" s="198"/>
      <c r="J253" s="201">
        <f>BK253</f>
        <v>2047223.54</v>
      </c>
      <c r="K253" s="198"/>
      <c r="L253" s="202"/>
      <c r="M253" s="203"/>
      <c r="N253" s="204"/>
      <c r="O253" s="204"/>
      <c r="P253" s="205">
        <f>P254+P261+P272+P275+P286+P293+P299+P327+P355+P359</f>
        <v>783.41516599999989</v>
      </c>
      <c r="Q253" s="204"/>
      <c r="R253" s="205">
        <f>R254+R261+R272+R275+R286+R293+R299+R327+R355+R359</f>
        <v>12.631209039900002</v>
      </c>
      <c r="S253" s="204"/>
      <c r="T253" s="206">
        <f>T254+T261+T272+T275+T286+T293+T299+T327+T355+T359</f>
        <v>0</v>
      </c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R253" s="207" t="s">
        <v>83</v>
      </c>
      <c r="AT253" s="208" t="s">
        <v>73</v>
      </c>
      <c r="AU253" s="208" t="s">
        <v>74</v>
      </c>
      <c r="AY253" s="207" t="s">
        <v>142</v>
      </c>
      <c r="BK253" s="209">
        <f>BK254+BK261+BK272+BK275+BK286+BK293+BK299+BK327+BK355+BK359</f>
        <v>2047223.54</v>
      </c>
    </row>
    <row r="254" s="12" customFormat="1" ht="22.8" customHeight="1">
      <c r="A254" s="12"/>
      <c r="B254" s="197"/>
      <c r="C254" s="198"/>
      <c r="D254" s="199" t="s">
        <v>73</v>
      </c>
      <c r="E254" s="210" t="s">
        <v>427</v>
      </c>
      <c r="F254" s="210" t="s">
        <v>428</v>
      </c>
      <c r="G254" s="198"/>
      <c r="H254" s="198"/>
      <c r="I254" s="198"/>
      <c r="J254" s="211">
        <f>BK254</f>
        <v>93810.840000000011</v>
      </c>
      <c r="K254" s="198"/>
      <c r="L254" s="202"/>
      <c r="M254" s="203"/>
      <c r="N254" s="204"/>
      <c r="O254" s="204"/>
      <c r="P254" s="205">
        <f>SUM(P255:P260)</f>
        <v>15.168800000000001</v>
      </c>
      <c r="Q254" s="204"/>
      <c r="R254" s="205">
        <f>SUM(R255:R260)</f>
        <v>1.1485184000000002</v>
      </c>
      <c r="S254" s="204"/>
      <c r="T254" s="206">
        <f>SUM(T255:T260)</f>
        <v>0</v>
      </c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R254" s="207" t="s">
        <v>83</v>
      </c>
      <c r="AT254" s="208" t="s">
        <v>73</v>
      </c>
      <c r="AU254" s="208" t="s">
        <v>19</v>
      </c>
      <c r="AY254" s="207" t="s">
        <v>142</v>
      </c>
      <c r="BK254" s="209">
        <f>SUM(BK255:BK260)</f>
        <v>93810.840000000011</v>
      </c>
    </row>
    <row r="255" s="2" customFormat="1" ht="24.15" customHeight="1">
      <c r="A255" s="32"/>
      <c r="B255" s="33"/>
      <c r="C255" s="212" t="s">
        <v>429</v>
      </c>
      <c r="D255" s="212" t="s">
        <v>144</v>
      </c>
      <c r="E255" s="213" t="s">
        <v>430</v>
      </c>
      <c r="F255" s="214" t="s">
        <v>431</v>
      </c>
      <c r="G255" s="215" t="s">
        <v>96</v>
      </c>
      <c r="H255" s="216">
        <v>100.8</v>
      </c>
      <c r="I255" s="217">
        <v>19.600000000000001</v>
      </c>
      <c r="J255" s="217">
        <f>ROUND(I255*H255,2)</f>
        <v>1975.6800000000001</v>
      </c>
      <c r="K255" s="218"/>
      <c r="L255" s="38"/>
      <c r="M255" s="219" t="s">
        <v>1</v>
      </c>
      <c r="N255" s="220" t="s">
        <v>39</v>
      </c>
      <c r="O255" s="221">
        <v>0.024</v>
      </c>
      <c r="P255" s="221">
        <f>O255*H255</f>
        <v>2.4192</v>
      </c>
      <c r="Q255" s="221">
        <v>0</v>
      </c>
      <c r="R255" s="221">
        <f>Q255*H255</f>
        <v>0</v>
      </c>
      <c r="S255" s="221">
        <v>0</v>
      </c>
      <c r="T255" s="222">
        <f>S255*H255</f>
        <v>0</v>
      </c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R255" s="223" t="s">
        <v>222</v>
      </c>
      <c r="AT255" s="223" t="s">
        <v>144</v>
      </c>
      <c r="AU255" s="223" t="s">
        <v>83</v>
      </c>
      <c r="AY255" s="17" t="s">
        <v>142</v>
      </c>
      <c r="BE255" s="224">
        <f>IF(N255="základní",J255,0)</f>
        <v>1975.6800000000001</v>
      </c>
      <c r="BF255" s="224">
        <f>IF(N255="snížená",J255,0)</f>
        <v>0</v>
      </c>
      <c r="BG255" s="224">
        <f>IF(N255="zákl. přenesená",J255,0)</f>
        <v>0</v>
      </c>
      <c r="BH255" s="224">
        <f>IF(N255="sníž. přenesená",J255,0)</f>
        <v>0</v>
      </c>
      <c r="BI255" s="224">
        <f>IF(N255="nulová",J255,0)</f>
        <v>0</v>
      </c>
      <c r="BJ255" s="17" t="s">
        <v>19</v>
      </c>
      <c r="BK255" s="224">
        <f>ROUND(I255*H255,2)</f>
        <v>1975.6800000000001</v>
      </c>
      <c r="BL255" s="17" t="s">
        <v>222</v>
      </c>
      <c r="BM255" s="223" t="s">
        <v>432</v>
      </c>
    </row>
    <row r="256" s="13" customFormat="1">
      <c r="A256" s="13"/>
      <c r="B256" s="225"/>
      <c r="C256" s="226"/>
      <c r="D256" s="227" t="s">
        <v>149</v>
      </c>
      <c r="E256" s="228" t="s">
        <v>1</v>
      </c>
      <c r="F256" s="229" t="s">
        <v>94</v>
      </c>
      <c r="G256" s="226"/>
      <c r="H256" s="230">
        <v>100.8</v>
      </c>
      <c r="I256" s="226"/>
      <c r="J256" s="226"/>
      <c r="K256" s="226"/>
      <c r="L256" s="231"/>
      <c r="M256" s="232"/>
      <c r="N256" s="233"/>
      <c r="O256" s="233"/>
      <c r="P256" s="233"/>
      <c r="Q256" s="233"/>
      <c r="R256" s="233"/>
      <c r="S256" s="233"/>
      <c r="T256" s="234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35" t="s">
        <v>149</v>
      </c>
      <c r="AU256" s="235" t="s">
        <v>83</v>
      </c>
      <c r="AV256" s="13" t="s">
        <v>83</v>
      </c>
      <c r="AW256" s="13" t="s">
        <v>32</v>
      </c>
      <c r="AX256" s="13" t="s">
        <v>19</v>
      </c>
      <c r="AY256" s="235" t="s">
        <v>142</v>
      </c>
    </row>
    <row r="257" s="2" customFormat="1" ht="24.15" customHeight="1">
      <c r="A257" s="32"/>
      <c r="B257" s="33"/>
      <c r="C257" s="212" t="s">
        <v>433</v>
      </c>
      <c r="D257" s="212" t="s">
        <v>144</v>
      </c>
      <c r="E257" s="213" t="s">
        <v>434</v>
      </c>
      <c r="F257" s="214" t="s">
        <v>435</v>
      </c>
      <c r="G257" s="215" t="s">
        <v>96</v>
      </c>
      <c r="H257" s="216">
        <v>28.399999999999999</v>
      </c>
      <c r="I257" s="217">
        <v>50.5</v>
      </c>
      <c r="J257" s="217">
        <f>ROUND(I257*H257,2)</f>
        <v>1434.2000000000001</v>
      </c>
      <c r="K257" s="218"/>
      <c r="L257" s="38"/>
      <c r="M257" s="219" t="s">
        <v>1</v>
      </c>
      <c r="N257" s="220" t="s">
        <v>39</v>
      </c>
      <c r="O257" s="221">
        <v>0.053999999999999999</v>
      </c>
      <c r="P257" s="221">
        <f>O257*H257</f>
        <v>1.5335999999999999</v>
      </c>
      <c r="Q257" s="221">
        <v>0</v>
      </c>
      <c r="R257" s="221">
        <f>Q257*H257</f>
        <v>0</v>
      </c>
      <c r="S257" s="221">
        <v>0</v>
      </c>
      <c r="T257" s="222">
        <f>S257*H257</f>
        <v>0</v>
      </c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R257" s="223" t="s">
        <v>222</v>
      </c>
      <c r="AT257" s="223" t="s">
        <v>144</v>
      </c>
      <c r="AU257" s="223" t="s">
        <v>83</v>
      </c>
      <c r="AY257" s="17" t="s">
        <v>142</v>
      </c>
      <c r="BE257" s="224">
        <f>IF(N257="základní",J257,0)</f>
        <v>1434.2000000000001</v>
      </c>
      <c r="BF257" s="224">
        <f>IF(N257="snížená",J257,0)</f>
        <v>0</v>
      </c>
      <c r="BG257" s="224">
        <f>IF(N257="zákl. přenesená",J257,0)</f>
        <v>0</v>
      </c>
      <c r="BH257" s="224">
        <f>IF(N257="sníž. přenesená",J257,0)</f>
        <v>0</v>
      </c>
      <c r="BI257" s="224">
        <f>IF(N257="nulová",J257,0)</f>
        <v>0</v>
      </c>
      <c r="BJ257" s="17" t="s">
        <v>19</v>
      </c>
      <c r="BK257" s="224">
        <f>ROUND(I257*H257,2)</f>
        <v>1434.2000000000001</v>
      </c>
      <c r="BL257" s="17" t="s">
        <v>222</v>
      </c>
      <c r="BM257" s="223" t="s">
        <v>436</v>
      </c>
    </row>
    <row r="258" s="13" customFormat="1">
      <c r="A258" s="13"/>
      <c r="B258" s="225"/>
      <c r="C258" s="226"/>
      <c r="D258" s="227" t="s">
        <v>149</v>
      </c>
      <c r="E258" s="228" t="s">
        <v>1</v>
      </c>
      <c r="F258" s="229" t="s">
        <v>99</v>
      </c>
      <c r="G258" s="226"/>
      <c r="H258" s="230">
        <v>28.399999999999999</v>
      </c>
      <c r="I258" s="226"/>
      <c r="J258" s="226"/>
      <c r="K258" s="226"/>
      <c r="L258" s="231"/>
      <c r="M258" s="232"/>
      <c r="N258" s="233"/>
      <c r="O258" s="233"/>
      <c r="P258" s="233"/>
      <c r="Q258" s="233"/>
      <c r="R258" s="233"/>
      <c r="S258" s="233"/>
      <c r="T258" s="234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T258" s="235" t="s">
        <v>149</v>
      </c>
      <c r="AU258" s="235" t="s">
        <v>83</v>
      </c>
      <c r="AV258" s="13" t="s">
        <v>83</v>
      </c>
      <c r="AW258" s="13" t="s">
        <v>32</v>
      </c>
      <c r="AX258" s="13" t="s">
        <v>19</v>
      </c>
      <c r="AY258" s="235" t="s">
        <v>142</v>
      </c>
    </row>
    <row r="259" s="2" customFormat="1" ht="33" customHeight="1">
      <c r="A259" s="32"/>
      <c r="B259" s="33"/>
      <c r="C259" s="212" t="s">
        <v>437</v>
      </c>
      <c r="D259" s="212" t="s">
        <v>144</v>
      </c>
      <c r="E259" s="213" t="s">
        <v>438</v>
      </c>
      <c r="F259" s="214" t="s">
        <v>439</v>
      </c>
      <c r="G259" s="215" t="s">
        <v>96</v>
      </c>
      <c r="H259" s="216">
        <v>224.31999999999999</v>
      </c>
      <c r="I259" s="217">
        <v>403</v>
      </c>
      <c r="J259" s="217">
        <f>ROUND(I259*H259,2)</f>
        <v>90400.960000000006</v>
      </c>
      <c r="K259" s="218"/>
      <c r="L259" s="38"/>
      <c r="M259" s="219" t="s">
        <v>1</v>
      </c>
      <c r="N259" s="220" t="s">
        <v>39</v>
      </c>
      <c r="O259" s="221">
        <v>0.050000000000000003</v>
      </c>
      <c r="P259" s="221">
        <f>O259*H259</f>
        <v>11.216000000000001</v>
      </c>
      <c r="Q259" s="221">
        <v>0.0051200000000000004</v>
      </c>
      <c r="R259" s="221">
        <f>Q259*H259</f>
        <v>1.1485184000000002</v>
      </c>
      <c r="S259" s="221">
        <v>0</v>
      </c>
      <c r="T259" s="222">
        <f>S259*H259</f>
        <v>0</v>
      </c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R259" s="223" t="s">
        <v>222</v>
      </c>
      <c r="AT259" s="223" t="s">
        <v>144</v>
      </c>
      <c r="AU259" s="223" t="s">
        <v>83</v>
      </c>
      <c r="AY259" s="17" t="s">
        <v>142</v>
      </c>
      <c r="BE259" s="224">
        <f>IF(N259="základní",J259,0)</f>
        <v>90400.960000000006</v>
      </c>
      <c r="BF259" s="224">
        <f>IF(N259="snížená",J259,0)</f>
        <v>0</v>
      </c>
      <c r="BG259" s="224">
        <f>IF(N259="zákl. přenesená",J259,0)</f>
        <v>0</v>
      </c>
      <c r="BH259" s="224">
        <f>IF(N259="sníž. přenesená",J259,0)</f>
        <v>0</v>
      </c>
      <c r="BI259" s="224">
        <f>IF(N259="nulová",J259,0)</f>
        <v>0</v>
      </c>
      <c r="BJ259" s="17" t="s">
        <v>19</v>
      </c>
      <c r="BK259" s="224">
        <f>ROUND(I259*H259,2)</f>
        <v>90400.960000000006</v>
      </c>
      <c r="BL259" s="17" t="s">
        <v>222</v>
      </c>
      <c r="BM259" s="223" t="s">
        <v>440</v>
      </c>
    </row>
    <row r="260" s="13" customFormat="1">
      <c r="A260" s="13"/>
      <c r="B260" s="225"/>
      <c r="C260" s="226"/>
      <c r="D260" s="227" t="s">
        <v>149</v>
      </c>
      <c r="E260" s="228" t="s">
        <v>1</v>
      </c>
      <c r="F260" s="229" t="s">
        <v>441</v>
      </c>
      <c r="G260" s="226"/>
      <c r="H260" s="230">
        <v>224.31999999999999</v>
      </c>
      <c r="I260" s="226"/>
      <c r="J260" s="226"/>
      <c r="K260" s="226"/>
      <c r="L260" s="231"/>
      <c r="M260" s="232"/>
      <c r="N260" s="233"/>
      <c r="O260" s="233"/>
      <c r="P260" s="233"/>
      <c r="Q260" s="233"/>
      <c r="R260" s="233"/>
      <c r="S260" s="233"/>
      <c r="T260" s="23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35" t="s">
        <v>149</v>
      </c>
      <c r="AU260" s="235" t="s">
        <v>83</v>
      </c>
      <c r="AV260" s="13" t="s">
        <v>83</v>
      </c>
      <c r="AW260" s="13" t="s">
        <v>32</v>
      </c>
      <c r="AX260" s="13" t="s">
        <v>19</v>
      </c>
      <c r="AY260" s="235" t="s">
        <v>142</v>
      </c>
    </row>
    <row r="261" s="12" customFormat="1" ht="22.8" customHeight="1">
      <c r="A261" s="12"/>
      <c r="B261" s="197"/>
      <c r="C261" s="198"/>
      <c r="D261" s="199" t="s">
        <v>73</v>
      </c>
      <c r="E261" s="210" t="s">
        <v>442</v>
      </c>
      <c r="F261" s="210" t="s">
        <v>443</v>
      </c>
      <c r="G261" s="198"/>
      <c r="H261" s="198"/>
      <c r="I261" s="198"/>
      <c r="J261" s="211">
        <f>BK261</f>
        <v>287088.37</v>
      </c>
      <c r="K261" s="198"/>
      <c r="L261" s="202"/>
      <c r="M261" s="203"/>
      <c r="N261" s="204"/>
      <c r="O261" s="204"/>
      <c r="P261" s="205">
        <f>SUM(P262:P271)</f>
        <v>87.150128999999993</v>
      </c>
      <c r="Q261" s="204"/>
      <c r="R261" s="205">
        <f>SUM(R262:R271)</f>
        <v>2.8271147049999996</v>
      </c>
      <c r="S261" s="204"/>
      <c r="T261" s="206">
        <f>SUM(T262:T271)</f>
        <v>0</v>
      </c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R261" s="207" t="s">
        <v>83</v>
      </c>
      <c r="AT261" s="208" t="s">
        <v>73</v>
      </c>
      <c r="AU261" s="208" t="s">
        <v>19</v>
      </c>
      <c r="AY261" s="207" t="s">
        <v>142</v>
      </c>
      <c r="BK261" s="209">
        <f>SUM(BK262:BK271)</f>
        <v>287088.37</v>
      </c>
    </row>
    <row r="262" s="2" customFormat="1" ht="24.15" customHeight="1">
      <c r="A262" s="32"/>
      <c r="B262" s="33"/>
      <c r="C262" s="212" t="s">
        <v>444</v>
      </c>
      <c r="D262" s="212" t="s">
        <v>144</v>
      </c>
      <c r="E262" s="213" t="s">
        <v>445</v>
      </c>
      <c r="F262" s="214" t="s">
        <v>446</v>
      </c>
      <c r="G262" s="215" t="s">
        <v>96</v>
      </c>
      <c r="H262" s="216">
        <v>80.599999999999994</v>
      </c>
      <c r="I262" s="217">
        <v>510</v>
      </c>
      <c r="J262" s="217">
        <f>ROUND(I262*H262,2)</f>
        <v>41106</v>
      </c>
      <c r="K262" s="218"/>
      <c r="L262" s="38"/>
      <c r="M262" s="219" t="s">
        <v>1</v>
      </c>
      <c r="N262" s="220" t="s">
        <v>39</v>
      </c>
      <c r="O262" s="221">
        <v>0.16700000000000001</v>
      </c>
      <c r="P262" s="221">
        <f>O262*H262</f>
        <v>13.4602</v>
      </c>
      <c r="Q262" s="221">
        <v>0.0043049999999999998</v>
      </c>
      <c r="R262" s="221">
        <f>Q262*H262</f>
        <v>0.34698299999999999</v>
      </c>
      <c r="S262" s="221">
        <v>0</v>
      </c>
      <c r="T262" s="222">
        <f>S262*H262</f>
        <v>0</v>
      </c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R262" s="223" t="s">
        <v>222</v>
      </c>
      <c r="AT262" s="223" t="s">
        <v>144</v>
      </c>
      <c r="AU262" s="223" t="s">
        <v>83</v>
      </c>
      <c r="AY262" s="17" t="s">
        <v>142</v>
      </c>
      <c r="BE262" s="224">
        <f>IF(N262="základní",J262,0)</f>
        <v>41106</v>
      </c>
      <c r="BF262" s="224">
        <f>IF(N262="snížená",J262,0)</f>
        <v>0</v>
      </c>
      <c r="BG262" s="224">
        <f>IF(N262="zákl. přenesená",J262,0)</f>
        <v>0</v>
      </c>
      <c r="BH262" s="224">
        <f>IF(N262="sníž. přenesená",J262,0)</f>
        <v>0</v>
      </c>
      <c r="BI262" s="224">
        <f>IF(N262="nulová",J262,0)</f>
        <v>0</v>
      </c>
      <c r="BJ262" s="17" t="s">
        <v>19</v>
      </c>
      <c r="BK262" s="224">
        <f>ROUND(I262*H262,2)</f>
        <v>41106</v>
      </c>
      <c r="BL262" s="17" t="s">
        <v>222</v>
      </c>
      <c r="BM262" s="223" t="s">
        <v>447</v>
      </c>
    </row>
    <row r="263" s="13" customFormat="1">
      <c r="A263" s="13"/>
      <c r="B263" s="225"/>
      <c r="C263" s="226"/>
      <c r="D263" s="227" t="s">
        <v>149</v>
      </c>
      <c r="E263" s="228" t="s">
        <v>1</v>
      </c>
      <c r="F263" s="229" t="s">
        <v>448</v>
      </c>
      <c r="G263" s="226"/>
      <c r="H263" s="230">
        <v>80.599999999999994</v>
      </c>
      <c r="I263" s="226"/>
      <c r="J263" s="226"/>
      <c r="K263" s="226"/>
      <c r="L263" s="231"/>
      <c r="M263" s="232"/>
      <c r="N263" s="233"/>
      <c r="O263" s="233"/>
      <c r="P263" s="233"/>
      <c r="Q263" s="233"/>
      <c r="R263" s="233"/>
      <c r="S263" s="233"/>
      <c r="T263" s="234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35" t="s">
        <v>149</v>
      </c>
      <c r="AU263" s="235" t="s">
        <v>83</v>
      </c>
      <c r="AV263" s="13" t="s">
        <v>83</v>
      </c>
      <c r="AW263" s="13" t="s">
        <v>32</v>
      </c>
      <c r="AX263" s="13" t="s">
        <v>19</v>
      </c>
      <c r="AY263" s="235" t="s">
        <v>142</v>
      </c>
    </row>
    <row r="264" s="2" customFormat="1" ht="37.8" customHeight="1">
      <c r="A264" s="32"/>
      <c r="B264" s="33"/>
      <c r="C264" s="212" t="s">
        <v>449</v>
      </c>
      <c r="D264" s="212" t="s">
        <v>144</v>
      </c>
      <c r="E264" s="213" t="s">
        <v>450</v>
      </c>
      <c r="F264" s="214" t="s">
        <v>451</v>
      </c>
      <c r="G264" s="215" t="s">
        <v>96</v>
      </c>
      <c r="H264" s="216">
        <v>21.199999999999999</v>
      </c>
      <c r="I264" s="217">
        <v>415</v>
      </c>
      <c r="J264" s="217">
        <f>ROUND(I264*H264,2)</f>
        <v>8798</v>
      </c>
      <c r="K264" s="218"/>
      <c r="L264" s="38"/>
      <c r="M264" s="219" t="s">
        <v>1</v>
      </c>
      <c r="N264" s="220" t="s">
        <v>39</v>
      </c>
      <c r="O264" s="221">
        <v>0.10000000000000001</v>
      </c>
      <c r="P264" s="221">
        <f>O264*H264</f>
        <v>2.1200000000000001</v>
      </c>
      <c r="Q264" s="221">
        <v>0.0025474999999999999</v>
      </c>
      <c r="R264" s="221">
        <f>Q264*H264</f>
        <v>0.054006999999999993</v>
      </c>
      <c r="S264" s="221">
        <v>0</v>
      </c>
      <c r="T264" s="222">
        <f>S264*H264</f>
        <v>0</v>
      </c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R264" s="223" t="s">
        <v>222</v>
      </c>
      <c r="AT264" s="223" t="s">
        <v>144</v>
      </c>
      <c r="AU264" s="223" t="s">
        <v>83</v>
      </c>
      <c r="AY264" s="17" t="s">
        <v>142</v>
      </c>
      <c r="BE264" s="224">
        <f>IF(N264="základní",J264,0)</f>
        <v>8798</v>
      </c>
      <c r="BF264" s="224">
        <f>IF(N264="snížená",J264,0)</f>
        <v>0</v>
      </c>
      <c r="BG264" s="224">
        <f>IF(N264="zákl. přenesená",J264,0)</f>
        <v>0</v>
      </c>
      <c r="BH264" s="224">
        <f>IF(N264="sníž. přenesená",J264,0)</f>
        <v>0</v>
      </c>
      <c r="BI264" s="224">
        <f>IF(N264="nulová",J264,0)</f>
        <v>0</v>
      </c>
      <c r="BJ264" s="17" t="s">
        <v>19</v>
      </c>
      <c r="BK264" s="224">
        <f>ROUND(I264*H264,2)</f>
        <v>8798</v>
      </c>
      <c r="BL264" s="17" t="s">
        <v>222</v>
      </c>
      <c r="BM264" s="223" t="s">
        <v>452</v>
      </c>
    </row>
    <row r="265" s="13" customFormat="1">
      <c r="A265" s="13"/>
      <c r="B265" s="225"/>
      <c r="C265" s="226"/>
      <c r="D265" s="227" t="s">
        <v>149</v>
      </c>
      <c r="E265" s="228" t="s">
        <v>1</v>
      </c>
      <c r="F265" s="229" t="s">
        <v>453</v>
      </c>
      <c r="G265" s="226"/>
      <c r="H265" s="230">
        <v>21.199999999999999</v>
      </c>
      <c r="I265" s="226"/>
      <c r="J265" s="226"/>
      <c r="K265" s="226"/>
      <c r="L265" s="231"/>
      <c r="M265" s="232"/>
      <c r="N265" s="233"/>
      <c r="O265" s="233"/>
      <c r="P265" s="233"/>
      <c r="Q265" s="233"/>
      <c r="R265" s="233"/>
      <c r="S265" s="233"/>
      <c r="T265" s="234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35" t="s">
        <v>149</v>
      </c>
      <c r="AU265" s="235" t="s">
        <v>83</v>
      </c>
      <c r="AV265" s="13" t="s">
        <v>83</v>
      </c>
      <c r="AW265" s="13" t="s">
        <v>32</v>
      </c>
      <c r="AX265" s="13" t="s">
        <v>19</v>
      </c>
      <c r="AY265" s="235" t="s">
        <v>142</v>
      </c>
    </row>
    <row r="266" s="2" customFormat="1" ht="24.15" customHeight="1">
      <c r="A266" s="32"/>
      <c r="B266" s="33"/>
      <c r="C266" s="212" t="s">
        <v>454</v>
      </c>
      <c r="D266" s="212" t="s">
        <v>144</v>
      </c>
      <c r="E266" s="213" t="s">
        <v>455</v>
      </c>
      <c r="F266" s="214" t="s">
        <v>456</v>
      </c>
      <c r="G266" s="215" t="s">
        <v>96</v>
      </c>
      <c r="H266" s="216">
        <v>211.91399999999999</v>
      </c>
      <c r="I266" s="217">
        <v>834</v>
      </c>
      <c r="J266" s="217">
        <f>ROUND(I266*H266,2)</f>
        <v>176736.28</v>
      </c>
      <c r="K266" s="218"/>
      <c r="L266" s="38"/>
      <c r="M266" s="219" t="s">
        <v>1</v>
      </c>
      <c r="N266" s="220" t="s">
        <v>39</v>
      </c>
      <c r="O266" s="221">
        <v>0.24099999999999999</v>
      </c>
      <c r="P266" s="221">
        <f>O266*H266</f>
        <v>51.071273999999995</v>
      </c>
      <c r="Q266" s="221">
        <v>0.0091500000000000001</v>
      </c>
      <c r="R266" s="221">
        <f>Q266*H266</f>
        <v>1.9390130999999999</v>
      </c>
      <c r="S266" s="221">
        <v>0</v>
      </c>
      <c r="T266" s="222">
        <f>S266*H266</f>
        <v>0</v>
      </c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R266" s="223" t="s">
        <v>222</v>
      </c>
      <c r="AT266" s="223" t="s">
        <v>144</v>
      </c>
      <c r="AU266" s="223" t="s">
        <v>83</v>
      </c>
      <c r="AY266" s="17" t="s">
        <v>142</v>
      </c>
      <c r="BE266" s="224">
        <f>IF(N266="základní",J266,0)</f>
        <v>176736.28</v>
      </c>
      <c r="BF266" s="224">
        <f>IF(N266="snížená",J266,0)</f>
        <v>0</v>
      </c>
      <c r="BG266" s="224">
        <f>IF(N266="zákl. přenesená",J266,0)</f>
        <v>0</v>
      </c>
      <c r="BH266" s="224">
        <f>IF(N266="sníž. přenesená",J266,0)</f>
        <v>0</v>
      </c>
      <c r="BI266" s="224">
        <f>IF(N266="nulová",J266,0)</f>
        <v>0</v>
      </c>
      <c r="BJ266" s="17" t="s">
        <v>19</v>
      </c>
      <c r="BK266" s="224">
        <f>ROUND(I266*H266,2)</f>
        <v>176736.28</v>
      </c>
      <c r="BL266" s="17" t="s">
        <v>222</v>
      </c>
      <c r="BM266" s="223" t="s">
        <v>457</v>
      </c>
    </row>
    <row r="267" s="13" customFormat="1">
      <c r="A267" s="13"/>
      <c r="B267" s="225"/>
      <c r="C267" s="226"/>
      <c r="D267" s="227" t="s">
        <v>149</v>
      </c>
      <c r="E267" s="228" t="s">
        <v>1</v>
      </c>
      <c r="F267" s="229" t="s">
        <v>406</v>
      </c>
      <c r="G267" s="226"/>
      <c r="H267" s="230">
        <v>211.91399999999999</v>
      </c>
      <c r="I267" s="226"/>
      <c r="J267" s="226"/>
      <c r="K267" s="226"/>
      <c r="L267" s="231"/>
      <c r="M267" s="232"/>
      <c r="N267" s="233"/>
      <c r="O267" s="233"/>
      <c r="P267" s="233"/>
      <c r="Q267" s="233"/>
      <c r="R267" s="233"/>
      <c r="S267" s="233"/>
      <c r="T267" s="234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35" t="s">
        <v>149</v>
      </c>
      <c r="AU267" s="235" t="s">
        <v>83</v>
      </c>
      <c r="AV267" s="13" t="s">
        <v>83</v>
      </c>
      <c r="AW267" s="13" t="s">
        <v>32</v>
      </c>
      <c r="AX267" s="13" t="s">
        <v>19</v>
      </c>
      <c r="AY267" s="235" t="s">
        <v>142</v>
      </c>
    </row>
    <row r="268" s="2" customFormat="1" ht="37.8" customHeight="1">
      <c r="A268" s="32"/>
      <c r="B268" s="33"/>
      <c r="C268" s="212" t="s">
        <v>458</v>
      </c>
      <c r="D268" s="212" t="s">
        <v>144</v>
      </c>
      <c r="E268" s="213" t="s">
        <v>459</v>
      </c>
      <c r="F268" s="214" t="s">
        <v>460</v>
      </c>
      <c r="G268" s="215" t="s">
        <v>96</v>
      </c>
      <c r="H268" s="216">
        <v>36.719999999999999</v>
      </c>
      <c r="I268" s="217">
        <v>1330</v>
      </c>
      <c r="J268" s="217">
        <f>ROUND(I268*H268,2)</f>
        <v>48837.599999999999</v>
      </c>
      <c r="K268" s="218"/>
      <c r="L268" s="38"/>
      <c r="M268" s="219" t="s">
        <v>1</v>
      </c>
      <c r="N268" s="220" t="s">
        <v>39</v>
      </c>
      <c r="O268" s="221">
        <v>0.316</v>
      </c>
      <c r="P268" s="221">
        <f>O268*H268</f>
        <v>11.60352</v>
      </c>
      <c r="Q268" s="221">
        <v>0.007541</v>
      </c>
      <c r="R268" s="221">
        <f>Q268*H268</f>
        <v>0.27690552000000002</v>
      </c>
      <c r="S268" s="221">
        <v>0</v>
      </c>
      <c r="T268" s="222">
        <f>S268*H268</f>
        <v>0</v>
      </c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R268" s="223" t="s">
        <v>222</v>
      </c>
      <c r="AT268" s="223" t="s">
        <v>144</v>
      </c>
      <c r="AU268" s="223" t="s">
        <v>83</v>
      </c>
      <c r="AY268" s="17" t="s">
        <v>142</v>
      </c>
      <c r="BE268" s="224">
        <f>IF(N268="základní",J268,0)</f>
        <v>48837.599999999999</v>
      </c>
      <c r="BF268" s="224">
        <f>IF(N268="snížená",J268,0)</f>
        <v>0</v>
      </c>
      <c r="BG268" s="224">
        <f>IF(N268="zákl. přenesená",J268,0)</f>
        <v>0</v>
      </c>
      <c r="BH268" s="224">
        <f>IF(N268="sníž. přenesená",J268,0)</f>
        <v>0</v>
      </c>
      <c r="BI268" s="224">
        <f>IF(N268="nulová",J268,0)</f>
        <v>0</v>
      </c>
      <c r="BJ268" s="17" t="s">
        <v>19</v>
      </c>
      <c r="BK268" s="224">
        <f>ROUND(I268*H268,2)</f>
        <v>48837.599999999999</v>
      </c>
      <c r="BL268" s="17" t="s">
        <v>222</v>
      </c>
      <c r="BM268" s="223" t="s">
        <v>461</v>
      </c>
    </row>
    <row r="269" s="13" customFormat="1">
      <c r="A269" s="13"/>
      <c r="B269" s="225"/>
      <c r="C269" s="226"/>
      <c r="D269" s="227" t="s">
        <v>149</v>
      </c>
      <c r="E269" s="228" t="s">
        <v>1</v>
      </c>
      <c r="F269" s="229" t="s">
        <v>462</v>
      </c>
      <c r="G269" s="226"/>
      <c r="H269" s="230">
        <v>36.719999999999999</v>
      </c>
      <c r="I269" s="226"/>
      <c r="J269" s="226"/>
      <c r="K269" s="226"/>
      <c r="L269" s="231"/>
      <c r="M269" s="232"/>
      <c r="N269" s="233"/>
      <c r="O269" s="233"/>
      <c r="P269" s="233"/>
      <c r="Q269" s="233"/>
      <c r="R269" s="233"/>
      <c r="S269" s="233"/>
      <c r="T269" s="234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35" t="s">
        <v>149</v>
      </c>
      <c r="AU269" s="235" t="s">
        <v>83</v>
      </c>
      <c r="AV269" s="13" t="s">
        <v>83</v>
      </c>
      <c r="AW269" s="13" t="s">
        <v>32</v>
      </c>
      <c r="AX269" s="13" t="s">
        <v>19</v>
      </c>
      <c r="AY269" s="235" t="s">
        <v>142</v>
      </c>
    </row>
    <row r="270" s="2" customFormat="1" ht="24.15" customHeight="1">
      <c r="A270" s="32"/>
      <c r="B270" s="33"/>
      <c r="C270" s="212" t="s">
        <v>463</v>
      </c>
      <c r="D270" s="212" t="s">
        <v>144</v>
      </c>
      <c r="E270" s="213" t="s">
        <v>464</v>
      </c>
      <c r="F270" s="214" t="s">
        <v>465</v>
      </c>
      <c r="G270" s="215" t="s">
        <v>96</v>
      </c>
      <c r="H270" s="216">
        <v>31.210999999999999</v>
      </c>
      <c r="I270" s="217">
        <v>372</v>
      </c>
      <c r="J270" s="217">
        <f>ROUND(I270*H270,2)</f>
        <v>11610.49</v>
      </c>
      <c r="K270" s="218"/>
      <c r="L270" s="38"/>
      <c r="M270" s="219" t="s">
        <v>1</v>
      </c>
      <c r="N270" s="220" t="s">
        <v>39</v>
      </c>
      <c r="O270" s="221">
        <v>0.28499999999999998</v>
      </c>
      <c r="P270" s="221">
        <f>O270*H270</f>
        <v>8.895134999999998</v>
      </c>
      <c r="Q270" s="221">
        <v>0.0067349999999999997</v>
      </c>
      <c r="R270" s="221">
        <f>Q270*H270</f>
        <v>0.21020608499999999</v>
      </c>
      <c r="S270" s="221">
        <v>0</v>
      </c>
      <c r="T270" s="222">
        <f>S270*H270</f>
        <v>0</v>
      </c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R270" s="223" t="s">
        <v>222</v>
      </c>
      <c r="AT270" s="223" t="s">
        <v>144</v>
      </c>
      <c r="AU270" s="223" t="s">
        <v>83</v>
      </c>
      <c r="AY270" s="17" t="s">
        <v>142</v>
      </c>
      <c r="BE270" s="224">
        <f>IF(N270="základní",J270,0)</f>
        <v>11610.49</v>
      </c>
      <c r="BF270" s="224">
        <f>IF(N270="snížená",J270,0)</f>
        <v>0</v>
      </c>
      <c r="BG270" s="224">
        <f>IF(N270="zákl. přenesená",J270,0)</f>
        <v>0</v>
      </c>
      <c r="BH270" s="224">
        <f>IF(N270="sníž. přenesená",J270,0)</f>
        <v>0</v>
      </c>
      <c r="BI270" s="224">
        <f>IF(N270="nulová",J270,0)</f>
        <v>0</v>
      </c>
      <c r="BJ270" s="17" t="s">
        <v>19</v>
      </c>
      <c r="BK270" s="224">
        <f>ROUND(I270*H270,2)</f>
        <v>11610.49</v>
      </c>
      <c r="BL270" s="17" t="s">
        <v>222</v>
      </c>
      <c r="BM270" s="223" t="s">
        <v>466</v>
      </c>
    </row>
    <row r="271" s="13" customFormat="1">
      <c r="A271" s="13"/>
      <c r="B271" s="225"/>
      <c r="C271" s="226"/>
      <c r="D271" s="227" t="s">
        <v>149</v>
      </c>
      <c r="E271" s="228" t="s">
        <v>1</v>
      </c>
      <c r="F271" s="229" t="s">
        <v>467</v>
      </c>
      <c r="G271" s="226"/>
      <c r="H271" s="230">
        <v>31.21125</v>
      </c>
      <c r="I271" s="226"/>
      <c r="J271" s="226"/>
      <c r="K271" s="226"/>
      <c r="L271" s="231"/>
      <c r="M271" s="232"/>
      <c r="N271" s="233"/>
      <c r="O271" s="233"/>
      <c r="P271" s="233"/>
      <c r="Q271" s="233"/>
      <c r="R271" s="233"/>
      <c r="S271" s="233"/>
      <c r="T271" s="234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35" t="s">
        <v>149</v>
      </c>
      <c r="AU271" s="235" t="s">
        <v>83</v>
      </c>
      <c r="AV271" s="13" t="s">
        <v>83</v>
      </c>
      <c r="AW271" s="13" t="s">
        <v>32</v>
      </c>
      <c r="AX271" s="13" t="s">
        <v>19</v>
      </c>
      <c r="AY271" s="235" t="s">
        <v>142</v>
      </c>
    </row>
    <row r="272" s="12" customFormat="1" ht="22.8" customHeight="1">
      <c r="A272" s="12"/>
      <c r="B272" s="197"/>
      <c r="C272" s="198"/>
      <c r="D272" s="199" t="s">
        <v>73</v>
      </c>
      <c r="E272" s="210" t="s">
        <v>468</v>
      </c>
      <c r="F272" s="210" t="s">
        <v>469</v>
      </c>
      <c r="G272" s="198"/>
      <c r="H272" s="198"/>
      <c r="I272" s="198"/>
      <c r="J272" s="211">
        <f>BK272</f>
        <v>92100</v>
      </c>
      <c r="K272" s="198"/>
      <c r="L272" s="202"/>
      <c r="M272" s="203"/>
      <c r="N272" s="204"/>
      <c r="O272" s="204"/>
      <c r="P272" s="205">
        <f>SUM(P273:P274)</f>
        <v>4.7539999999999996</v>
      </c>
      <c r="Q272" s="204"/>
      <c r="R272" s="205">
        <f>SUM(R273:R274)</f>
        <v>0.11652</v>
      </c>
      <c r="S272" s="204"/>
      <c r="T272" s="206">
        <f>SUM(T273:T274)</f>
        <v>0</v>
      </c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R272" s="207" t="s">
        <v>83</v>
      </c>
      <c r="AT272" s="208" t="s">
        <v>73</v>
      </c>
      <c r="AU272" s="208" t="s">
        <v>19</v>
      </c>
      <c r="AY272" s="207" t="s">
        <v>142</v>
      </c>
      <c r="BK272" s="209">
        <f>SUM(BK273:BK274)</f>
        <v>92100</v>
      </c>
    </row>
    <row r="273" s="2" customFormat="1" ht="24.15" customHeight="1">
      <c r="A273" s="32"/>
      <c r="B273" s="33"/>
      <c r="C273" s="212" t="s">
        <v>470</v>
      </c>
      <c r="D273" s="212" t="s">
        <v>144</v>
      </c>
      <c r="E273" s="213" t="s">
        <v>471</v>
      </c>
      <c r="F273" s="214" t="s">
        <v>472</v>
      </c>
      <c r="G273" s="215" t="s">
        <v>321</v>
      </c>
      <c r="H273" s="216">
        <v>1</v>
      </c>
      <c r="I273" s="217">
        <v>5400</v>
      </c>
      <c r="J273" s="217">
        <f>ROUND(I273*H273,2)</f>
        <v>5400</v>
      </c>
      <c r="K273" s="218"/>
      <c r="L273" s="38"/>
      <c r="M273" s="219" t="s">
        <v>1</v>
      </c>
      <c r="N273" s="220" t="s">
        <v>39</v>
      </c>
      <c r="O273" s="221">
        <v>4.7539999999999996</v>
      </c>
      <c r="P273" s="221">
        <f>O273*H273</f>
        <v>4.7539999999999996</v>
      </c>
      <c r="Q273" s="221">
        <v>0.0025200000000000001</v>
      </c>
      <c r="R273" s="221">
        <f>Q273*H273</f>
        <v>0.0025200000000000001</v>
      </c>
      <c r="S273" s="221">
        <v>0</v>
      </c>
      <c r="T273" s="222">
        <f>S273*H273</f>
        <v>0</v>
      </c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R273" s="223" t="s">
        <v>222</v>
      </c>
      <c r="AT273" s="223" t="s">
        <v>144</v>
      </c>
      <c r="AU273" s="223" t="s">
        <v>83</v>
      </c>
      <c r="AY273" s="17" t="s">
        <v>142</v>
      </c>
      <c r="BE273" s="224">
        <f>IF(N273="základní",J273,0)</f>
        <v>5400</v>
      </c>
      <c r="BF273" s="224">
        <f>IF(N273="snížená",J273,0)</f>
        <v>0</v>
      </c>
      <c r="BG273" s="224">
        <f>IF(N273="zákl. přenesená",J273,0)</f>
        <v>0</v>
      </c>
      <c r="BH273" s="224">
        <f>IF(N273="sníž. přenesená",J273,0)</f>
        <v>0</v>
      </c>
      <c r="BI273" s="224">
        <f>IF(N273="nulová",J273,0)</f>
        <v>0</v>
      </c>
      <c r="BJ273" s="17" t="s">
        <v>19</v>
      </c>
      <c r="BK273" s="224">
        <f>ROUND(I273*H273,2)</f>
        <v>5400</v>
      </c>
      <c r="BL273" s="17" t="s">
        <v>222</v>
      </c>
      <c r="BM273" s="223" t="s">
        <v>473</v>
      </c>
    </row>
    <row r="274" s="2" customFormat="1" ht="33" customHeight="1">
      <c r="A274" s="32"/>
      <c r="B274" s="33"/>
      <c r="C274" s="258" t="s">
        <v>474</v>
      </c>
      <c r="D274" s="258" t="s">
        <v>475</v>
      </c>
      <c r="E274" s="259" t="s">
        <v>476</v>
      </c>
      <c r="F274" s="260" t="s">
        <v>477</v>
      </c>
      <c r="G274" s="261" t="s">
        <v>284</v>
      </c>
      <c r="H274" s="262">
        <v>1</v>
      </c>
      <c r="I274" s="263">
        <v>86700</v>
      </c>
      <c r="J274" s="263">
        <f>ROUND(I274*H274,2)</f>
        <v>86700</v>
      </c>
      <c r="K274" s="264"/>
      <c r="L274" s="265"/>
      <c r="M274" s="266" t="s">
        <v>1</v>
      </c>
      <c r="N274" s="267" t="s">
        <v>39</v>
      </c>
      <c r="O274" s="221">
        <v>0</v>
      </c>
      <c r="P274" s="221">
        <f>O274*H274</f>
        <v>0</v>
      </c>
      <c r="Q274" s="221">
        <v>0.114</v>
      </c>
      <c r="R274" s="221">
        <f>Q274*H274</f>
        <v>0.114</v>
      </c>
      <c r="S274" s="221">
        <v>0</v>
      </c>
      <c r="T274" s="222">
        <f>S274*H274</f>
        <v>0</v>
      </c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R274" s="223" t="s">
        <v>241</v>
      </c>
      <c r="AT274" s="223" t="s">
        <v>475</v>
      </c>
      <c r="AU274" s="223" t="s">
        <v>83</v>
      </c>
      <c r="AY274" s="17" t="s">
        <v>142</v>
      </c>
      <c r="BE274" s="224">
        <f>IF(N274="základní",J274,0)</f>
        <v>86700</v>
      </c>
      <c r="BF274" s="224">
        <f>IF(N274="snížená",J274,0)</f>
        <v>0</v>
      </c>
      <c r="BG274" s="224">
        <f>IF(N274="zákl. přenesená",J274,0)</f>
        <v>0</v>
      </c>
      <c r="BH274" s="224">
        <f>IF(N274="sníž. přenesená",J274,0)</f>
        <v>0</v>
      </c>
      <c r="BI274" s="224">
        <f>IF(N274="nulová",J274,0)</f>
        <v>0</v>
      </c>
      <c r="BJ274" s="17" t="s">
        <v>19</v>
      </c>
      <c r="BK274" s="224">
        <f>ROUND(I274*H274,2)</f>
        <v>86700</v>
      </c>
      <c r="BL274" s="17" t="s">
        <v>222</v>
      </c>
      <c r="BM274" s="223" t="s">
        <v>478</v>
      </c>
    </row>
    <row r="275" s="12" customFormat="1" ht="22.8" customHeight="1">
      <c r="A275" s="12"/>
      <c r="B275" s="197"/>
      <c r="C275" s="198"/>
      <c r="D275" s="199" t="s">
        <v>73</v>
      </c>
      <c r="E275" s="210" t="s">
        <v>479</v>
      </c>
      <c r="F275" s="210" t="s">
        <v>480</v>
      </c>
      <c r="G275" s="198"/>
      <c r="H275" s="198"/>
      <c r="I275" s="198"/>
      <c r="J275" s="211">
        <f>BK275</f>
        <v>245498.79000000001</v>
      </c>
      <c r="K275" s="198"/>
      <c r="L275" s="202"/>
      <c r="M275" s="203"/>
      <c r="N275" s="204"/>
      <c r="O275" s="204"/>
      <c r="P275" s="205">
        <f>SUM(P276:P285)</f>
        <v>80.454000000000008</v>
      </c>
      <c r="Q275" s="204"/>
      <c r="R275" s="205">
        <f>SUM(R276:R285)</f>
        <v>0.58792889999999998</v>
      </c>
      <c r="S275" s="204"/>
      <c r="T275" s="206">
        <f>SUM(T276:T285)</f>
        <v>0</v>
      </c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R275" s="207" t="s">
        <v>83</v>
      </c>
      <c r="AT275" s="208" t="s">
        <v>73</v>
      </c>
      <c r="AU275" s="208" t="s">
        <v>19</v>
      </c>
      <c r="AY275" s="207" t="s">
        <v>142</v>
      </c>
      <c r="BK275" s="209">
        <f>SUM(BK276:BK285)</f>
        <v>245498.79000000001</v>
      </c>
    </row>
    <row r="276" s="2" customFormat="1" ht="37.8" customHeight="1">
      <c r="A276" s="32"/>
      <c r="B276" s="33"/>
      <c r="C276" s="212" t="s">
        <v>481</v>
      </c>
      <c r="D276" s="212" t="s">
        <v>144</v>
      </c>
      <c r="E276" s="213" t="s">
        <v>482</v>
      </c>
      <c r="F276" s="214" t="s">
        <v>483</v>
      </c>
      <c r="G276" s="215" t="s">
        <v>96</v>
      </c>
      <c r="H276" s="216">
        <v>71.969999999999999</v>
      </c>
      <c r="I276" s="217">
        <v>531</v>
      </c>
      <c r="J276" s="217">
        <f>ROUND(I276*H276,2)</f>
        <v>38216.07</v>
      </c>
      <c r="K276" s="218"/>
      <c r="L276" s="38"/>
      <c r="M276" s="219" t="s">
        <v>1</v>
      </c>
      <c r="N276" s="220" t="s">
        <v>39</v>
      </c>
      <c r="O276" s="221">
        <v>0.12</v>
      </c>
      <c r="P276" s="221">
        <f>O276*H276</f>
        <v>8.6364000000000001</v>
      </c>
      <c r="Q276" s="221">
        <v>0.00174</v>
      </c>
      <c r="R276" s="221">
        <f>Q276*H276</f>
        <v>0.1252278</v>
      </c>
      <c r="S276" s="221">
        <v>0</v>
      </c>
      <c r="T276" s="222">
        <f>S276*H276</f>
        <v>0</v>
      </c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R276" s="223" t="s">
        <v>222</v>
      </c>
      <c r="AT276" s="223" t="s">
        <v>144</v>
      </c>
      <c r="AU276" s="223" t="s">
        <v>83</v>
      </c>
      <c r="AY276" s="17" t="s">
        <v>142</v>
      </c>
      <c r="BE276" s="224">
        <f>IF(N276="základní",J276,0)</f>
        <v>38216.07</v>
      </c>
      <c r="BF276" s="224">
        <f>IF(N276="snížená",J276,0)</f>
        <v>0</v>
      </c>
      <c r="BG276" s="224">
        <f>IF(N276="zákl. přenesená",J276,0)</f>
        <v>0</v>
      </c>
      <c r="BH276" s="224">
        <f>IF(N276="sníž. přenesená",J276,0)</f>
        <v>0</v>
      </c>
      <c r="BI276" s="224">
        <f>IF(N276="nulová",J276,0)</f>
        <v>0</v>
      </c>
      <c r="BJ276" s="17" t="s">
        <v>19</v>
      </c>
      <c r="BK276" s="224">
        <f>ROUND(I276*H276,2)</f>
        <v>38216.07</v>
      </c>
      <c r="BL276" s="17" t="s">
        <v>222</v>
      </c>
      <c r="BM276" s="223" t="s">
        <v>484</v>
      </c>
    </row>
    <row r="277" s="13" customFormat="1">
      <c r="A277" s="13"/>
      <c r="B277" s="225"/>
      <c r="C277" s="226"/>
      <c r="D277" s="227" t="s">
        <v>149</v>
      </c>
      <c r="E277" s="228" t="s">
        <v>1</v>
      </c>
      <c r="F277" s="229" t="s">
        <v>485</v>
      </c>
      <c r="G277" s="226"/>
      <c r="H277" s="230">
        <v>71.969999999999999</v>
      </c>
      <c r="I277" s="226"/>
      <c r="J277" s="226"/>
      <c r="K277" s="226"/>
      <c r="L277" s="231"/>
      <c r="M277" s="232"/>
      <c r="N277" s="233"/>
      <c r="O277" s="233"/>
      <c r="P277" s="233"/>
      <c r="Q277" s="233"/>
      <c r="R277" s="233"/>
      <c r="S277" s="233"/>
      <c r="T277" s="234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T277" s="235" t="s">
        <v>149</v>
      </c>
      <c r="AU277" s="235" t="s">
        <v>83</v>
      </c>
      <c r="AV277" s="13" t="s">
        <v>83</v>
      </c>
      <c r="AW277" s="13" t="s">
        <v>32</v>
      </c>
      <c r="AX277" s="13" t="s">
        <v>19</v>
      </c>
      <c r="AY277" s="235" t="s">
        <v>142</v>
      </c>
    </row>
    <row r="278" s="2" customFormat="1" ht="37.8" customHeight="1">
      <c r="A278" s="32"/>
      <c r="B278" s="33"/>
      <c r="C278" s="212" t="s">
        <v>486</v>
      </c>
      <c r="D278" s="212" t="s">
        <v>144</v>
      </c>
      <c r="E278" s="213" t="s">
        <v>487</v>
      </c>
      <c r="F278" s="214" t="s">
        <v>488</v>
      </c>
      <c r="G278" s="215" t="s">
        <v>96</v>
      </c>
      <c r="H278" s="216">
        <v>144.96000000000001</v>
      </c>
      <c r="I278" s="217">
        <v>604</v>
      </c>
      <c r="J278" s="217">
        <f>ROUND(I278*H278,2)</f>
        <v>87555.839999999997</v>
      </c>
      <c r="K278" s="218"/>
      <c r="L278" s="38"/>
      <c r="M278" s="219" t="s">
        <v>1</v>
      </c>
      <c r="N278" s="220" t="s">
        <v>39</v>
      </c>
      <c r="O278" s="221">
        <v>0.12</v>
      </c>
      <c r="P278" s="221">
        <f>O278*H278</f>
        <v>17.395199999999999</v>
      </c>
      <c r="Q278" s="221">
        <v>0.00174</v>
      </c>
      <c r="R278" s="221">
        <f>Q278*H278</f>
        <v>0.25223040000000002</v>
      </c>
      <c r="S278" s="221">
        <v>0</v>
      </c>
      <c r="T278" s="222">
        <f>S278*H278</f>
        <v>0</v>
      </c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R278" s="223" t="s">
        <v>222</v>
      </c>
      <c r="AT278" s="223" t="s">
        <v>144</v>
      </c>
      <c r="AU278" s="223" t="s">
        <v>83</v>
      </c>
      <c r="AY278" s="17" t="s">
        <v>142</v>
      </c>
      <c r="BE278" s="224">
        <f>IF(N278="základní",J278,0)</f>
        <v>87555.839999999997</v>
      </c>
      <c r="BF278" s="224">
        <f>IF(N278="snížená",J278,0)</f>
        <v>0</v>
      </c>
      <c r="BG278" s="224">
        <f>IF(N278="zákl. přenesená",J278,0)</f>
        <v>0</v>
      </c>
      <c r="BH278" s="224">
        <f>IF(N278="sníž. přenesená",J278,0)</f>
        <v>0</v>
      </c>
      <c r="BI278" s="224">
        <f>IF(N278="nulová",J278,0)</f>
        <v>0</v>
      </c>
      <c r="BJ278" s="17" t="s">
        <v>19</v>
      </c>
      <c r="BK278" s="224">
        <f>ROUND(I278*H278,2)</f>
        <v>87555.839999999997</v>
      </c>
      <c r="BL278" s="17" t="s">
        <v>222</v>
      </c>
      <c r="BM278" s="223" t="s">
        <v>489</v>
      </c>
    </row>
    <row r="279" s="13" customFormat="1">
      <c r="A279" s="13"/>
      <c r="B279" s="225"/>
      <c r="C279" s="226"/>
      <c r="D279" s="227" t="s">
        <v>149</v>
      </c>
      <c r="E279" s="228" t="s">
        <v>1</v>
      </c>
      <c r="F279" s="229" t="s">
        <v>419</v>
      </c>
      <c r="G279" s="226"/>
      <c r="H279" s="230">
        <v>144.96000000000001</v>
      </c>
      <c r="I279" s="226"/>
      <c r="J279" s="226"/>
      <c r="K279" s="226"/>
      <c r="L279" s="231"/>
      <c r="M279" s="232"/>
      <c r="N279" s="233"/>
      <c r="O279" s="233"/>
      <c r="P279" s="233"/>
      <c r="Q279" s="233"/>
      <c r="R279" s="233"/>
      <c r="S279" s="233"/>
      <c r="T279" s="234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35" t="s">
        <v>149</v>
      </c>
      <c r="AU279" s="235" t="s">
        <v>83</v>
      </c>
      <c r="AV279" s="13" t="s">
        <v>83</v>
      </c>
      <c r="AW279" s="13" t="s">
        <v>32</v>
      </c>
      <c r="AX279" s="13" t="s">
        <v>19</v>
      </c>
      <c r="AY279" s="235" t="s">
        <v>142</v>
      </c>
    </row>
    <row r="280" s="2" customFormat="1" ht="37.8" customHeight="1">
      <c r="A280" s="32"/>
      <c r="B280" s="33"/>
      <c r="C280" s="212" t="s">
        <v>490</v>
      </c>
      <c r="D280" s="212" t="s">
        <v>144</v>
      </c>
      <c r="E280" s="213" t="s">
        <v>491</v>
      </c>
      <c r="F280" s="214" t="s">
        <v>492</v>
      </c>
      <c r="G280" s="215" t="s">
        <v>326</v>
      </c>
      <c r="H280" s="216">
        <v>1449.5999999999999</v>
      </c>
      <c r="I280" s="217">
        <v>72.200000000000003</v>
      </c>
      <c r="J280" s="217">
        <f>ROUND(I280*H280,2)</f>
        <v>104661.12</v>
      </c>
      <c r="K280" s="218"/>
      <c r="L280" s="38"/>
      <c r="M280" s="219" t="s">
        <v>1</v>
      </c>
      <c r="N280" s="220" t="s">
        <v>39</v>
      </c>
      <c r="O280" s="221">
        <v>0.031</v>
      </c>
      <c r="P280" s="221">
        <f>O280*H280</f>
        <v>44.937599999999996</v>
      </c>
      <c r="Q280" s="221">
        <v>0.00011450000000000001</v>
      </c>
      <c r="R280" s="221">
        <f>Q280*H280</f>
        <v>0.16597919999999999</v>
      </c>
      <c r="S280" s="221">
        <v>0</v>
      </c>
      <c r="T280" s="222">
        <f>S280*H280</f>
        <v>0</v>
      </c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R280" s="223" t="s">
        <v>222</v>
      </c>
      <c r="AT280" s="223" t="s">
        <v>144</v>
      </c>
      <c r="AU280" s="223" t="s">
        <v>83</v>
      </c>
      <c r="AY280" s="17" t="s">
        <v>142</v>
      </c>
      <c r="BE280" s="224">
        <f>IF(N280="základní",J280,0)</f>
        <v>104661.12</v>
      </c>
      <c r="BF280" s="224">
        <f>IF(N280="snížená",J280,0)</f>
        <v>0</v>
      </c>
      <c r="BG280" s="224">
        <f>IF(N280="zákl. přenesená",J280,0)</f>
        <v>0</v>
      </c>
      <c r="BH280" s="224">
        <f>IF(N280="sníž. přenesená",J280,0)</f>
        <v>0</v>
      </c>
      <c r="BI280" s="224">
        <f>IF(N280="nulová",J280,0)</f>
        <v>0</v>
      </c>
      <c r="BJ280" s="17" t="s">
        <v>19</v>
      </c>
      <c r="BK280" s="224">
        <f>ROUND(I280*H280,2)</f>
        <v>104661.12</v>
      </c>
      <c r="BL280" s="17" t="s">
        <v>222</v>
      </c>
      <c r="BM280" s="223" t="s">
        <v>493</v>
      </c>
    </row>
    <row r="281" s="13" customFormat="1">
      <c r="A281" s="13"/>
      <c r="B281" s="225"/>
      <c r="C281" s="226"/>
      <c r="D281" s="227" t="s">
        <v>149</v>
      </c>
      <c r="E281" s="228" t="s">
        <v>1</v>
      </c>
      <c r="F281" s="229" t="s">
        <v>494</v>
      </c>
      <c r="G281" s="226"/>
      <c r="H281" s="230">
        <v>1449.5999999999999</v>
      </c>
      <c r="I281" s="226"/>
      <c r="J281" s="226"/>
      <c r="K281" s="226"/>
      <c r="L281" s="231"/>
      <c r="M281" s="232"/>
      <c r="N281" s="233"/>
      <c r="O281" s="233"/>
      <c r="P281" s="233"/>
      <c r="Q281" s="233"/>
      <c r="R281" s="233"/>
      <c r="S281" s="233"/>
      <c r="T281" s="234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35" t="s">
        <v>149</v>
      </c>
      <c r="AU281" s="235" t="s">
        <v>83</v>
      </c>
      <c r="AV281" s="13" t="s">
        <v>83</v>
      </c>
      <c r="AW281" s="13" t="s">
        <v>32</v>
      </c>
      <c r="AX281" s="13" t="s">
        <v>19</v>
      </c>
      <c r="AY281" s="235" t="s">
        <v>142</v>
      </c>
    </row>
    <row r="282" s="2" customFormat="1" ht="21.75" customHeight="1">
      <c r="A282" s="32"/>
      <c r="B282" s="33"/>
      <c r="C282" s="212" t="s">
        <v>495</v>
      </c>
      <c r="D282" s="212" t="s">
        <v>144</v>
      </c>
      <c r="E282" s="213" t="s">
        <v>496</v>
      </c>
      <c r="F282" s="214" t="s">
        <v>497</v>
      </c>
      <c r="G282" s="215" t="s">
        <v>96</v>
      </c>
      <c r="H282" s="216">
        <v>144.96000000000001</v>
      </c>
      <c r="I282" s="217">
        <v>60.100000000000001</v>
      </c>
      <c r="J282" s="217">
        <f>ROUND(I282*H282,2)</f>
        <v>8712.1000000000004</v>
      </c>
      <c r="K282" s="218"/>
      <c r="L282" s="38"/>
      <c r="M282" s="219" t="s">
        <v>1</v>
      </c>
      <c r="N282" s="220" t="s">
        <v>39</v>
      </c>
      <c r="O282" s="221">
        <v>0.029000000000000001</v>
      </c>
      <c r="P282" s="221">
        <f>O282*H282</f>
        <v>4.2038400000000005</v>
      </c>
      <c r="Q282" s="221">
        <v>0.00025000000000000001</v>
      </c>
      <c r="R282" s="221">
        <f>Q282*H282</f>
        <v>0.036240000000000001</v>
      </c>
      <c r="S282" s="221">
        <v>0</v>
      </c>
      <c r="T282" s="222">
        <f>S282*H282</f>
        <v>0</v>
      </c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R282" s="223" t="s">
        <v>222</v>
      </c>
      <c r="AT282" s="223" t="s">
        <v>144</v>
      </c>
      <c r="AU282" s="223" t="s">
        <v>83</v>
      </c>
      <c r="AY282" s="17" t="s">
        <v>142</v>
      </c>
      <c r="BE282" s="224">
        <f>IF(N282="základní",J282,0)</f>
        <v>8712.1000000000004</v>
      </c>
      <c r="BF282" s="224">
        <f>IF(N282="snížená",J282,0)</f>
        <v>0</v>
      </c>
      <c r="BG282" s="224">
        <f>IF(N282="zákl. přenesená",J282,0)</f>
        <v>0</v>
      </c>
      <c r="BH282" s="224">
        <f>IF(N282="sníž. přenesená",J282,0)</f>
        <v>0</v>
      </c>
      <c r="BI282" s="224">
        <f>IF(N282="nulová",J282,0)</f>
        <v>0</v>
      </c>
      <c r="BJ282" s="17" t="s">
        <v>19</v>
      </c>
      <c r="BK282" s="224">
        <f>ROUND(I282*H282,2)</f>
        <v>8712.1000000000004</v>
      </c>
      <c r="BL282" s="17" t="s">
        <v>222</v>
      </c>
      <c r="BM282" s="223" t="s">
        <v>498</v>
      </c>
    </row>
    <row r="283" s="13" customFormat="1">
      <c r="A283" s="13"/>
      <c r="B283" s="225"/>
      <c r="C283" s="226"/>
      <c r="D283" s="227" t="s">
        <v>149</v>
      </c>
      <c r="E283" s="228" t="s">
        <v>1</v>
      </c>
      <c r="F283" s="229" t="s">
        <v>499</v>
      </c>
      <c r="G283" s="226"/>
      <c r="H283" s="230">
        <v>144.96000000000001</v>
      </c>
      <c r="I283" s="226"/>
      <c r="J283" s="226"/>
      <c r="K283" s="226"/>
      <c r="L283" s="231"/>
      <c r="M283" s="232"/>
      <c r="N283" s="233"/>
      <c r="O283" s="233"/>
      <c r="P283" s="233"/>
      <c r="Q283" s="233"/>
      <c r="R283" s="233"/>
      <c r="S283" s="233"/>
      <c r="T283" s="234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35" t="s">
        <v>149</v>
      </c>
      <c r="AU283" s="235" t="s">
        <v>83</v>
      </c>
      <c r="AV283" s="13" t="s">
        <v>83</v>
      </c>
      <c r="AW283" s="13" t="s">
        <v>32</v>
      </c>
      <c r="AX283" s="13" t="s">
        <v>19</v>
      </c>
      <c r="AY283" s="235" t="s">
        <v>142</v>
      </c>
    </row>
    <row r="284" s="2" customFormat="1" ht="24.15" customHeight="1">
      <c r="A284" s="32"/>
      <c r="B284" s="33"/>
      <c r="C284" s="212" t="s">
        <v>500</v>
      </c>
      <c r="D284" s="212" t="s">
        <v>144</v>
      </c>
      <c r="E284" s="213" t="s">
        <v>501</v>
      </c>
      <c r="F284" s="214" t="s">
        <v>502</v>
      </c>
      <c r="G284" s="215" t="s">
        <v>326</v>
      </c>
      <c r="H284" s="216">
        <v>165.03</v>
      </c>
      <c r="I284" s="217">
        <v>38.5</v>
      </c>
      <c r="J284" s="217">
        <f>ROUND(I284*H284,2)</f>
        <v>6353.6599999999999</v>
      </c>
      <c r="K284" s="218"/>
      <c r="L284" s="38"/>
      <c r="M284" s="219" t="s">
        <v>1</v>
      </c>
      <c r="N284" s="220" t="s">
        <v>39</v>
      </c>
      <c r="O284" s="221">
        <v>0.032000000000000001</v>
      </c>
      <c r="P284" s="221">
        <f>O284*H284</f>
        <v>5.2809600000000003</v>
      </c>
      <c r="Q284" s="221">
        <v>5.0000000000000002E-05</v>
      </c>
      <c r="R284" s="221">
        <f>Q284*H284</f>
        <v>0.0082515000000000002</v>
      </c>
      <c r="S284" s="221">
        <v>0</v>
      </c>
      <c r="T284" s="222">
        <f>S284*H284</f>
        <v>0</v>
      </c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R284" s="223" t="s">
        <v>222</v>
      </c>
      <c r="AT284" s="223" t="s">
        <v>144</v>
      </c>
      <c r="AU284" s="223" t="s">
        <v>83</v>
      </c>
      <c r="AY284" s="17" t="s">
        <v>142</v>
      </c>
      <c r="BE284" s="224">
        <f>IF(N284="základní",J284,0)</f>
        <v>6353.6599999999999</v>
      </c>
      <c r="BF284" s="224">
        <f>IF(N284="snížená",J284,0)</f>
        <v>0</v>
      </c>
      <c r="BG284" s="224">
        <f>IF(N284="zákl. přenesená",J284,0)</f>
        <v>0</v>
      </c>
      <c r="BH284" s="224">
        <f>IF(N284="sníž. přenesená",J284,0)</f>
        <v>0</v>
      </c>
      <c r="BI284" s="224">
        <f>IF(N284="nulová",J284,0)</f>
        <v>0</v>
      </c>
      <c r="BJ284" s="17" t="s">
        <v>19</v>
      </c>
      <c r="BK284" s="224">
        <f>ROUND(I284*H284,2)</f>
        <v>6353.6599999999999</v>
      </c>
      <c r="BL284" s="17" t="s">
        <v>222</v>
      </c>
      <c r="BM284" s="223" t="s">
        <v>503</v>
      </c>
    </row>
    <row r="285" s="13" customFormat="1">
      <c r="A285" s="13"/>
      <c r="B285" s="225"/>
      <c r="C285" s="226"/>
      <c r="D285" s="227" t="s">
        <v>149</v>
      </c>
      <c r="E285" s="228" t="s">
        <v>1</v>
      </c>
      <c r="F285" s="229" t="s">
        <v>504</v>
      </c>
      <c r="G285" s="226"/>
      <c r="H285" s="230">
        <v>165.03</v>
      </c>
      <c r="I285" s="226"/>
      <c r="J285" s="226"/>
      <c r="K285" s="226"/>
      <c r="L285" s="231"/>
      <c r="M285" s="232"/>
      <c r="N285" s="233"/>
      <c r="O285" s="233"/>
      <c r="P285" s="233"/>
      <c r="Q285" s="233"/>
      <c r="R285" s="233"/>
      <c r="S285" s="233"/>
      <c r="T285" s="234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35" t="s">
        <v>149</v>
      </c>
      <c r="AU285" s="235" t="s">
        <v>83</v>
      </c>
      <c r="AV285" s="13" t="s">
        <v>83</v>
      </c>
      <c r="AW285" s="13" t="s">
        <v>32</v>
      </c>
      <c r="AX285" s="13" t="s">
        <v>19</v>
      </c>
      <c r="AY285" s="235" t="s">
        <v>142</v>
      </c>
    </row>
    <row r="286" s="12" customFormat="1" ht="22.8" customHeight="1">
      <c r="A286" s="12"/>
      <c r="B286" s="197"/>
      <c r="C286" s="198"/>
      <c r="D286" s="199" t="s">
        <v>73</v>
      </c>
      <c r="E286" s="210" t="s">
        <v>505</v>
      </c>
      <c r="F286" s="210" t="s">
        <v>506</v>
      </c>
      <c r="G286" s="198"/>
      <c r="H286" s="198"/>
      <c r="I286" s="198"/>
      <c r="J286" s="211">
        <f>BK286</f>
        <v>64255.32</v>
      </c>
      <c r="K286" s="198"/>
      <c r="L286" s="202"/>
      <c r="M286" s="203"/>
      <c r="N286" s="204"/>
      <c r="O286" s="204"/>
      <c r="P286" s="205">
        <f>SUM(P287:P292)</f>
        <v>52.609338000000008</v>
      </c>
      <c r="Q286" s="204"/>
      <c r="R286" s="205">
        <f>SUM(R287:R292)</f>
        <v>1.66262854</v>
      </c>
      <c r="S286" s="204"/>
      <c r="T286" s="206">
        <f>SUM(T287:T292)</f>
        <v>0</v>
      </c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R286" s="207" t="s">
        <v>83</v>
      </c>
      <c r="AT286" s="208" t="s">
        <v>73</v>
      </c>
      <c r="AU286" s="208" t="s">
        <v>19</v>
      </c>
      <c r="AY286" s="207" t="s">
        <v>142</v>
      </c>
      <c r="BK286" s="209">
        <f>SUM(BK287:BK292)</f>
        <v>64255.32</v>
      </c>
    </row>
    <row r="287" s="2" customFormat="1" ht="33" customHeight="1">
      <c r="A287" s="32"/>
      <c r="B287" s="33"/>
      <c r="C287" s="212" t="s">
        <v>507</v>
      </c>
      <c r="D287" s="212" t="s">
        <v>144</v>
      </c>
      <c r="E287" s="213" t="s">
        <v>508</v>
      </c>
      <c r="F287" s="214" t="s">
        <v>509</v>
      </c>
      <c r="G287" s="215" t="s">
        <v>96</v>
      </c>
      <c r="H287" s="216">
        <v>11.528000000000001</v>
      </c>
      <c r="I287" s="217">
        <v>1200</v>
      </c>
      <c r="J287" s="217">
        <f>ROUND(I287*H287,2)</f>
        <v>13833.6</v>
      </c>
      <c r="K287" s="218"/>
      <c r="L287" s="38"/>
      <c r="M287" s="219" t="s">
        <v>1</v>
      </c>
      <c r="N287" s="220" t="s">
        <v>39</v>
      </c>
      <c r="O287" s="221">
        <v>0.999</v>
      </c>
      <c r="P287" s="221">
        <f>O287*H287</f>
        <v>11.516472</v>
      </c>
      <c r="Q287" s="221">
        <v>0.024719999999999999</v>
      </c>
      <c r="R287" s="221">
        <f>Q287*H287</f>
        <v>0.28497215999999997</v>
      </c>
      <c r="S287" s="221">
        <v>0</v>
      </c>
      <c r="T287" s="222">
        <f>S287*H287</f>
        <v>0</v>
      </c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R287" s="223" t="s">
        <v>222</v>
      </c>
      <c r="AT287" s="223" t="s">
        <v>144</v>
      </c>
      <c r="AU287" s="223" t="s">
        <v>83</v>
      </c>
      <c r="AY287" s="17" t="s">
        <v>142</v>
      </c>
      <c r="BE287" s="224">
        <f>IF(N287="základní",J287,0)</f>
        <v>13833.6</v>
      </c>
      <c r="BF287" s="224">
        <f>IF(N287="snížená",J287,0)</f>
        <v>0</v>
      </c>
      <c r="BG287" s="224">
        <f>IF(N287="zákl. přenesená",J287,0)</f>
        <v>0</v>
      </c>
      <c r="BH287" s="224">
        <f>IF(N287="sníž. přenesená",J287,0)</f>
        <v>0</v>
      </c>
      <c r="BI287" s="224">
        <f>IF(N287="nulová",J287,0)</f>
        <v>0</v>
      </c>
      <c r="BJ287" s="17" t="s">
        <v>19</v>
      </c>
      <c r="BK287" s="224">
        <f>ROUND(I287*H287,2)</f>
        <v>13833.6</v>
      </c>
      <c r="BL287" s="17" t="s">
        <v>222</v>
      </c>
      <c r="BM287" s="223" t="s">
        <v>510</v>
      </c>
    </row>
    <row r="288" s="13" customFormat="1">
      <c r="A288" s="13"/>
      <c r="B288" s="225"/>
      <c r="C288" s="226"/>
      <c r="D288" s="227" t="s">
        <v>149</v>
      </c>
      <c r="E288" s="228" t="s">
        <v>1</v>
      </c>
      <c r="F288" s="229" t="s">
        <v>511</v>
      </c>
      <c r="G288" s="226"/>
      <c r="H288" s="230">
        <v>11.528000000000001</v>
      </c>
      <c r="I288" s="226"/>
      <c r="J288" s="226"/>
      <c r="K288" s="226"/>
      <c r="L288" s="231"/>
      <c r="M288" s="232"/>
      <c r="N288" s="233"/>
      <c r="O288" s="233"/>
      <c r="P288" s="233"/>
      <c r="Q288" s="233"/>
      <c r="R288" s="233"/>
      <c r="S288" s="233"/>
      <c r="T288" s="234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35" t="s">
        <v>149</v>
      </c>
      <c r="AU288" s="235" t="s">
        <v>83</v>
      </c>
      <c r="AV288" s="13" t="s">
        <v>83</v>
      </c>
      <c r="AW288" s="13" t="s">
        <v>32</v>
      </c>
      <c r="AX288" s="13" t="s">
        <v>19</v>
      </c>
      <c r="AY288" s="235" t="s">
        <v>142</v>
      </c>
    </row>
    <row r="289" s="2" customFormat="1" ht="24.15" customHeight="1">
      <c r="A289" s="32"/>
      <c r="B289" s="33"/>
      <c r="C289" s="212" t="s">
        <v>512</v>
      </c>
      <c r="D289" s="212" t="s">
        <v>144</v>
      </c>
      <c r="E289" s="213" t="s">
        <v>513</v>
      </c>
      <c r="F289" s="214" t="s">
        <v>514</v>
      </c>
      <c r="G289" s="215" t="s">
        <v>96</v>
      </c>
      <c r="H289" s="216">
        <v>6</v>
      </c>
      <c r="I289" s="217">
        <v>1510</v>
      </c>
      <c r="J289" s="217">
        <f>ROUND(I289*H289,2)</f>
        <v>9060</v>
      </c>
      <c r="K289" s="218"/>
      <c r="L289" s="38"/>
      <c r="M289" s="219" t="s">
        <v>1</v>
      </c>
      <c r="N289" s="220" t="s">
        <v>39</v>
      </c>
      <c r="O289" s="221">
        <v>1.296</v>
      </c>
      <c r="P289" s="221">
        <f>O289*H289</f>
        <v>7.7759999999999998</v>
      </c>
      <c r="Q289" s="221">
        <v>0.044290000000000003</v>
      </c>
      <c r="R289" s="221">
        <f>Q289*H289</f>
        <v>0.26574000000000003</v>
      </c>
      <c r="S289" s="221">
        <v>0</v>
      </c>
      <c r="T289" s="222">
        <f>S289*H289</f>
        <v>0</v>
      </c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R289" s="223" t="s">
        <v>147</v>
      </c>
      <c r="AT289" s="223" t="s">
        <v>144</v>
      </c>
      <c r="AU289" s="223" t="s">
        <v>83</v>
      </c>
      <c r="AY289" s="17" t="s">
        <v>142</v>
      </c>
      <c r="BE289" s="224">
        <f>IF(N289="základní",J289,0)</f>
        <v>9060</v>
      </c>
      <c r="BF289" s="224">
        <f>IF(N289="snížená",J289,0)</f>
        <v>0</v>
      </c>
      <c r="BG289" s="224">
        <f>IF(N289="zákl. přenesená",J289,0)</f>
        <v>0</v>
      </c>
      <c r="BH289" s="224">
        <f>IF(N289="sníž. přenesená",J289,0)</f>
        <v>0</v>
      </c>
      <c r="BI289" s="224">
        <f>IF(N289="nulová",J289,0)</f>
        <v>0</v>
      </c>
      <c r="BJ289" s="17" t="s">
        <v>19</v>
      </c>
      <c r="BK289" s="224">
        <f>ROUND(I289*H289,2)</f>
        <v>9060</v>
      </c>
      <c r="BL289" s="17" t="s">
        <v>147</v>
      </c>
      <c r="BM289" s="223" t="s">
        <v>515</v>
      </c>
    </row>
    <row r="290" s="2" customFormat="1" ht="24.15" customHeight="1">
      <c r="A290" s="32"/>
      <c r="B290" s="33"/>
      <c r="C290" s="212" t="s">
        <v>516</v>
      </c>
      <c r="D290" s="212" t="s">
        <v>144</v>
      </c>
      <c r="E290" s="213" t="s">
        <v>517</v>
      </c>
      <c r="F290" s="214" t="s">
        <v>518</v>
      </c>
      <c r="G290" s="215" t="s">
        <v>96</v>
      </c>
      <c r="H290" s="216">
        <v>17.600000000000001</v>
      </c>
      <c r="I290" s="217">
        <v>1560</v>
      </c>
      <c r="J290" s="217">
        <f>ROUND(I290*H290,2)</f>
        <v>27456</v>
      </c>
      <c r="K290" s="218"/>
      <c r="L290" s="38"/>
      <c r="M290" s="219" t="s">
        <v>1</v>
      </c>
      <c r="N290" s="220" t="s">
        <v>39</v>
      </c>
      <c r="O290" s="221">
        <v>1.296</v>
      </c>
      <c r="P290" s="221">
        <f>O290*H290</f>
        <v>22.809600000000003</v>
      </c>
      <c r="Q290" s="221">
        <v>0.045710000000000001</v>
      </c>
      <c r="R290" s="221">
        <f>Q290*H290</f>
        <v>0.8044960000000001</v>
      </c>
      <c r="S290" s="221">
        <v>0</v>
      </c>
      <c r="T290" s="222">
        <f>S290*H290</f>
        <v>0</v>
      </c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R290" s="223" t="s">
        <v>147</v>
      </c>
      <c r="AT290" s="223" t="s">
        <v>144</v>
      </c>
      <c r="AU290" s="223" t="s">
        <v>83</v>
      </c>
      <c r="AY290" s="17" t="s">
        <v>142</v>
      </c>
      <c r="BE290" s="224">
        <f>IF(N290="základní",J290,0)</f>
        <v>27456</v>
      </c>
      <c r="BF290" s="224">
        <f>IF(N290="snížená",J290,0)</f>
        <v>0</v>
      </c>
      <c r="BG290" s="224">
        <f>IF(N290="zákl. přenesená",J290,0)</f>
        <v>0</v>
      </c>
      <c r="BH290" s="224">
        <f>IF(N290="sníž. přenesená",J290,0)</f>
        <v>0</v>
      </c>
      <c r="BI290" s="224">
        <f>IF(N290="nulová",J290,0)</f>
        <v>0</v>
      </c>
      <c r="BJ290" s="17" t="s">
        <v>19</v>
      </c>
      <c r="BK290" s="224">
        <f>ROUND(I290*H290,2)</f>
        <v>27456</v>
      </c>
      <c r="BL290" s="17" t="s">
        <v>147</v>
      </c>
      <c r="BM290" s="223" t="s">
        <v>519</v>
      </c>
    </row>
    <row r="291" s="2" customFormat="1" ht="37.8" customHeight="1">
      <c r="A291" s="32"/>
      <c r="B291" s="33"/>
      <c r="C291" s="212" t="s">
        <v>520</v>
      </c>
      <c r="D291" s="212" t="s">
        <v>144</v>
      </c>
      <c r="E291" s="213" t="s">
        <v>521</v>
      </c>
      <c r="F291" s="214" t="s">
        <v>522</v>
      </c>
      <c r="G291" s="215" t="s">
        <v>96</v>
      </c>
      <c r="H291" s="216">
        <v>6.4980000000000002</v>
      </c>
      <c r="I291" s="217">
        <v>2140</v>
      </c>
      <c r="J291" s="217">
        <f>ROUND(I291*H291,2)</f>
        <v>13905.719999999999</v>
      </c>
      <c r="K291" s="218"/>
      <c r="L291" s="38"/>
      <c r="M291" s="219" t="s">
        <v>1</v>
      </c>
      <c r="N291" s="220" t="s">
        <v>39</v>
      </c>
      <c r="O291" s="221">
        <v>1.617</v>
      </c>
      <c r="P291" s="221">
        <f>O291*H291</f>
        <v>10.507266</v>
      </c>
      <c r="Q291" s="221">
        <v>0.047309999999999998</v>
      </c>
      <c r="R291" s="221">
        <f>Q291*H291</f>
        <v>0.30742037999999999</v>
      </c>
      <c r="S291" s="221">
        <v>0</v>
      </c>
      <c r="T291" s="222">
        <f>S291*H291</f>
        <v>0</v>
      </c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R291" s="223" t="s">
        <v>222</v>
      </c>
      <c r="AT291" s="223" t="s">
        <v>144</v>
      </c>
      <c r="AU291" s="223" t="s">
        <v>83</v>
      </c>
      <c r="AY291" s="17" t="s">
        <v>142</v>
      </c>
      <c r="BE291" s="224">
        <f>IF(N291="základní",J291,0)</f>
        <v>13905.719999999999</v>
      </c>
      <c r="BF291" s="224">
        <f>IF(N291="snížená",J291,0)</f>
        <v>0</v>
      </c>
      <c r="BG291" s="224">
        <f>IF(N291="zákl. přenesená",J291,0)</f>
        <v>0</v>
      </c>
      <c r="BH291" s="224">
        <f>IF(N291="sníž. přenesená",J291,0)</f>
        <v>0</v>
      </c>
      <c r="BI291" s="224">
        <f>IF(N291="nulová",J291,0)</f>
        <v>0</v>
      </c>
      <c r="BJ291" s="17" t="s">
        <v>19</v>
      </c>
      <c r="BK291" s="224">
        <f>ROUND(I291*H291,2)</f>
        <v>13905.719999999999</v>
      </c>
      <c r="BL291" s="17" t="s">
        <v>222</v>
      </c>
      <c r="BM291" s="223" t="s">
        <v>523</v>
      </c>
    </row>
    <row r="292" s="13" customFormat="1">
      <c r="A292" s="13"/>
      <c r="B292" s="225"/>
      <c r="C292" s="226"/>
      <c r="D292" s="227" t="s">
        <v>149</v>
      </c>
      <c r="E292" s="228" t="s">
        <v>1</v>
      </c>
      <c r="F292" s="229" t="s">
        <v>524</v>
      </c>
      <c r="G292" s="226"/>
      <c r="H292" s="230">
        <v>6.4976000000000003</v>
      </c>
      <c r="I292" s="226"/>
      <c r="J292" s="226"/>
      <c r="K292" s="226"/>
      <c r="L292" s="231"/>
      <c r="M292" s="232"/>
      <c r="N292" s="233"/>
      <c r="O292" s="233"/>
      <c r="P292" s="233"/>
      <c r="Q292" s="233"/>
      <c r="R292" s="233"/>
      <c r="S292" s="233"/>
      <c r="T292" s="234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T292" s="235" t="s">
        <v>149</v>
      </c>
      <c r="AU292" s="235" t="s">
        <v>83</v>
      </c>
      <c r="AV292" s="13" t="s">
        <v>83</v>
      </c>
      <c r="AW292" s="13" t="s">
        <v>32</v>
      </c>
      <c r="AX292" s="13" t="s">
        <v>19</v>
      </c>
      <c r="AY292" s="235" t="s">
        <v>142</v>
      </c>
    </row>
    <row r="293" s="12" customFormat="1" ht="22.8" customHeight="1">
      <c r="A293" s="12"/>
      <c r="B293" s="197"/>
      <c r="C293" s="198"/>
      <c r="D293" s="199" t="s">
        <v>73</v>
      </c>
      <c r="E293" s="210" t="s">
        <v>525</v>
      </c>
      <c r="F293" s="210" t="s">
        <v>526</v>
      </c>
      <c r="G293" s="198"/>
      <c r="H293" s="198"/>
      <c r="I293" s="198"/>
      <c r="J293" s="211">
        <f>BK293</f>
        <v>15979</v>
      </c>
      <c r="K293" s="198"/>
      <c r="L293" s="202"/>
      <c r="M293" s="203"/>
      <c r="N293" s="204"/>
      <c r="O293" s="204"/>
      <c r="P293" s="205">
        <f>SUM(P294:P298)</f>
        <v>11.936999999999999</v>
      </c>
      <c r="Q293" s="204"/>
      <c r="R293" s="205">
        <f>SUM(R294:R298)</f>
        <v>0.049750000000000003</v>
      </c>
      <c r="S293" s="204"/>
      <c r="T293" s="206">
        <f>SUM(T294:T298)</f>
        <v>0</v>
      </c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R293" s="207" t="s">
        <v>83</v>
      </c>
      <c r="AT293" s="208" t="s">
        <v>73</v>
      </c>
      <c r="AU293" s="208" t="s">
        <v>19</v>
      </c>
      <c r="AY293" s="207" t="s">
        <v>142</v>
      </c>
      <c r="BK293" s="209">
        <f>SUM(BK294:BK298)</f>
        <v>15979</v>
      </c>
    </row>
    <row r="294" s="2" customFormat="1" ht="24.15" customHeight="1">
      <c r="A294" s="32"/>
      <c r="B294" s="33"/>
      <c r="C294" s="212" t="s">
        <v>527</v>
      </c>
      <c r="D294" s="212" t="s">
        <v>144</v>
      </c>
      <c r="E294" s="213" t="s">
        <v>528</v>
      </c>
      <c r="F294" s="214" t="s">
        <v>529</v>
      </c>
      <c r="G294" s="215" t="s">
        <v>284</v>
      </c>
      <c r="H294" s="216">
        <v>1</v>
      </c>
      <c r="I294" s="217">
        <v>3180</v>
      </c>
      <c r="J294" s="217">
        <f>ROUND(I294*H294,2)</f>
        <v>3180</v>
      </c>
      <c r="K294" s="218"/>
      <c r="L294" s="38"/>
      <c r="M294" s="219" t="s">
        <v>1</v>
      </c>
      <c r="N294" s="220" t="s">
        <v>39</v>
      </c>
      <c r="O294" s="221">
        <v>0.495</v>
      </c>
      <c r="P294" s="221">
        <f>O294*H294</f>
        <v>0.495</v>
      </c>
      <c r="Q294" s="221">
        <v>0.0089999999999999993</v>
      </c>
      <c r="R294" s="221">
        <f>Q294*H294</f>
        <v>0.0089999999999999993</v>
      </c>
      <c r="S294" s="221">
        <v>0</v>
      </c>
      <c r="T294" s="222">
        <f>S294*H294</f>
        <v>0</v>
      </c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R294" s="223" t="s">
        <v>222</v>
      </c>
      <c r="AT294" s="223" t="s">
        <v>144</v>
      </c>
      <c r="AU294" s="223" t="s">
        <v>83</v>
      </c>
      <c r="AY294" s="17" t="s">
        <v>142</v>
      </c>
      <c r="BE294" s="224">
        <f>IF(N294="základní",J294,0)</f>
        <v>3180</v>
      </c>
      <c r="BF294" s="224">
        <f>IF(N294="snížená",J294,0)</f>
        <v>0</v>
      </c>
      <c r="BG294" s="224">
        <f>IF(N294="zákl. přenesená",J294,0)</f>
        <v>0</v>
      </c>
      <c r="BH294" s="224">
        <f>IF(N294="sníž. přenesená",J294,0)</f>
        <v>0</v>
      </c>
      <c r="BI294" s="224">
        <f>IF(N294="nulová",J294,0)</f>
        <v>0</v>
      </c>
      <c r="BJ294" s="17" t="s">
        <v>19</v>
      </c>
      <c r="BK294" s="224">
        <f>ROUND(I294*H294,2)</f>
        <v>3180</v>
      </c>
      <c r="BL294" s="17" t="s">
        <v>222</v>
      </c>
      <c r="BM294" s="223" t="s">
        <v>530</v>
      </c>
    </row>
    <row r="295" s="2" customFormat="1" ht="33" customHeight="1">
      <c r="A295" s="32"/>
      <c r="B295" s="33"/>
      <c r="C295" s="212" t="s">
        <v>531</v>
      </c>
      <c r="D295" s="212" t="s">
        <v>144</v>
      </c>
      <c r="E295" s="213" t="s">
        <v>532</v>
      </c>
      <c r="F295" s="214" t="s">
        <v>533</v>
      </c>
      <c r="G295" s="215" t="s">
        <v>326</v>
      </c>
      <c r="H295" s="216">
        <v>14</v>
      </c>
      <c r="I295" s="217">
        <v>595</v>
      </c>
      <c r="J295" s="217">
        <f>ROUND(I295*H295,2)</f>
        <v>8330</v>
      </c>
      <c r="K295" s="218"/>
      <c r="L295" s="38"/>
      <c r="M295" s="219" t="s">
        <v>1</v>
      </c>
      <c r="N295" s="220" t="s">
        <v>39</v>
      </c>
      <c r="O295" s="221">
        <v>0.56499999999999995</v>
      </c>
      <c r="P295" s="221">
        <f>O295*H295</f>
        <v>7.9099999999999993</v>
      </c>
      <c r="Q295" s="221">
        <v>0.00147</v>
      </c>
      <c r="R295" s="221">
        <f>Q295*H295</f>
        <v>0.020580000000000001</v>
      </c>
      <c r="S295" s="221">
        <v>0</v>
      </c>
      <c r="T295" s="222">
        <f>S295*H295</f>
        <v>0</v>
      </c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R295" s="223" t="s">
        <v>222</v>
      </c>
      <c r="AT295" s="223" t="s">
        <v>144</v>
      </c>
      <c r="AU295" s="223" t="s">
        <v>83</v>
      </c>
      <c r="AY295" s="17" t="s">
        <v>142</v>
      </c>
      <c r="BE295" s="224">
        <f>IF(N295="základní",J295,0)</f>
        <v>8330</v>
      </c>
      <c r="BF295" s="224">
        <f>IF(N295="snížená",J295,0)</f>
        <v>0</v>
      </c>
      <c r="BG295" s="224">
        <f>IF(N295="zákl. přenesená",J295,0)</f>
        <v>0</v>
      </c>
      <c r="BH295" s="224">
        <f>IF(N295="sníž. přenesená",J295,0)</f>
        <v>0</v>
      </c>
      <c r="BI295" s="224">
        <f>IF(N295="nulová",J295,0)</f>
        <v>0</v>
      </c>
      <c r="BJ295" s="17" t="s">
        <v>19</v>
      </c>
      <c r="BK295" s="224">
        <f>ROUND(I295*H295,2)</f>
        <v>8330</v>
      </c>
      <c r="BL295" s="17" t="s">
        <v>222</v>
      </c>
      <c r="BM295" s="223" t="s">
        <v>534</v>
      </c>
    </row>
    <row r="296" s="13" customFormat="1">
      <c r="A296" s="13"/>
      <c r="B296" s="225"/>
      <c r="C296" s="226"/>
      <c r="D296" s="227" t="s">
        <v>149</v>
      </c>
      <c r="E296" s="228" t="s">
        <v>1</v>
      </c>
      <c r="F296" s="229" t="s">
        <v>211</v>
      </c>
      <c r="G296" s="226"/>
      <c r="H296" s="230">
        <v>14</v>
      </c>
      <c r="I296" s="226"/>
      <c r="J296" s="226"/>
      <c r="K296" s="226"/>
      <c r="L296" s="231"/>
      <c r="M296" s="232"/>
      <c r="N296" s="233"/>
      <c r="O296" s="233"/>
      <c r="P296" s="233"/>
      <c r="Q296" s="233"/>
      <c r="R296" s="233"/>
      <c r="S296" s="233"/>
      <c r="T296" s="234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35" t="s">
        <v>149</v>
      </c>
      <c r="AU296" s="235" t="s">
        <v>83</v>
      </c>
      <c r="AV296" s="13" t="s">
        <v>83</v>
      </c>
      <c r="AW296" s="13" t="s">
        <v>32</v>
      </c>
      <c r="AX296" s="13" t="s">
        <v>19</v>
      </c>
      <c r="AY296" s="235" t="s">
        <v>142</v>
      </c>
    </row>
    <row r="297" s="2" customFormat="1" ht="16.5" customHeight="1">
      <c r="A297" s="32"/>
      <c r="B297" s="33"/>
      <c r="C297" s="212" t="s">
        <v>535</v>
      </c>
      <c r="D297" s="212" t="s">
        <v>144</v>
      </c>
      <c r="E297" s="213" t="s">
        <v>536</v>
      </c>
      <c r="F297" s="214" t="s">
        <v>537</v>
      </c>
      <c r="G297" s="215" t="s">
        <v>326</v>
      </c>
      <c r="H297" s="216">
        <v>14</v>
      </c>
      <c r="I297" s="217">
        <v>297</v>
      </c>
      <c r="J297" s="217">
        <f>ROUND(I297*H297,2)</f>
        <v>4158</v>
      </c>
      <c r="K297" s="218"/>
      <c r="L297" s="38"/>
      <c r="M297" s="219" t="s">
        <v>1</v>
      </c>
      <c r="N297" s="220" t="s">
        <v>39</v>
      </c>
      <c r="O297" s="221">
        <v>0.245</v>
      </c>
      <c r="P297" s="221">
        <f>O297*H297</f>
        <v>3.4299999999999997</v>
      </c>
      <c r="Q297" s="221">
        <v>0.0013400000000000001</v>
      </c>
      <c r="R297" s="221">
        <f>Q297*H297</f>
        <v>0.018759999999999999</v>
      </c>
      <c r="S297" s="221">
        <v>0</v>
      </c>
      <c r="T297" s="222">
        <f>S297*H297</f>
        <v>0</v>
      </c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R297" s="223" t="s">
        <v>222</v>
      </c>
      <c r="AT297" s="223" t="s">
        <v>144</v>
      </c>
      <c r="AU297" s="223" t="s">
        <v>83</v>
      </c>
      <c r="AY297" s="17" t="s">
        <v>142</v>
      </c>
      <c r="BE297" s="224">
        <f>IF(N297="základní",J297,0)</f>
        <v>4158</v>
      </c>
      <c r="BF297" s="224">
        <f>IF(N297="snížená",J297,0)</f>
        <v>0</v>
      </c>
      <c r="BG297" s="224">
        <f>IF(N297="zákl. přenesená",J297,0)</f>
        <v>0</v>
      </c>
      <c r="BH297" s="224">
        <f>IF(N297="sníž. přenesená",J297,0)</f>
        <v>0</v>
      </c>
      <c r="BI297" s="224">
        <f>IF(N297="nulová",J297,0)</f>
        <v>0</v>
      </c>
      <c r="BJ297" s="17" t="s">
        <v>19</v>
      </c>
      <c r="BK297" s="224">
        <f>ROUND(I297*H297,2)</f>
        <v>4158</v>
      </c>
      <c r="BL297" s="17" t="s">
        <v>222</v>
      </c>
      <c r="BM297" s="223" t="s">
        <v>538</v>
      </c>
    </row>
    <row r="298" s="2" customFormat="1" ht="24.15" customHeight="1">
      <c r="A298" s="32"/>
      <c r="B298" s="33"/>
      <c r="C298" s="212" t="s">
        <v>539</v>
      </c>
      <c r="D298" s="212" t="s">
        <v>144</v>
      </c>
      <c r="E298" s="213" t="s">
        <v>540</v>
      </c>
      <c r="F298" s="214" t="s">
        <v>541</v>
      </c>
      <c r="G298" s="215" t="s">
        <v>284</v>
      </c>
      <c r="H298" s="216">
        <v>1</v>
      </c>
      <c r="I298" s="217">
        <v>311</v>
      </c>
      <c r="J298" s="217">
        <f>ROUND(I298*H298,2)</f>
        <v>311</v>
      </c>
      <c r="K298" s="218"/>
      <c r="L298" s="38"/>
      <c r="M298" s="219" t="s">
        <v>1</v>
      </c>
      <c r="N298" s="220" t="s">
        <v>39</v>
      </c>
      <c r="O298" s="221">
        <v>0.10199999999999999</v>
      </c>
      <c r="P298" s="221">
        <f>O298*H298</f>
        <v>0.10199999999999999</v>
      </c>
      <c r="Q298" s="221">
        <v>0.00141</v>
      </c>
      <c r="R298" s="221">
        <f>Q298*H298</f>
        <v>0.00141</v>
      </c>
      <c r="S298" s="221">
        <v>0</v>
      </c>
      <c r="T298" s="222">
        <f>S298*H298</f>
        <v>0</v>
      </c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R298" s="223" t="s">
        <v>222</v>
      </c>
      <c r="AT298" s="223" t="s">
        <v>144</v>
      </c>
      <c r="AU298" s="223" t="s">
        <v>83</v>
      </c>
      <c r="AY298" s="17" t="s">
        <v>142</v>
      </c>
      <c r="BE298" s="224">
        <f>IF(N298="základní",J298,0)</f>
        <v>311</v>
      </c>
      <c r="BF298" s="224">
        <f>IF(N298="snížená",J298,0)</f>
        <v>0</v>
      </c>
      <c r="BG298" s="224">
        <f>IF(N298="zákl. přenesená",J298,0)</f>
        <v>0</v>
      </c>
      <c r="BH298" s="224">
        <f>IF(N298="sníž. přenesená",J298,0)</f>
        <v>0</v>
      </c>
      <c r="BI298" s="224">
        <f>IF(N298="nulová",J298,0)</f>
        <v>0</v>
      </c>
      <c r="BJ298" s="17" t="s">
        <v>19</v>
      </c>
      <c r="BK298" s="224">
        <f>ROUND(I298*H298,2)</f>
        <v>311</v>
      </c>
      <c r="BL298" s="17" t="s">
        <v>222</v>
      </c>
      <c r="BM298" s="223" t="s">
        <v>542</v>
      </c>
    </row>
    <row r="299" s="12" customFormat="1" ht="22.8" customHeight="1">
      <c r="A299" s="12"/>
      <c r="B299" s="197"/>
      <c r="C299" s="198"/>
      <c r="D299" s="199" t="s">
        <v>73</v>
      </c>
      <c r="E299" s="210" t="s">
        <v>543</v>
      </c>
      <c r="F299" s="210" t="s">
        <v>544</v>
      </c>
      <c r="G299" s="198"/>
      <c r="H299" s="198"/>
      <c r="I299" s="198"/>
      <c r="J299" s="211">
        <f>BK299</f>
        <v>698322.51000000013</v>
      </c>
      <c r="K299" s="198"/>
      <c r="L299" s="202"/>
      <c r="M299" s="203"/>
      <c r="N299" s="204"/>
      <c r="O299" s="204"/>
      <c r="P299" s="205">
        <f>SUM(P300:P326)</f>
        <v>369.93804599999999</v>
      </c>
      <c r="Q299" s="204"/>
      <c r="R299" s="205">
        <f>SUM(R300:R326)</f>
        <v>3.752490485</v>
      </c>
      <c r="S299" s="204"/>
      <c r="T299" s="206">
        <f>SUM(T300:T326)</f>
        <v>0</v>
      </c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R299" s="207" t="s">
        <v>83</v>
      </c>
      <c r="AT299" s="208" t="s">
        <v>73</v>
      </c>
      <c r="AU299" s="208" t="s">
        <v>19</v>
      </c>
      <c r="AY299" s="207" t="s">
        <v>142</v>
      </c>
      <c r="BK299" s="209">
        <f>SUM(BK300:BK326)</f>
        <v>698322.51000000013</v>
      </c>
    </row>
    <row r="300" s="2" customFormat="1" ht="37.8" customHeight="1">
      <c r="A300" s="32"/>
      <c r="B300" s="33"/>
      <c r="C300" s="212" t="s">
        <v>545</v>
      </c>
      <c r="D300" s="212" t="s">
        <v>144</v>
      </c>
      <c r="E300" s="213" t="s">
        <v>546</v>
      </c>
      <c r="F300" s="214" t="s">
        <v>547</v>
      </c>
      <c r="G300" s="215" t="s">
        <v>96</v>
      </c>
      <c r="H300" s="216">
        <v>103.886</v>
      </c>
      <c r="I300" s="217">
        <v>185</v>
      </c>
      <c r="J300" s="217">
        <f>ROUND(I300*H300,2)</f>
        <v>19218.91</v>
      </c>
      <c r="K300" s="218"/>
      <c r="L300" s="38"/>
      <c r="M300" s="219" t="s">
        <v>1</v>
      </c>
      <c r="N300" s="220" t="s">
        <v>39</v>
      </c>
      <c r="O300" s="221">
        <v>0.22500000000000001</v>
      </c>
      <c r="P300" s="221">
        <f>O300*H300</f>
        <v>23.37435</v>
      </c>
      <c r="Q300" s="221">
        <v>0.00014999999999999999</v>
      </c>
      <c r="R300" s="221">
        <f>Q300*H300</f>
        <v>0.015582899999999999</v>
      </c>
      <c r="S300" s="221">
        <v>0</v>
      </c>
      <c r="T300" s="222">
        <f>S300*H300</f>
        <v>0</v>
      </c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R300" s="223" t="s">
        <v>222</v>
      </c>
      <c r="AT300" s="223" t="s">
        <v>144</v>
      </c>
      <c r="AU300" s="223" t="s">
        <v>83</v>
      </c>
      <c r="AY300" s="17" t="s">
        <v>142</v>
      </c>
      <c r="BE300" s="224">
        <f>IF(N300="základní",J300,0)</f>
        <v>19218.91</v>
      </c>
      <c r="BF300" s="224">
        <f>IF(N300="snížená",J300,0)</f>
        <v>0</v>
      </c>
      <c r="BG300" s="224">
        <f>IF(N300="zákl. přenesená",J300,0)</f>
        <v>0</v>
      </c>
      <c r="BH300" s="224">
        <f>IF(N300="sníž. přenesená",J300,0)</f>
        <v>0</v>
      </c>
      <c r="BI300" s="224">
        <f>IF(N300="nulová",J300,0)</f>
        <v>0</v>
      </c>
      <c r="BJ300" s="17" t="s">
        <v>19</v>
      </c>
      <c r="BK300" s="224">
        <f>ROUND(I300*H300,2)</f>
        <v>19218.91</v>
      </c>
      <c r="BL300" s="17" t="s">
        <v>222</v>
      </c>
      <c r="BM300" s="223" t="s">
        <v>548</v>
      </c>
    </row>
    <row r="301" s="2" customFormat="1" ht="24.15" customHeight="1">
      <c r="A301" s="32"/>
      <c r="B301" s="33"/>
      <c r="C301" s="258" t="s">
        <v>549</v>
      </c>
      <c r="D301" s="258" t="s">
        <v>475</v>
      </c>
      <c r="E301" s="259" t="s">
        <v>550</v>
      </c>
      <c r="F301" s="260" t="s">
        <v>551</v>
      </c>
      <c r="G301" s="261" t="s">
        <v>96</v>
      </c>
      <c r="H301" s="262">
        <v>109.08</v>
      </c>
      <c r="I301" s="263">
        <v>1010</v>
      </c>
      <c r="J301" s="263">
        <f>ROUND(I301*H301,2)</f>
        <v>110170.8</v>
      </c>
      <c r="K301" s="264"/>
      <c r="L301" s="265"/>
      <c r="M301" s="266" t="s">
        <v>1</v>
      </c>
      <c r="N301" s="267" t="s">
        <v>39</v>
      </c>
      <c r="O301" s="221">
        <v>0</v>
      </c>
      <c r="P301" s="221">
        <f>O301*H301</f>
        <v>0</v>
      </c>
      <c r="Q301" s="221">
        <v>0.0041999999999999997</v>
      </c>
      <c r="R301" s="221">
        <f>Q301*H301</f>
        <v>0.45813599999999999</v>
      </c>
      <c r="S301" s="221">
        <v>0</v>
      </c>
      <c r="T301" s="222">
        <f>S301*H301</f>
        <v>0</v>
      </c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R301" s="223" t="s">
        <v>241</v>
      </c>
      <c r="AT301" s="223" t="s">
        <v>475</v>
      </c>
      <c r="AU301" s="223" t="s">
        <v>83</v>
      </c>
      <c r="AY301" s="17" t="s">
        <v>142</v>
      </c>
      <c r="BE301" s="224">
        <f>IF(N301="základní",J301,0)</f>
        <v>110170.8</v>
      </c>
      <c r="BF301" s="224">
        <f>IF(N301="snížená",J301,0)</f>
        <v>0</v>
      </c>
      <c r="BG301" s="224">
        <f>IF(N301="zákl. přenesená",J301,0)</f>
        <v>0</v>
      </c>
      <c r="BH301" s="224">
        <f>IF(N301="sníž. přenesená",J301,0)</f>
        <v>0</v>
      </c>
      <c r="BI301" s="224">
        <f>IF(N301="nulová",J301,0)</f>
        <v>0</v>
      </c>
      <c r="BJ301" s="17" t="s">
        <v>19</v>
      </c>
      <c r="BK301" s="224">
        <f>ROUND(I301*H301,2)</f>
        <v>110170.8</v>
      </c>
      <c r="BL301" s="17" t="s">
        <v>222</v>
      </c>
      <c r="BM301" s="223" t="s">
        <v>552</v>
      </c>
    </row>
    <row r="302" s="13" customFormat="1">
      <c r="A302" s="13"/>
      <c r="B302" s="225"/>
      <c r="C302" s="226"/>
      <c r="D302" s="227" t="s">
        <v>149</v>
      </c>
      <c r="E302" s="226"/>
      <c r="F302" s="229" t="s">
        <v>553</v>
      </c>
      <c r="G302" s="226"/>
      <c r="H302" s="230">
        <v>109.08</v>
      </c>
      <c r="I302" s="226"/>
      <c r="J302" s="226"/>
      <c r="K302" s="226"/>
      <c r="L302" s="231"/>
      <c r="M302" s="232"/>
      <c r="N302" s="233"/>
      <c r="O302" s="233"/>
      <c r="P302" s="233"/>
      <c r="Q302" s="233"/>
      <c r="R302" s="233"/>
      <c r="S302" s="233"/>
      <c r="T302" s="234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T302" s="235" t="s">
        <v>149</v>
      </c>
      <c r="AU302" s="235" t="s">
        <v>83</v>
      </c>
      <c r="AV302" s="13" t="s">
        <v>83</v>
      </c>
      <c r="AW302" s="13" t="s">
        <v>4</v>
      </c>
      <c r="AX302" s="13" t="s">
        <v>19</v>
      </c>
      <c r="AY302" s="235" t="s">
        <v>142</v>
      </c>
    </row>
    <row r="303" s="2" customFormat="1" ht="33" customHeight="1">
      <c r="A303" s="32"/>
      <c r="B303" s="33"/>
      <c r="C303" s="212" t="s">
        <v>554</v>
      </c>
      <c r="D303" s="212" t="s">
        <v>144</v>
      </c>
      <c r="E303" s="213" t="s">
        <v>555</v>
      </c>
      <c r="F303" s="214" t="s">
        <v>556</v>
      </c>
      <c r="G303" s="215" t="s">
        <v>96</v>
      </c>
      <c r="H303" s="216">
        <v>103.886</v>
      </c>
      <c r="I303" s="217">
        <v>71.599999999999994</v>
      </c>
      <c r="J303" s="217">
        <f>ROUND(I303*H303,2)</f>
        <v>7438.2399999999998</v>
      </c>
      <c r="K303" s="218"/>
      <c r="L303" s="38"/>
      <c r="M303" s="219" t="s">
        <v>1</v>
      </c>
      <c r="N303" s="220" t="s">
        <v>39</v>
      </c>
      <c r="O303" s="221">
        <v>0.11500000000000001</v>
      </c>
      <c r="P303" s="221">
        <f>O303*H303</f>
        <v>11.94689</v>
      </c>
      <c r="Q303" s="221">
        <v>0</v>
      </c>
      <c r="R303" s="221">
        <f>Q303*H303</f>
        <v>0</v>
      </c>
      <c r="S303" s="221">
        <v>0</v>
      </c>
      <c r="T303" s="222">
        <f>S303*H303</f>
        <v>0</v>
      </c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R303" s="223" t="s">
        <v>222</v>
      </c>
      <c r="AT303" s="223" t="s">
        <v>144</v>
      </c>
      <c r="AU303" s="223" t="s">
        <v>83</v>
      </c>
      <c r="AY303" s="17" t="s">
        <v>142</v>
      </c>
      <c r="BE303" s="224">
        <f>IF(N303="základní",J303,0)</f>
        <v>7438.2399999999998</v>
      </c>
      <c r="BF303" s="224">
        <f>IF(N303="snížená",J303,0)</f>
        <v>0</v>
      </c>
      <c r="BG303" s="224">
        <f>IF(N303="zákl. přenesená",J303,0)</f>
        <v>0</v>
      </c>
      <c r="BH303" s="224">
        <f>IF(N303="sníž. přenesená",J303,0)</f>
        <v>0</v>
      </c>
      <c r="BI303" s="224">
        <f>IF(N303="nulová",J303,0)</f>
        <v>0</v>
      </c>
      <c r="BJ303" s="17" t="s">
        <v>19</v>
      </c>
      <c r="BK303" s="224">
        <f>ROUND(I303*H303,2)</f>
        <v>7438.2399999999998</v>
      </c>
      <c r="BL303" s="17" t="s">
        <v>222</v>
      </c>
      <c r="BM303" s="223" t="s">
        <v>557</v>
      </c>
    </row>
    <row r="304" s="2" customFormat="1" ht="49.05" customHeight="1">
      <c r="A304" s="32"/>
      <c r="B304" s="33"/>
      <c r="C304" s="258" t="s">
        <v>558</v>
      </c>
      <c r="D304" s="258" t="s">
        <v>475</v>
      </c>
      <c r="E304" s="259" t="s">
        <v>559</v>
      </c>
      <c r="F304" s="260" t="s">
        <v>560</v>
      </c>
      <c r="G304" s="261" t="s">
        <v>96</v>
      </c>
      <c r="H304" s="262">
        <v>121.07899999999999</v>
      </c>
      <c r="I304" s="263">
        <v>168</v>
      </c>
      <c r="J304" s="263">
        <f>ROUND(I304*H304,2)</f>
        <v>20341.27</v>
      </c>
      <c r="K304" s="264"/>
      <c r="L304" s="265"/>
      <c r="M304" s="266" t="s">
        <v>1</v>
      </c>
      <c r="N304" s="267" t="s">
        <v>39</v>
      </c>
      <c r="O304" s="221">
        <v>0</v>
      </c>
      <c r="P304" s="221">
        <f>O304*H304</f>
        <v>0</v>
      </c>
      <c r="Q304" s="221">
        <v>0.0023</v>
      </c>
      <c r="R304" s="221">
        <f>Q304*H304</f>
        <v>0.2784817</v>
      </c>
      <c r="S304" s="221">
        <v>0</v>
      </c>
      <c r="T304" s="222">
        <f>S304*H304</f>
        <v>0</v>
      </c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R304" s="223" t="s">
        <v>241</v>
      </c>
      <c r="AT304" s="223" t="s">
        <v>475</v>
      </c>
      <c r="AU304" s="223" t="s">
        <v>83</v>
      </c>
      <c r="AY304" s="17" t="s">
        <v>142</v>
      </c>
      <c r="BE304" s="224">
        <f>IF(N304="základní",J304,0)</f>
        <v>20341.27</v>
      </c>
      <c r="BF304" s="224">
        <f>IF(N304="snížená",J304,0)</f>
        <v>0</v>
      </c>
      <c r="BG304" s="224">
        <f>IF(N304="zákl. přenesená",J304,0)</f>
        <v>0</v>
      </c>
      <c r="BH304" s="224">
        <f>IF(N304="sníž. přenesená",J304,0)</f>
        <v>0</v>
      </c>
      <c r="BI304" s="224">
        <f>IF(N304="nulová",J304,0)</f>
        <v>0</v>
      </c>
      <c r="BJ304" s="17" t="s">
        <v>19</v>
      </c>
      <c r="BK304" s="224">
        <f>ROUND(I304*H304,2)</f>
        <v>20341.27</v>
      </c>
      <c r="BL304" s="17" t="s">
        <v>222</v>
      </c>
      <c r="BM304" s="223" t="s">
        <v>561</v>
      </c>
    </row>
    <row r="305" s="13" customFormat="1">
      <c r="A305" s="13"/>
      <c r="B305" s="225"/>
      <c r="C305" s="226"/>
      <c r="D305" s="227" t="s">
        <v>149</v>
      </c>
      <c r="E305" s="226"/>
      <c r="F305" s="229" t="s">
        <v>562</v>
      </c>
      <c r="G305" s="226"/>
      <c r="H305" s="230">
        <v>121.07899999999999</v>
      </c>
      <c r="I305" s="226"/>
      <c r="J305" s="226"/>
      <c r="K305" s="226"/>
      <c r="L305" s="231"/>
      <c r="M305" s="232"/>
      <c r="N305" s="233"/>
      <c r="O305" s="233"/>
      <c r="P305" s="233"/>
      <c r="Q305" s="233"/>
      <c r="R305" s="233"/>
      <c r="S305" s="233"/>
      <c r="T305" s="234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T305" s="235" t="s">
        <v>149</v>
      </c>
      <c r="AU305" s="235" t="s">
        <v>83</v>
      </c>
      <c r="AV305" s="13" t="s">
        <v>83</v>
      </c>
      <c r="AW305" s="13" t="s">
        <v>4</v>
      </c>
      <c r="AX305" s="13" t="s">
        <v>19</v>
      </c>
      <c r="AY305" s="235" t="s">
        <v>142</v>
      </c>
    </row>
    <row r="306" s="2" customFormat="1" ht="24.15" customHeight="1">
      <c r="A306" s="32"/>
      <c r="B306" s="33"/>
      <c r="C306" s="212" t="s">
        <v>563</v>
      </c>
      <c r="D306" s="212" t="s">
        <v>144</v>
      </c>
      <c r="E306" s="213" t="s">
        <v>564</v>
      </c>
      <c r="F306" s="214" t="s">
        <v>565</v>
      </c>
      <c r="G306" s="215" t="s">
        <v>96</v>
      </c>
      <c r="H306" s="216">
        <v>103.886</v>
      </c>
      <c r="I306" s="217">
        <v>960</v>
      </c>
      <c r="J306" s="217">
        <f>ROUND(I306*H306,2)</f>
        <v>99730.559999999998</v>
      </c>
      <c r="K306" s="218"/>
      <c r="L306" s="38"/>
      <c r="M306" s="219" t="s">
        <v>1</v>
      </c>
      <c r="N306" s="220" t="s">
        <v>39</v>
      </c>
      <c r="O306" s="221">
        <v>1.286</v>
      </c>
      <c r="P306" s="221">
        <f>O306*H306</f>
        <v>133.597396</v>
      </c>
      <c r="Q306" s="221">
        <v>0.0013500000000000001</v>
      </c>
      <c r="R306" s="221">
        <f>Q306*H306</f>
        <v>0.14024610000000001</v>
      </c>
      <c r="S306" s="221">
        <v>0</v>
      </c>
      <c r="T306" s="222">
        <f>S306*H306</f>
        <v>0</v>
      </c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R306" s="223" t="s">
        <v>222</v>
      </c>
      <c r="AT306" s="223" t="s">
        <v>144</v>
      </c>
      <c r="AU306" s="223" t="s">
        <v>83</v>
      </c>
      <c r="AY306" s="17" t="s">
        <v>142</v>
      </c>
      <c r="BE306" s="224">
        <f>IF(N306="základní",J306,0)</f>
        <v>99730.559999999998</v>
      </c>
      <c r="BF306" s="224">
        <f>IF(N306="snížená",J306,0)</f>
        <v>0</v>
      </c>
      <c r="BG306" s="224">
        <f>IF(N306="zákl. přenesená",J306,0)</f>
        <v>0</v>
      </c>
      <c r="BH306" s="224">
        <f>IF(N306="sníž. přenesená",J306,0)</f>
        <v>0</v>
      </c>
      <c r="BI306" s="224">
        <f>IF(N306="nulová",J306,0)</f>
        <v>0</v>
      </c>
      <c r="BJ306" s="17" t="s">
        <v>19</v>
      </c>
      <c r="BK306" s="224">
        <f>ROUND(I306*H306,2)</f>
        <v>99730.559999999998</v>
      </c>
      <c r="BL306" s="17" t="s">
        <v>222</v>
      </c>
      <c r="BM306" s="223" t="s">
        <v>566</v>
      </c>
    </row>
    <row r="307" s="2" customFormat="1" ht="16.5" customHeight="1">
      <c r="A307" s="32"/>
      <c r="B307" s="33"/>
      <c r="C307" s="258" t="s">
        <v>567</v>
      </c>
      <c r="D307" s="258" t="s">
        <v>475</v>
      </c>
      <c r="E307" s="259" t="s">
        <v>568</v>
      </c>
      <c r="F307" s="260" t="s">
        <v>569</v>
      </c>
      <c r="G307" s="261" t="s">
        <v>570</v>
      </c>
      <c r="H307" s="262">
        <v>103.886</v>
      </c>
      <c r="I307" s="263">
        <v>67.799999999999997</v>
      </c>
      <c r="J307" s="263">
        <f>ROUND(I307*H307,2)</f>
        <v>7043.4700000000003</v>
      </c>
      <c r="K307" s="264"/>
      <c r="L307" s="265"/>
      <c r="M307" s="266" t="s">
        <v>1</v>
      </c>
      <c r="N307" s="267" t="s">
        <v>39</v>
      </c>
      <c r="O307" s="221">
        <v>0</v>
      </c>
      <c r="P307" s="221">
        <f>O307*H307</f>
        <v>0</v>
      </c>
      <c r="Q307" s="221">
        <v>0.001</v>
      </c>
      <c r="R307" s="221">
        <f>Q307*H307</f>
        <v>0.10388599999999999</v>
      </c>
      <c r="S307" s="221">
        <v>0</v>
      </c>
      <c r="T307" s="222">
        <f>S307*H307</f>
        <v>0</v>
      </c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R307" s="223" t="s">
        <v>241</v>
      </c>
      <c r="AT307" s="223" t="s">
        <v>475</v>
      </c>
      <c r="AU307" s="223" t="s">
        <v>83</v>
      </c>
      <c r="AY307" s="17" t="s">
        <v>142</v>
      </c>
      <c r="BE307" s="224">
        <f>IF(N307="základní",J307,0)</f>
        <v>7043.4700000000003</v>
      </c>
      <c r="BF307" s="224">
        <f>IF(N307="snížená",J307,0)</f>
        <v>0</v>
      </c>
      <c r="BG307" s="224">
        <f>IF(N307="zákl. přenesená",J307,0)</f>
        <v>0</v>
      </c>
      <c r="BH307" s="224">
        <f>IF(N307="sníž. přenesená",J307,0)</f>
        <v>0</v>
      </c>
      <c r="BI307" s="224">
        <f>IF(N307="nulová",J307,0)</f>
        <v>0</v>
      </c>
      <c r="BJ307" s="17" t="s">
        <v>19</v>
      </c>
      <c r="BK307" s="224">
        <f>ROUND(I307*H307,2)</f>
        <v>7043.4700000000003</v>
      </c>
      <c r="BL307" s="17" t="s">
        <v>222</v>
      </c>
      <c r="BM307" s="223" t="s">
        <v>571</v>
      </c>
    </row>
    <row r="308" s="2" customFormat="1" ht="24.15" customHeight="1">
      <c r="A308" s="32"/>
      <c r="B308" s="33"/>
      <c r="C308" s="212" t="s">
        <v>572</v>
      </c>
      <c r="D308" s="212" t="s">
        <v>144</v>
      </c>
      <c r="E308" s="213" t="s">
        <v>573</v>
      </c>
      <c r="F308" s="214" t="s">
        <v>574</v>
      </c>
      <c r="G308" s="215" t="s">
        <v>96</v>
      </c>
      <c r="H308" s="216">
        <v>103.886</v>
      </c>
      <c r="I308" s="217">
        <v>658</v>
      </c>
      <c r="J308" s="217">
        <f>ROUND(I308*H308,2)</f>
        <v>68356.990000000005</v>
      </c>
      <c r="K308" s="218"/>
      <c r="L308" s="38"/>
      <c r="M308" s="219" t="s">
        <v>1</v>
      </c>
      <c r="N308" s="220" t="s">
        <v>39</v>
      </c>
      <c r="O308" s="221">
        <v>0.33000000000000002</v>
      </c>
      <c r="P308" s="221">
        <f>O308*H308</f>
        <v>34.282380000000003</v>
      </c>
      <c r="Q308" s="221">
        <v>0.014160000000000001</v>
      </c>
      <c r="R308" s="221">
        <f>Q308*H308</f>
        <v>1.4710257600000001</v>
      </c>
      <c r="S308" s="221">
        <v>0</v>
      </c>
      <c r="T308" s="222">
        <f>S308*H308</f>
        <v>0</v>
      </c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R308" s="223" t="s">
        <v>222</v>
      </c>
      <c r="AT308" s="223" t="s">
        <v>144</v>
      </c>
      <c r="AU308" s="223" t="s">
        <v>83</v>
      </c>
      <c r="AY308" s="17" t="s">
        <v>142</v>
      </c>
      <c r="BE308" s="224">
        <f>IF(N308="základní",J308,0)</f>
        <v>68356.990000000005</v>
      </c>
      <c r="BF308" s="224">
        <f>IF(N308="snížená",J308,0)</f>
        <v>0</v>
      </c>
      <c r="BG308" s="224">
        <f>IF(N308="zákl. přenesená",J308,0)</f>
        <v>0</v>
      </c>
      <c r="BH308" s="224">
        <f>IF(N308="sníž. přenesená",J308,0)</f>
        <v>0</v>
      </c>
      <c r="BI308" s="224">
        <f>IF(N308="nulová",J308,0)</f>
        <v>0</v>
      </c>
      <c r="BJ308" s="17" t="s">
        <v>19</v>
      </c>
      <c r="BK308" s="224">
        <f>ROUND(I308*H308,2)</f>
        <v>68356.990000000005</v>
      </c>
      <c r="BL308" s="17" t="s">
        <v>222</v>
      </c>
      <c r="BM308" s="223" t="s">
        <v>575</v>
      </c>
    </row>
    <row r="309" s="13" customFormat="1">
      <c r="A309" s="13"/>
      <c r="B309" s="225"/>
      <c r="C309" s="226"/>
      <c r="D309" s="227" t="s">
        <v>149</v>
      </c>
      <c r="E309" s="228" t="s">
        <v>1</v>
      </c>
      <c r="F309" s="229" t="s">
        <v>576</v>
      </c>
      <c r="G309" s="226"/>
      <c r="H309" s="230">
        <v>103.88585383847</v>
      </c>
      <c r="I309" s="226"/>
      <c r="J309" s="226"/>
      <c r="K309" s="226"/>
      <c r="L309" s="231"/>
      <c r="M309" s="232"/>
      <c r="N309" s="233"/>
      <c r="O309" s="233"/>
      <c r="P309" s="233"/>
      <c r="Q309" s="233"/>
      <c r="R309" s="233"/>
      <c r="S309" s="233"/>
      <c r="T309" s="234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35" t="s">
        <v>149</v>
      </c>
      <c r="AU309" s="235" t="s">
        <v>83</v>
      </c>
      <c r="AV309" s="13" t="s">
        <v>83</v>
      </c>
      <c r="AW309" s="13" t="s">
        <v>32</v>
      </c>
      <c r="AX309" s="13" t="s">
        <v>19</v>
      </c>
      <c r="AY309" s="235" t="s">
        <v>142</v>
      </c>
    </row>
    <row r="310" s="2" customFormat="1" ht="24.15" customHeight="1">
      <c r="A310" s="32"/>
      <c r="B310" s="33"/>
      <c r="C310" s="212" t="s">
        <v>577</v>
      </c>
      <c r="D310" s="212" t="s">
        <v>144</v>
      </c>
      <c r="E310" s="213" t="s">
        <v>578</v>
      </c>
      <c r="F310" s="214" t="s">
        <v>579</v>
      </c>
      <c r="G310" s="215" t="s">
        <v>96</v>
      </c>
      <c r="H310" s="216">
        <v>103.886</v>
      </c>
      <c r="I310" s="217">
        <v>293</v>
      </c>
      <c r="J310" s="217">
        <f>ROUND(I310*H310,2)</f>
        <v>30438.599999999999</v>
      </c>
      <c r="K310" s="218"/>
      <c r="L310" s="38"/>
      <c r="M310" s="219" t="s">
        <v>1</v>
      </c>
      <c r="N310" s="220" t="s">
        <v>39</v>
      </c>
      <c r="O310" s="221">
        <v>0.42999999999999999</v>
      </c>
      <c r="P310" s="221">
        <f>O310*H310</f>
        <v>44.67098</v>
      </c>
      <c r="Q310" s="221">
        <v>0.00017249999999999999</v>
      </c>
      <c r="R310" s="221">
        <f>Q310*H310</f>
        <v>0.017920334999999999</v>
      </c>
      <c r="S310" s="221">
        <v>0</v>
      </c>
      <c r="T310" s="222">
        <f>S310*H310</f>
        <v>0</v>
      </c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R310" s="223" t="s">
        <v>147</v>
      </c>
      <c r="AT310" s="223" t="s">
        <v>144</v>
      </c>
      <c r="AU310" s="223" t="s">
        <v>83</v>
      </c>
      <c r="AY310" s="17" t="s">
        <v>142</v>
      </c>
      <c r="BE310" s="224">
        <f>IF(N310="základní",J310,0)</f>
        <v>30438.599999999999</v>
      </c>
      <c r="BF310" s="224">
        <f>IF(N310="snížená",J310,0)</f>
        <v>0</v>
      </c>
      <c r="BG310" s="224">
        <f>IF(N310="zákl. přenesená",J310,0)</f>
        <v>0</v>
      </c>
      <c r="BH310" s="224">
        <f>IF(N310="sníž. přenesená",J310,0)</f>
        <v>0</v>
      </c>
      <c r="BI310" s="224">
        <f>IF(N310="nulová",J310,0)</f>
        <v>0</v>
      </c>
      <c r="BJ310" s="17" t="s">
        <v>19</v>
      </c>
      <c r="BK310" s="224">
        <f>ROUND(I310*H310,2)</f>
        <v>30438.599999999999</v>
      </c>
      <c r="BL310" s="17" t="s">
        <v>147</v>
      </c>
      <c r="BM310" s="223" t="s">
        <v>580</v>
      </c>
    </row>
    <row r="311" s="13" customFormat="1">
      <c r="A311" s="13"/>
      <c r="B311" s="225"/>
      <c r="C311" s="226"/>
      <c r="D311" s="227" t="s">
        <v>149</v>
      </c>
      <c r="E311" s="228" t="s">
        <v>1</v>
      </c>
      <c r="F311" s="229" t="s">
        <v>581</v>
      </c>
      <c r="G311" s="226"/>
      <c r="H311" s="230">
        <v>103.88585383847</v>
      </c>
      <c r="I311" s="226"/>
      <c r="J311" s="226"/>
      <c r="K311" s="226"/>
      <c r="L311" s="231"/>
      <c r="M311" s="232"/>
      <c r="N311" s="233"/>
      <c r="O311" s="233"/>
      <c r="P311" s="233"/>
      <c r="Q311" s="233"/>
      <c r="R311" s="233"/>
      <c r="S311" s="233"/>
      <c r="T311" s="234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T311" s="235" t="s">
        <v>149</v>
      </c>
      <c r="AU311" s="235" t="s">
        <v>83</v>
      </c>
      <c r="AV311" s="13" t="s">
        <v>83</v>
      </c>
      <c r="AW311" s="13" t="s">
        <v>32</v>
      </c>
      <c r="AX311" s="13" t="s">
        <v>19</v>
      </c>
      <c r="AY311" s="235" t="s">
        <v>142</v>
      </c>
    </row>
    <row r="312" s="2" customFormat="1" ht="24.15" customHeight="1">
      <c r="A312" s="32"/>
      <c r="B312" s="33"/>
      <c r="C312" s="258" t="s">
        <v>582</v>
      </c>
      <c r="D312" s="258" t="s">
        <v>475</v>
      </c>
      <c r="E312" s="259" t="s">
        <v>583</v>
      </c>
      <c r="F312" s="260" t="s">
        <v>584</v>
      </c>
      <c r="G312" s="261" t="s">
        <v>96</v>
      </c>
      <c r="H312" s="262">
        <v>106.77</v>
      </c>
      <c r="I312" s="263">
        <v>20.600000000000001</v>
      </c>
      <c r="J312" s="263">
        <f>ROUND(I312*H312,2)</f>
        <v>2199.46</v>
      </c>
      <c r="K312" s="264"/>
      <c r="L312" s="265"/>
      <c r="M312" s="266" t="s">
        <v>1</v>
      </c>
      <c r="N312" s="267" t="s">
        <v>39</v>
      </c>
      <c r="O312" s="221">
        <v>0</v>
      </c>
      <c r="P312" s="221">
        <f>O312*H312</f>
        <v>0</v>
      </c>
      <c r="Q312" s="221">
        <v>0.00012</v>
      </c>
      <c r="R312" s="221">
        <f>Q312*H312</f>
        <v>0.0128124</v>
      </c>
      <c r="S312" s="221">
        <v>0</v>
      </c>
      <c r="T312" s="222">
        <f>S312*H312</f>
        <v>0</v>
      </c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R312" s="223" t="s">
        <v>179</v>
      </c>
      <c r="AT312" s="223" t="s">
        <v>475</v>
      </c>
      <c r="AU312" s="223" t="s">
        <v>83</v>
      </c>
      <c r="AY312" s="17" t="s">
        <v>142</v>
      </c>
      <c r="BE312" s="224">
        <f>IF(N312="základní",J312,0)</f>
        <v>2199.46</v>
      </c>
      <c r="BF312" s="224">
        <f>IF(N312="snížená",J312,0)</f>
        <v>0</v>
      </c>
      <c r="BG312" s="224">
        <f>IF(N312="zákl. přenesená",J312,0)</f>
        <v>0</v>
      </c>
      <c r="BH312" s="224">
        <f>IF(N312="sníž. přenesená",J312,0)</f>
        <v>0</v>
      </c>
      <c r="BI312" s="224">
        <f>IF(N312="nulová",J312,0)</f>
        <v>0</v>
      </c>
      <c r="BJ312" s="17" t="s">
        <v>19</v>
      </c>
      <c r="BK312" s="224">
        <f>ROUND(I312*H312,2)</f>
        <v>2199.46</v>
      </c>
      <c r="BL312" s="17" t="s">
        <v>147</v>
      </c>
      <c r="BM312" s="223" t="s">
        <v>585</v>
      </c>
    </row>
    <row r="313" s="2" customFormat="1" ht="24.15" customHeight="1">
      <c r="A313" s="32"/>
      <c r="B313" s="33"/>
      <c r="C313" s="258" t="s">
        <v>586</v>
      </c>
      <c r="D313" s="258" t="s">
        <v>475</v>
      </c>
      <c r="E313" s="259" t="s">
        <v>587</v>
      </c>
      <c r="F313" s="260" t="s">
        <v>588</v>
      </c>
      <c r="G313" s="261" t="s">
        <v>96</v>
      </c>
      <c r="H313" s="262">
        <v>126.46899999999999</v>
      </c>
      <c r="I313" s="263">
        <v>70.5</v>
      </c>
      <c r="J313" s="263">
        <f>ROUND(I313*H313,2)</f>
        <v>8916.0599999999995</v>
      </c>
      <c r="K313" s="264"/>
      <c r="L313" s="265"/>
      <c r="M313" s="266" t="s">
        <v>1</v>
      </c>
      <c r="N313" s="267" t="s">
        <v>39</v>
      </c>
      <c r="O313" s="221">
        <v>0</v>
      </c>
      <c r="P313" s="221">
        <f>O313*H313</f>
        <v>0</v>
      </c>
      <c r="Q313" s="221">
        <v>0.00013999999999999999</v>
      </c>
      <c r="R313" s="221">
        <f>Q313*H313</f>
        <v>0.017705659999999998</v>
      </c>
      <c r="S313" s="221">
        <v>0</v>
      </c>
      <c r="T313" s="222">
        <f>S313*H313</f>
        <v>0</v>
      </c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R313" s="223" t="s">
        <v>179</v>
      </c>
      <c r="AT313" s="223" t="s">
        <v>475</v>
      </c>
      <c r="AU313" s="223" t="s">
        <v>83</v>
      </c>
      <c r="AY313" s="17" t="s">
        <v>142</v>
      </c>
      <c r="BE313" s="224">
        <f>IF(N313="základní",J313,0)</f>
        <v>8916.0599999999995</v>
      </c>
      <c r="BF313" s="224">
        <f>IF(N313="snížená",J313,0)</f>
        <v>0</v>
      </c>
      <c r="BG313" s="224">
        <f>IF(N313="zákl. přenesená",J313,0)</f>
        <v>0</v>
      </c>
      <c r="BH313" s="224">
        <f>IF(N313="sníž. přenesená",J313,0)</f>
        <v>0</v>
      </c>
      <c r="BI313" s="224">
        <f>IF(N313="nulová",J313,0)</f>
        <v>0</v>
      </c>
      <c r="BJ313" s="17" t="s">
        <v>19</v>
      </c>
      <c r="BK313" s="224">
        <f>ROUND(I313*H313,2)</f>
        <v>8916.0599999999995</v>
      </c>
      <c r="BL313" s="17" t="s">
        <v>147</v>
      </c>
      <c r="BM313" s="223" t="s">
        <v>589</v>
      </c>
    </row>
    <row r="314" s="13" customFormat="1">
      <c r="A314" s="13"/>
      <c r="B314" s="225"/>
      <c r="C314" s="226"/>
      <c r="D314" s="227" t="s">
        <v>149</v>
      </c>
      <c r="E314" s="226"/>
      <c r="F314" s="229" t="s">
        <v>590</v>
      </c>
      <c r="G314" s="226"/>
      <c r="H314" s="230">
        <v>126.46899999999999</v>
      </c>
      <c r="I314" s="226"/>
      <c r="J314" s="226"/>
      <c r="K314" s="226"/>
      <c r="L314" s="231"/>
      <c r="M314" s="232"/>
      <c r="N314" s="233"/>
      <c r="O314" s="233"/>
      <c r="P314" s="233"/>
      <c r="Q314" s="233"/>
      <c r="R314" s="233"/>
      <c r="S314" s="233"/>
      <c r="T314" s="234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T314" s="235" t="s">
        <v>149</v>
      </c>
      <c r="AU314" s="235" t="s">
        <v>83</v>
      </c>
      <c r="AV314" s="13" t="s">
        <v>83</v>
      </c>
      <c r="AW314" s="13" t="s">
        <v>4</v>
      </c>
      <c r="AX314" s="13" t="s">
        <v>19</v>
      </c>
      <c r="AY314" s="235" t="s">
        <v>142</v>
      </c>
    </row>
    <row r="315" s="2" customFormat="1" ht="37.8" customHeight="1">
      <c r="A315" s="32"/>
      <c r="B315" s="33"/>
      <c r="C315" s="258" t="s">
        <v>591</v>
      </c>
      <c r="D315" s="258" t="s">
        <v>475</v>
      </c>
      <c r="E315" s="259" t="s">
        <v>592</v>
      </c>
      <c r="F315" s="260" t="s">
        <v>593</v>
      </c>
      <c r="G315" s="261" t="s">
        <v>96</v>
      </c>
      <c r="H315" s="262">
        <v>103.886</v>
      </c>
      <c r="I315" s="263">
        <v>1440</v>
      </c>
      <c r="J315" s="263">
        <f>ROUND(I315*H315,2)</f>
        <v>149595.84</v>
      </c>
      <c r="K315" s="264"/>
      <c r="L315" s="265"/>
      <c r="M315" s="266" t="s">
        <v>1</v>
      </c>
      <c r="N315" s="267" t="s">
        <v>39</v>
      </c>
      <c r="O315" s="221">
        <v>0</v>
      </c>
      <c r="P315" s="221">
        <f>O315*H315</f>
        <v>0</v>
      </c>
      <c r="Q315" s="221">
        <v>0.0028</v>
      </c>
      <c r="R315" s="221">
        <f>Q315*H315</f>
        <v>0.29088079999999999</v>
      </c>
      <c r="S315" s="221">
        <v>0</v>
      </c>
      <c r="T315" s="222">
        <f>S315*H315</f>
        <v>0</v>
      </c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R315" s="223" t="s">
        <v>241</v>
      </c>
      <c r="AT315" s="223" t="s">
        <v>475</v>
      </c>
      <c r="AU315" s="223" t="s">
        <v>83</v>
      </c>
      <c r="AY315" s="17" t="s">
        <v>142</v>
      </c>
      <c r="BE315" s="224">
        <f>IF(N315="základní",J315,0)</f>
        <v>149595.84</v>
      </c>
      <c r="BF315" s="224">
        <f>IF(N315="snížená",J315,0)</f>
        <v>0</v>
      </c>
      <c r="BG315" s="224">
        <f>IF(N315="zákl. přenesená",J315,0)</f>
        <v>0</v>
      </c>
      <c r="BH315" s="224">
        <f>IF(N315="sníž. přenesená",J315,0)</f>
        <v>0</v>
      </c>
      <c r="BI315" s="224">
        <f>IF(N315="nulová",J315,0)</f>
        <v>0</v>
      </c>
      <c r="BJ315" s="17" t="s">
        <v>19</v>
      </c>
      <c r="BK315" s="224">
        <f>ROUND(I315*H315,2)</f>
        <v>149595.84</v>
      </c>
      <c r="BL315" s="17" t="s">
        <v>222</v>
      </c>
      <c r="BM315" s="223" t="s">
        <v>594</v>
      </c>
    </row>
    <row r="316" s="13" customFormat="1">
      <c r="A316" s="13"/>
      <c r="B316" s="225"/>
      <c r="C316" s="226"/>
      <c r="D316" s="227" t="s">
        <v>149</v>
      </c>
      <c r="E316" s="228" t="s">
        <v>1</v>
      </c>
      <c r="F316" s="229" t="s">
        <v>576</v>
      </c>
      <c r="G316" s="226"/>
      <c r="H316" s="230">
        <v>103.88585383847</v>
      </c>
      <c r="I316" s="226"/>
      <c r="J316" s="226"/>
      <c r="K316" s="226"/>
      <c r="L316" s="231"/>
      <c r="M316" s="232"/>
      <c r="N316" s="233"/>
      <c r="O316" s="233"/>
      <c r="P316" s="233"/>
      <c r="Q316" s="233"/>
      <c r="R316" s="233"/>
      <c r="S316" s="233"/>
      <c r="T316" s="234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T316" s="235" t="s">
        <v>149</v>
      </c>
      <c r="AU316" s="235" t="s">
        <v>83</v>
      </c>
      <c r="AV316" s="13" t="s">
        <v>83</v>
      </c>
      <c r="AW316" s="13" t="s">
        <v>32</v>
      </c>
      <c r="AX316" s="13" t="s">
        <v>19</v>
      </c>
      <c r="AY316" s="235" t="s">
        <v>142</v>
      </c>
    </row>
    <row r="317" s="2" customFormat="1" ht="24.15" customHeight="1">
      <c r="A317" s="32"/>
      <c r="B317" s="33"/>
      <c r="C317" s="212" t="s">
        <v>595</v>
      </c>
      <c r="D317" s="212" t="s">
        <v>144</v>
      </c>
      <c r="E317" s="213" t="s">
        <v>596</v>
      </c>
      <c r="F317" s="214" t="s">
        <v>597</v>
      </c>
      <c r="G317" s="215" t="s">
        <v>96</v>
      </c>
      <c r="H317" s="216">
        <v>103.886</v>
      </c>
      <c r="I317" s="217">
        <v>877</v>
      </c>
      <c r="J317" s="217">
        <f>ROUND(I317*H317,2)</f>
        <v>91108.020000000004</v>
      </c>
      <c r="K317" s="218"/>
      <c r="L317" s="38"/>
      <c r="M317" s="219" t="s">
        <v>1</v>
      </c>
      <c r="N317" s="220" t="s">
        <v>39</v>
      </c>
      <c r="O317" s="221">
        <v>1.0449999999999999</v>
      </c>
      <c r="P317" s="221">
        <f>O317*H317</f>
        <v>108.56086999999999</v>
      </c>
      <c r="Q317" s="221">
        <v>0</v>
      </c>
      <c r="R317" s="221">
        <f>Q317*H317</f>
        <v>0</v>
      </c>
      <c r="S317" s="221">
        <v>0</v>
      </c>
      <c r="T317" s="222">
        <f>S317*H317</f>
        <v>0</v>
      </c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R317" s="223" t="s">
        <v>222</v>
      </c>
      <c r="AT317" s="223" t="s">
        <v>144</v>
      </c>
      <c r="AU317" s="223" t="s">
        <v>83</v>
      </c>
      <c r="AY317" s="17" t="s">
        <v>142</v>
      </c>
      <c r="BE317" s="224">
        <f>IF(N317="základní",J317,0)</f>
        <v>91108.020000000004</v>
      </c>
      <c r="BF317" s="224">
        <f>IF(N317="snížená",J317,0)</f>
        <v>0</v>
      </c>
      <c r="BG317" s="224">
        <f>IF(N317="zákl. přenesená",J317,0)</f>
        <v>0</v>
      </c>
      <c r="BH317" s="224">
        <f>IF(N317="sníž. přenesená",J317,0)</f>
        <v>0</v>
      </c>
      <c r="BI317" s="224">
        <f>IF(N317="nulová",J317,0)</f>
        <v>0</v>
      </c>
      <c r="BJ317" s="17" t="s">
        <v>19</v>
      </c>
      <c r="BK317" s="224">
        <f>ROUND(I317*H317,2)</f>
        <v>91108.020000000004</v>
      </c>
      <c r="BL317" s="17" t="s">
        <v>222</v>
      </c>
      <c r="BM317" s="223" t="s">
        <v>598</v>
      </c>
    </row>
    <row r="318" s="13" customFormat="1">
      <c r="A318" s="13"/>
      <c r="B318" s="225"/>
      <c r="C318" s="226"/>
      <c r="D318" s="227" t="s">
        <v>149</v>
      </c>
      <c r="E318" s="228" t="s">
        <v>1</v>
      </c>
      <c r="F318" s="229" t="s">
        <v>599</v>
      </c>
      <c r="G318" s="226"/>
      <c r="H318" s="230">
        <v>103.88585383847</v>
      </c>
      <c r="I318" s="226"/>
      <c r="J318" s="226"/>
      <c r="K318" s="226"/>
      <c r="L318" s="231"/>
      <c r="M318" s="232"/>
      <c r="N318" s="233"/>
      <c r="O318" s="233"/>
      <c r="P318" s="233"/>
      <c r="Q318" s="233"/>
      <c r="R318" s="233"/>
      <c r="S318" s="233"/>
      <c r="T318" s="234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T318" s="235" t="s">
        <v>149</v>
      </c>
      <c r="AU318" s="235" t="s">
        <v>83</v>
      </c>
      <c r="AV318" s="13" t="s">
        <v>83</v>
      </c>
      <c r="AW318" s="13" t="s">
        <v>32</v>
      </c>
      <c r="AX318" s="13" t="s">
        <v>19</v>
      </c>
      <c r="AY318" s="235" t="s">
        <v>142</v>
      </c>
    </row>
    <row r="319" s="2" customFormat="1" ht="37.8" customHeight="1">
      <c r="A319" s="32"/>
      <c r="B319" s="33"/>
      <c r="C319" s="258" t="s">
        <v>600</v>
      </c>
      <c r="D319" s="258" t="s">
        <v>475</v>
      </c>
      <c r="E319" s="259" t="s">
        <v>601</v>
      </c>
      <c r="F319" s="260" t="s">
        <v>602</v>
      </c>
      <c r="G319" s="261" t="s">
        <v>96</v>
      </c>
      <c r="H319" s="262">
        <v>138.80099999999999</v>
      </c>
      <c r="I319" s="263">
        <v>451</v>
      </c>
      <c r="J319" s="263">
        <f>ROUND(I319*H319,2)</f>
        <v>62599.25</v>
      </c>
      <c r="K319" s="264"/>
      <c r="L319" s="265"/>
      <c r="M319" s="266" t="s">
        <v>1</v>
      </c>
      <c r="N319" s="267" t="s">
        <v>39</v>
      </c>
      <c r="O319" s="221">
        <v>0</v>
      </c>
      <c r="P319" s="221">
        <f>O319*H319</f>
        <v>0</v>
      </c>
      <c r="Q319" s="221">
        <v>0.0050000000000000001</v>
      </c>
      <c r="R319" s="221">
        <f>Q319*H319</f>
        <v>0.69400499999999998</v>
      </c>
      <c r="S319" s="221">
        <v>0</v>
      </c>
      <c r="T319" s="222">
        <f>S319*H319</f>
        <v>0</v>
      </c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R319" s="223" t="s">
        <v>241</v>
      </c>
      <c r="AT319" s="223" t="s">
        <v>475</v>
      </c>
      <c r="AU319" s="223" t="s">
        <v>83</v>
      </c>
      <c r="AY319" s="17" t="s">
        <v>142</v>
      </c>
      <c r="BE319" s="224">
        <f>IF(N319="základní",J319,0)</f>
        <v>62599.25</v>
      </c>
      <c r="BF319" s="224">
        <f>IF(N319="snížená",J319,0)</f>
        <v>0</v>
      </c>
      <c r="BG319" s="224">
        <f>IF(N319="zákl. přenesená",J319,0)</f>
        <v>0</v>
      </c>
      <c r="BH319" s="224">
        <f>IF(N319="sníž. přenesená",J319,0)</f>
        <v>0</v>
      </c>
      <c r="BI319" s="224">
        <f>IF(N319="nulová",J319,0)</f>
        <v>0</v>
      </c>
      <c r="BJ319" s="17" t="s">
        <v>19</v>
      </c>
      <c r="BK319" s="224">
        <f>ROUND(I319*H319,2)</f>
        <v>62599.25</v>
      </c>
      <c r="BL319" s="17" t="s">
        <v>222</v>
      </c>
      <c r="BM319" s="223" t="s">
        <v>603</v>
      </c>
    </row>
    <row r="320" s="13" customFormat="1">
      <c r="A320" s="13"/>
      <c r="B320" s="225"/>
      <c r="C320" s="226"/>
      <c r="D320" s="227" t="s">
        <v>149</v>
      </c>
      <c r="E320" s="226"/>
      <c r="F320" s="229" t="s">
        <v>604</v>
      </c>
      <c r="G320" s="226"/>
      <c r="H320" s="230">
        <v>138.80099999999999</v>
      </c>
      <c r="I320" s="226"/>
      <c r="J320" s="226"/>
      <c r="K320" s="226"/>
      <c r="L320" s="231"/>
      <c r="M320" s="232"/>
      <c r="N320" s="233"/>
      <c r="O320" s="233"/>
      <c r="P320" s="233"/>
      <c r="Q320" s="233"/>
      <c r="R320" s="233"/>
      <c r="S320" s="233"/>
      <c r="T320" s="234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T320" s="235" t="s">
        <v>149</v>
      </c>
      <c r="AU320" s="235" t="s">
        <v>83</v>
      </c>
      <c r="AV320" s="13" t="s">
        <v>83</v>
      </c>
      <c r="AW320" s="13" t="s">
        <v>4</v>
      </c>
      <c r="AX320" s="13" t="s">
        <v>19</v>
      </c>
      <c r="AY320" s="235" t="s">
        <v>142</v>
      </c>
    </row>
    <row r="321" s="2" customFormat="1" ht="16.5" customHeight="1">
      <c r="A321" s="32"/>
      <c r="B321" s="33"/>
      <c r="C321" s="212" t="s">
        <v>605</v>
      </c>
      <c r="D321" s="212" t="s">
        <v>144</v>
      </c>
      <c r="E321" s="213" t="s">
        <v>606</v>
      </c>
      <c r="F321" s="214" t="s">
        <v>607</v>
      </c>
      <c r="G321" s="215" t="s">
        <v>326</v>
      </c>
      <c r="H321" s="216">
        <v>103.886</v>
      </c>
      <c r="I321" s="217">
        <v>18.5</v>
      </c>
      <c r="J321" s="217">
        <f>ROUND(I321*H321,2)</f>
        <v>1921.8900000000001</v>
      </c>
      <c r="K321" s="218"/>
      <c r="L321" s="38"/>
      <c r="M321" s="219" t="s">
        <v>1</v>
      </c>
      <c r="N321" s="220" t="s">
        <v>39</v>
      </c>
      <c r="O321" s="221">
        <v>0.029999999999999999</v>
      </c>
      <c r="P321" s="221">
        <f>O321*H321</f>
        <v>3.1165799999999999</v>
      </c>
      <c r="Q321" s="221">
        <v>2.0000000000000002E-05</v>
      </c>
      <c r="R321" s="221">
        <f>Q321*H321</f>
        <v>0.0020777199999999999</v>
      </c>
      <c r="S321" s="221">
        <v>0</v>
      </c>
      <c r="T321" s="222">
        <f>S321*H321</f>
        <v>0</v>
      </c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R321" s="223" t="s">
        <v>222</v>
      </c>
      <c r="AT321" s="223" t="s">
        <v>144</v>
      </c>
      <c r="AU321" s="223" t="s">
        <v>83</v>
      </c>
      <c r="AY321" s="17" t="s">
        <v>142</v>
      </c>
      <c r="BE321" s="224">
        <f>IF(N321="základní",J321,0)</f>
        <v>1921.8900000000001</v>
      </c>
      <c r="BF321" s="224">
        <f>IF(N321="snížená",J321,0)</f>
        <v>0</v>
      </c>
      <c r="BG321" s="224">
        <f>IF(N321="zákl. přenesená",J321,0)</f>
        <v>0</v>
      </c>
      <c r="BH321" s="224">
        <f>IF(N321="sníž. přenesená",J321,0)</f>
        <v>0</v>
      </c>
      <c r="BI321" s="224">
        <f>IF(N321="nulová",J321,0)</f>
        <v>0</v>
      </c>
      <c r="BJ321" s="17" t="s">
        <v>19</v>
      </c>
      <c r="BK321" s="224">
        <f>ROUND(I321*H321,2)</f>
        <v>1921.8900000000001</v>
      </c>
      <c r="BL321" s="17" t="s">
        <v>222</v>
      </c>
      <c r="BM321" s="223" t="s">
        <v>608</v>
      </c>
    </row>
    <row r="322" s="2" customFormat="1" ht="16.5" customHeight="1">
      <c r="A322" s="32"/>
      <c r="B322" s="33"/>
      <c r="C322" s="258" t="s">
        <v>609</v>
      </c>
      <c r="D322" s="258" t="s">
        <v>475</v>
      </c>
      <c r="E322" s="259" t="s">
        <v>610</v>
      </c>
      <c r="F322" s="260" t="s">
        <v>611</v>
      </c>
      <c r="G322" s="261" t="s">
        <v>154</v>
      </c>
      <c r="H322" s="262">
        <v>0.42099999999999999</v>
      </c>
      <c r="I322" s="263">
        <v>9960</v>
      </c>
      <c r="J322" s="263">
        <f>ROUND(I322*H322,2)</f>
        <v>4193.1599999999999</v>
      </c>
      <c r="K322" s="264"/>
      <c r="L322" s="265"/>
      <c r="M322" s="266" t="s">
        <v>1</v>
      </c>
      <c r="N322" s="267" t="s">
        <v>39</v>
      </c>
      <c r="O322" s="221">
        <v>0</v>
      </c>
      <c r="P322" s="221">
        <f>O322*H322</f>
        <v>0</v>
      </c>
      <c r="Q322" s="221">
        <v>0.55000000000000004</v>
      </c>
      <c r="R322" s="221">
        <f>Q322*H322</f>
        <v>0.23155000000000001</v>
      </c>
      <c r="S322" s="221">
        <v>0</v>
      </c>
      <c r="T322" s="222">
        <f>S322*H322</f>
        <v>0</v>
      </c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R322" s="223" t="s">
        <v>241</v>
      </c>
      <c r="AT322" s="223" t="s">
        <v>475</v>
      </c>
      <c r="AU322" s="223" t="s">
        <v>83</v>
      </c>
      <c r="AY322" s="17" t="s">
        <v>142</v>
      </c>
      <c r="BE322" s="224">
        <f>IF(N322="základní",J322,0)</f>
        <v>4193.1599999999999</v>
      </c>
      <c r="BF322" s="224">
        <f>IF(N322="snížená",J322,0)</f>
        <v>0</v>
      </c>
      <c r="BG322" s="224">
        <f>IF(N322="zákl. přenesená",J322,0)</f>
        <v>0</v>
      </c>
      <c r="BH322" s="224">
        <f>IF(N322="sníž. přenesená",J322,0)</f>
        <v>0</v>
      </c>
      <c r="BI322" s="224">
        <f>IF(N322="nulová",J322,0)</f>
        <v>0</v>
      </c>
      <c r="BJ322" s="17" t="s">
        <v>19</v>
      </c>
      <c r="BK322" s="224">
        <f>ROUND(I322*H322,2)</f>
        <v>4193.1599999999999</v>
      </c>
      <c r="BL322" s="17" t="s">
        <v>222</v>
      </c>
      <c r="BM322" s="223" t="s">
        <v>612</v>
      </c>
    </row>
    <row r="323" s="13" customFormat="1">
      <c r="A323" s="13"/>
      <c r="B323" s="225"/>
      <c r="C323" s="226"/>
      <c r="D323" s="227" t="s">
        <v>149</v>
      </c>
      <c r="E323" s="228" t="s">
        <v>1</v>
      </c>
      <c r="F323" s="229" t="s">
        <v>613</v>
      </c>
      <c r="G323" s="226"/>
      <c r="H323" s="230">
        <v>0.42095519999999997</v>
      </c>
      <c r="I323" s="226"/>
      <c r="J323" s="226"/>
      <c r="K323" s="226"/>
      <c r="L323" s="231"/>
      <c r="M323" s="232"/>
      <c r="N323" s="233"/>
      <c r="O323" s="233"/>
      <c r="P323" s="233"/>
      <c r="Q323" s="233"/>
      <c r="R323" s="233"/>
      <c r="S323" s="233"/>
      <c r="T323" s="234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T323" s="235" t="s">
        <v>149</v>
      </c>
      <c r="AU323" s="235" t="s">
        <v>83</v>
      </c>
      <c r="AV323" s="13" t="s">
        <v>83</v>
      </c>
      <c r="AW323" s="13" t="s">
        <v>32</v>
      </c>
      <c r="AX323" s="13" t="s">
        <v>19</v>
      </c>
      <c r="AY323" s="235" t="s">
        <v>142</v>
      </c>
    </row>
    <row r="324" s="2" customFormat="1" ht="37.8" customHeight="1">
      <c r="A324" s="32"/>
      <c r="B324" s="33"/>
      <c r="C324" s="212" t="s">
        <v>614</v>
      </c>
      <c r="D324" s="212" t="s">
        <v>144</v>
      </c>
      <c r="E324" s="213" t="s">
        <v>615</v>
      </c>
      <c r="F324" s="214" t="s">
        <v>616</v>
      </c>
      <c r="G324" s="215" t="s">
        <v>96</v>
      </c>
      <c r="H324" s="216">
        <v>103.886</v>
      </c>
      <c r="I324" s="217">
        <v>82.5</v>
      </c>
      <c r="J324" s="217">
        <f>ROUND(I324*H324,2)</f>
        <v>8570.6000000000004</v>
      </c>
      <c r="K324" s="218"/>
      <c r="L324" s="38"/>
      <c r="M324" s="219" t="s">
        <v>1</v>
      </c>
      <c r="N324" s="220" t="s">
        <v>39</v>
      </c>
      <c r="O324" s="221">
        <v>0.10000000000000001</v>
      </c>
      <c r="P324" s="221">
        <f>O324*H324</f>
        <v>10.3886</v>
      </c>
      <c r="Q324" s="221">
        <v>1.0000000000000001E-05</v>
      </c>
      <c r="R324" s="221">
        <f>Q324*H324</f>
        <v>0.00103886</v>
      </c>
      <c r="S324" s="221">
        <v>0</v>
      </c>
      <c r="T324" s="222">
        <f>S324*H324</f>
        <v>0</v>
      </c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R324" s="223" t="s">
        <v>222</v>
      </c>
      <c r="AT324" s="223" t="s">
        <v>144</v>
      </c>
      <c r="AU324" s="223" t="s">
        <v>83</v>
      </c>
      <c r="AY324" s="17" t="s">
        <v>142</v>
      </c>
      <c r="BE324" s="224">
        <f>IF(N324="základní",J324,0)</f>
        <v>8570.6000000000004</v>
      </c>
      <c r="BF324" s="224">
        <f>IF(N324="snížená",J324,0)</f>
        <v>0</v>
      </c>
      <c r="BG324" s="224">
        <f>IF(N324="zákl. přenesená",J324,0)</f>
        <v>0</v>
      </c>
      <c r="BH324" s="224">
        <f>IF(N324="sníž. přenesená",J324,0)</f>
        <v>0</v>
      </c>
      <c r="BI324" s="224">
        <f>IF(N324="nulová",J324,0)</f>
        <v>0</v>
      </c>
      <c r="BJ324" s="17" t="s">
        <v>19</v>
      </c>
      <c r="BK324" s="224">
        <f>ROUND(I324*H324,2)</f>
        <v>8570.6000000000004</v>
      </c>
      <c r="BL324" s="17" t="s">
        <v>222</v>
      </c>
      <c r="BM324" s="223" t="s">
        <v>617</v>
      </c>
    </row>
    <row r="325" s="2" customFormat="1" ht="37.8" customHeight="1">
      <c r="A325" s="32"/>
      <c r="B325" s="33"/>
      <c r="C325" s="258" t="s">
        <v>618</v>
      </c>
      <c r="D325" s="258" t="s">
        <v>475</v>
      </c>
      <c r="E325" s="259" t="s">
        <v>619</v>
      </c>
      <c r="F325" s="260" t="s">
        <v>620</v>
      </c>
      <c r="G325" s="261" t="s">
        <v>96</v>
      </c>
      <c r="H325" s="262">
        <v>114.27500000000001</v>
      </c>
      <c r="I325" s="263">
        <v>56.700000000000003</v>
      </c>
      <c r="J325" s="263">
        <f>ROUND(I325*H325,2)</f>
        <v>6479.3900000000003</v>
      </c>
      <c r="K325" s="264"/>
      <c r="L325" s="265"/>
      <c r="M325" s="266" t="s">
        <v>1</v>
      </c>
      <c r="N325" s="267" t="s">
        <v>39</v>
      </c>
      <c r="O325" s="221">
        <v>0</v>
      </c>
      <c r="P325" s="221">
        <f>O325*H325</f>
        <v>0</v>
      </c>
      <c r="Q325" s="221">
        <v>0.00014999999999999999</v>
      </c>
      <c r="R325" s="221">
        <f>Q325*H325</f>
        <v>0.01714125</v>
      </c>
      <c r="S325" s="221">
        <v>0</v>
      </c>
      <c r="T325" s="222">
        <f>S325*H325</f>
        <v>0</v>
      </c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R325" s="223" t="s">
        <v>241</v>
      </c>
      <c r="AT325" s="223" t="s">
        <v>475</v>
      </c>
      <c r="AU325" s="223" t="s">
        <v>83</v>
      </c>
      <c r="AY325" s="17" t="s">
        <v>142</v>
      </c>
      <c r="BE325" s="224">
        <f>IF(N325="základní",J325,0)</f>
        <v>6479.3900000000003</v>
      </c>
      <c r="BF325" s="224">
        <f>IF(N325="snížená",J325,0)</f>
        <v>0</v>
      </c>
      <c r="BG325" s="224">
        <f>IF(N325="zákl. přenesená",J325,0)</f>
        <v>0</v>
      </c>
      <c r="BH325" s="224">
        <f>IF(N325="sníž. přenesená",J325,0)</f>
        <v>0</v>
      </c>
      <c r="BI325" s="224">
        <f>IF(N325="nulová",J325,0)</f>
        <v>0</v>
      </c>
      <c r="BJ325" s="17" t="s">
        <v>19</v>
      </c>
      <c r="BK325" s="224">
        <f>ROUND(I325*H325,2)</f>
        <v>6479.3900000000003</v>
      </c>
      <c r="BL325" s="17" t="s">
        <v>222</v>
      </c>
      <c r="BM325" s="223" t="s">
        <v>621</v>
      </c>
    </row>
    <row r="326" s="13" customFormat="1">
      <c r="A326" s="13"/>
      <c r="B326" s="225"/>
      <c r="C326" s="226"/>
      <c r="D326" s="227" t="s">
        <v>149</v>
      </c>
      <c r="E326" s="226"/>
      <c r="F326" s="229" t="s">
        <v>622</v>
      </c>
      <c r="G326" s="226"/>
      <c r="H326" s="230">
        <v>114.27500000000001</v>
      </c>
      <c r="I326" s="226"/>
      <c r="J326" s="226"/>
      <c r="K326" s="226"/>
      <c r="L326" s="231"/>
      <c r="M326" s="232"/>
      <c r="N326" s="233"/>
      <c r="O326" s="233"/>
      <c r="P326" s="233"/>
      <c r="Q326" s="233"/>
      <c r="R326" s="233"/>
      <c r="S326" s="233"/>
      <c r="T326" s="234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35" t="s">
        <v>149</v>
      </c>
      <c r="AU326" s="235" t="s">
        <v>83</v>
      </c>
      <c r="AV326" s="13" t="s">
        <v>83</v>
      </c>
      <c r="AW326" s="13" t="s">
        <v>4</v>
      </c>
      <c r="AX326" s="13" t="s">
        <v>19</v>
      </c>
      <c r="AY326" s="235" t="s">
        <v>142</v>
      </c>
    </row>
    <row r="327" s="12" customFormat="1" ht="22.8" customHeight="1">
      <c r="A327" s="12"/>
      <c r="B327" s="197"/>
      <c r="C327" s="198"/>
      <c r="D327" s="199" t="s">
        <v>73</v>
      </c>
      <c r="E327" s="210" t="s">
        <v>623</v>
      </c>
      <c r="F327" s="210" t="s">
        <v>624</v>
      </c>
      <c r="G327" s="198"/>
      <c r="H327" s="198"/>
      <c r="I327" s="198"/>
      <c r="J327" s="211">
        <f>BK327</f>
        <v>318286.40999999997</v>
      </c>
      <c r="K327" s="198"/>
      <c r="L327" s="202"/>
      <c r="M327" s="203"/>
      <c r="N327" s="204"/>
      <c r="O327" s="204"/>
      <c r="P327" s="205">
        <f>SUM(P328:P354)</f>
        <v>92.987673000000001</v>
      </c>
      <c r="Q327" s="204"/>
      <c r="R327" s="205">
        <f>SUM(R328:R354)</f>
        <v>1.0840152899</v>
      </c>
      <c r="S327" s="204"/>
      <c r="T327" s="206">
        <f>SUM(T328:T354)</f>
        <v>0</v>
      </c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R327" s="207" t="s">
        <v>83</v>
      </c>
      <c r="AT327" s="208" t="s">
        <v>73</v>
      </c>
      <c r="AU327" s="208" t="s">
        <v>19</v>
      </c>
      <c r="AY327" s="207" t="s">
        <v>142</v>
      </c>
      <c r="BK327" s="209">
        <f>SUM(BK328:BK354)</f>
        <v>318286.40999999997</v>
      </c>
    </row>
    <row r="328" s="2" customFormat="1" ht="24.15" customHeight="1">
      <c r="A328" s="32"/>
      <c r="B328" s="33"/>
      <c r="C328" s="212" t="s">
        <v>625</v>
      </c>
      <c r="D328" s="212" t="s">
        <v>144</v>
      </c>
      <c r="E328" s="213" t="s">
        <v>626</v>
      </c>
      <c r="F328" s="214" t="s">
        <v>627</v>
      </c>
      <c r="G328" s="215" t="s">
        <v>326</v>
      </c>
      <c r="H328" s="216">
        <v>18.274999999999999</v>
      </c>
      <c r="I328" s="217">
        <v>417</v>
      </c>
      <c r="J328" s="217">
        <f>ROUND(I328*H328,2)</f>
        <v>7620.6800000000003</v>
      </c>
      <c r="K328" s="218"/>
      <c r="L328" s="38"/>
      <c r="M328" s="219" t="s">
        <v>1</v>
      </c>
      <c r="N328" s="220" t="s">
        <v>39</v>
      </c>
      <c r="O328" s="221">
        <v>0.14199999999999999</v>
      </c>
      <c r="P328" s="221">
        <f>O328*H328</f>
        <v>2.5950499999999996</v>
      </c>
      <c r="Q328" s="221">
        <v>0.00031500000000000001</v>
      </c>
      <c r="R328" s="221">
        <f>Q328*H328</f>
        <v>0.0057566249999999996</v>
      </c>
      <c r="S328" s="221">
        <v>0</v>
      </c>
      <c r="T328" s="222">
        <f>S328*H328</f>
        <v>0</v>
      </c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R328" s="223" t="s">
        <v>222</v>
      </c>
      <c r="AT328" s="223" t="s">
        <v>144</v>
      </c>
      <c r="AU328" s="223" t="s">
        <v>83</v>
      </c>
      <c r="AY328" s="17" t="s">
        <v>142</v>
      </c>
      <c r="BE328" s="224">
        <f>IF(N328="základní",J328,0)</f>
        <v>7620.6800000000003</v>
      </c>
      <c r="BF328" s="224">
        <f>IF(N328="snížená",J328,0)</f>
        <v>0</v>
      </c>
      <c r="BG328" s="224">
        <f>IF(N328="zákl. přenesená",J328,0)</f>
        <v>0</v>
      </c>
      <c r="BH328" s="224">
        <f>IF(N328="sníž. přenesená",J328,0)</f>
        <v>0</v>
      </c>
      <c r="BI328" s="224">
        <f>IF(N328="nulová",J328,0)</f>
        <v>0</v>
      </c>
      <c r="BJ328" s="17" t="s">
        <v>19</v>
      </c>
      <c r="BK328" s="224">
        <f>ROUND(I328*H328,2)</f>
        <v>7620.6800000000003</v>
      </c>
      <c r="BL328" s="17" t="s">
        <v>222</v>
      </c>
      <c r="BM328" s="223" t="s">
        <v>628</v>
      </c>
    </row>
    <row r="329" s="13" customFormat="1">
      <c r="A329" s="13"/>
      <c r="B329" s="225"/>
      <c r="C329" s="226"/>
      <c r="D329" s="227" t="s">
        <v>149</v>
      </c>
      <c r="E329" s="228" t="s">
        <v>1</v>
      </c>
      <c r="F329" s="229" t="s">
        <v>629</v>
      </c>
      <c r="G329" s="226"/>
      <c r="H329" s="230">
        <v>18.274999999999999</v>
      </c>
      <c r="I329" s="226"/>
      <c r="J329" s="226"/>
      <c r="K329" s="226"/>
      <c r="L329" s="231"/>
      <c r="M329" s="232"/>
      <c r="N329" s="233"/>
      <c r="O329" s="233"/>
      <c r="P329" s="233"/>
      <c r="Q329" s="233"/>
      <c r="R329" s="233"/>
      <c r="S329" s="233"/>
      <c r="T329" s="234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35" t="s">
        <v>149</v>
      </c>
      <c r="AU329" s="235" t="s">
        <v>83</v>
      </c>
      <c r="AV329" s="13" t="s">
        <v>83</v>
      </c>
      <c r="AW329" s="13" t="s">
        <v>32</v>
      </c>
      <c r="AX329" s="13" t="s">
        <v>19</v>
      </c>
      <c r="AY329" s="235" t="s">
        <v>142</v>
      </c>
    </row>
    <row r="330" s="2" customFormat="1" ht="24.15" customHeight="1">
      <c r="A330" s="32"/>
      <c r="B330" s="33"/>
      <c r="C330" s="212" t="s">
        <v>25</v>
      </c>
      <c r="D330" s="212" t="s">
        <v>144</v>
      </c>
      <c r="E330" s="213" t="s">
        <v>630</v>
      </c>
      <c r="F330" s="214" t="s">
        <v>631</v>
      </c>
      <c r="G330" s="215" t="s">
        <v>326</v>
      </c>
      <c r="H330" s="216">
        <v>5.2530000000000001</v>
      </c>
      <c r="I330" s="217">
        <v>2210</v>
      </c>
      <c r="J330" s="217">
        <f>ROUND(I330*H330,2)</f>
        <v>11609.129999999999</v>
      </c>
      <c r="K330" s="218"/>
      <c r="L330" s="38"/>
      <c r="M330" s="219" t="s">
        <v>1</v>
      </c>
      <c r="N330" s="220" t="s">
        <v>39</v>
      </c>
      <c r="O330" s="221">
        <v>0.90600000000000003</v>
      </c>
      <c r="P330" s="221">
        <f>O330*H330</f>
        <v>4.7592180000000006</v>
      </c>
      <c r="Q330" s="221">
        <v>0.021597594688749298</v>
      </c>
      <c r="R330" s="221">
        <f>Q330*H330</f>
        <v>0.11345216490000007</v>
      </c>
      <c r="S330" s="221">
        <v>0</v>
      </c>
      <c r="T330" s="222">
        <f>S330*H330</f>
        <v>0</v>
      </c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R330" s="223" t="s">
        <v>222</v>
      </c>
      <c r="AT330" s="223" t="s">
        <v>144</v>
      </c>
      <c r="AU330" s="223" t="s">
        <v>83</v>
      </c>
      <c r="AY330" s="17" t="s">
        <v>142</v>
      </c>
      <c r="BE330" s="224">
        <f>IF(N330="základní",J330,0)</f>
        <v>11609.129999999999</v>
      </c>
      <c r="BF330" s="224">
        <f>IF(N330="snížená",J330,0)</f>
        <v>0</v>
      </c>
      <c r="BG330" s="224">
        <f>IF(N330="zákl. přenesená",J330,0)</f>
        <v>0</v>
      </c>
      <c r="BH330" s="224">
        <f>IF(N330="sníž. přenesená",J330,0)</f>
        <v>0</v>
      </c>
      <c r="BI330" s="224">
        <f>IF(N330="nulová",J330,0)</f>
        <v>0</v>
      </c>
      <c r="BJ330" s="17" t="s">
        <v>19</v>
      </c>
      <c r="BK330" s="224">
        <f>ROUND(I330*H330,2)</f>
        <v>11609.129999999999</v>
      </c>
      <c r="BL330" s="17" t="s">
        <v>222</v>
      </c>
      <c r="BM330" s="223" t="s">
        <v>632</v>
      </c>
    </row>
    <row r="331" s="13" customFormat="1">
      <c r="A331" s="13"/>
      <c r="B331" s="225"/>
      <c r="C331" s="226"/>
      <c r="D331" s="227" t="s">
        <v>149</v>
      </c>
      <c r="E331" s="228" t="s">
        <v>1</v>
      </c>
      <c r="F331" s="229" t="s">
        <v>633</v>
      </c>
      <c r="G331" s="226"/>
      <c r="H331" s="230">
        <v>5.2530000000000001</v>
      </c>
      <c r="I331" s="226"/>
      <c r="J331" s="226"/>
      <c r="K331" s="226"/>
      <c r="L331" s="231"/>
      <c r="M331" s="232"/>
      <c r="N331" s="233"/>
      <c r="O331" s="233"/>
      <c r="P331" s="233"/>
      <c r="Q331" s="233"/>
      <c r="R331" s="233"/>
      <c r="S331" s="233"/>
      <c r="T331" s="234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T331" s="235" t="s">
        <v>149</v>
      </c>
      <c r="AU331" s="235" t="s">
        <v>83</v>
      </c>
      <c r="AV331" s="13" t="s">
        <v>83</v>
      </c>
      <c r="AW331" s="13" t="s">
        <v>32</v>
      </c>
      <c r="AX331" s="13" t="s">
        <v>19</v>
      </c>
      <c r="AY331" s="235" t="s">
        <v>142</v>
      </c>
    </row>
    <row r="332" s="2" customFormat="1" ht="24.15" customHeight="1">
      <c r="A332" s="32"/>
      <c r="B332" s="33"/>
      <c r="C332" s="212" t="s">
        <v>634</v>
      </c>
      <c r="D332" s="212" t="s">
        <v>144</v>
      </c>
      <c r="E332" s="213" t="s">
        <v>635</v>
      </c>
      <c r="F332" s="214" t="s">
        <v>636</v>
      </c>
      <c r="G332" s="215" t="s">
        <v>96</v>
      </c>
      <c r="H332" s="216">
        <v>4.5499999999999998</v>
      </c>
      <c r="I332" s="217">
        <v>753</v>
      </c>
      <c r="J332" s="217">
        <f>ROUND(I332*H332,2)</f>
        <v>3426.1500000000001</v>
      </c>
      <c r="K332" s="218"/>
      <c r="L332" s="38"/>
      <c r="M332" s="219" t="s">
        <v>1</v>
      </c>
      <c r="N332" s="220" t="s">
        <v>39</v>
      </c>
      <c r="O332" s="221">
        <v>1.298</v>
      </c>
      <c r="P332" s="221">
        <f>O332*H332</f>
        <v>5.9058999999999999</v>
      </c>
      <c r="Q332" s="221">
        <v>0.00025000000000000001</v>
      </c>
      <c r="R332" s="221">
        <f>Q332*H332</f>
        <v>0.0011375000000000001</v>
      </c>
      <c r="S332" s="221">
        <v>0</v>
      </c>
      <c r="T332" s="222">
        <f>S332*H332</f>
        <v>0</v>
      </c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R332" s="223" t="s">
        <v>222</v>
      </c>
      <c r="AT332" s="223" t="s">
        <v>144</v>
      </c>
      <c r="AU332" s="223" t="s">
        <v>83</v>
      </c>
      <c r="AY332" s="17" t="s">
        <v>142</v>
      </c>
      <c r="BE332" s="224">
        <f>IF(N332="základní",J332,0)</f>
        <v>3426.1500000000001</v>
      </c>
      <c r="BF332" s="224">
        <f>IF(N332="snížená",J332,0)</f>
        <v>0</v>
      </c>
      <c r="BG332" s="224">
        <f>IF(N332="zákl. přenesená",J332,0)</f>
        <v>0</v>
      </c>
      <c r="BH332" s="224">
        <f>IF(N332="sníž. přenesená",J332,0)</f>
        <v>0</v>
      </c>
      <c r="BI332" s="224">
        <f>IF(N332="nulová",J332,0)</f>
        <v>0</v>
      </c>
      <c r="BJ332" s="17" t="s">
        <v>19</v>
      </c>
      <c r="BK332" s="224">
        <f>ROUND(I332*H332,2)</f>
        <v>3426.1500000000001</v>
      </c>
      <c r="BL332" s="17" t="s">
        <v>222</v>
      </c>
      <c r="BM332" s="223" t="s">
        <v>637</v>
      </c>
    </row>
    <row r="333" s="13" customFormat="1">
      <c r="A333" s="13"/>
      <c r="B333" s="225"/>
      <c r="C333" s="226"/>
      <c r="D333" s="227" t="s">
        <v>149</v>
      </c>
      <c r="E333" s="228" t="s">
        <v>1</v>
      </c>
      <c r="F333" s="229" t="s">
        <v>638</v>
      </c>
      <c r="G333" s="226"/>
      <c r="H333" s="230">
        <v>4.5499999999999998</v>
      </c>
      <c r="I333" s="226"/>
      <c r="J333" s="226"/>
      <c r="K333" s="226"/>
      <c r="L333" s="231"/>
      <c r="M333" s="232"/>
      <c r="N333" s="233"/>
      <c r="O333" s="233"/>
      <c r="P333" s="233"/>
      <c r="Q333" s="233"/>
      <c r="R333" s="233"/>
      <c r="S333" s="233"/>
      <c r="T333" s="234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T333" s="235" t="s">
        <v>149</v>
      </c>
      <c r="AU333" s="235" t="s">
        <v>83</v>
      </c>
      <c r="AV333" s="13" t="s">
        <v>83</v>
      </c>
      <c r="AW333" s="13" t="s">
        <v>32</v>
      </c>
      <c r="AX333" s="13" t="s">
        <v>19</v>
      </c>
      <c r="AY333" s="235" t="s">
        <v>142</v>
      </c>
    </row>
    <row r="334" s="2" customFormat="1" ht="24.15" customHeight="1">
      <c r="A334" s="32"/>
      <c r="B334" s="33"/>
      <c r="C334" s="258" t="s">
        <v>639</v>
      </c>
      <c r="D334" s="258" t="s">
        <v>475</v>
      </c>
      <c r="E334" s="259" t="s">
        <v>640</v>
      </c>
      <c r="F334" s="260" t="s">
        <v>641</v>
      </c>
      <c r="G334" s="261" t="s">
        <v>96</v>
      </c>
      <c r="H334" s="262">
        <v>3.875</v>
      </c>
      <c r="I334" s="263">
        <v>3440</v>
      </c>
      <c r="J334" s="263">
        <f>ROUND(I334*H334,2)</f>
        <v>13330</v>
      </c>
      <c r="K334" s="264"/>
      <c r="L334" s="265"/>
      <c r="M334" s="266" t="s">
        <v>1</v>
      </c>
      <c r="N334" s="267" t="s">
        <v>39</v>
      </c>
      <c r="O334" s="221">
        <v>0</v>
      </c>
      <c r="P334" s="221">
        <f>O334*H334</f>
        <v>0</v>
      </c>
      <c r="Q334" s="221">
        <v>0.034200000000000001</v>
      </c>
      <c r="R334" s="221">
        <f>Q334*H334</f>
        <v>0.132525</v>
      </c>
      <c r="S334" s="221">
        <v>0</v>
      </c>
      <c r="T334" s="222">
        <f>S334*H334</f>
        <v>0</v>
      </c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R334" s="223" t="s">
        <v>241</v>
      </c>
      <c r="AT334" s="223" t="s">
        <v>475</v>
      </c>
      <c r="AU334" s="223" t="s">
        <v>83</v>
      </c>
      <c r="AY334" s="17" t="s">
        <v>142</v>
      </c>
      <c r="BE334" s="224">
        <f>IF(N334="základní",J334,0)</f>
        <v>13330</v>
      </c>
      <c r="BF334" s="224">
        <f>IF(N334="snížená",J334,0)</f>
        <v>0</v>
      </c>
      <c r="BG334" s="224">
        <f>IF(N334="zákl. přenesená",J334,0)</f>
        <v>0</v>
      </c>
      <c r="BH334" s="224">
        <f>IF(N334="sníž. přenesená",J334,0)</f>
        <v>0</v>
      </c>
      <c r="BI334" s="224">
        <f>IF(N334="nulová",J334,0)</f>
        <v>0</v>
      </c>
      <c r="BJ334" s="17" t="s">
        <v>19</v>
      </c>
      <c r="BK334" s="224">
        <f>ROUND(I334*H334,2)</f>
        <v>13330</v>
      </c>
      <c r="BL334" s="17" t="s">
        <v>222</v>
      </c>
      <c r="BM334" s="223" t="s">
        <v>642</v>
      </c>
    </row>
    <row r="335" s="2" customFormat="1" ht="21.75" customHeight="1">
      <c r="A335" s="32"/>
      <c r="B335" s="33"/>
      <c r="C335" s="258" t="s">
        <v>643</v>
      </c>
      <c r="D335" s="258" t="s">
        <v>475</v>
      </c>
      <c r="E335" s="259" t="s">
        <v>644</v>
      </c>
      <c r="F335" s="260" t="s">
        <v>645</v>
      </c>
      <c r="G335" s="261" t="s">
        <v>96</v>
      </c>
      <c r="H335" s="262">
        <v>0.67500000000000004</v>
      </c>
      <c r="I335" s="263">
        <v>6620</v>
      </c>
      <c r="J335" s="263">
        <f>ROUND(I335*H335,2)</f>
        <v>4468.5</v>
      </c>
      <c r="K335" s="264"/>
      <c r="L335" s="265"/>
      <c r="M335" s="266" t="s">
        <v>1</v>
      </c>
      <c r="N335" s="267" t="s">
        <v>39</v>
      </c>
      <c r="O335" s="221">
        <v>0</v>
      </c>
      <c r="P335" s="221">
        <f>O335*H335</f>
        <v>0</v>
      </c>
      <c r="Q335" s="221">
        <v>0.040280000000000003</v>
      </c>
      <c r="R335" s="221">
        <f>Q335*H335</f>
        <v>0.027189000000000005</v>
      </c>
      <c r="S335" s="221">
        <v>0</v>
      </c>
      <c r="T335" s="222">
        <f>S335*H335</f>
        <v>0</v>
      </c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R335" s="223" t="s">
        <v>241</v>
      </c>
      <c r="AT335" s="223" t="s">
        <v>475</v>
      </c>
      <c r="AU335" s="223" t="s">
        <v>83</v>
      </c>
      <c r="AY335" s="17" t="s">
        <v>142</v>
      </c>
      <c r="BE335" s="224">
        <f>IF(N335="základní",J335,0)</f>
        <v>4468.5</v>
      </c>
      <c r="BF335" s="224">
        <f>IF(N335="snížená",J335,0)</f>
        <v>0</v>
      </c>
      <c r="BG335" s="224">
        <f>IF(N335="zákl. přenesená",J335,0)</f>
        <v>0</v>
      </c>
      <c r="BH335" s="224">
        <f>IF(N335="sníž. přenesená",J335,0)</f>
        <v>0</v>
      </c>
      <c r="BI335" s="224">
        <f>IF(N335="nulová",J335,0)</f>
        <v>0</v>
      </c>
      <c r="BJ335" s="17" t="s">
        <v>19</v>
      </c>
      <c r="BK335" s="224">
        <f>ROUND(I335*H335,2)</f>
        <v>4468.5</v>
      </c>
      <c r="BL335" s="17" t="s">
        <v>222</v>
      </c>
      <c r="BM335" s="223" t="s">
        <v>646</v>
      </c>
    </row>
    <row r="336" s="2" customFormat="1" ht="24.15" customHeight="1">
      <c r="A336" s="32"/>
      <c r="B336" s="33"/>
      <c r="C336" s="212" t="s">
        <v>647</v>
      </c>
      <c r="D336" s="212" t="s">
        <v>144</v>
      </c>
      <c r="E336" s="213" t="s">
        <v>648</v>
      </c>
      <c r="F336" s="214" t="s">
        <v>649</v>
      </c>
      <c r="G336" s="215" t="s">
        <v>96</v>
      </c>
      <c r="H336" s="216">
        <v>8.5250000000000004</v>
      </c>
      <c r="I336" s="217">
        <v>924</v>
      </c>
      <c r="J336" s="217">
        <f>ROUND(I336*H336,2)</f>
        <v>7877.1000000000004</v>
      </c>
      <c r="K336" s="218"/>
      <c r="L336" s="38"/>
      <c r="M336" s="219" t="s">
        <v>1</v>
      </c>
      <c r="N336" s="220" t="s">
        <v>39</v>
      </c>
      <c r="O336" s="221">
        <v>1.613</v>
      </c>
      <c r="P336" s="221">
        <f>O336*H336</f>
        <v>13.750825000000001</v>
      </c>
      <c r="Q336" s="221">
        <v>0.00025000000000000001</v>
      </c>
      <c r="R336" s="221">
        <f>Q336*H336</f>
        <v>0.0021312500000000003</v>
      </c>
      <c r="S336" s="221">
        <v>0</v>
      </c>
      <c r="T336" s="222">
        <f>S336*H336</f>
        <v>0</v>
      </c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R336" s="223" t="s">
        <v>222</v>
      </c>
      <c r="AT336" s="223" t="s">
        <v>144</v>
      </c>
      <c r="AU336" s="223" t="s">
        <v>83</v>
      </c>
      <c r="AY336" s="17" t="s">
        <v>142</v>
      </c>
      <c r="BE336" s="224">
        <f>IF(N336="základní",J336,0)</f>
        <v>7877.1000000000004</v>
      </c>
      <c r="BF336" s="224">
        <f>IF(N336="snížená",J336,0)</f>
        <v>0</v>
      </c>
      <c r="BG336" s="224">
        <f>IF(N336="zákl. přenesená",J336,0)</f>
        <v>0</v>
      </c>
      <c r="BH336" s="224">
        <f>IF(N336="sníž. přenesená",J336,0)</f>
        <v>0</v>
      </c>
      <c r="BI336" s="224">
        <f>IF(N336="nulová",J336,0)</f>
        <v>0</v>
      </c>
      <c r="BJ336" s="17" t="s">
        <v>19</v>
      </c>
      <c r="BK336" s="224">
        <f>ROUND(I336*H336,2)</f>
        <v>7877.1000000000004</v>
      </c>
      <c r="BL336" s="17" t="s">
        <v>222</v>
      </c>
      <c r="BM336" s="223" t="s">
        <v>650</v>
      </c>
    </row>
    <row r="337" s="13" customFormat="1">
      <c r="A337" s="13"/>
      <c r="B337" s="225"/>
      <c r="C337" s="226"/>
      <c r="D337" s="227" t="s">
        <v>149</v>
      </c>
      <c r="E337" s="228" t="s">
        <v>1</v>
      </c>
      <c r="F337" s="229" t="s">
        <v>651</v>
      </c>
      <c r="G337" s="226"/>
      <c r="H337" s="230">
        <v>8.5250000000000004</v>
      </c>
      <c r="I337" s="226"/>
      <c r="J337" s="226"/>
      <c r="K337" s="226"/>
      <c r="L337" s="231"/>
      <c r="M337" s="232"/>
      <c r="N337" s="233"/>
      <c r="O337" s="233"/>
      <c r="P337" s="233"/>
      <c r="Q337" s="233"/>
      <c r="R337" s="233"/>
      <c r="S337" s="233"/>
      <c r="T337" s="234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T337" s="235" t="s">
        <v>149</v>
      </c>
      <c r="AU337" s="235" t="s">
        <v>83</v>
      </c>
      <c r="AV337" s="13" t="s">
        <v>83</v>
      </c>
      <c r="AW337" s="13" t="s">
        <v>32</v>
      </c>
      <c r="AX337" s="13" t="s">
        <v>19</v>
      </c>
      <c r="AY337" s="235" t="s">
        <v>142</v>
      </c>
    </row>
    <row r="338" s="2" customFormat="1" ht="24.15" customHeight="1">
      <c r="A338" s="32"/>
      <c r="B338" s="33"/>
      <c r="C338" s="258" t="s">
        <v>652</v>
      </c>
      <c r="D338" s="258" t="s">
        <v>475</v>
      </c>
      <c r="E338" s="259" t="s">
        <v>653</v>
      </c>
      <c r="F338" s="260" t="s">
        <v>654</v>
      </c>
      <c r="G338" s="261" t="s">
        <v>96</v>
      </c>
      <c r="H338" s="262">
        <v>8.5250000000000004</v>
      </c>
      <c r="I338" s="263">
        <v>4950</v>
      </c>
      <c r="J338" s="263">
        <f>ROUND(I338*H338,2)</f>
        <v>42198.75</v>
      </c>
      <c r="K338" s="264"/>
      <c r="L338" s="265"/>
      <c r="M338" s="266" t="s">
        <v>1</v>
      </c>
      <c r="N338" s="267" t="s">
        <v>39</v>
      </c>
      <c r="O338" s="221">
        <v>0</v>
      </c>
      <c r="P338" s="221">
        <f>O338*H338</f>
        <v>0</v>
      </c>
      <c r="Q338" s="221">
        <v>0.036110000000000003</v>
      </c>
      <c r="R338" s="221">
        <f>Q338*H338</f>
        <v>0.30783775000000002</v>
      </c>
      <c r="S338" s="221">
        <v>0</v>
      </c>
      <c r="T338" s="222">
        <f>S338*H338</f>
        <v>0</v>
      </c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R338" s="223" t="s">
        <v>241</v>
      </c>
      <c r="AT338" s="223" t="s">
        <v>475</v>
      </c>
      <c r="AU338" s="223" t="s">
        <v>83</v>
      </c>
      <c r="AY338" s="17" t="s">
        <v>142</v>
      </c>
      <c r="BE338" s="224">
        <f>IF(N338="základní",J338,0)</f>
        <v>42198.75</v>
      </c>
      <c r="BF338" s="224">
        <f>IF(N338="snížená",J338,0)</f>
        <v>0</v>
      </c>
      <c r="BG338" s="224">
        <f>IF(N338="zákl. přenesená",J338,0)</f>
        <v>0</v>
      </c>
      <c r="BH338" s="224">
        <f>IF(N338="sníž. přenesená",J338,0)</f>
        <v>0</v>
      </c>
      <c r="BI338" s="224">
        <f>IF(N338="nulová",J338,0)</f>
        <v>0</v>
      </c>
      <c r="BJ338" s="17" t="s">
        <v>19</v>
      </c>
      <c r="BK338" s="224">
        <f>ROUND(I338*H338,2)</f>
        <v>42198.75</v>
      </c>
      <c r="BL338" s="17" t="s">
        <v>222</v>
      </c>
      <c r="BM338" s="223" t="s">
        <v>655</v>
      </c>
    </row>
    <row r="339" s="2" customFormat="1" ht="33" customHeight="1">
      <c r="A339" s="32"/>
      <c r="B339" s="33"/>
      <c r="C339" s="212" t="s">
        <v>656</v>
      </c>
      <c r="D339" s="212" t="s">
        <v>144</v>
      </c>
      <c r="E339" s="213" t="s">
        <v>657</v>
      </c>
      <c r="F339" s="214" t="s">
        <v>658</v>
      </c>
      <c r="G339" s="215" t="s">
        <v>284</v>
      </c>
      <c r="H339" s="216">
        <v>1</v>
      </c>
      <c r="I339" s="217">
        <v>2540</v>
      </c>
      <c r="J339" s="217">
        <f>ROUND(I339*H339,2)</f>
        <v>2540</v>
      </c>
      <c r="K339" s="218"/>
      <c r="L339" s="38"/>
      <c r="M339" s="219" t="s">
        <v>1</v>
      </c>
      <c r="N339" s="220" t="s">
        <v>39</v>
      </c>
      <c r="O339" s="221">
        <v>4.5839999999999996</v>
      </c>
      <c r="P339" s="221">
        <f>O339*H339</f>
        <v>4.5839999999999996</v>
      </c>
      <c r="Q339" s="221">
        <v>0.00025000000000000001</v>
      </c>
      <c r="R339" s="221">
        <f>Q339*H339</f>
        <v>0.00025000000000000001</v>
      </c>
      <c r="S339" s="221">
        <v>0</v>
      </c>
      <c r="T339" s="222">
        <f>S339*H339</f>
        <v>0</v>
      </c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R339" s="223" t="s">
        <v>222</v>
      </c>
      <c r="AT339" s="223" t="s">
        <v>144</v>
      </c>
      <c r="AU339" s="223" t="s">
        <v>83</v>
      </c>
      <c r="AY339" s="17" t="s">
        <v>142</v>
      </c>
      <c r="BE339" s="224">
        <f>IF(N339="základní",J339,0)</f>
        <v>2540</v>
      </c>
      <c r="BF339" s="224">
        <f>IF(N339="snížená",J339,0)</f>
        <v>0</v>
      </c>
      <c r="BG339" s="224">
        <f>IF(N339="zákl. přenesená",J339,0)</f>
        <v>0</v>
      </c>
      <c r="BH339" s="224">
        <f>IF(N339="sníž. přenesená",J339,0)</f>
        <v>0</v>
      </c>
      <c r="BI339" s="224">
        <f>IF(N339="nulová",J339,0)</f>
        <v>0</v>
      </c>
      <c r="BJ339" s="17" t="s">
        <v>19</v>
      </c>
      <c r="BK339" s="224">
        <f>ROUND(I339*H339,2)</f>
        <v>2540</v>
      </c>
      <c r="BL339" s="17" t="s">
        <v>222</v>
      </c>
      <c r="BM339" s="223" t="s">
        <v>659</v>
      </c>
    </row>
    <row r="340" s="2" customFormat="1" ht="16.5" customHeight="1">
      <c r="A340" s="32"/>
      <c r="B340" s="33"/>
      <c r="C340" s="258" t="s">
        <v>660</v>
      </c>
      <c r="D340" s="258" t="s">
        <v>475</v>
      </c>
      <c r="E340" s="259" t="s">
        <v>661</v>
      </c>
      <c r="F340" s="260" t="s">
        <v>662</v>
      </c>
      <c r="G340" s="261" t="s">
        <v>96</v>
      </c>
      <c r="H340" s="262">
        <v>3.165</v>
      </c>
      <c r="I340" s="263">
        <v>5380</v>
      </c>
      <c r="J340" s="263">
        <f>ROUND(I340*H340,2)</f>
        <v>17027.700000000001</v>
      </c>
      <c r="K340" s="264"/>
      <c r="L340" s="265"/>
      <c r="M340" s="266" t="s">
        <v>1</v>
      </c>
      <c r="N340" s="267" t="s">
        <v>39</v>
      </c>
      <c r="O340" s="221">
        <v>0</v>
      </c>
      <c r="P340" s="221">
        <f>O340*H340</f>
        <v>0</v>
      </c>
      <c r="Q340" s="221">
        <v>0.037760000000000002</v>
      </c>
      <c r="R340" s="221">
        <f>Q340*H340</f>
        <v>0.1195104</v>
      </c>
      <c r="S340" s="221">
        <v>0</v>
      </c>
      <c r="T340" s="222">
        <f>S340*H340</f>
        <v>0</v>
      </c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R340" s="223" t="s">
        <v>241</v>
      </c>
      <c r="AT340" s="223" t="s">
        <v>475</v>
      </c>
      <c r="AU340" s="223" t="s">
        <v>83</v>
      </c>
      <c r="AY340" s="17" t="s">
        <v>142</v>
      </c>
      <c r="BE340" s="224">
        <f>IF(N340="základní",J340,0)</f>
        <v>17027.700000000001</v>
      </c>
      <c r="BF340" s="224">
        <f>IF(N340="snížená",J340,0)</f>
        <v>0</v>
      </c>
      <c r="BG340" s="224">
        <f>IF(N340="zákl. přenesená",J340,0)</f>
        <v>0</v>
      </c>
      <c r="BH340" s="224">
        <f>IF(N340="sníž. přenesená",J340,0)</f>
        <v>0</v>
      </c>
      <c r="BI340" s="224">
        <f>IF(N340="nulová",J340,0)</f>
        <v>0</v>
      </c>
      <c r="BJ340" s="17" t="s">
        <v>19</v>
      </c>
      <c r="BK340" s="224">
        <f>ROUND(I340*H340,2)</f>
        <v>17027.700000000001</v>
      </c>
      <c r="BL340" s="17" t="s">
        <v>222</v>
      </c>
      <c r="BM340" s="223" t="s">
        <v>663</v>
      </c>
    </row>
    <row r="341" s="13" customFormat="1">
      <c r="A341" s="13"/>
      <c r="B341" s="225"/>
      <c r="C341" s="226"/>
      <c r="D341" s="227" t="s">
        <v>149</v>
      </c>
      <c r="E341" s="228" t="s">
        <v>1</v>
      </c>
      <c r="F341" s="229" t="s">
        <v>664</v>
      </c>
      <c r="G341" s="226"/>
      <c r="H341" s="230">
        <v>3.165</v>
      </c>
      <c r="I341" s="226"/>
      <c r="J341" s="226"/>
      <c r="K341" s="226"/>
      <c r="L341" s="231"/>
      <c r="M341" s="232"/>
      <c r="N341" s="233"/>
      <c r="O341" s="233"/>
      <c r="P341" s="233"/>
      <c r="Q341" s="233"/>
      <c r="R341" s="233"/>
      <c r="S341" s="233"/>
      <c r="T341" s="234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35" t="s">
        <v>149</v>
      </c>
      <c r="AU341" s="235" t="s">
        <v>83</v>
      </c>
      <c r="AV341" s="13" t="s">
        <v>83</v>
      </c>
      <c r="AW341" s="13" t="s">
        <v>32</v>
      </c>
      <c r="AX341" s="13" t="s">
        <v>19</v>
      </c>
      <c r="AY341" s="235" t="s">
        <v>142</v>
      </c>
    </row>
    <row r="342" s="2" customFormat="1" ht="24.15" customHeight="1">
      <c r="A342" s="32"/>
      <c r="B342" s="33"/>
      <c r="C342" s="212" t="s">
        <v>665</v>
      </c>
      <c r="D342" s="212" t="s">
        <v>144</v>
      </c>
      <c r="E342" s="213" t="s">
        <v>666</v>
      </c>
      <c r="F342" s="214" t="s">
        <v>667</v>
      </c>
      <c r="G342" s="215" t="s">
        <v>284</v>
      </c>
      <c r="H342" s="216">
        <v>5</v>
      </c>
      <c r="I342" s="217">
        <v>964</v>
      </c>
      <c r="J342" s="217">
        <f>ROUND(I342*H342,2)</f>
        <v>4820</v>
      </c>
      <c r="K342" s="218"/>
      <c r="L342" s="38"/>
      <c r="M342" s="219" t="s">
        <v>1</v>
      </c>
      <c r="N342" s="220" t="s">
        <v>39</v>
      </c>
      <c r="O342" s="221">
        <v>1.6819999999999999</v>
      </c>
      <c r="P342" s="221">
        <f>O342*H342</f>
        <v>8.4100000000000001</v>
      </c>
      <c r="Q342" s="221">
        <v>0</v>
      </c>
      <c r="R342" s="221">
        <f>Q342*H342</f>
        <v>0</v>
      </c>
      <c r="S342" s="221">
        <v>0</v>
      </c>
      <c r="T342" s="222">
        <f>S342*H342</f>
        <v>0</v>
      </c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R342" s="223" t="s">
        <v>222</v>
      </c>
      <c r="AT342" s="223" t="s">
        <v>144</v>
      </c>
      <c r="AU342" s="223" t="s">
        <v>83</v>
      </c>
      <c r="AY342" s="17" t="s">
        <v>142</v>
      </c>
      <c r="BE342" s="224">
        <f>IF(N342="základní",J342,0)</f>
        <v>4820</v>
      </c>
      <c r="BF342" s="224">
        <f>IF(N342="snížená",J342,0)</f>
        <v>0</v>
      </c>
      <c r="BG342" s="224">
        <f>IF(N342="zákl. přenesená",J342,0)</f>
        <v>0</v>
      </c>
      <c r="BH342" s="224">
        <f>IF(N342="sníž. přenesená",J342,0)</f>
        <v>0</v>
      </c>
      <c r="BI342" s="224">
        <f>IF(N342="nulová",J342,0)</f>
        <v>0</v>
      </c>
      <c r="BJ342" s="17" t="s">
        <v>19</v>
      </c>
      <c r="BK342" s="224">
        <f>ROUND(I342*H342,2)</f>
        <v>4820</v>
      </c>
      <c r="BL342" s="17" t="s">
        <v>222</v>
      </c>
      <c r="BM342" s="223" t="s">
        <v>668</v>
      </c>
    </row>
    <row r="343" s="13" customFormat="1">
      <c r="A343" s="13"/>
      <c r="B343" s="225"/>
      <c r="C343" s="226"/>
      <c r="D343" s="227" t="s">
        <v>149</v>
      </c>
      <c r="E343" s="228" t="s">
        <v>1</v>
      </c>
      <c r="F343" s="229" t="s">
        <v>163</v>
      </c>
      <c r="G343" s="226"/>
      <c r="H343" s="230">
        <v>5</v>
      </c>
      <c r="I343" s="226"/>
      <c r="J343" s="226"/>
      <c r="K343" s="226"/>
      <c r="L343" s="231"/>
      <c r="M343" s="232"/>
      <c r="N343" s="233"/>
      <c r="O343" s="233"/>
      <c r="P343" s="233"/>
      <c r="Q343" s="233"/>
      <c r="R343" s="233"/>
      <c r="S343" s="233"/>
      <c r="T343" s="234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35" t="s">
        <v>149</v>
      </c>
      <c r="AU343" s="235" t="s">
        <v>83</v>
      </c>
      <c r="AV343" s="13" t="s">
        <v>83</v>
      </c>
      <c r="AW343" s="13" t="s">
        <v>32</v>
      </c>
      <c r="AX343" s="13" t="s">
        <v>19</v>
      </c>
      <c r="AY343" s="235" t="s">
        <v>142</v>
      </c>
    </row>
    <row r="344" s="2" customFormat="1" ht="24.15" customHeight="1">
      <c r="A344" s="32"/>
      <c r="B344" s="33"/>
      <c r="C344" s="258" t="s">
        <v>669</v>
      </c>
      <c r="D344" s="258" t="s">
        <v>475</v>
      </c>
      <c r="E344" s="259" t="s">
        <v>670</v>
      </c>
      <c r="F344" s="260" t="s">
        <v>671</v>
      </c>
      <c r="G344" s="261" t="s">
        <v>284</v>
      </c>
      <c r="H344" s="262">
        <v>4</v>
      </c>
      <c r="I344" s="263">
        <v>3190</v>
      </c>
      <c r="J344" s="263">
        <f>ROUND(I344*H344,2)</f>
        <v>12760</v>
      </c>
      <c r="K344" s="264"/>
      <c r="L344" s="265"/>
      <c r="M344" s="266" t="s">
        <v>1</v>
      </c>
      <c r="N344" s="267" t="s">
        <v>39</v>
      </c>
      <c r="O344" s="221">
        <v>0</v>
      </c>
      <c r="P344" s="221">
        <f>O344*H344</f>
        <v>0</v>
      </c>
      <c r="Q344" s="221">
        <v>0.016</v>
      </c>
      <c r="R344" s="221">
        <f>Q344*H344</f>
        <v>0.064000000000000001</v>
      </c>
      <c r="S344" s="221">
        <v>0</v>
      </c>
      <c r="T344" s="222">
        <f>S344*H344</f>
        <v>0</v>
      </c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R344" s="223" t="s">
        <v>241</v>
      </c>
      <c r="AT344" s="223" t="s">
        <v>475</v>
      </c>
      <c r="AU344" s="223" t="s">
        <v>83</v>
      </c>
      <c r="AY344" s="17" t="s">
        <v>142</v>
      </c>
      <c r="BE344" s="224">
        <f>IF(N344="základní",J344,0)</f>
        <v>12760</v>
      </c>
      <c r="BF344" s="224">
        <f>IF(N344="snížená",J344,0)</f>
        <v>0</v>
      </c>
      <c r="BG344" s="224">
        <f>IF(N344="zákl. přenesená",J344,0)</f>
        <v>0</v>
      </c>
      <c r="BH344" s="224">
        <f>IF(N344="sníž. přenesená",J344,0)</f>
        <v>0</v>
      </c>
      <c r="BI344" s="224">
        <f>IF(N344="nulová",J344,0)</f>
        <v>0</v>
      </c>
      <c r="BJ344" s="17" t="s">
        <v>19</v>
      </c>
      <c r="BK344" s="224">
        <f>ROUND(I344*H344,2)</f>
        <v>12760</v>
      </c>
      <c r="BL344" s="17" t="s">
        <v>222</v>
      </c>
      <c r="BM344" s="223" t="s">
        <v>672</v>
      </c>
    </row>
    <row r="345" s="2" customFormat="1" ht="24.15" customHeight="1">
      <c r="A345" s="32"/>
      <c r="B345" s="33"/>
      <c r="C345" s="258" t="s">
        <v>673</v>
      </c>
      <c r="D345" s="258" t="s">
        <v>475</v>
      </c>
      <c r="E345" s="259" t="s">
        <v>674</v>
      </c>
      <c r="F345" s="260" t="s">
        <v>675</v>
      </c>
      <c r="G345" s="261" t="s">
        <v>284</v>
      </c>
      <c r="H345" s="262">
        <v>1</v>
      </c>
      <c r="I345" s="263">
        <v>2320</v>
      </c>
      <c r="J345" s="263">
        <f>ROUND(I345*H345,2)</f>
        <v>2320</v>
      </c>
      <c r="K345" s="264"/>
      <c r="L345" s="265"/>
      <c r="M345" s="266" t="s">
        <v>1</v>
      </c>
      <c r="N345" s="267" t="s">
        <v>39</v>
      </c>
      <c r="O345" s="221">
        <v>0</v>
      </c>
      <c r="P345" s="221">
        <f>O345*H345</f>
        <v>0</v>
      </c>
      <c r="Q345" s="221">
        <v>0.014500000000000001</v>
      </c>
      <c r="R345" s="221">
        <f>Q345*H345</f>
        <v>0.014500000000000001</v>
      </c>
      <c r="S345" s="221">
        <v>0</v>
      </c>
      <c r="T345" s="222">
        <f>S345*H345</f>
        <v>0</v>
      </c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R345" s="223" t="s">
        <v>241</v>
      </c>
      <c r="AT345" s="223" t="s">
        <v>475</v>
      </c>
      <c r="AU345" s="223" t="s">
        <v>83</v>
      </c>
      <c r="AY345" s="17" t="s">
        <v>142</v>
      </c>
      <c r="BE345" s="224">
        <f>IF(N345="základní",J345,0)</f>
        <v>2320</v>
      </c>
      <c r="BF345" s="224">
        <f>IF(N345="snížená",J345,0)</f>
        <v>0</v>
      </c>
      <c r="BG345" s="224">
        <f>IF(N345="zákl. přenesená",J345,0)</f>
        <v>0</v>
      </c>
      <c r="BH345" s="224">
        <f>IF(N345="sníž. přenesená",J345,0)</f>
        <v>0</v>
      </c>
      <c r="BI345" s="224">
        <f>IF(N345="nulová",J345,0)</f>
        <v>0</v>
      </c>
      <c r="BJ345" s="17" t="s">
        <v>19</v>
      </c>
      <c r="BK345" s="224">
        <f>ROUND(I345*H345,2)</f>
        <v>2320</v>
      </c>
      <c r="BL345" s="17" t="s">
        <v>222</v>
      </c>
      <c r="BM345" s="223" t="s">
        <v>676</v>
      </c>
    </row>
    <row r="346" s="2" customFormat="1" ht="24.15" customHeight="1">
      <c r="A346" s="32"/>
      <c r="B346" s="33"/>
      <c r="C346" s="212" t="s">
        <v>677</v>
      </c>
      <c r="D346" s="212" t="s">
        <v>144</v>
      </c>
      <c r="E346" s="213" t="s">
        <v>678</v>
      </c>
      <c r="F346" s="214" t="s">
        <v>679</v>
      </c>
      <c r="G346" s="215" t="s">
        <v>284</v>
      </c>
      <c r="H346" s="216">
        <v>3</v>
      </c>
      <c r="I346" s="217">
        <v>1050</v>
      </c>
      <c r="J346" s="217">
        <f>ROUND(I346*H346,2)</f>
        <v>3150</v>
      </c>
      <c r="K346" s="218"/>
      <c r="L346" s="38"/>
      <c r="M346" s="219" t="s">
        <v>1</v>
      </c>
      <c r="N346" s="220" t="s">
        <v>39</v>
      </c>
      <c r="O346" s="221">
        <v>1.825</v>
      </c>
      <c r="P346" s="221">
        <f>O346*H346</f>
        <v>5.4749999999999996</v>
      </c>
      <c r="Q346" s="221">
        <v>0</v>
      </c>
      <c r="R346" s="221">
        <f>Q346*H346</f>
        <v>0</v>
      </c>
      <c r="S346" s="221">
        <v>0</v>
      </c>
      <c r="T346" s="222">
        <f>S346*H346</f>
        <v>0</v>
      </c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R346" s="223" t="s">
        <v>222</v>
      </c>
      <c r="AT346" s="223" t="s">
        <v>144</v>
      </c>
      <c r="AU346" s="223" t="s">
        <v>83</v>
      </c>
      <c r="AY346" s="17" t="s">
        <v>142</v>
      </c>
      <c r="BE346" s="224">
        <f>IF(N346="základní",J346,0)</f>
        <v>3150</v>
      </c>
      <c r="BF346" s="224">
        <f>IF(N346="snížená",J346,0)</f>
        <v>0</v>
      </c>
      <c r="BG346" s="224">
        <f>IF(N346="zákl. přenesená",J346,0)</f>
        <v>0</v>
      </c>
      <c r="BH346" s="224">
        <f>IF(N346="sníž. přenesená",J346,0)</f>
        <v>0</v>
      </c>
      <c r="BI346" s="224">
        <f>IF(N346="nulová",J346,0)</f>
        <v>0</v>
      </c>
      <c r="BJ346" s="17" t="s">
        <v>19</v>
      </c>
      <c r="BK346" s="224">
        <f>ROUND(I346*H346,2)</f>
        <v>3150</v>
      </c>
      <c r="BL346" s="17" t="s">
        <v>222</v>
      </c>
      <c r="BM346" s="223" t="s">
        <v>680</v>
      </c>
    </row>
    <row r="347" s="2" customFormat="1" ht="24.15" customHeight="1">
      <c r="A347" s="32"/>
      <c r="B347" s="33"/>
      <c r="C347" s="258" t="s">
        <v>681</v>
      </c>
      <c r="D347" s="258" t="s">
        <v>475</v>
      </c>
      <c r="E347" s="259" t="s">
        <v>682</v>
      </c>
      <c r="F347" s="260" t="s">
        <v>683</v>
      </c>
      <c r="G347" s="261" t="s">
        <v>284</v>
      </c>
      <c r="H347" s="262">
        <v>3</v>
      </c>
      <c r="I347" s="263">
        <v>2010</v>
      </c>
      <c r="J347" s="263">
        <f>ROUND(I347*H347,2)</f>
        <v>6030</v>
      </c>
      <c r="K347" s="264"/>
      <c r="L347" s="265"/>
      <c r="M347" s="266" t="s">
        <v>1</v>
      </c>
      <c r="N347" s="267" t="s">
        <v>39</v>
      </c>
      <c r="O347" s="221">
        <v>0</v>
      </c>
      <c r="P347" s="221">
        <f>O347*H347</f>
        <v>0</v>
      </c>
      <c r="Q347" s="221">
        <v>0.017000000000000001</v>
      </c>
      <c r="R347" s="221">
        <f>Q347*H347</f>
        <v>0.051000000000000004</v>
      </c>
      <c r="S347" s="221">
        <v>0</v>
      </c>
      <c r="T347" s="222">
        <f>S347*H347</f>
        <v>0</v>
      </c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R347" s="223" t="s">
        <v>241</v>
      </c>
      <c r="AT347" s="223" t="s">
        <v>475</v>
      </c>
      <c r="AU347" s="223" t="s">
        <v>83</v>
      </c>
      <c r="AY347" s="17" t="s">
        <v>142</v>
      </c>
      <c r="BE347" s="224">
        <f>IF(N347="základní",J347,0)</f>
        <v>6030</v>
      </c>
      <c r="BF347" s="224">
        <f>IF(N347="snížená",J347,0)</f>
        <v>0</v>
      </c>
      <c r="BG347" s="224">
        <f>IF(N347="zákl. přenesená",J347,0)</f>
        <v>0</v>
      </c>
      <c r="BH347" s="224">
        <f>IF(N347="sníž. přenesená",J347,0)</f>
        <v>0</v>
      </c>
      <c r="BI347" s="224">
        <f>IF(N347="nulová",J347,0)</f>
        <v>0</v>
      </c>
      <c r="BJ347" s="17" t="s">
        <v>19</v>
      </c>
      <c r="BK347" s="224">
        <f>ROUND(I347*H347,2)</f>
        <v>6030</v>
      </c>
      <c r="BL347" s="17" t="s">
        <v>222</v>
      </c>
      <c r="BM347" s="223" t="s">
        <v>684</v>
      </c>
    </row>
    <row r="348" s="2" customFormat="1" ht="24.15" customHeight="1">
      <c r="A348" s="32"/>
      <c r="B348" s="33"/>
      <c r="C348" s="212" t="s">
        <v>685</v>
      </c>
      <c r="D348" s="212" t="s">
        <v>144</v>
      </c>
      <c r="E348" s="213" t="s">
        <v>686</v>
      </c>
      <c r="F348" s="214" t="s">
        <v>687</v>
      </c>
      <c r="G348" s="215" t="s">
        <v>284</v>
      </c>
      <c r="H348" s="216">
        <v>1</v>
      </c>
      <c r="I348" s="217">
        <v>4160</v>
      </c>
      <c r="J348" s="217">
        <f>ROUND(I348*H348,2)</f>
        <v>4160</v>
      </c>
      <c r="K348" s="218"/>
      <c r="L348" s="38"/>
      <c r="M348" s="219" t="s">
        <v>1</v>
      </c>
      <c r="N348" s="220" t="s">
        <v>39</v>
      </c>
      <c r="O348" s="221">
        <v>7.3600000000000003</v>
      </c>
      <c r="P348" s="221">
        <f>O348*H348</f>
        <v>7.3600000000000003</v>
      </c>
      <c r="Q348" s="221">
        <v>0.00087000000000000001</v>
      </c>
      <c r="R348" s="221">
        <f>Q348*H348</f>
        <v>0.00087000000000000001</v>
      </c>
      <c r="S348" s="221">
        <v>0</v>
      </c>
      <c r="T348" s="222">
        <f>S348*H348</f>
        <v>0</v>
      </c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R348" s="223" t="s">
        <v>222</v>
      </c>
      <c r="AT348" s="223" t="s">
        <v>144</v>
      </c>
      <c r="AU348" s="223" t="s">
        <v>83</v>
      </c>
      <c r="AY348" s="17" t="s">
        <v>142</v>
      </c>
      <c r="BE348" s="224">
        <f>IF(N348="základní",J348,0)</f>
        <v>4160</v>
      </c>
      <c r="BF348" s="224">
        <f>IF(N348="snížená",J348,0)</f>
        <v>0</v>
      </c>
      <c r="BG348" s="224">
        <f>IF(N348="zákl. přenesená",J348,0)</f>
        <v>0</v>
      </c>
      <c r="BH348" s="224">
        <f>IF(N348="sníž. přenesená",J348,0)</f>
        <v>0</v>
      </c>
      <c r="BI348" s="224">
        <f>IF(N348="nulová",J348,0)</f>
        <v>0</v>
      </c>
      <c r="BJ348" s="17" t="s">
        <v>19</v>
      </c>
      <c r="BK348" s="224">
        <f>ROUND(I348*H348,2)</f>
        <v>4160</v>
      </c>
      <c r="BL348" s="17" t="s">
        <v>222</v>
      </c>
      <c r="BM348" s="223" t="s">
        <v>688</v>
      </c>
    </row>
    <row r="349" s="2" customFormat="1" ht="24.15" customHeight="1">
      <c r="A349" s="32"/>
      <c r="B349" s="33"/>
      <c r="C349" s="258" t="s">
        <v>689</v>
      </c>
      <c r="D349" s="258" t="s">
        <v>475</v>
      </c>
      <c r="E349" s="259" t="s">
        <v>690</v>
      </c>
      <c r="F349" s="260" t="s">
        <v>691</v>
      </c>
      <c r="G349" s="261" t="s">
        <v>96</v>
      </c>
      <c r="H349" s="262">
        <v>2.1200000000000001</v>
      </c>
      <c r="I349" s="263">
        <v>10800</v>
      </c>
      <c r="J349" s="263">
        <f>ROUND(I349*H349,2)</f>
        <v>22896</v>
      </c>
      <c r="K349" s="264"/>
      <c r="L349" s="265"/>
      <c r="M349" s="266" t="s">
        <v>1</v>
      </c>
      <c r="N349" s="267" t="s">
        <v>39</v>
      </c>
      <c r="O349" s="221">
        <v>0</v>
      </c>
      <c r="P349" s="221">
        <f>O349*H349</f>
        <v>0</v>
      </c>
      <c r="Q349" s="221">
        <v>0.025440000000000001</v>
      </c>
      <c r="R349" s="221">
        <f>Q349*H349</f>
        <v>0.053932800000000003</v>
      </c>
      <c r="S349" s="221">
        <v>0</v>
      </c>
      <c r="T349" s="222">
        <f>S349*H349</f>
        <v>0</v>
      </c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R349" s="223" t="s">
        <v>241</v>
      </c>
      <c r="AT349" s="223" t="s">
        <v>475</v>
      </c>
      <c r="AU349" s="223" t="s">
        <v>83</v>
      </c>
      <c r="AY349" s="17" t="s">
        <v>142</v>
      </c>
      <c r="BE349" s="224">
        <f>IF(N349="základní",J349,0)</f>
        <v>22896</v>
      </c>
      <c r="BF349" s="224">
        <f>IF(N349="snížená",J349,0)</f>
        <v>0</v>
      </c>
      <c r="BG349" s="224">
        <f>IF(N349="zákl. přenesená",J349,0)</f>
        <v>0</v>
      </c>
      <c r="BH349" s="224">
        <f>IF(N349="sníž. přenesená",J349,0)</f>
        <v>0</v>
      </c>
      <c r="BI349" s="224">
        <f>IF(N349="nulová",J349,0)</f>
        <v>0</v>
      </c>
      <c r="BJ349" s="17" t="s">
        <v>19</v>
      </c>
      <c r="BK349" s="224">
        <f>ROUND(I349*H349,2)</f>
        <v>22896</v>
      </c>
      <c r="BL349" s="17" t="s">
        <v>222</v>
      </c>
      <c r="BM349" s="223" t="s">
        <v>692</v>
      </c>
    </row>
    <row r="350" s="13" customFormat="1">
      <c r="A350" s="13"/>
      <c r="B350" s="225"/>
      <c r="C350" s="226"/>
      <c r="D350" s="227" t="s">
        <v>149</v>
      </c>
      <c r="E350" s="226"/>
      <c r="F350" s="229" t="s">
        <v>693</v>
      </c>
      <c r="G350" s="226"/>
      <c r="H350" s="230">
        <v>2.1200000000000001</v>
      </c>
      <c r="I350" s="226"/>
      <c r="J350" s="226"/>
      <c r="K350" s="226"/>
      <c r="L350" s="231"/>
      <c r="M350" s="232"/>
      <c r="N350" s="233"/>
      <c r="O350" s="233"/>
      <c r="P350" s="233"/>
      <c r="Q350" s="233"/>
      <c r="R350" s="233"/>
      <c r="S350" s="233"/>
      <c r="T350" s="234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T350" s="235" t="s">
        <v>149</v>
      </c>
      <c r="AU350" s="235" t="s">
        <v>83</v>
      </c>
      <c r="AV350" s="13" t="s">
        <v>83</v>
      </c>
      <c r="AW350" s="13" t="s">
        <v>4</v>
      </c>
      <c r="AX350" s="13" t="s">
        <v>19</v>
      </c>
      <c r="AY350" s="235" t="s">
        <v>142</v>
      </c>
    </row>
    <row r="351" s="2" customFormat="1" ht="33" customHeight="1">
      <c r="A351" s="32"/>
      <c r="B351" s="33"/>
      <c r="C351" s="212" t="s">
        <v>694</v>
      </c>
      <c r="D351" s="212" t="s">
        <v>144</v>
      </c>
      <c r="E351" s="213" t="s">
        <v>695</v>
      </c>
      <c r="F351" s="214" t="s">
        <v>696</v>
      </c>
      <c r="G351" s="215" t="s">
        <v>284</v>
      </c>
      <c r="H351" s="216">
        <v>8</v>
      </c>
      <c r="I351" s="217">
        <v>8600</v>
      </c>
      <c r="J351" s="217">
        <f>ROUND(I351*H351,2)</f>
        <v>68800</v>
      </c>
      <c r="K351" s="218"/>
      <c r="L351" s="38"/>
      <c r="M351" s="219" t="s">
        <v>1</v>
      </c>
      <c r="N351" s="220" t="s">
        <v>39</v>
      </c>
      <c r="O351" s="221">
        <v>3.4380000000000002</v>
      </c>
      <c r="P351" s="221">
        <f>O351*H351</f>
        <v>27.504000000000001</v>
      </c>
      <c r="Q351" s="221">
        <v>0.00089999999999999998</v>
      </c>
      <c r="R351" s="221">
        <f>Q351*H351</f>
        <v>0.0071999999999999998</v>
      </c>
      <c r="S351" s="221">
        <v>0</v>
      </c>
      <c r="T351" s="222">
        <f>S351*H351</f>
        <v>0</v>
      </c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R351" s="223" t="s">
        <v>222</v>
      </c>
      <c r="AT351" s="223" t="s">
        <v>144</v>
      </c>
      <c r="AU351" s="223" t="s">
        <v>83</v>
      </c>
      <c r="AY351" s="17" t="s">
        <v>142</v>
      </c>
      <c r="BE351" s="224">
        <f>IF(N351="základní",J351,0)</f>
        <v>68800</v>
      </c>
      <c r="BF351" s="224">
        <f>IF(N351="snížená",J351,0)</f>
        <v>0</v>
      </c>
      <c r="BG351" s="224">
        <f>IF(N351="zákl. přenesená",J351,0)</f>
        <v>0</v>
      </c>
      <c r="BH351" s="224">
        <f>IF(N351="sníž. přenesená",J351,0)</f>
        <v>0</v>
      </c>
      <c r="BI351" s="224">
        <f>IF(N351="nulová",J351,0)</f>
        <v>0</v>
      </c>
      <c r="BJ351" s="17" t="s">
        <v>19</v>
      </c>
      <c r="BK351" s="224">
        <f>ROUND(I351*H351,2)</f>
        <v>68800</v>
      </c>
      <c r="BL351" s="17" t="s">
        <v>222</v>
      </c>
      <c r="BM351" s="223" t="s">
        <v>697</v>
      </c>
    </row>
    <row r="352" s="2" customFormat="1" ht="33" customHeight="1">
      <c r="A352" s="32"/>
      <c r="B352" s="33"/>
      <c r="C352" s="212" t="s">
        <v>698</v>
      </c>
      <c r="D352" s="212" t="s">
        <v>144</v>
      </c>
      <c r="E352" s="213" t="s">
        <v>699</v>
      </c>
      <c r="F352" s="214" t="s">
        <v>700</v>
      </c>
      <c r="G352" s="215" t="s">
        <v>96</v>
      </c>
      <c r="H352" s="216">
        <v>6.3600000000000003</v>
      </c>
      <c r="I352" s="217">
        <v>2090</v>
      </c>
      <c r="J352" s="217">
        <f>ROUND(I352*H352,2)</f>
        <v>13292.4</v>
      </c>
      <c r="K352" s="218"/>
      <c r="L352" s="38"/>
      <c r="M352" s="219" t="s">
        <v>1</v>
      </c>
      <c r="N352" s="220" t="s">
        <v>39</v>
      </c>
      <c r="O352" s="221">
        <v>1.988</v>
      </c>
      <c r="P352" s="221">
        <f>O352*H352</f>
        <v>12.64368</v>
      </c>
      <c r="Q352" s="221">
        <v>0.00072999999999999996</v>
      </c>
      <c r="R352" s="221">
        <f>Q352*H352</f>
        <v>0.0046427999999999999</v>
      </c>
      <c r="S352" s="221">
        <v>0</v>
      </c>
      <c r="T352" s="222">
        <f>S352*H352</f>
        <v>0</v>
      </c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R352" s="223" t="s">
        <v>222</v>
      </c>
      <c r="AT352" s="223" t="s">
        <v>144</v>
      </c>
      <c r="AU352" s="223" t="s">
        <v>83</v>
      </c>
      <c r="AY352" s="17" t="s">
        <v>142</v>
      </c>
      <c r="BE352" s="224">
        <f>IF(N352="základní",J352,0)</f>
        <v>13292.4</v>
      </c>
      <c r="BF352" s="224">
        <f>IF(N352="snížená",J352,0)</f>
        <v>0</v>
      </c>
      <c r="BG352" s="224">
        <f>IF(N352="zákl. přenesená",J352,0)</f>
        <v>0</v>
      </c>
      <c r="BH352" s="224">
        <f>IF(N352="sníž. přenesená",J352,0)</f>
        <v>0</v>
      </c>
      <c r="BI352" s="224">
        <f>IF(N352="nulová",J352,0)</f>
        <v>0</v>
      </c>
      <c r="BJ352" s="17" t="s">
        <v>19</v>
      </c>
      <c r="BK352" s="224">
        <f>ROUND(I352*H352,2)</f>
        <v>13292.4</v>
      </c>
      <c r="BL352" s="17" t="s">
        <v>222</v>
      </c>
      <c r="BM352" s="223" t="s">
        <v>701</v>
      </c>
    </row>
    <row r="353" s="13" customFormat="1">
      <c r="A353" s="13"/>
      <c r="B353" s="225"/>
      <c r="C353" s="226"/>
      <c r="D353" s="227" t="s">
        <v>149</v>
      </c>
      <c r="E353" s="228" t="s">
        <v>1</v>
      </c>
      <c r="F353" s="229" t="s">
        <v>702</v>
      </c>
      <c r="G353" s="226"/>
      <c r="H353" s="230">
        <v>6.3600000000000003</v>
      </c>
      <c r="I353" s="226"/>
      <c r="J353" s="226"/>
      <c r="K353" s="226"/>
      <c r="L353" s="231"/>
      <c r="M353" s="232"/>
      <c r="N353" s="233"/>
      <c r="O353" s="233"/>
      <c r="P353" s="233"/>
      <c r="Q353" s="233"/>
      <c r="R353" s="233"/>
      <c r="S353" s="233"/>
      <c r="T353" s="234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T353" s="235" t="s">
        <v>149</v>
      </c>
      <c r="AU353" s="235" t="s">
        <v>83</v>
      </c>
      <c r="AV353" s="13" t="s">
        <v>83</v>
      </c>
      <c r="AW353" s="13" t="s">
        <v>32</v>
      </c>
      <c r="AX353" s="13" t="s">
        <v>19</v>
      </c>
      <c r="AY353" s="235" t="s">
        <v>142</v>
      </c>
    </row>
    <row r="354" s="2" customFormat="1" ht="24.15" customHeight="1">
      <c r="A354" s="32"/>
      <c r="B354" s="33"/>
      <c r="C354" s="258" t="s">
        <v>703</v>
      </c>
      <c r="D354" s="258" t="s">
        <v>475</v>
      </c>
      <c r="E354" s="259" t="s">
        <v>704</v>
      </c>
      <c r="F354" s="260" t="s">
        <v>705</v>
      </c>
      <c r="G354" s="261" t="s">
        <v>96</v>
      </c>
      <c r="H354" s="262">
        <v>6.3600000000000003</v>
      </c>
      <c r="I354" s="263">
        <v>11000</v>
      </c>
      <c r="J354" s="263">
        <f>ROUND(I354*H354,2)</f>
        <v>69960</v>
      </c>
      <c r="K354" s="264"/>
      <c r="L354" s="265"/>
      <c r="M354" s="266" t="s">
        <v>1</v>
      </c>
      <c r="N354" s="267" t="s">
        <v>39</v>
      </c>
      <c r="O354" s="221">
        <v>0</v>
      </c>
      <c r="P354" s="221">
        <f>O354*H354</f>
        <v>0</v>
      </c>
      <c r="Q354" s="221">
        <v>0.028000000000000001</v>
      </c>
      <c r="R354" s="221">
        <f>Q354*H354</f>
        <v>0.17808000000000002</v>
      </c>
      <c r="S354" s="221">
        <v>0</v>
      </c>
      <c r="T354" s="222">
        <f>S354*H354</f>
        <v>0</v>
      </c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R354" s="223" t="s">
        <v>241</v>
      </c>
      <c r="AT354" s="223" t="s">
        <v>475</v>
      </c>
      <c r="AU354" s="223" t="s">
        <v>83</v>
      </c>
      <c r="AY354" s="17" t="s">
        <v>142</v>
      </c>
      <c r="BE354" s="224">
        <f>IF(N354="základní",J354,0)</f>
        <v>69960</v>
      </c>
      <c r="BF354" s="224">
        <f>IF(N354="snížená",J354,0)</f>
        <v>0</v>
      </c>
      <c r="BG354" s="224">
        <f>IF(N354="zákl. přenesená",J354,0)</f>
        <v>0</v>
      </c>
      <c r="BH354" s="224">
        <f>IF(N354="sníž. přenesená",J354,0)</f>
        <v>0</v>
      </c>
      <c r="BI354" s="224">
        <f>IF(N354="nulová",J354,0)</f>
        <v>0</v>
      </c>
      <c r="BJ354" s="17" t="s">
        <v>19</v>
      </c>
      <c r="BK354" s="224">
        <f>ROUND(I354*H354,2)</f>
        <v>69960</v>
      </c>
      <c r="BL354" s="17" t="s">
        <v>222</v>
      </c>
      <c r="BM354" s="223" t="s">
        <v>706</v>
      </c>
    </row>
    <row r="355" s="12" customFormat="1" ht="22.8" customHeight="1">
      <c r="A355" s="12"/>
      <c r="B355" s="197"/>
      <c r="C355" s="198"/>
      <c r="D355" s="199" t="s">
        <v>73</v>
      </c>
      <c r="E355" s="210" t="s">
        <v>707</v>
      </c>
      <c r="F355" s="210" t="s">
        <v>708</v>
      </c>
      <c r="G355" s="198"/>
      <c r="H355" s="198"/>
      <c r="I355" s="198"/>
      <c r="J355" s="211">
        <f>BK355</f>
        <v>69853.5</v>
      </c>
      <c r="K355" s="198"/>
      <c r="L355" s="202"/>
      <c r="M355" s="203"/>
      <c r="N355" s="204"/>
      <c r="O355" s="204"/>
      <c r="P355" s="205">
        <f>SUM(P356:P358)</f>
        <v>43.211700000000008</v>
      </c>
      <c r="Q355" s="204"/>
      <c r="R355" s="205">
        <f>SUM(R356:R358)</f>
        <v>1.11531672</v>
      </c>
      <c r="S355" s="204"/>
      <c r="T355" s="206">
        <f>SUM(T356:T358)</f>
        <v>0</v>
      </c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R355" s="207" t="s">
        <v>83</v>
      </c>
      <c r="AT355" s="208" t="s">
        <v>73</v>
      </c>
      <c r="AU355" s="208" t="s">
        <v>19</v>
      </c>
      <c r="AY355" s="207" t="s">
        <v>142</v>
      </c>
      <c r="BK355" s="209">
        <f>SUM(BK356:BK358)</f>
        <v>69853.5</v>
      </c>
    </row>
    <row r="356" s="2" customFormat="1" ht="33" customHeight="1">
      <c r="A356" s="32"/>
      <c r="B356" s="33"/>
      <c r="C356" s="212" t="s">
        <v>709</v>
      </c>
      <c r="D356" s="212" t="s">
        <v>144</v>
      </c>
      <c r="E356" s="213" t="s">
        <v>710</v>
      </c>
      <c r="F356" s="214" t="s">
        <v>711</v>
      </c>
      <c r="G356" s="215" t="s">
        <v>96</v>
      </c>
      <c r="H356" s="216">
        <v>32.490000000000002</v>
      </c>
      <c r="I356" s="217">
        <v>2150</v>
      </c>
      <c r="J356" s="217">
        <f>ROUND(I356*H356,2)</f>
        <v>69853.5</v>
      </c>
      <c r="K356" s="218"/>
      <c r="L356" s="38"/>
      <c r="M356" s="219" t="s">
        <v>1</v>
      </c>
      <c r="N356" s="220" t="s">
        <v>39</v>
      </c>
      <c r="O356" s="221">
        <v>1.3300000000000001</v>
      </c>
      <c r="P356" s="221">
        <f>O356*H356</f>
        <v>43.211700000000008</v>
      </c>
      <c r="Q356" s="221">
        <v>0.034327999999999997</v>
      </c>
      <c r="R356" s="221">
        <f>Q356*H356</f>
        <v>1.11531672</v>
      </c>
      <c r="S356" s="221">
        <v>0</v>
      </c>
      <c r="T356" s="222">
        <f>S356*H356</f>
        <v>0</v>
      </c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R356" s="223" t="s">
        <v>222</v>
      </c>
      <c r="AT356" s="223" t="s">
        <v>144</v>
      </c>
      <c r="AU356" s="223" t="s">
        <v>83</v>
      </c>
      <c r="AY356" s="17" t="s">
        <v>142</v>
      </c>
      <c r="BE356" s="224">
        <f>IF(N356="základní",J356,0)</f>
        <v>69853.5</v>
      </c>
      <c r="BF356" s="224">
        <f>IF(N356="snížená",J356,0)</f>
        <v>0</v>
      </c>
      <c r="BG356" s="224">
        <f>IF(N356="zákl. přenesená",J356,0)</f>
        <v>0</v>
      </c>
      <c r="BH356" s="224">
        <f>IF(N356="sníž. přenesená",J356,0)</f>
        <v>0</v>
      </c>
      <c r="BI356" s="224">
        <f>IF(N356="nulová",J356,0)</f>
        <v>0</v>
      </c>
      <c r="BJ356" s="17" t="s">
        <v>19</v>
      </c>
      <c r="BK356" s="224">
        <f>ROUND(I356*H356,2)</f>
        <v>69853.5</v>
      </c>
      <c r="BL356" s="17" t="s">
        <v>222</v>
      </c>
      <c r="BM356" s="223" t="s">
        <v>712</v>
      </c>
    </row>
    <row r="357" s="15" customFormat="1">
      <c r="A357" s="15"/>
      <c r="B357" s="246"/>
      <c r="C357" s="247"/>
      <c r="D357" s="227" t="s">
        <v>149</v>
      </c>
      <c r="E357" s="248" t="s">
        <v>1</v>
      </c>
      <c r="F357" s="249" t="s">
        <v>713</v>
      </c>
      <c r="G357" s="247"/>
      <c r="H357" s="248" t="s">
        <v>1</v>
      </c>
      <c r="I357" s="247"/>
      <c r="J357" s="247"/>
      <c r="K357" s="247"/>
      <c r="L357" s="250"/>
      <c r="M357" s="251"/>
      <c r="N357" s="252"/>
      <c r="O357" s="252"/>
      <c r="P357" s="252"/>
      <c r="Q357" s="252"/>
      <c r="R357" s="252"/>
      <c r="S357" s="252"/>
      <c r="T357" s="253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T357" s="254" t="s">
        <v>149</v>
      </c>
      <c r="AU357" s="254" t="s">
        <v>83</v>
      </c>
      <c r="AV357" s="15" t="s">
        <v>19</v>
      </c>
      <c r="AW357" s="15" t="s">
        <v>32</v>
      </c>
      <c r="AX357" s="15" t="s">
        <v>74</v>
      </c>
      <c r="AY357" s="254" t="s">
        <v>142</v>
      </c>
    </row>
    <row r="358" s="13" customFormat="1">
      <c r="A358" s="13"/>
      <c r="B358" s="225"/>
      <c r="C358" s="226"/>
      <c r="D358" s="227" t="s">
        <v>149</v>
      </c>
      <c r="E358" s="228" t="s">
        <v>1</v>
      </c>
      <c r="F358" s="229" t="s">
        <v>714</v>
      </c>
      <c r="G358" s="226"/>
      <c r="H358" s="230">
        <v>32.490000000000002</v>
      </c>
      <c r="I358" s="226"/>
      <c r="J358" s="226"/>
      <c r="K358" s="226"/>
      <c r="L358" s="231"/>
      <c r="M358" s="232"/>
      <c r="N358" s="233"/>
      <c r="O358" s="233"/>
      <c r="P358" s="233"/>
      <c r="Q358" s="233"/>
      <c r="R358" s="233"/>
      <c r="S358" s="233"/>
      <c r="T358" s="234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T358" s="235" t="s">
        <v>149</v>
      </c>
      <c r="AU358" s="235" t="s">
        <v>83</v>
      </c>
      <c r="AV358" s="13" t="s">
        <v>83</v>
      </c>
      <c r="AW358" s="13" t="s">
        <v>32</v>
      </c>
      <c r="AX358" s="13" t="s">
        <v>19</v>
      </c>
      <c r="AY358" s="235" t="s">
        <v>142</v>
      </c>
    </row>
    <row r="359" s="12" customFormat="1" ht="22.8" customHeight="1">
      <c r="A359" s="12"/>
      <c r="B359" s="197"/>
      <c r="C359" s="198"/>
      <c r="D359" s="199" t="s">
        <v>73</v>
      </c>
      <c r="E359" s="210" t="s">
        <v>715</v>
      </c>
      <c r="F359" s="210" t="s">
        <v>716</v>
      </c>
      <c r="G359" s="198"/>
      <c r="H359" s="198"/>
      <c r="I359" s="198"/>
      <c r="J359" s="211">
        <f>BK359</f>
        <v>162028.79999999999</v>
      </c>
      <c r="K359" s="198"/>
      <c r="L359" s="202"/>
      <c r="M359" s="203"/>
      <c r="N359" s="204"/>
      <c r="O359" s="204"/>
      <c r="P359" s="205">
        <f>SUM(P360:P362)</f>
        <v>25.20448</v>
      </c>
      <c r="Q359" s="204"/>
      <c r="R359" s="205">
        <f>SUM(R360:R362)</f>
        <v>0.28692600000000001</v>
      </c>
      <c r="S359" s="204"/>
      <c r="T359" s="206">
        <f>SUM(T360:T362)</f>
        <v>0</v>
      </c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R359" s="207" t="s">
        <v>83</v>
      </c>
      <c r="AT359" s="208" t="s">
        <v>73</v>
      </c>
      <c r="AU359" s="208" t="s">
        <v>19</v>
      </c>
      <c r="AY359" s="207" t="s">
        <v>142</v>
      </c>
      <c r="BK359" s="209">
        <f>SUM(BK360:BK362)</f>
        <v>162028.79999999999</v>
      </c>
    </row>
    <row r="360" s="2" customFormat="1" ht="21.75" customHeight="1">
      <c r="A360" s="32"/>
      <c r="B360" s="33"/>
      <c r="C360" s="212" t="s">
        <v>717</v>
      </c>
      <c r="D360" s="212" t="s">
        <v>144</v>
      </c>
      <c r="E360" s="213" t="s">
        <v>718</v>
      </c>
      <c r="F360" s="214" t="s">
        <v>719</v>
      </c>
      <c r="G360" s="215" t="s">
        <v>96</v>
      </c>
      <c r="H360" s="216">
        <v>112.52</v>
      </c>
      <c r="I360" s="217">
        <v>1440</v>
      </c>
      <c r="J360" s="217">
        <f>ROUND(I360*H360,2)</f>
        <v>162028.79999999999</v>
      </c>
      <c r="K360" s="218"/>
      <c r="L360" s="38"/>
      <c r="M360" s="219" t="s">
        <v>1</v>
      </c>
      <c r="N360" s="220" t="s">
        <v>39</v>
      </c>
      <c r="O360" s="221">
        <v>0.22400000000000001</v>
      </c>
      <c r="P360" s="221">
        <f>O360*H360</f>
        <v>25.20448</v>
      </c>
      <c r="Q360" s="221">
        <v>0.0025500000000000002</v>
      </c>
      <c r="R360" s="221">
        <f>Q360*H360</f>
        <v>0.28692600000000001</v>
      </c>
      <c r="S360" s="221">
        <v>0</v>
      </c>
      <c r="T360" s="222">
        <f>S360*H360</f>
        <v>0</v>
      </c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R360" s="223" t="s">
        <v>222</v>
      </c>
      <c r="AT360" s="223" t="s">
        <v>144</v>
      </c>
      <c r="AU360" s="223" t="s">
        <v>83</v>
      </c>
      <c r="AY360" s="17" t="s">
        <v>142</v>
      </c>
      <c r="BE360" s="224">
        <f>IF(N360="základní",J360,0)</f>
        <v>162028.79999999999</v>
      </c>
      <c r="BF360" s="224">
        <f>IF(N360="snížená",J360,0)</f>
        <v>0</v>
      </c>
      <c r="BG360" s="224">
        <f>IF(N360="zákl. přenesená",J360,0)</f>
        <v>0</v>
      </c>
      <c r="BH360" s="224">
        <f>IF(N360="sníž. přenesená",J360,0)</f>
        <v>0</v>
      </c>
      <c r="BI360" s="224">
        <f>IF(N360="nulová",J360,0)</f>
        <v>0</v>
      </c>
      <c r="BJ360" s="17" t="s">
        <v>19</v>
      </c>
      <c r="BK360" s="224">
        <f>ROUND(I360*H360,2)</f>
        <v>162028.79999999999</v>
      </c>
      <c r="BL360" s="17" t="s">
        <v>222</v>
      </c>
      <c r="BM360" s="223" t="s">
        <v>720</v>
      </c>
    </row>
    <row r="361" s="15" customFormat="1">
      <c r="A361" s="15"/>
      <c r="B361" s="246"/>
      <c r="C361" s="247"/>
      <c r="D361" s="227" t="s">
        <v>149</v>
      </c>
      <c r="E361" s="248" t="s">
        <v>1</v>
      </c>
      <c r="F361" s="249" t="s">
        <v>721</v>
      </c>
      <c r="G361" s="247"/>
      <c r="H361" s="248" t="s">
        <v>1</v>
      </c>
      <c r="I361" s="247"/>
      <c r="J361" s="247"/>
      <c r="K361" s="247"/>
      <c r="L361" s="250"/>
      <c r="M361" s="251"/>
      <c r="N361" s="252"/>
      <c r="O361" s="252"/>
      <c r="P361" s="252"/>
      <c r="Q361" s="252"/>
      <c r="R361" s="252"/>
      <c r="S361" s="252"/>
      <c r="T361" s="253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T361" s="254" t="s">
        <v>149</v>
      </c>
      <c r="AU361" s="254" t="s">
        <v>83</v>
      </c>
      <c r="AV361" s="15" t="s">
        <v>19</v>
      </c>
      <c r="AW361" s="15" t="s">
        <v>32</v>
      </c>
      <c r="AX361" s="15" t="s">
        <v>74</v>
      </c>
      <c r="AY361" s="254" t="s">
        <v>142</v>
      </c>
    </row>
    <row r="362" s="13" customFormat="1">
      <c r="A362" s="13"/>
      <c r="B362" s="225"/>
      <c r="C362" s="226"/>
      <c r="D362" s="227" t="s">
        <v>149</v>
      </c>
      <c r="E362" s="228" t="s">
        <v>1</v>
      </c>
      <c r="F362" s="229" t="s">
        <v>722</v>
      </c>
      <c r="G362" s="226"/>
      <c r="H362" s="230">
        <v>112.52</v>
      </c>
      <c r="I362" s="226"/>
      <c r="J362" s="226"/>
      <c r="K362" s="226"/>
      <c r="L362" s="231"/>
      <c r="M362" s="268"/>
      <c r="N362" s="269"/>
      <c r="O362" s="269"/>
      <c r="P362" s="269"/>
      <c r="Q362" s="269"/>
      <c r="R362" s="269"/>
      <c r="S362" s="269"/>
      <c r="T362" s="270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T362" s="235" t="s">
        <v>149</v>
      </c>
      <c r="AU362" s="235" t="s">
        <v>83</v>
      </c>
      <c r="AV362" s="13" t="s">
        <v>83</v>
      </c>
      <c r="AW362" s="13" t="s">
        <v>32</v>
      </c>
      <c r="AX362" s="13" t="s">
        <v>19</v>
      </c>
      <c r="AY362" s="235" t="s">
        <v>142</v>
      </c>
    </row>
    <row r="363" s="2" customFormat="1" ht="6.96" customHeight="1">
      <c r="A363" s="32"/>
      <c r="B363" s="59"/>
      <c r="C363" s="60"/>
      <c r="D363" s="60"/>
      <c r="E363" s="60"/>
      <c r="F363" s="60"/>
      <c r="G363" s="60"/>
      <c r="H363" s="60"/>
      <c r="I363" s="60"/>
      <c r="J363" s="60"/>
      <c r="K363" s="60"/>
      <c r="L363" s="38"/>
      <c r="M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</sheetData>
  <sheetProtection sheet="1" autoFilter="0" formatColumns="0" formatRows="0" objects="1" scenarios="1" spinCount="100000" saltValue="2rBT+UJJ6nv7P649a+4BYdZ5KHQ3j9Hbt/BLQVgYXAv1tgNylxJfQktdGLUqVDwd8KgcZAF9byVaxw3iJ303BQ==" hashValue="6MyTbylUfK4bWLIYKIEpHoYWje2rsFILKSllh5n9TfX2AHPqDhQFmuxb7TEts6u3mj4Eem0GU+sIrFVPoDoXjw==" algorithmName="SHA-512" password="CC35"/>
  <autoFilter ref="C132:K362"/>
  <mergeCells count="9">
    <mergeCell ref="E7:H7"/>
    <mergeCell ref="E9:H9"/>
    <mergeCell ref="E18:H18"/>
    <mergeCell ref="E27:H27"/>
    <mergeCell ref="E85:H85"/>
    <mergeCell ref="E87:H87"/>
    <mergeCell ref="E123:H123"/>
    <mergeCell ref="E125:H125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2"/>
    </row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7" t="s">
        <v>86</v>
      </c>
    </row>
    <row r="3" s="1" customFormat="1" ht="6.96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"/>
      <c r="AT3" s="17" t="s">
        <v>83</v>
      </c>
    </row>
    <row r="4" s="1" customFormat="1" ht="24.96" customHeight="1">
      <c r="B4" s="20"/>
      <c r="D4" s="132" t="s">
        <v>102</v>
      </c>
      <c r="L4" s="20"/>
      <c r="M4" s="133" t="s">
        <v>10</v>
      </c>
      <c r="AT4" s="17" t="s">
        <v>4</v>
      </c>
    </row>
    <row r="5" s="1" customFormat="1" ht="6.96" customHeight="1">
      <c r="B5" s="20"/>
      <c r="L5" s="20"/>
    </row>
    <row r="6" s="1" customFormat="1" ht="12" customHeight="1">
      <c r="B6" s="20"/>
      <c r="D6" s="134" t="s">
        <v>14</v>
      </c>
      <c r="L6" s="20"/>
    </row>
    <row r="7" s="1" customFormat="1" ht="16.5" customHeight="1">
      <c r="B7" s="20"/>
      <c r="E7" s="135" t="str">
        <f>'Rekapitulace stavby'!K6</f>
        <v>RD Valcha SO1+ SO2</v>
      </c>
      <c r="F7" s="134"/>
      <c r="G7" s="134"/>
      <c r="H7" s="134"/>
      <c r="L7" s="20"/>
    </row>
    <row r="8" s="2" customFormat="1" ht="12" customHeight="1">
      <c r="A8" s="32"/>
      <c r="B8" s="38"/>
      <c r="C8" s="32"/>
      <c r="D8" s="134" t="s">
        <v>103</v>
      </c>
      <c r="E8" s="32"/>
      <c r="F8" s="32"/>
      <c r="G8" s="32"/>
      <c r="H8" s="32"/>
      <c r="I8" s="32"/>
      <c r="J8" s="32"/>
      <c r="K8" s="32"/>
      <c r="L8" s="56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="2" customFormat="1" ht="16.5" customHeight="1">
      <c r="A9" s="32"/>
      <c r="B9" s="38"/>
      <c r="C9" s="32"/>
      <c r="D9" s="32"/>
      <c r="E9" s="136" t="s">
        <v>723</v>
      </c>
      <c r="F9" s="32"/>
      <c r="G9" s="32"/>
      <c r="H9" s="32"/>
      <c r="I9" s="32"/>
      <c r="J9" s="32"/>
      <c r="K9" s="32"/>
      <c r="L9" s="5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="2" customFormat="1">
      <c r="A10" s="32"/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5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="2" customFormat="1" ht="12" customHeight="1">
      <c r="A11" s="32"/>
      <c r="B11" s="38"/>
      <c r="C11" s="32"/>
      <c r="D11" s="134" t="s">
        <v>17</v>
      </c>
      <c r="E11" s="32"/>
      <c r="F11" s="137" t="s">
        <v>1</v>
      </c>
      <c r="G11" s="32"/>
      <c r="H11" s="32"/>
      <c r="I11" s="134" t="s">
        <v>18</v>
      </c>
      <c r="J11" s="137" t="s">
        <v>1</v>
      </c>
      <c r="K11" s="32"/>
      <c r="L11" s="5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="2" customFormat="1" ht="12" customHeight="1">
      <c r="A12" s="32"/>
      <c r="B12" s="38"/>
      <c r="C12" s="32"/>
      <c r="D12" s="134" t="s">
        <v>20</v>
      </c>
      <c r="E12" s="32"/>
      <c r="F12" s="137" t="s">
        <v>21</v>
      </c>
      <c r="G12" s="32"/>
      <c r="H12" s="32"/>
      <c r="I12" s="134" t="s">
        <v>22</v>
      </c>
      <c r="J12" s="138" t="str">
        <f>'Rekapitulace stavby'!AN8</f>
        <v>8. 9. 2025</v>
      </c>
      <c r="K12" s="32"/>
      <c r="L12" s="5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="2" customFormat="1" ht="10.8" customHeight="1">
      <c r="A13" s="32"/>
      <c r="B13" s="38"/>
      <c r="C13" s="32"/>
      <c r="D13" s="32"/>
      <c r="E13" s="32"/>
      <c r="F13" s="32"/>
      <c r="G13" s="32"/>
      <c r="H13" s="32"/>
      <c r="I13" s="32"/>
      <c r="J13" s="32"/>
      <c r="K13" s="32"/>
      <c r="L13" s="5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="2" customFormat="1" ht="12" customHeight="1">
      <c r="A14" s="32"/>
      <c r="B14" s="38"/>
      <c r="C14" s="32"/>
      <c r="D14" s="134" t="s">
        <v>26</v>
      </c>
      <c r="E14" s="32"/>
      <c r="F14" s="32"/>
      <c r="G14" s="32"/>
      <c r="H14" s="32"/>
      <c r="I14" s="134" t="s">
        <v>27</v>
      </c>
      <c r="J14" s="137" t="str">
        <f>IF('Rekapitulace stavby'!AN10="","",'Rekapitulace stavby'!AN10)</f>
        <v/>
      </c>
      <c r="K14" s="32"/>
      <c r="L14" s="5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="2" customFormat="1" ht="18" customHeight="1">
      <c r="A15" s="32"/>
      <c r="B15" s="38"/>
      <c r="C15" s="32"/>
      <c r="D15" s="32"/>
      <c r="E15" s="137" t="str">
        <f>IF('Rekapitulace stavby'!E11="","",'Rekapitulace stavby'!E11)</f>
        <v xml:space="preserve"> </v>
      </c>
      <c r="F15" s="32"/>
      <c r="G15" s="32"/>
      <c r="H15" s="32"/>
      <c r="I15" s="134" t="s">
        <v>28</v>
      </c>
      <c r="J15" s="137" t="str">
        <f>IF('Rekapitulace stavby'!AN11="","",'Rekapitulace stavby'!AN11)</f>
        <v/>
      </c>
      <c r="K15" s="32"/>
      <c r="L15" s="5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="2" customFormat="1" ht="6.96" customHeight="1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5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="2" customFormat="1" ht="12" customHeight="1">
      <c r="A17" s="32"/>
      <c r="B17" s="38"/>
      <c r="C17" s="32"/>
      <c r="D17" s="134" t="s">
        <v>29</v>
      </c>
      <c r="E17" s="32"/>
      <c r="F17" s="32"/>
      <c r="G17" s="32"/>
      <c r="H17" s="32"/>
      <c r="I17" s="134" t="s">
        <v>27</v>
      </c>
      <c r="J17" s="137" t="str">
        <f>'Rekapitulace stavby'!AN13</f>
        <v/>
      </c>
      <c r="K17" s="32"/>
      <c r="L17" s="5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="2" customFormat="1" ht="18" customHeight="1">
      <c r="A18" s="32"/>
      <c r="B18" s="38"/>
      <c r="C18" s="32"/>
      <c r="D18" s="32"/>
      <c r="E18" s="137" t="str">
        <f>'Rekapitulace stavby'!E14</f>
        <v xml:space="preserve"> </v>
      </c>
      <c r="F18" s="137"/>
      <c r="G18" s="137"/>
      <c r="H18" s="137"/>
      <c r="I18" s="134" t="s">
        <v>28</v>
      </c>
      <c r="J18" s="137" t="str">
        <f>'Rekapitulace stavby'!AN14</f>
        <v/>
      </c>
      <c r="K18" s="32"/>
      <c r="L18" s="5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="2" customFormat="1" ht="6.96" customHeight="1">
      <c r="A19" s="32"/>
      <c r="B19" s="38"/>
      <c r="C19" s="32"/>
      <c r="D19" s="32"/>
      <c r="E19" s="32"/>
      <c r="F19" s="32"/>
      <c r="G19" s="32"/>
      <c r="H19" s="32"/>
      <c r="I19" s="32"/>
      <c r="J19" s="32"/>
      <c r="K19" s="32"/>
      <c r="L19" s="5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="2" customFormat="1" ht="12" customHeight="1">
      <c r="A20" s="32"/>
      <c r="B20" s="38"/>
      <c r="C20" s="32"/>
      <c r="D20" s="134" t="s">
        <v>30</v>
      </c>
      <c r="E20" s="32"/>
      <c r="F20" s="32"/>
      <c r="G20" s="32"/>
      <c r="H20" s="32"/>
      <c r="I20" s="134" t="s">
        <v>27</v>
      </c>
      <c r="J20" s="137" t="str">
        <f>IF('Rekapitulace stavby'!AN16="","",'Rekapitulace stavby'!AN16)</f>
        <v/>
      </c>
      <c r="K20" s="32"/>
      <c r="L20" s="5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="2" customFormat="1" ht="18" customHeight="1">
      <c r="A21" s="32"/>
      <c r="B21" s="38"/>
      <c r="C21" s="32"/>
      <c r="D21" s="32"/>
      <c r="E21" s="137" t="str">
        <f>IF('Rekapitulace stavby'!E17="","",'Rekapitulace stavby'!E17)</f>
        <v xml:space="preserve"> </v>
      </c>
      <c r="F21" s="32"/>
      <c r="G21" s="32"/>
      <c r="H21" s="32"/>
      <c r="I21" s="134" t="s">
        <v>28</v>
      </c>
      <c r="J21" s="137" t="str">
        <f>IF('Rekapitulace stavby'!AN17="","",'Rekapitulace stavby'!AN17)</f>
        <v/>
      </c>
      <c r="K21" s="32"/>
      <c r="L21" s="5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="2" customFormat="1" ht="6.96" customHeight="1">
      <c r="A22" s="32"/>
      <c r="B22" s="38"/>
      <c r="C22" s="32"/>
      <c r="D22" s="32"/>
      <c r="E22" s="32"/>
      <c r="F22" s="32"/>
      <c r="G22" s="32"/>
      <c r="H22" s="32"/>
      <c r="I22" s="32"/>
      <c r="J22" s="32"/>
      <c r="K22" s="32"/>
      <c r="L22" s="5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="2" customFormat="1" ht="12" customHeight="1">
      <c r="A23" s="32"/>
      <c r="B23" s="38"/>
      <c r="C23" s="32"/>
      <c r="D23" s="134" t="s">
        <v>31</v>
      </c>
      <c r="E23" s="32"/>
      <c r="F23" s="32"/>
      <c r="G23" s="32"/>
      <c r="H23" s="32"/>
      <c r="I23" s="134" t="s">
        <v>27</v>
      </c>
      <c r="J23" s="137" t="str">
        <f>IF('Rekapitulace stavby'!AN19="","",'Rekapitulace stavby'!AN19)</f>
        <v/>
      </c>
      <c r="K23" s="32"/>
      <c r="L23" s="5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="2" customFormat="1" ht="18" customHeight="1">
      <c r="A24" s="32"/>
      <c r="B24" s="38"/>
      <c r="C24" s="32"/>
      <c r="D24" s="32"/>
      <c r="E24" s="137" t="str">
        <f>IF('Rekapitulace stavby'!E20="","",'Rekapitulace stavby'!E20)</f>
        <v xml:space="preserve"> </v>
      </c>
      <c r="F24" s="32"/>
      <c r="G24" s="32"/>
      <c r="H24" s="32"/>
      <c r="I24" s="134" t="s">
        <v>28</v>
      </c>
      <c r="J24" s="137" t="str">
        <f>IF('Rekapitulace stavby'!AN20="","",'Rekapitulace stavby'!AN20)</f>
        <v/>
      </c>
      <c r="K24" s="32"/>
      <c r="L24" s="5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="2" customFormat="1" ht="6.96" customHeight="1">
      <c r="A25" s="32"/>
      <c r="B25" s="38"/>
      <c r="C25" s="32"/>
      <c r="D25" s="32"/>
      <c r="E25" s="32"/>
      <c r="F25" s="32"/>
      <c r="G25" s="32"/>
      <c r="H25" s="32"/>
      <c r="I25" s="32"/>
      <c r="J25" s="32"/>
      <c r="K25" s="32"/>
      <c r="L25" s="5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="2" customFormat="1" ht="12" customHeight="1">
      <c r="A26" s="32"/>
      <c r="B26" s="38"/>
      <c r="C26" s="32"/>
      <c r="D26" s="134" t="s">
        <v>33</v>
      </c>
      <c r="E26" s="32"/>
      <c r="F26" s="32"/>
      <c r="G26" s="32"/>
      <c r="H26" s="32"/>
      <c r="I26" s="32"/>
      <c r="J26" s="32"/>
      <c r="K26" s="32"/>
      <c r="L26" s="5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="8" customFormat="1" ht="16.5" customHeight="1">
      <c r="A27" s="139"/>
      <c r="B27" s="140"/>
      <c r="C27" s="139"/>
      <c r="D27" s="139"/>
      <c r="E27" s="141" t="s">
        <v>1</v>
      </c>
      <c r="F27" s="141"/>
      <c r="G27" s="141"/>
      <c r="H27" s="141"/>
      <c r="I27" s="139"/>
      <c r="J27" s="139"/>
      <c r="K27" s="139"/>
      <c r="L27" s="142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s="2" customFormat="1" ht="6.96" customHeight="1">
      <c r="A28" s="32"/>
      <c r="B28" s="38"/>
      <c r="C28" s="32"/>
      <c r="D28" s="32"/>
      <c r="E28" s="32"/>
      <c r="F28" s="32"/>
      <c r="G28" s="32"/>
      <c r="H28" s="32"/>
      <c r="I28" s="32"/>
      <c r="J28" s="32"/>
      <c r="K28" s="32"/>
      <c r="L28" s="5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="2" customFormat="1" ht="6.96" customHeight="1">
      <c r="A29" s="32"/>
      <c r="B29" s="38"/>
      <c r="C29" s="32"/>
      <c r="D29" s="143"/>
      <c r="E29" s="143"/>
      <c r="F29" s="143"/>
      <c r="G29" s="143"/>
      <c r="H29" s="143"/>
      <c r="I29" s="143"/>
      <c r="J29" s="143"/>
      <c r="K29" s="143"/>
      <c r="L29" s="5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="2" customFormat="1" ht="25.44" customHeight="1">
      <c r="A30" s="32"/>
      <c r="B30" s="38"/>
      <c r="C30" s="32"/>
      <c r="D30" s="144" t="s">
        <v>34</v>
      </c>
      <c r="E30" s="32"/>
      <c r="F30" s="32"/>
      <c r="G30" s="32"/>
      <c r="H30" s="32"/>
      <c r="I30" s="32"/>
      <c r="J30" s="145">
        <f>ROUND(J129, 2)</f>
        <v>2531283.3799999999</v>
      </c>
      <c r="K30" s="32"/>
      <c r="L30" s="5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="2" customFormat="1" ht="6.96" customHeight="1">
      <c r="A31" s="32"/>
      <c r="B31" s="38"/>
      <c r="C31" s="32"/>
      <c r="D31" s="143"/>
      <c r="E31" s="143"/>
      <c r="F31" s="143"/>
      <c r="G31" s="143"/>
      <c r="H31" s="143"/>
      <c r="I31" s="143"/>
      <c r="J31" s="143"/>
      <c r="K31" s="143"/>
      <c r="L31" s="5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="2" customFormat="1" ht="14.4" customHeight="1">
      <c r="A32" s="32"/>
      <c r="B32" s="38"/>
      <c r="C32" s="32"/>
      <c r="D32" s="32"/>
      <c r="E32" s="32"/>
      <c r="F32" s="146" t="s">
        <v>36</v>
      </c>
      <c r="G32" s="32"/>
      <c r="H32" s="32"/>
      <c r="I32" s="146" t="s">
        <v>35</v>
      </c>
      <c r="J32" s="146" t="s">
        <v>37</v>
      </c>
      <c r="K32" s="32"/>
      <c r="L32" s="5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="2" customFormat="1" ht="14.4" customHeight="1">
      <c r="A33" s="32"/>
      <c r="B33" s="38"/>
      <c r="C33" s="32"/>
      <c r="D33" s="147" t="s">
        <v>38</v>
      </c>
      <c r="E33" s="134" t="s">
        <v>39</v>
      </c>
      <c r="F33" s="148">
        <f>ROUND((SUM(BE129:BE276)),  2)</f>
        <v>2531283.3799999999</v>
      </c>
      <c r="G33" s="32"/>
      <c r="H33" s="32"/>
      <c r="I33" s="149">
        <v>0.20999999999999999</v>
      </c>
      <c r="J33" s="148">
        <f>ROUND(((SUM(BE129:BE276))*I33),  2)</f>
        <v>531569.51000000001</v>
      </c>
      <c r="K33" s="32"/>
      <c r="L33" s="5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="2" customFormat="1" ht="14.4" customHeight="1">
      <c r="A34" s="32"/>
      <c r="B34" s="38"/>
      <c r="C34" s="32"/>
      <c r="D34" s="32"/>
      <c r="E34" s="134" t="s">
        <v>40</v>
      </c>
      <c r="F34" s="148">
        <f>ROUND((SUM(BF129:BF276)),  2)</f>
        <v>0</v>
      </c>
      <c r="G34" s="32"/>
      <c r="H34" s="32"/>
      <c r="I34" s="149">
        <v>0.12</v>
      </c>
      <c r="J34" s="148">
        <f>ROUND(((SUM(BF129:BF276))*I34),  2)</f>
        <v>0</v>
      </c>
      <c r="K34" s="32"/>
      <c r="L34" s="5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idden="1" s="2" customFormat="1" ht="14.4" customHeight="1">
      <c r="A35" s="32"/>
      <c r="B35" s="38"/>
      <c r="C35" s="32"/>
      <c r="D35" s="32"/>
      <c r="E35" s="134" t="s">
        <v>41</v>
      </c>
      <c r="F35" s="148">
        <f>ROUND((SUM(BG129:BG276)),  2)</f>
        <v>0</v>
      </c>
      <c r="G35" s="32"/>
      <c r="H35" s="32"/>
      <c r="I35" s="149">
        <v>0.20999999999999999</v>
      </c>
      <c r="J35" s="148">
        <f>0</f>
        <v>0</v>
      </c>
      <c r="K35" s="32"/>
      <c r="L35" s="5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idden="1" s="2" customFormat="1" ht="14.4" customHeight="1">
      <c r="A36" s="32"/>
      <c r="B36" s="38"/>
      <c r="C36" s="32"/>
      <c r="D36" s="32"/>
      <c r="E36" s="134" t="s">
        <v>42</v>
      </c>
      <c r="F36" s="148">
        <f>ROUND((SUM(BH129:BH276)),  2)</f>
        <v>0</v>
      </c>
      <c r="G36" s="32"/>
      <c r="H36" s="32"/>
      <c r="I36" s="149">
        <v>0.12</v>
      </c>
      <c r="J36" s="148">
        <f>0</f>
        <v>0</v>
      </c>
      <c r="K36" s="32"/>
      <c r="L36" s="5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idden="1" s="2" customFormat="1" ht="14.4" customHeight="1">
      <c r="A37" s="32"/>
      <c r="B37" s="38"/>
      <c r="C37" s="32"/>
      <c r="D37" s="32"/>
      <c r="E37" s="134" t="s">
        <v>43</v>
      </c>
      <c r="F37" s="148">
        <f>ROUND((SUM(BI129:BI276)),  2)</f>
        <v>0</v>
      </c>
      <c r="G37" s="32"/>
      <c r="H37" s="32"/>
      <c r="I37" s="149">
        <v>0</v>
      </c>
      <c r="J37" s="148">
        <f>0</f>
        <v>0</v>
      </c>
      <c r="K37" s="32"/>
      <c r="L37" s="5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="2" customFormat="1" ht="6.96" customHeight="1">
      <c r="A38" s="32"/>
      <c r="B38" s="38"/>
      <c r="C38" s="32"/>
      <c r="D38" s="32"/>
      <c r="E38" s="32"/>
      <c r="F38" s="32"/>
      <c r="G38" s="32"/>
      <c r="H38" s="32"/>
      <c r="I38" s="32"/>
      <c r="J38" s="32"/>
      <c r="K38" s="32"/>
      <c r="L38" s="5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="2" customFormat="1" ht="25.44" customHeight="1">
      <c r="A39" s="32"/>
      <c r="B39" s="38"/>
      <c r="C39" s="150"/>
      <c r="D39" s="151" t="s">
        <v>44</v>
      </c>
      <c r="E39" s="152"/>
      <c r="F39" s="152"/>
      <c r="G39" s="153" t="s">
        <v>45</v>
      </c>
      <c r="H39" s="154" t="s">
        <v>46</v>
      </c>
      <c r="I39" s="152"/>
      <c r="J39" s="155">
        <f>SUM(J30:J37)</f>
        <v>3062852.8899999997</v>
      </c>
      <c r="K39" s="156"/>
      <c r="L39" s="5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="2" customFormat="1" ht="14.4" customHeight="1">
      <c r="A40" s="32"/>
      <c r="B40" s="38"/>
      <c r="C40" s="32"/>
      <c r="D40" s="32"/>
      <c r="E40" s="32"/>
      <c r="F40" s="32"/>
      <c r="G40" s="32"/>
      <c r="H40" s="32"/>
      <c r="I40" s="32"/>
      <c r="J40" s="32"/>
      <c r="K40" s="32"/>
      <c r="L40" s="5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="1" customFormat="1" ht="14.4" customHeight="1">
      <c r="B41" s="20"/>
      <c r="L41" s="20"/>
    </row>
    <row r="42" s="1" customFormat="1" ht="14.4" customHeight="1">
      <c r="B42" s="20"/>
      <c r="L42" s="20"/>
    </row>
    <row r="43" s="1" customFormat="1" ht="14.4" customHeight="1">
      <c r="B43" s="20"/>
      <c r="L43" s="20"/>
    </row>
    <row r="44" s="1" customFormat="1" ht="14.4" customHeight="1">
      <c r="B44" s="20"/>
      <c r="L44" s="20"/>
    </row>
    <row r="45" s="1" customFormat="1" ht="14.4" customHeight="1">
      <c r="B45" s="20"/>
      <c r="L45" s="20"/>
    </row>
    <row r="46" s="1" customFormat="1" ht="14.4" customHeight="1">
      <c r="B46" s="20"/>
      <c r="L46" s="20"/>
    </row>
    <row r="47" s="1" customFormat="1" ht="14.4" customHeight="1">
      <c r="B47" s="20"/>
      <c r="L47" s="20"/>
    </row>
    <row r="48" s="1" customFormat="1" ht="14.4" customHeight="1">
      <c r="B48" s="20"/>
      <c r="L48" s="20"/>
    </row>
    <row r="49" s="1" customFormat="1" ht="14.4" customHeight="1">
      <c r="B49" s="20"/>
      <c r="L49" s="20"/>
    </row>
    <row r="50" s="2" customFormat="1" ht="14.4" customHeight="1">
      <c r="B50" s="56"/>
      <c r="D50" s="157" t="s">
        <v>47</v>
      </c>
      <c r="E50" s="158"/>
      <c r="F50" s="158"/>
      <c r="G50" s="157" t="s">
        <v>48</v>
      </c>
      <c r="H50" s="158"/>
      <c r="I50" s="158"/>
      <c r="J50" s="158"/>
      <c r="K50" s="158"/>
      <c r="L50" s="56"/>
    </row>
    <row r="51">
      <c r="B51" s="20"/>
      <c r="L51" s="20"/>
    </row>
    <row r="52">
      <c r="B52" s="20"/>
      <c r="L52" s="20"/>
    </row>
    <row r="53">
      <c r="B53" s="20"/>
      <c r="L53" s="20"/>
    </row>
    <row r="54">
      <c r="B54" s="20"/>
      <c r="L54" s="20"/>
    </row>
    <row r="55">
      <c r="B55" s="20"/>
      <c r="L55" s="20"/>
    </row>
    <row r="56">
      <c r="B56" s="20"/>
      <c r="L56" s="20"/>
    </row>
    <row r="57">
      <c r="B57" s="20"/>
      <c r="L57" s="20"/>
    </row>
    <row r="58">
      <c r="B58" s="20"/>
      <c r="L58" s="20"/>
    </row>
    <row r="59">
      <c r="B59" s="20"/>
      <c r="L59" s="20"/>
    </row>
    <row r="60">
      <c r="B60" s="20"/>
      <c r="L60" s="20"/>
    </row>
    <row r="61" s="2" customFormat="1">
      <c r="A61" s="32"/>
      <c r="B61" s="38"/>
      <c r="C61" s="32"/>
      <c r="D61" s="159" t="s">
        <v>49</v>
      </c>
      <c r="E61" s="160"/>
      <c r="F61" s="161" t="s">
        <v>50</v>
      </c>
      <c r="G61" s="159" t="s">
        <v>49</v>
      </c>
      <c r="H61" s="160"/>
      <c r="I61" s="160"/>
      <c r="J61" s="162" t="s">
        <v>50</v>
      </c>
      <c r="K61" s="160"/>
      <c r="L61" s="5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B62" s="20"/>
      <c r="L62" s="20"/>
    </row>
    <row r="63">
      <c r="B63" s="20"/>
      <c r="L63" s="20"/>
    </row>
    <row r="64">
      <c r="B64" s="20"/>
      <c r="L64" s="20"/>
    </row>
    <row r="65" s="2" customFormat="1">
      <c r="A65" s="32"/>
      <c r="B65" s="38"/>
      <c r="C65" s="32"/>
      <c r="D65" s="157" t="s">
        <v>51</v>
      </c>
      <c r="E65" s="163"/>
      <c r="F65" s="163"/>
      <c r="G65" s="157" t="s">
        <v>52</v>
      </c>
      <c r="H65" s="163"/>
      <c r="I65" s="163"/>
      <c r="J65" s="163"/>
      <c r="K65" s="163"/>
      <c r="L65" s="5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B66" s="20"/>
      <c r="L66" s="20"/>
    </row>
    <row r="67">
      <c r="B67" s="20"/>
      <c r="L67" s="20"/>
    </row>
    <row r="68">
      <c r="B68" s="20"/>
      <c r="L68" s="20"/>
    </row>
    <row r="69">
      <c r="B69" s="20"/>
      <c r="L69" s="20"/>
    </row>
    <row r="70">
      <c r="B70" s="20"/>
      <c r="L70" s="20"/>
    </row>
    <row r="71">
      <c r="B71" s="20"/>
      <c r="L71" s="20"/>
    </row>
    <row r="72">
      <c r="B72" s="20"/>
      <c r="L72" s="20"/>
    </row>
    <row r="73">
      <c r="B73" s="20"/>
      <c r="L73" s="20"/>
    </row>
    <row r="74">
      <c r="B74" s="20"/>
      <c r="L74" s="20"/>
    </row>
    <row r="75">
      <c r="B75" s="20"/>
      <c r="L75" s="20"/>
    </row>
    <row r="76" s="2" customFormat="1">
      <c r="A76" s="32"/>
      <c r="B76" s="38"/>
      <c r="C76" s="32"/>
      <c r="D76" s="159" t="s">
        <v>49</v>
      </c>
      <c r="E76" s="160"/>
      <c r="F76" s="161" t="s">
        <v>50</v>
      </c>
      <c r="G76" s="159" t="s">
        <v>49</v>
      </c>
      <c r="H76" s="160"/>
      <c r="I76" s="160"/>
      <c r="J76" s="162" t="s">
        <v>50</v>
      </c>
      <c r="K76" s="160"/>
      <c r="L76" s="5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="2" customFormat="1" ht="14.4" customHeight="1">
      <c r="A77" s="32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5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81" s="2" customFormat="1" ht="6.96" customHeight="1">
      <c r="A81" s="32"/>
      <c r="B81" s="166"/>
      <c r="C81" s="167"/>
      <c r="D81" s="167"/>
      <c r="E81" s="167"/>
      <c r="F81" s="167"/>
      <c r="G81" s="167"/>
      <c r="H81" s="167"/>
      <c r="I81" s="167"/>
      <c r="J81" s="167"/>
      <c r="K81" s="167"/>
      <c r="L81" s="5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="2" customFormat="1" ht="24.96" customHeight="1">
      <c r="A82" s="32"/>
      <c r="B82" s="33"/>
      <c r="C82" s="23" t="s">
        <v>105</v>
      </c>
      <c r="D82" s="34"/>
      <c r="E82" s="34"/>
      <c r="F82" s="34"/>
      <c r="G82" s="34"/>
      <c r="H82" s="34"/>
      <c r="I82" s="34"/>
      <c r="J82" s="34"/>
      <c r="K82" s="34"/>
      <c r="L82" s="5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5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="2" customFormat="1" ht="12" customHeight="1">
      <c r="A84" s="32"/>
      <c r="B84" s="33"/>
      <c r="C84" s="29" t="s">
        <v>14</v>
      </c>
      <c r="D84" s="34"/>
      <c r="E84" s="34"/>
      <c r="F84" s="34"/>
      <c r="G84" s="34"/>
      <c r="H84" s="34"/>
      <c r="I84" s="34"/>
      <c r="J84" s="34"/>
      <c r="K84" s="34"/>
      <c r="L84" s="5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="2" customFormat="1" ht="16.5" customHeight="1">
      <c r="A85" s="32"/>
      <c r="B85" s="33"/>
      <c r="C85" s="34"/>
      <c r="D85" s="34"/>
      <c r="E85" s="168" t="str">
        <f>E7</f>
        <v>RD Valcha SO1+ SO2</v>
      </c>
      <c r="F85" s="29"/>
      <c r="G85" s="29"/>
      <c r="H85" s="29"/>
      <c r="I85" s="34"/>
      <c r="J85" s="34"/>
      <c r="K85" s="34"/>
      <c r="L85" s="5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="2" customFormat="1" ht="12" customHeight="1">
      <c r="A86" s="32"/>
      <c r="B86" s="33"/>
      <c r="C86" s="29" t="s">
        <v>103</v>
      </c>
      <c r="D86" s="34"/>
      <c r="E86" s="34"/>
      <c r="F86" s="34"/>
      <c r="G86" s="34"/>
      <c r="H86" s="34"/>
      <c r="I86" s="34"/>
      <c r="J86" s="34"/>
      <c r="K86" s="34"/>
      <c r="L86" s="5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="2" customFormat="1" ht="16.5" customHeight="1">
      <c r="A87" s="32"/>
      <c r="B87" s="33"/>
      <c r="C87" s="34"/>
      <c r="D87" s="34"/>
      <c r="E87" s="69" t="str">
        <f>E9</f>
        <v>SO 2 - Garaž</v>
      </c>
      <c r="F87" s="34"/>
      <c r="G87" s="34"/>
      <c r="H87" s="34"/>
      <c r="I87" s="34"/>
      <c r="J87" s="34"/>
      <c r="K87" s="34"/>
      <c r="L87" s="5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5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="2" customFormat="1" ht="12" customHeight="1">
      <c r="A89" s="32"/>
      <c r="B89" s="33"/>
      <c r="C89" s="29" t="s">
        <v>20</v>
      </c>
      <c r="D89" s="34"/>
      <c r="E89" s="34"/>
      <c r="F89" s="26" t="str">
        <f>F12</f>
        <v xml:space="preserve"> </v>
      </c>
      <c r="G89" s="34"/>
      <c r="H89" s="34"/>
      <c r="I89" s="29" t="s">
        <v>22</v>
      </c>
      <c r="J89" s="72" t="str">
        <f>IF(J12="","",J12)</f>
        <v>8. 9. 2025</v>
      </c>
      <c r="K89" s="34"/>
      <c r="L89" s="5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="2" customFormat="1" ht="6.96" customHeight="1">
      <c r="A90" s="3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5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="2" customFormat="1" ht="15.15" customHeight="1">
      <c r="A91" s="32"/>
      <c r="B91" s="33"/>
      <c r="C91" s="29" t="s">
        <v>26</v>
      </c>
      <c r="D91" s="34"/>
      <c r="E91" s="34"/>
      <c r="F91" s="26" t="str">
        <f>E15</f>
        <v xml:space="preserve"> </v>
      </c>
      <c r="G91" s="34"/>
      <c r="H91" s="34"/>
      <c r="I91" s="29" t="s">
        <v>30</v>
      </c>
      <c r="J91" s="30" t="str">
        <f>E21</f>
        <v xml:space="preserve"> </v>
      </c>
      <c r="K91" s="34"/>
      <c r="L91" s="5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="2" customFormat="1" ht="15.15" customHeight="1">
      <c r="A92" s="32"/>
      <c r="B92" s="33"/>
      <c r="C92" s="29" t="s">
        <v>29</v>
      </c>
      <c r="D92" s="34"/>
      <c r="E92" s="34"/>
      <c r="F92" s="26" t="str">
        <f>IF(E18="","",E18)</f>
        <v xml:space="preserve"> </v>
      </c>
      <c r="G92" s="34"/>
      <c r="H92" s="34"/>
      <c r="I92" s="29" t="s">
        <v>31</v>
      </c>
      <c r="J92" s="30" t="str">
        <f>E24</f>
        <v xml:space="preserve"> </v>
      </c>
      <c r="K92" s="34"/>
      <c r="L92" s="5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="2" customFormat="1" ht="10.32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5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="2" customFormat="1" ht="29.28" customHeight="1">
      <c r="A94" s="32"/>
      <c r="B94" s="33"/>
      <c r="C94" s="169" t="s">
        <v>106</v>
      </c>
      <c r="D94" s="170"/>
      <c r="E94" s="170"/>
      <c r="F94" s="170"/>
      <c r="G94" s="170"/>
      <c r="H94" s="170"/>
      <c r="I94" s="170"/>
      <c r="J94" s="171" t="s">
        <v>107</v>
      </c>
      <c r="K94" s="170"/>
      <c r="L94" s="5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="2" customFormat="1" ht="10.32" customHeight="1">
      <c r="A95" s="32"/>
      <c r="B95" s="33"/>
      <c r="C95" s="34"/>
      <c r="D95" s="34"/>
      <c r="E95" s="34"/>
      <c r="F95" s="34"/>
      <c r="G95" s="34"/>
      <c r="H95" s="34"/>
      <c r="I95" s="34"/>
      <c r="J95" s="34"/>
      <c r="K95" s="34"/>
      <c r="L95" s="5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="2" customFormat="1" ht="22.8" customHeight="1">
      <c r="A96" s="32"/>
      <c r="B96" s="33"/>
      <c r="C96" s="172" t="s">
        <v>108</v>
      </c>
      <c r="D96" s="34"/>
      <c r="E96" s="34"/>
      <c r="F96" s="34"/>
      <c r="G96" s="34"/>
      <c r="H96" s="34"/>
      <c r="I96" s="34"/>
      <c r="J96" s="103">
        <f>J129</f>
        <v>2531283.3800000004</v>
      </c>
      <c r="K96" s="34"/>
      <c r="L96" s="5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U96" s="17" t="s">
        <v>109</v>
      </c>
    </row>
    <row r="97" s="9" customFormat="1" ht="24.96" customHeight="1">
      <c r="A97" s="9"/>
      <c r="B97" s="173"/>
      <c r="C97" s="174"/>
      <c r="D97" s="175" t="s">
        <v>110</v>
      </c>
      <c r="E97" s="176"/>
      <c r="F97" s="176"/>
      <c r="G97" s="176"/>
      <c r="H97" s="176"/>
      <c r="I97" s="176"/>
      <c r="J97" s="177">
        <f>J130</f>
        <v>1180755.9300000002</v>
      </c>
      <c r="K97" s="174"/>
      <c r="L97" s="178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79"/>
      <c r="C98" s="180"/>
      <c r="D98" s="181" t="s">
        <v>111</v>
      </c>
      <c r="E98" s="182"/>
      <c r="F98" s="182"/>
      <c r="G98" s="182"/>
      <c r="H98" s="182"/>
      <c r="I98" s="182"/>
      <c r="J98" s="183">
        <f>J131</f>
        <v>23420.279999999999</v>
      </c>
      <c r="K98" s="180"/>
      <c r="L98" s="184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79"/>
      <c r="C99" s="180"/>
      <c r="D99" s="181" t="s">
        <v>112</v>
      </c>
      <c r="E99" s="182"/>
      <c r="F99" s="182"/>
      <c r="G99" s="182"/>
      <c r="H99" s="182"/>
      <c r="I99" s="182"/>
      <c r="J99" s="183">
        <f>J153</f>
        <v>437181.20000000001</v>
      </c>
      <c r="K99" s="180"/>
      <c r="L99" s="184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79"/>
      <c r="C100" s="180"/>
      <c r="D100" s="181" t="s">
        <v>113</v>
      </c>
      <c r="E100" s="182"/>
      <c r="F100" s="182"/>
      <c r="G100" s="182"/>
      <c r="H100" s="182"/>
      <c r="I100" s="182"/>
      <c r="J100" s="183">
        <f>J175</f>
        <v>209944.79999999999</v>
      </c>
      <c r="K100" s="180"/>
      <c r="L100" s="184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79"/>
      <c r="C101" s="180"/>
      <c r="D101" s="181" t="s">
        <v>114</v>
      </c>
      <c r="E101" s="182"/>
      <c r="F101" s="182"/>
      <c r="G101" s="182"/>
      <c r="H101" s="182"/>
      <c r="I101" s="182"/>
      <c r="J101" s="183">
        <f>J181</f>
        <v>390202.57000000007</v>
      </c>
      <c r="K101" s="180"/>
      <c r="L101" s="184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79"/>
      <c r="C102" s="180"/>
      <c r="D102" s="181" t="s">
        <v>115</v>
      </c>
      <c r="E102" s="182"/>
      <c r="F102" s="182"/>
      <c r="G102" s="182"/>
      <c r="H102" s="182"/>
      <c r="I102" s="182"/>
      <c r="J102" s="183">
        <f>J192</f>
        <v>120007.08</v>
      </c>
      <c r="K102" s="180"/>
      <c r="L102" s="184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9" customFormat="1" ht="24.96" customHeight="1">
      <c r="A103" s="9"/>
      <c r="B103" s="173"/>
      <c r="C103" s="174"/>
      <c r="D103" s="175" t="s">
        <v>116</v>
      </c>
      <c r="E103" s="176"/>
      <c r="F103" s="176"/>
      <c r="G103" s="176"/>
      <c r="H103" s="176"/>
      <c r="I103" s="176"/>
      <c r="J103" s="177">
        <f>J203</f>
        <v>1350527.4500000002</v>
      </c>
      <c r="K103" s="174"/>
      <c r="L103" s="178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="10" customFormat="1" ht="19.92" customHeight="1">
      <c r="A104" s="10"/>
      <c r="B104" s="179"/>
      <c r="C104" s="180"/>
      <c r="D104" s="181" t="s">
        <v>117</v>
      </c>
      <c r="E104" s="182"/>
      <c r="F104" s="182"/>
      <c r="G104" s="182"/>
      <c r="H104" s="182"/>
      <c r="I104" s="182"/>
      <c r="J104" s="183">
        <f>J204</f>
        <v>87329.600000000006</v>
      </c>
      <c r="K104" s="180"/>
      <c r="L104" s="184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79"/>
      <c r="C105" s="180"/>
      <c r="D105" s="181" t="s">
        <v>118</v>
      </c>
      <c r="E105" s="182"/>
      <c r="F105" s="182"/>
      <c r="G105" s="182"/>
      <c r="H105" s="182"/>
      <c r="I105" s="182"/>
      <c r="J105" s="183">
        <f>J211</f>
        <v>248902.67999999999</v>
      </c>
      <c r="K105" s="180"/>
      <c r="L105" s="184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10" customFormat="1" ht="19.92" customHeight="1">
      <c r="A106" s="10"/>
      <c r="B106" s="179"/>
      <c r="C106" s="180"/>
      <c r="D106" s="181" t="s">
        <v>122</v>
      </c>
      <c r="E106" s="182"/>
      <c r="F106" s="182"/>
      <c r="G106" s="182"/>
      <c r="H106" s="182"/>
      <c r="I106" s="182"/>
      <c r="J106" s="183">
        <f>J221</f>
        <v>3875</v>
      </c>
      <c r="K106" s="180"/>
      <c r="L106" s="184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="10" customFormat="1" ht="19.92" customHeight="1">
      <c r="A107" s="10"/>
      <c r="B107" s="179"/>
      <c r="C107" s="180"/>
      <c r="D107" s="181" t="s">
        <v>123</v>
      </c>
      <c r="E107" s="182"/>
      <c r="F107" s="182"/>
      <c r="G107" s="182"/>
      <c r="H107" s="182"/>
      <c r="I107" s="182"/>
      <c r="J107" s="183">
        <f>J225</f>
        <v>605808.37</v>
      </c>
      <c r="K107" s="180"/>
      <c r="L107" s="184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79"/>
      <c r="C108" s="180"/>
      <c r="D108" s="181" t="s">
        <v>124</v>
      </c>
      <c r="E108" s="182"/>
      <c r="F108" s="182"/>
      <c r="G108" s="182"/>
      <c r="H108" s="182"/>
      <c r="I108" s="182"/>
      <c r="J108" s="183">
        <f>J258</f>
        <v>209785.20000000001</v>
      </c>
      <c r="K108" s="180"/>
      <c r="L108" s="184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10" customFormat="1" ht="19.92" customHeight="1">
      <c r="A109" s="10"/>
      <c r="B109" s="179"/>
      <c r="C109" s="180"/>
      <c r="D109" s="181" t="s">
        <v>125</v>
      </c>
      <c r="E109" s="182"/>
      <c r="F109" s="182"/>
      <c r="G109" s="182"/>
      <c r="H109" s="182"/>
      <c r="I109" s="182"/>
      <c r="J109" s="183">
        <f>J272</f>
        <v>194826.60000000001</v>
      </c>
      <c r="K109" s="180"/>
      <c r="L109" s="184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="2" customFormat="1" ht="21.84" customHeight="1">
      <c r="A110" s="32"/>
      <c r="B110" s="33"/>
      <c r="C110" s="34"/>
      <c r="D110" s="34"/>
      <c r="E110" s="34"/>
      <c r="F110" s="34"/>
      <c r="G110" s="34"/>
      <c r="H110" s="34"/>
      <c r="I110" s="34"/>
      <c r="J110" s="34"/>
      <c r="K110" s="34"/>
      <c r="L110" s="5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s="2" customFormat="1" ht="6.96" customHeight="1">
      <c r="A111" s="32"/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5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5" s="2" customFormat="1" ht="6.96" customHeight="1">
      <c r="A115" s="32"/>
      <c r="B115" s="61"/>
      <c r="C115" s="62"/>
      <c r="D115" s="62"/>
      <c r="E115" s="62"/>
      <c r="F115" s="62"/>
      <c r="G115" s="62"/>
      <c r="H115" s="62"/>
      <c r="I115" s="62"/>
      <c r="J115" s="62"/>
      <c r="K115" s="62"/>
      <c r="L115" s="5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="2" customFormat="1" ht="24.96" customHeight="1">
      <c r="A116" s="32"/>
      <c r="B116" s="33"/>
      <c r="C116" s="23" t="s">
        <v>127</v>
      </c>
      <c r="D116" s="34"/>
      <c r="E116" s="34"/>
      <c r="F116" s="34"/>
      <c r="G116" s="34"/>
      <c r="H116" s="34"/>
      <c r="I116" s="34"/>
      <c r="J116" s="34"/>
      <c r="K116" s="34"/>
      <c r="L116" s="5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="2" customFormat="1" ht="6.96" customHeight="1">
      <c r="A117" s="32"/>
      <c r="B117" s="33"/>
      <c r="C117" s="34"/>
      <c r="D117" s="34"/>
      <c r="E117" s="34"/>
      <c r="F117" s="34"/>
      <c r="G117" s="34"/>
      <c r="H117" s="34"/>
      <c r="I117" s="34"/>
      <c r="J117" s="34"/>
      <c r="K117" s="34"/>
      <c r="L117" s="5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="2" customFormat="1" ht="12" customHeight="1">
      <c r="A118" s="32"/>
      <c r="B118" s="33"/>
      <c r="C118" s="29" t="s">
        <v>14</v>
      </c>
      <c r="D118" s="34"/>
      <c r="E118" s="34"/>
      <c r="F118" s="34"/>
      <c r="G118" s="34"/>
      <c r="H118" s="34"/>
      <c r="I118" s="34"/>
      <c r="J118" s="34"/>
      <c r="K118" s="34"/>
      <c r="L118" s="5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="2" customFormat="1" ht="16.5" customHeight="1">
      <c r="A119" s="32"/>
      <c r="B119" s="33"/>
      <c r="C119" s="34"/>
      <c r="D119" s="34"/>
      <c r="E119" s="168" t="str">
        <f>E7</f>
        <v>RD Valcha SO1+ SO2</v>
      </c>
      <c r="F119" s="29"/>
      <c r="G119" s="29"/>
      <c r="H119" s="29"/>
      <c r="I119" s="34"/>
      <c r="J119" s="34"/>
      <c r="K119" s="34"/>
      <c r="L119" s="5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="2" customFormat="1" ht="12" customHeight="1">
      <c r="A120" s="32"/>
      <c r="B120" s="33"/>
      <c r="C120" s="29" t="s">
        <v>103</v>
      </c>
      <c r="D120" s="34"/>
      <c r="E120" s="34"/>
      <c r="F120" s="34"/>
      <c r="G120" s="34"/>
      <c r="H120" s="34"/>
      <c r="I120" s="34"/>
      <c r="J120" s="34"/>
      <c r="K120" s="34"/>
      <c r="L120" s="5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s="2" customFormat="1" ht="16.5" customHeight="1">
      <c r="A121" s="32"/>
      <c r="B121" s="33"/>
      <c r="C121" s="34"/>
      <c r="D121" s="34"/>
      <c r="E121" s="69" t="str">
        <f>E9</f>
        <v>SO 2 - Garaž</v>
      </c>
      <c r="F121" s="34"/>
      <c r="G121" s="34"/>
      <c r="H121" s="34"/>
      <c r="I121" s="34"/>
      <c r="J121" s="34"/>
      <c r="K121" s="34"/>
      <c r="L121" s="5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s="2" customFormat="1" ht="6.96" customHeight="1">
      <c r="A122" s="32"/>
      <c r="B122" s="33"/>
      <c r="C122" s="34"/>
      <c r="D122" s="34"/>
      <c r="E122" s="34"/>
      <c r="F122" s="34"/>
      <c r="G122" s="34"/>
      <c r="H122" s="34"/>
      <c r="I122" s="34"/>
      <c r="J122" s="34"/>
      <c r="K122" s="34"/>
      <c r="L122" s="5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s="2" customFormat="1" ht="12" customHeight="1">
      <c r="A123" s="32"/>
      <c r="B123" s="33"/>
      <c r="C123" s="29" t="s">
        <v>20</v>
      </c>
      <c r="D123" s="34"/>
      <c r="E123" s="34"/>
      <c r="F123" s="26" t="str">
        <f>F12</f>
        <v xml:space="preserve"> </v>
      </c>
      <c r="G123" s="34"/>
      <c r="H123" s="34"/>
      <c r="I123" s="29" t="s">
        <v>22</v>
      </c>
      <c r="J123" s="72" t="str">
        <f>IF(J12="","",J12)</f>
        <v>8. 9. 2025</v>
      </c>
      <c r="K123" s="34"/>
      <c r="L123" s="5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s="2" customFormat="1" ht="6.96" customHeight="1">
      <c r="A124" s="32"/>
      <c r="B124" s="33"/>
      <c r="C124" s="34"/>
      <c r="D124" s="34"/>
      <c r="E124" s="34"/>
      <c r="F124" s="34"/>
      <c r="G124" s="34"/>
      <c r="H124" s="34"/>
      <c r="I124" s="34"/>
      <c r="J124" s="34"/>
      <c r="K124" s="34"/>
      <c r="L124" s="5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s="2" customFormat="1" ht="15.15" customHeight="1">
      <c r="A125" s="32"/>
      <c r="B125" s="33"/>
      <c r="C125" s="29" t="s">
        <v>26</v>
      </c>
      <c r="D125" s="34"/>
      <c r="E125" s="34"/>
      <c r="F125" s="26" t="str">
        <f>E15</f>
        <v xml:space="preserve"> </v>
      </c>
      <c r="G125" s="34"/>
      <c r="H125" s="34"/>
      <c r="I125" s="29" t="s">
        <v>30</v>
      </c>
      <c r="J125" s="30" t="str">
        <f>E21</f>
        <v xml:space="preserve"> </v>
      </c>
      <c r="K125" s="34"/>
      <c r="L125" s="5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s="2" customFormat="1" ht="15.15" customHeight="1">
      <c r="A126" s="32"/>
      <c r="B126" s="33"/>
      <c r="C126" s="29" t="s">
        <v>29</v>
      </c>
      <c r="D126" s="34"/>
      <c r="E126" s="34"/>
      <c r="F126" s="26" t="str">
        <f>IF(E18="","",E18)</f>
        <v xml:space="preserve"> </v>
      </c>
      <c r="G126" s="34"/>
      <c r="H126" s="34"/>
      <c r="I126" s="29" t="s">
        <v>31</v>
      </c>
      <c r="J126" s="30" t="str">
        <f>E24</f>
        <v xml:space="preserve"> </v>
      </c>
      <c r="K126" s="34"/>
      <c r="L126" s="5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s="2" customFormat="1" ht="10.32" customHeight="1">
      <c r="A127" s="32"/>
      <c r="B127" s="33"/>
      <c r="C127" s="34"/>
      <c r="D127" s="34"/>
      <c r="E127" s="34"/>
      <c r="F127" s="34"/>
      <c r="G127" s="34"/>
      <c r="H127" s="34"/>
      <c r="I127" s="34"/>
      <c r="J127" s="34"/>
      <c r="K127" s="34"/>
      <c r="L127" s="5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s="11" customFormat="1" ht="29.28" customHeight="1">
      <c r="A128" s="185"/>
      <c r="B128" s="186"/>
      <c r="C128" s="187" t="s">
        <v>128</v>
      </c>
      <c r="D128" s="188" t="s">
        <v>59</v>
      </c>
      <c r="E128" s="188" t="s">
        <v>55</v>
      </c>
      <c r="F128" s="188" t="s">
        <v>56</v>
      </c>
      <c r="G128" s="188" t="s">
        <v>129</v>
      </c>
      <c r="H128" s="188" t="s">
        <v>130</v>
      </c>
      <c r="I128" s="188" t="s">
        <v>131</v>
      </c>
      <c r="J128" s="189" t="s">
        <v>107</v>
      </c>
      <c r="K128" s="190" t="s">
        <v>132</v>
      </c>
      <c r="L128" s="191"/>
      <c r="M128" s="93" t="s">
        <v>1</v>
      </c>
      <c r="N128" s="94" t="s">
        <v>38</v>
      </c>
      <c r="O128" s="94" t="s">
        <v>133</v>
      </c>
      <c r="P128" s="94" t="s">
        <v>134</v>
      </c>
      <c r="Q128" s="94" t="s">
        <v>135</v>
      </c>
      <c r="R128" s="94" t="s">
        <v>136</v>
      </c>
      <c r="S128" s="94" t="s">
        <v>137</v>
      </c>
      <c r="T128" s="95" t="s">
        <v>138</v>
      </c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</row>
    <row r="129" s="2" customFormat="1" ht="22.8" customHeight="1">
      <c r="A129" s="32"/>
      <c r="B129" s="33"/>
      <c r="C129" s="100" t="s">
        <v>139</v>
      </c>
      <c r="D129" s="34"/>
      <c r="E129" s="34"/>
      <c r="F129" s="34"/>
      <c r="G129" s="34"/>
      <c r="H129" s="34"/>
      <c r="I129" s="34"/>
      <c r="J129" s="192">
        <f>BK129</f>
        <v>2531283.3800000004</v>
      </c>
      <c r="K129" s="34"/>
      <c r="L129" s="38"/>
      <c r="M129" s="96"/>
      <c r="N129" s="193"/>
      <c r="O129" s="97"/>
      <c r="P129" s="194">
        <f>P130+P203</f>
        <v>1220.9720259999999</v>
      </c>
      <c r="Q129" s="97"/>
      <c r="R129" s="194">
        <f>R130+R203</f>
        <v>196.44275644623662</v>
      </c>
      <c r="S129" s="97"/>
      <c r="T129" s="195">
        <f>T130+T203</f>
        <v>0</v>
      </c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T129" s="17" t="s">
        <v>73</v>
      </c>
      <c r="AU129" s="17" t="s">
        <v>109</v>
      </c>
      <c r="BK129" s="196">
        <f>BK130+BK203</f>
        <v>2531283.3800000004</v>
      </c>
    </row>
    <row r="130" s="12" customFormat="1" ht="25.92" customHeight="1">
      <c r="A130" s="12"/>
      <c r="B130" s="197"/>
      <c r="C130" s="198"/>
      <c r="D130" s="199" t="s">
        <v>73</v>
      </c>
      <c r="E130" s="200" t="s">
        <v>140</v>
      </c>
      <c r="F130" s="200" t="s">
        <v>141</v>
      </c>
      <c r="G130" s="198"/>
      <c r="H130" s="198"/>
      <c r="I130" s="198"/>
      <c r="J130" s="201">
        <f>BK130</f>
        <v>1180755.9300000002</v>
      </c>
      <c r="K130" s="198"/>
      <c r="L130" s="202"/>
      <c r="M130" s="203"/>
      <c r="N130" s="204"/>
      <c r="O130" s="204"/>
      <c r="P130" s="205">
        <f>P131+P153+P175+P181+P192</f>
        <v>563.26604099999997</v>
      </c>
      <c r="Q130" s="204"/>
      <c r="R130" s="205">
        <f>R131+R153+R175+R181+R192</f>
        <v>181.11927958873662</v>
      </c>
      <c r="S130" s="204"/>
      <c r="T130" s="206">
        <f>T131+T153+T175+T181+T192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07" t="s">
        <v>19</v>
      </c>
      <c r="AT130" s="208" t="s">
        <v>73</v>
      </c>
      <c r="AU130" s="208" t="s">
        <v>74</v>
      </c>
      <c r="AY130" s="207" t="s">
        <v>142</v>
      </c>
      <c r="BK130" s="209">
        <f>BK131+BK153+BK175+BK181+BK192</f>
        <v>1180755.9300000002</v>
      </c>
    </row>
    <row r="131" s="12" customFormat="1" ht="22.8" customHeight="1">
      <c r="A131" s="12"/>
      <c r="B131" s="197"/>
      <c r="C131" s="198"/>
      <c r="D131" s="199" t="s">
        <v>73</v>
      </c>
      <c r="E131" s="210" t="s">
        <v>19</v>
      </c>
      <c r="F131" s="210" t="s">
        <v>143</v>
      </c>
      <c r="G131" s="198"/>
      <c r="H131" s="198"/>
      <c r="I131" s="198"/>
      <c r="J131" s="211">
        <f>BK131</f>
        <v>23420.279999999999</v>
      </c>
      <c r="K131" s="198"/>
      <c r="L131" s="202"/>
      <c r="M131" s="203"/>
      <c r="N131" s="204"/>
      <c r="O131" s="204"/>
      <c r="P131" s="205">
        <f>SUM(P132:P152)</f>
        <v>31.640449999999998</v>
      </c>
      <c r="Q131" s="204"/>
      <c r="R131" s="205">
        <f>SUM(R132:R152)</f>
        <v>0</v>
      </c>
      <c r="S131" s="204"/>
      <c r="T131" s="206">
        <f>SUM(T132:T152)</f>
        <v>0</v>
      </c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07" t="s">
        <v>19</v>
      </c>
      <c r="AT131" s="208" t="s">
        <v>73</v>
      </c>
      <c r="AU131" s="208" t="s">
        <v>19</v>
      </c>
      <c r="AY131" s="207" t="s">
        <v>142</v>
      </c>
      <c r="BK131" s="209">
        <f>SUM(BK132:BK152)</f>
        <v>23420.279999999999</v>
      </c>
    </row>
    <row r="132" s="2" customFormat="1" ht="24.15" customHeight="1">
      <c r="A132" s="32"/>
      <c r="B132" s="33"/>
      <c r="C132" s="212" t="s">
        <v>19</v>
      </c>
      <c r="D132" s="212" t="s">
        <v>144</v>
      </c>
      <c r="E132" s="213" t="s">
        <v>145</v>
      </c>
      <c r="F132" s="214" t="s">
        <v>146</v>
      </c>
      <c r="G132" s="215" t="s">
        <v>96</v>
      </c>
      <c r="H132" s="216">
        <v>117</v>
      </c>
      <c r="I132" s="217">
        <v>29.100000000000001</v>
      </c>
      <c r="J132" s="217">
        <f>ROUND(I132*H132,2)</f>
        <v>3404.6999999999998</v>
      </c>
      <c r="K132" s="218"/>
      <c r="L132" s="38"/>
      <c r="M132" s="219" t="s">
        <v>1</v>
      </c>
      <c r="N132" s="220" t="s">
        <v>39</v>
      </c>
      <c r="O132" s="221">
        <v>0.025999999999999999</v>
      </c>
      <c r="P132" s="221">
        <f>O132*H132</f>
        <v>3.0419999999999998</v>
      </c>
      <c r="Q132" s="221">
        <v>0</v>
      </c>
      <c r="R132" s="221">
        <f>Q132*H132</f>
        <v>0</v>
      </c>
      <c r="S132" s="221">
        <v>0</v>
      </c>
      <c r="T132" s="222">
        <f>S132*H132</f>
        <v>0</v>
      </c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R132" s="223" t="s">
        <v>147</v>
      </c>
      <c r="AT132" s="223" t="s">
        <v>144</v>
      </c>
      <c r="AU132" s="223" t="s">
        <v>83</v>
      </c>
      <c r="AY132" s="17" t="s">
        <v>142</v>
      </c>
      <c r="BE132" s="224">
        <f>IF(N132="základní",J132,0)</f>
        <v>3404.6999999999998</v>
      </c>
      <c r="BF132" s="224">
        <f>IF(N132="snížená",J132,0)</f>
        <v>0</v>
      </c>
      <c r="BG132" s="224">
        <f>IF(N132="zákl. přenesená",J132,0)</f>
        <v>0</v>
      </c>
      <c r="BH132" s="224">
        <f>IF(N132="sníž. přenesená",J132,0)</f>
        <v>0</v>
      </c>
      <c r="BI132" s="224">
        <f>IF(N132="nulová",J132,0)</f>
        <v>0</v>
      </c>
      <c r="BJ132" s="17" t="s">
        <v>19</v>
      </c>
      <c r="BK132" s="224">
        <f>ROUND(I132*H132,2)</f>
        <v>3404.6999999999998</v>
      </c>
      <c r="BL132" s="17" t="s">
        <v>147</v>
      </c>
      <c r="BM132" s="223" t="s">
        <v>724</v>
      </c>
    </row>
    <row r="133" s="13" customFormat="1">
      <c r="A133" s="13"/>
      <c r="B133" s="225"/>
      <c r="C133" s="226"/>
      <c r="D133" s="227" t="s">
        <v>149</v>
      </c>
      <c r="E133" s="228" t="s">
        <v>1</v>
      </c>
      <c r="F133" s="229" t="s">
        <v>725</v>
      </c>
      <c r="G133" s="226"/>
      <c r="H133" s="230">
        <v>117</v>
      </c>
      <c r="I133" s="226"/>
      <c r="J133" s="226"/>
      <c r="K133" s="226"/>
      <c r="L133" s="231"/>
      <c r="M133" s="232"/>
      <c r="N133" s="233"/>
      <c r="O133" s="233"/>
      <c r="P133" s="233"/>
      <c r="Q133" s="233"/>
      <c r="R133" s="233"/>
      <c r="S133" s="233"/>
      <c r="T133" s="23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35" t="s">
        <v>149</v>
      </c>
      <c r="AU133" s="235" t="s">
        <v>83</v>
      </c>
      <c r="AV133" s="13" t="s">
        <v>83</v>
      </c>
      <c r="AW133" s="13" t="s">
        <v>32</v>
      </c>
      <c r="AX133" s="13" t="s">
        <v>74</v>
      </c>
      <c r="AY133" s="235" t="s">
        <v>142</v>
      </c>
    </row>
    <row r="134" s="14" customFormat="1">
      <c r="A134" s="14"/>
      <c r="B134" s="236"/>
      <c r="C134" s="237"/>
      <c r="D134" s="227" t="s">
        <v>149</v>
      </c>
      <c r="E134" s="238" t="s">
        <v>1</v>
      </c>
      <c r="F134" s="239" t="s">
        <v>151</v>
      </c>
      <c r="G134" s="237"/>
      <c r="H134" s="240">
        <v>117</v>
      </c>
      <c r="I134" s="237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45" t="s">
        <v>149</v>
      </c>
      <c r="AU134" s="245" t="s">
        <v>83</v>
      </c>
      <c r="AV134" s="14" t="s">
        <v>147</v>
      </c>
      <c r="AW134" s="14" t="s">
        <v>32</v>
      </c>
      <c r="AX134" s="14" t="s">
        <v>19</v>
      </c>
      <c r="AY134" s="245" t="s">
        <v>142</v>
      </c>
    </row>
    <row r="135" s="2" customFormat="1" ht="33" customHeight="1">
      <c r="A135" s="32"/>
      <c r="B135" s="33"/>
      <c r="C135" s="212" t="s">
        <v>83</v>
      </c>
      <c r="D135" s="212" t="s">
        <v>144</v>
      </c>
      <c r="E135" s="213" t="s">
        <v>726</v>
      </c>
      <c r="F135" s="214" t="s">
        <v>727</v>
      </c>
      <c r="G135" s="215" t="s">
        <v>154</v>
      </c>
      <c r="H135" s="216">
        <v>26.562999999999999</v>
      </c>
      <c r="I135" s="217">
        <v>308</v>
      </c>
      <c r="J135" s="217">
        <f>ROUND(I135*H135,2)</f>
        <v>8181.3999999999996</v>
      </c>
      <c r="K135" s="218"/>
      <c r="L135" s="38"/>
      <c r="M135" s="219" t="s">
        <v>1</v>
      </c>
      <c r="N135" s="220" t="s">
        <v>39</v>
      </c>
      <c r="O135" s="221">
        <v>0.39400000000000002</v>
      </c>
      <c r="P135" s="221">
        <f>O135*H135</f>
        <v>10.465821999999999</v>
      </c>
      <c r="Q135" s="221">
        <v>0</v>
      </c>
      <c r="R135" s="221">
        <f>Q135*H135</f>
        <v>0</v>
      </c>
      <c r="S135" s="221">
        <v>0</v>
      </c>
      <c r="T135" s="222">
        <f>S135*H135</f>
        <v>0</v>
      </c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R135" s="223" t="s">
        <v>147</v>
      </c>
      <c r="AT135" s="223" t="s">
        <v>144</v>
      </c>
      <c r="AU135" s="223" t="s">
        <v>83</v>
      </c>
      <c r="AY135" s="17" t="s">
        <v>142</v>
      </c>
      <c r="BE135" s="224">
        <f>IF(N135="základní",J135,0)</f>
        <v>8181.3999999999996</v>
      </c>
      <c r="BF135" s="224">
        <f>IF(N135="snížená",J135,0)</f>
        <v>0</v>
      </c>
      <c r="BG135" s="224">
        <f>IF(N135="zákl. přenesená",J135,0)</f>
        <v>0</v>
      </c>
      <c r="BH135" s="224">
        <f>IF(N135="sníž. přenesená",J135,0)</f>
        <v>0</v>
      </c>
      <c r="BI135" s="224">
        <f>IF(N135="nulová",J135,0)</f>
        <v>0</v>
      </c>
      <c r="BJ135" s="17" t="s">
        <v>19</v>
      </c>
      <c r="BK135" s="224">
        <f>ROUND(I135*H135,2)</f>
        <v>8181.3999999999996</v>
      </c>
      <c r="BL135" s="17" t="s">
        <v>147</v>
      </c>
      <c r="BM135" s="223" t="s">
        <v>728</v>
      </c>
    </row>
    <row r="136" s="13" customFormat="1">
      <c r="A136" s="13"/>
      <c r="B136" s="225"/>
      <c r="C136" s="226"/>
      <c r="D136" s="227" t="s">
        <v>149</v>
      </c>
      <c r="E136" s="228" t="s">
        <v>1</v>
      </c>
      <c r="F136" s="229" t="s">
        <v>729</v>
      </c>
      <c r="G136" s="226"/>
      <c r="H136" s="230">
        <v>26.5625</v>
      </c>
      <c r="I136" s="226"/>
      <c r="J136" s="226"/>
      <c r="K136" s="226"/>
      <c r="L136" s="231"/>
      <c r="M136" s="232"/>
      <c r="N136" s="233"/>
      <c r="O136" s="233"/>
      <c r="P136" s="233"/>
      <c r="Q136" s="233"/>
      <c r="R136" s="233"/>
      <c r="S136" s="233"/>
      <c r="T136" s="23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35" t="s">
        <v>149</v>
      </c>
      <c r="AU136" s="235" t="s">
        <v>83</v>
      </c>
      <c r="AV136" s="13" t="s">
        <v>83</v>
      </c>
      <c r="AW136" s="13" t="s">
        <v>32</v>
      </c>
      <c r="AX136" s="13" t="s">
        <v>19</v>
      </c>
      <c r="AY136" s="235" t="s">
        <v>142</v>
      </c>
    </row>
    <row r="137" s="2" customFormat="1" ht="37.8" customHeight="1">
      <c r="A137" s="32"/>
      <c r="B137" s="33"/>
      <c r="C137" s="212" t="s">
        <v>98</v>
      </c>
      <c r="D137" s="212" t="s">
        <v>144</v>
      </c>
      <c r="E137" s="213" t="s">
        <v>158</v>
      </c>
      <c r="F137" s="214" t="s">
        <v>159</v>
      </c>
      <c r="G137" s="215" t="s">
        <v>154</v>
      </c>
      <c r="H137" s="216">
        <v>32.165999999999997</v>
      </c>
      <c r="I137" s="217">
        <v>48.200000000000003</v>
      </c>
      <c r="J137" s="217">
        <f>ROUND(I137*H137,2)</f>
        <v>1550.4000000000001</v>
      </c>
      <c r="K137" s="218"/>
      <c r="L137" s="38"/>
      <c r="M137" s="219" t="s">
        <v>1</v>
      </c>
      <c r="N137" s="220" t="s">
        <v>39</v>
      </c>
      <c r="O137" s="221">
        <v>0.070000000000000007</v>
      </c>
      <c r="P137" s="221">
        <f>O137*H137</f>
        <v>2.25162</v>
      </c>
      <c r="Q137" s="221">
        <v>0</v>
      </c>
      <c r="R137" s="221">
        <f>Q137*H137</f>
        <v>0</v>
      </c>
      <c r="S137" s="221">
        <v>0</v>
      </c>
      <c r="T137" s="222">
        <f>S137*H137</f>
        <v>0</v>
      </c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R137" s="223" t="s">
        <v>147</v>
      </c>
      <c r="AT137" s="223" t="s">
        <v>144</v>
      </c>
      <c r="AU137" s="223" t="s">
        <v>83</v>
      </c>
      <c r="AY137" s="17" t="s">
        <v>142</v>
      </c>
      <c r="BE137" s="224">
        <f>IF(N137="základní",J137,0)</f>
        <v>1550.4000000000001</v>
      </c>
      <c r="BF137" s="224">
        <f>IF(N137="snížená",J137,0)</f>
        <v>0</v>
      </c>
      <c r="BG137" s="224">
        <f>IF(N137="zákl. přenesená",J137,0)</f>
        <v>0</v>
      </c>
      <c r="BH137" s="224">
        <f>IF(N137="sníž. přenesená",J137,0)</f>
        <v>0</v>
      </c>
      <c r="BI137" s="224">
        <f>IF(N137="nulová",J137,0)</f>
        <v>0</v>
      </c>
      <c r="BJ137" s="17" t="s">
        <v>19</v>
      </c>
      <c r="BK137" s="224">
        <f>ROUND(I137*H137,2)</f>
        <v>1550.4000000000001</v>
      </c>
      <c r="BL137" s="17" t="s">
        <v>147</v>
      </c>
      <c r="BM137" s="223" t="s">
        <v>730</v>
      </c>
    </row>
    <row r="138" s="13" customFormat="1">
      <c r="A138" s="13"/>
      <c r="B138" s="225"/>
      <c r="C138" s="226"/>
      <c r="D138" s="227" t="s">
        <v>149</v>
      </c>
      <c r="E138" s="228" t="s">
        <v>1</v>
      </c>
      <c r="F138" s="229" t="s">
        <v>731</v>
      </c>
      <c r="G138" s="226"/>
      <c r="H138" s="230">
        <v>23.400000000000002</v>
      </c>
      <c r="I138" s="226"/>
      <c r="J138" s="226"/>
      <c r="K138" s="226"/>
      <c r="L138" s="231"/>
      <c r="M138" s="232"/>
      <c r="N138" s="233"/>
      <c r="O138" s="233"/>
      <c r="P138" s="233"/>
      <c r="Q138" s="233"/>
      <c r="R138" s="233"/>
      <c r="S138" s="233"/>
      <c r="T138" s="23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35" t="s">
        <v>149</v>
      </c>
      <c r="AU138" s="235" t="s">
        <v>83</v>
      </c>
      <c r="AV138" s="13" t="s">
        <v>83</v>
      </c>
      <c r="AW138" s="13" t="s">
        <v>32</v>
      </c>
      <c r="AX138" s="13" t="s">
        <v>74</v>
      </c>
      <c r="AY138" s="235" t="s">
        <v>142</v>
      </c>
    </row>
    <row r="139" s="13" customFormat="1">
      <c r="A139" s="13"/>
      <c r="B139" s="225"/>
      <c r="C139" s="226"/>
      <c r="D139" s="227" t="s">
        <v>149</v>
      </c>
      <c r="E139" s="228" t="s">
        <v>1</v>
      </c>
      <c r="F139" s="229" t="s">
        <v>732</v>
      </c>
      <c r="G139" s="226"/>
      <c r="H139" s="230">
        <v>8.7657900000000009</v>
      </c>
      <c r="I139" s="226"/>
      <c r="J139" s="226"/>
      <c r="K139" s="226"/>
      <c r="L139" s="231"/>
      <c r="M139" s="232"/>
      <c r="N139" s="233"/>
      <c r="O139" s="233"/>
      <c r="P139" s="233"/>
      <c r="Q139" s="233"/>
      <c r="R139" s="233"/>
      <c r="S139" s="233"/>
      <c r="T139" s="23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35" t="s">
        <v>149</v>
      </c>
      <c r="AU139" s="235" t="s">
        <v>83</v>
      </c>
      <c r="AV139" s="13" t="s">
        <v>83</v>
      </c>
      <c r="AW139" s="13" t="s">
        <v>32</v>
      </c>
      <c r="AX139" s="13" t="s">
        <v>74</v>
      </c>
      <c r="AY139" s="235" t="s">
        <v>142</v>
      </c>
    </row>
    <row r="140" s="14" customFormat="1">
      <c r="A140" s="14"/>
      <c r="B140" s="236"/>
      <c r="C140" s="237"/>
      <c r="D140" s="227" t="s">
        <v>149</v>
      </c>
      <c r="E140" s="238" t="s">
        <v>1</v>
      </c>
      <c r="F140" s="239" t="s">
        <v>151</v>
      </c>
      <c r="G140" s="237"/>
      <c r="H140" s="240">
        <v>32.165790000000001</v>
      </c>
      <c r="I140" s="237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T140" s="245" t="s">
        <v>149</v>
      </c>
      <c r="AU140" s="245" t="s">
        <v>83</v>
      </c>
      <c r="AV140" s="14" t="s">
        <v>147</v>
      </c>
      <c r="AW140" s="14" t="s">
        <v>32</v>
      </c>
      <c r="AX140" s="14" t="s">
        <v>19</v>
      </c>
      <c r="AY140" s="245" t="s">
        <v>142</v>
      </c>
    </row>
    <row r="141" s="2" customFormat="1" ht="37.8" customHeight="1">
      <c r="A141" s="32"/>
      <c r="B141" s="33"/>
      <c r="C141" s="212" t="s">
        <v>147</v>
      </c>
      <c r="D141" s="212" t="s">
        <v>144</v>
      </c>
      <c r="E141" s="213" t="s">
        <v>164</v>
      </c>
      <c r="F141" s="214" t="s">
        <v>165</v>
      </c>
      <c r="G141" s="215" t="s">
        <v>154</v>
      </c>
      <c r="H141" s="216">
        <v>131.49000000000001</v>
      </c>
      <c r="I141" s="217">
        <v>22.5</v>
      </c>
      <c r="J141" s="217">
        <f>ROUND(I141*H141,2)</f>
        <v>2958.5300000000002</v>
      </c>
      <c r="K141" s="218"/>
      <c r="L141" s="38"/>
      <c r="M141" s="219" t="s">
        <v>1</v>
      </c>
      <c r="N141" s="220" t="s">
        <v>39</v>
      </c>
      <c r="O141" s="221">
        <v>0.0050000000000000001</v>
      </c>
      <c r="P141" s="221">
        <f>O141*H141</f>
        <v>0.65745000000000009</v>
      </c>
      <c r="Q141" s="221">
        <v>0</v>
      </c>
      <c r="R141" s="221">
        <f>Q141*H141</f>
        <v>0</v>
      </c>
      <c r="S141" s="221">
        <v>0</v>
      </c>
      <c r="T141" s="222">
        <f>S141*H141</f>
        <v>0</v>
      </c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R141" s="223" t="s">
        <v>147</v>
      </c>
      <c r="AT141" s="223" t="s">
        <v>144</v>
      </c>
      <c r="AU141" s="223" t="s">
        <v>83</v>
      </c>
      <c r="AY141" s="17" t="s">
        <v>142</v>
      </c>
      <c r="BE141" s="224">
        <f>IF(N141="základní",J141,0)</f>
        <v>2958.5300000000002</v>
      </c>
      <c r="BF141" s="224">
        <f>IF(N141="snížená",J141,0)</f>
        <v>0</v>
      </c>
      <c r="BG141" s="224">
        <f>IF(N141="zákl. přenesená",J141,0)</f>
        <v>0</v>
      </c>
      <c r="BH141" s="224">
        <f>IF(N141="sníž. přenesená",J141,0)</f>
        <v>0</v>
      </c>
      <c r="BI141" s="224">
        <f>IF(N141="nulová",J141,0)</f>
        <v>0</v>
      </c>
      <c r="BJ141" s="17" t="s">
        <v>19</v>
      </c>
      <c r="BK141" s="224">
        <f>ROUND(I141*H141,2)</f>
        <v>2958.5300000000002</v>
      </c>
      <c r="BL141" s="17" t="s">
        <v>147</v>
      </c>
      <c r="BM141" s="223" t="s">
        <v>733</v>
      </c>
    </row>
    <row r="142" s="13" customFormat="1">
      <c r="A142" s="13"/>
      <c r="B142" s="225"/>
      <c r="C142" s="226"/>
      <c r="D142" s="227" t="s">
        <v>149</v>
      </c>
      <c r="E142" s="228" t="s">
        <v>1</v>
      </c>
      <c r="F142" s="229" t="s">
        <v>734</v>
      </c>
      <c r="G142" s="226"/>
      <c r="H142" s="230">
        <v>131.49000000000001</v>
      </c>
      <c r="I142" s="226"/>
      <c r="J142" s="226"/>
      <c r="K142" s="226"/>
      <c r="L142" s="231"/>
      <c r="M142" s="232"/>
      <c r="N142" s="233"/>
      <c r="O142" s="233"/>
      <c r="P142" s="233"/>
      <c r="Q142" s="233"/>
      <c r="R142" s="233"/>
      <c r="S142" s="233"/>
      <c r="T142" s="23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35" t="s">
        <v>149</v>
      </c>
      <c r="AU142" s="235" t="s">
        <v>83</v>
      </c>
      <c r="AV142" s="13" t="s">
        <v>83</v>
      </c>
      <c r="AW142" s="13" t="s">
        <v>32</v>
      </c>
      <c r="AX142" s="13" t="s">
        <v>19</v>
      </c>
      <c r="AY142" s="235" t="s">
        <v>142</v>
      </c>
    </row>
    <row r="143" s="2" customFormat="1" ht="33" customHeight="1">
      <c r="A143" s="32"/>
      <c r="B143" s="33"/>
      <c r="C143" s="212" t="s">
        <v>163</v>
      </c>
      <c r="D143" s="212" t="s">
        <v>144</v>
      </c>
      <c r="E143" s="213" t="s">
        <v>169</v>
      </c>
      <c r="F143" s="214" t="s">
        <v>170</v>
      </c>
      <c r="G143" s="215" t="s">
        <v>171</v>
      </c>
      <c r="H143" s="216">
        <v>4.6749999999999998</v>
      </c>
      <c r="I143" s="217">
        <v>352</v>
      </c>
      <c r="J143" s="217">
        <f>ROUND(I143*H143,2)</f>
        <v>1645.5999999999999</v>
      </c>
      <c r="K143" s="218"/>
      <c r="L143" s="38"/>
      <c r="M143" s="219" t="s">
        <v>1</v>
      </c>
      <c r="N143" s="220" t="s">
        <v>39</v>
      </c>
      <c r="O143" s="221">
        <v>0</v>
      </c>
      <c r="P143" s="221">
        <f>O143*H143</f>
        <v>0</v>
      </c>
      <c r="Q143" s="221">
        <v>0</v>
      </c>
      <c r="R143" s="221">
        <f>Q143*H143</f>
        <v>0</v>
      </c>
      <c r="S143" s="221">
        <v>0</v>
      </c>
      <c r="T143" s="222">
        <f>S143*H143</f>
        <v>0</v>
      </c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R143" s="223" t="s">
        <v>147</v>
      </c>
      <c r="AT143" s="223" t="s">
        <v>144</v>
      </c>
      <c r="AU143" s="223" t="s">
        <v>83</v>
      </c>
      <c r="AY143" s="17" t="s">
        <v>142</v>
      </c>
      <c r="BE143" s="224">
        <f>IF(N143="základní",J143,0)</f>
        <v>1645.5999999999999</v>
      </c>
      <c r="BF143" s="224">
        <f>IF(N143="snížená",J143,0)</f>
        <v>0</v>
      </c>
      <c r="BG143" s="224">
        <f>IF(N143="zákl. přenesená",J143,0)</f>
        <v>0</v>
      </c>
      <c r="BH143" s="224">
        <f>IF(N143="sníž. přenesená",J143,0)</f>
        <v>0</v>
      </c>
      <c r="BI143" s="224">
        <f>IF(N143="nulová",J143,0)</f>
        <v>0</v>
      </c>
      <c r="BJ143" s="17" t="s">
        <v>19</v>
      </c>
      <c r="BK143" s="224">
        <f>ROUND(I143*H143,2)</f>
        <v>1645.5999999999999</v>
      </c>
      <c r="BL143" s="17" t="s">
        <v>147</v>
      </c>
      <c r="BM143" s="223" t="s">
        <v>735</v>
      </c>
    </row>
    <row r="144" s="13" customFormat="1">
      <c r="A144" s="13"/>
      <c r="B144" s="225"/>
      <c r="C144" s="226"/>
      <c r="D144" s="227" t="s">
        <v>149</v>
      </c>
      <c r="E144" s="228" t="s">
        <v>1</v>
      </c>
      <c r="F144" s="229" t="s">
        <v>736</v>
      </c>
      <c r="G144" s="226"/>
      <c r="H144" s="230">
        <v>4.6752000000000002</v>
      </c>
      <c r="I144" s="226"/>
      <c r="J144" s="226"/>
      <c r="K144" s="226"/>
      <c r="L144" s="231"/>
      <c r="M144" s="232"/>
      <c r="N144" s="233"/>
      <c r="O144" s="233"/>
      <c r="P144" s="233"/>
      <c r="Q144" s="233"/>
      <c r="R144" s="233"/>
      <c r="S144" s="233"/>
      <c r="T144" s="23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5" t="s">
        <v>149</v>
      </c>
      <c r="AU144" s="235" t="s">
        <v>83</v>
      </c>
      <c r="AV144" s="13" t="s">
        <v>83</v>
      </c>
      <c r="AW144" s="13" t="s">
        <v>32</v>
      </c>
      <c r="AX144" s="13" t="s">
        <v>19</v>
      </c>
      <c r="AY144" s="235" t="s">
        <v>142</v>
      </c>
    </row>
    <row r="145" s="14" customFormat="1">
      <c r="A145" s="14"/>
      <c r="B145" s="236"/>
      <c r="C145" s="237"/>
      <c r="D145" s="227" t="s">
        <v>149</v>
      </c>
      <c r="E145" s="238" t="s">
        <v>1</v>
      </c>
      <c r="F145" s="239" t="s">
        <v>151</v>
      </c>
      <c r="G145" s="237"/>
      <c r="H145" s="240">
        <v>4.6752000000000002</v>
      </c>
      <c r="I145" s="237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45" t="s">
        <v>149</v>
      </c>
      <c r="AU145" s="245" t="s">
        <v>83</v>
      </c>
      <c r="AV145" s="14" t="s">
        <v>147</v>
      </c>
      <c r="AW145" s="14" t="s">
        <v>32</v>
      </c>
      <c r="AX145" s="14" t="s">
        <v>74</v>
      </c>
      <c r="AY145" s="245" t="s">
        <v>142</v>
      </c>
    </row>
    <row r="146" s="2" customFormat="1" ht="16.5" customHeight="1">
      <c r="A146" s="32"/>
      <c r="B146" s="33"/>
      <c r="C146" s="212" t="s">
        <v>168</v>
      </c>
      <c r="D146" s="212" t="s">
        <v>144</v>
      </c>
      <c r="E146" s="213" t="s">
        <v>175</v>
      </c>
      <c r="F146" s="214" t="s">
        <v>176</v>
      </c>
      <c r="G146" s="215" t="s">
        <v>154</v>
      </c>
      <c r="H146" s="216">
        <v>8.766</v>
      </c>
      <c r="I146" s="217">
        <v>22.100000000000001</v>
      </c>
      <c r="J146" s="217">
        <f>ROUND(I146*H146,2)</f>
        <v>193.72999999999999</v>
      </c>
      <c r="K146" s="218"/>
      <c r="L146" s="38"/>
      <c r="M146" s="219" t="s">
        <v>1</v>
      </c>
      <c r="N146" s="220" t="s">
        <v>39</v>
      </c>
      <c r="O146" s="221">
        <v>0.0089999999999999993</v>
      </c>
      <c r="P146" s="221">
        <f>O146*H146</f>
        <v>0.078893999999999992</v>
      </c>
      <c r="Q146" s="221">
        <v>0</v>
      </c>
      <c r="R146" s="221">
        <f>Q146*H146</f>
        <v>0</v>
      </c>
      <c r="S146" s="221">
        <v>0</v>
      </c>
      <c r="T146" s="222">
        <f>S146*H146</f>
        <v>0</v>
      </c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R146" s="223" t="s">
        <v>147</v>
      </c>
      <c r="AT146" s="223" t="s">
        <v>144</v>
      </c>
      <c r="AU146" s="223" t="s">
        <v>83</v>
      </c>
      <c r="AY146" s="17" t="s">
        <v>142</v>
      </c>
      <c r="BE146" s="224">
        <f>IF(N146="základní",J146,0)</f>
        <v>193.72999999999999</v>
      </c>
      <c r="BF146" s="224">
        <f>IF(N146="snížená",J146,0)</f>
        <v>0</v>
      </c>
      <c r="BG146" s="224">
        <f>IF(N146="zákl. přenesená",J146,0)</f>
        <v>0</v>
      </c>
      <c r="BH146" s="224">
        <f>IF(N146="sníž. přenesená",J146,0)</f>
        <v>0</v>
      </c>
      <c r="BI146" s="224">
        <f>IF(N146="nulová",J146,0)</f>
        <v>0</v>
      </c>
      <c r="BJ146" s="17" t="s">
        <v>19</v>
      </c>
      <c r="BK146" s="224">
        <f>ROUND(I146*H146,2)</f>
        <v>193.72999999999999</v>
      </c>
      <c r="BL146" s="17" t="s">
        <v>147</v>
      </c>
      <c r="BM146" s="223" t="s">
        <v>737</v>
      </c>
    </row>
    <row r="147" s="13" customFormat="1">
      <c r="A147" s="13"/>
      <c r="B147" s="225"/>
      <c r="C147" s="226"/>
      <c r="D147" s="227" t="s">
        <v>149</v>
      </c>
      <c r="E147" s="228" t="s">
        <v>1</v>
      </c>
      <c r="F147" s="229" t="s">
        <v>738</v>
      </c>
      <c r="G147" s="226"/>
      <c r="H147" s="230">
        <v>8.766</v>
      </c>
      <c r="I147" s="226"/>
      <c r="J147" s="226"/>
      <c r="K147" s="226"/>
      <c r="L147" s="231"/>
      <c r="M147" s="232"/>
      <c r="N147" s="233"/>
      <c r="O147" s="233"/>
      <c r="P147" s="233"/>
      <c r="Q147" s="233"/>
      <c r="R147" s="233"/>
      <c r="S147" s="233"/>
      <c r="T147" s="23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35" t="s">
        <v>149</v>
      </c>
      <c r="AU147" s="235" t="s">
        <v>83</v>
      </c>
      <c r="AV147" s="13" t="s">
        <v>83</v>
      </c>
      <c r="AW147" s="13" t="s">
        <v>32</v>
      </c>
      <c r="AX147" s="13" t="s">
        <v>19</v>
      </c>
      <c r="AY147" s="235" t="s">
        <v>142</v>
      </c>
    </row>
    <row r="148" s="2" customFormat="1" ht="24.15" customHeight="1">
      <c r="A148" s="32"/>
      <c r="B148" s="33"/>
      <c r="C148" s="212" t="s">
        <v>174</v>
      </c>
      <c r="D148" s="212" t="s">
        <v>144</v>
      </c>
      <c r="E148" s="213" t="s">
        <v>180</v>
      </c>
      <c r="F148" s="214" t="s">
        <v>181</v>
      </c>
      <c r="G148" s="215" t="s">
        <v>154</v>
      </c>
      <c r="H148" s="216">
        <v>2.5630000000000002</v>
      </c>
      <c r="I148" s="217">
        <v>159</v>
      </c>
      <c r="J148" s="217">
        <f>ROUND(I148*H148,2)</f>
        <v>407.51999999999998</v>
      </c>
      <c r="K148" s="218"/>
      <c r="L148" s="38"/>
      <c r="M148" s="219" t="s">
        <v>1</v>
      </c>
      <c r="N148" s="220" t="s">
        <v>39</v>
      </c>
      <c r="O148" s="221">
        <v>0.32800000000000001</v>
      </c>
      <c r="P148" s="221">
        <f>O148*H148</f>
        <v>0.84066400000000008</v>
      </c>
      <c r="Q148" s="221">
        <v>0</v>
      </c>
      <c r="R148" s="221">
        <f>Q148*H148</f>
        <v>0</v>
      </c>
      <c r="S148" s="221">
        <v>0</v>
      </c>
      <c r="T148" s="222">
        <f>S148*H148</f>
        <v>0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R148" s="223" t="s">
        <v>147</v>
      </c>
      <c r="AT148" s="223" t="s">
        <v>144</v>
      </c>
      <c r="AU148" s="223" t="s">
        <v>83</v>
      </c>
      <c r="AY148" s="17" t="s">
        <v>142</v>
      </c>
      <c r="BE148" s="224">
        <f>IF(N148="základní",J148,0)</f>
        <v>407.51999999999998</v>
      </c>
      <c r="BF148" s="224">
        <f>IF(N148="snížená",J148,0)</f>
        <v>0</v>
      </c>
      <c r="BG148" s="224">
        <f>IF(N148="zákl. přenesená",J148,0)</f>
        <v>0</v>
      </c>
      <c r="BH148" s="224">
        <f>IF(N148="sníž. přenesená",J148,0)</f>
        <v>0</v>
      </c>
      <c r="BI148" s="224">
        <f>IF(N148="nulová",J148,0)</f>
        <v>0</v>
      </c>
      <c r="BJ148" s="17" t="s">
        <v>19</v>
      </c>
      <c r="BK148" s="224">
        <f>ROUND(I148*H148,2)</f>
        <v>407.51999999999998</v>
      </c>
      <c r="BL148" s="17" t="s">
        <v>147</v>
      </c>
      <c r="BM148" s="223" t="s">
        <v>739</v>
      </c>
    </row>
    <row r="149" s="13" customFormat="1">
      <c r="A149" s="13"/>
      <c r="B149" s="225"/>
      <c r="C149" s="226"/>
      <c r="D149" s="227" t="s">
        <v>149</v>
      </c>
      <c r="E149" s="228" t="s">
        <v>1</v>
      </c>
      <c r="F149" s="229" t="s">
        <v>740</v>
      </c>
      <c r="G149" s="226"/>
      <c r="H149" s="230">
        <v>2.5629999999999988</v>
      </c>
      <c r="I149" s="226"/>
      <c r="J149" s="226"/>
      <c r="K149" s="226"/>
      <c r="L149" s="231"/>
      <c r="M149" s="232"/>
      <c r="N149" s="233"/>
      <c r="O149" s="233"/>
      <c r="P149" s="233"/>
      <c r="Q149" s="233"/>
      <c r="R149" s="233"/>
      <c r="S149" s="233"/>
      <c r="T149" s="23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35" t="s">
        <v>149</v>
      </c>
      <c r="AU149" s="235" t="s">
        <v>83</v>
      </c>
      <c r="AV149" s="13" t="s">
        <v>83</v>
      </c>
      <c r="AW149" s="13" t="s">
        <v>32</v>
      </c>
      <c r="AX149" s="13" t="s">
        <v>19</v>
      </c>
      <c r="AY149" s="235" t="s">
        <v>142</v>
      </c>
    </row>
    <row r="150" s="15" customFormat="1">
      <c r="A150" s="15"/>
      <c r="B150" s="246"/>
      <c r="C150" s="247"/>
      <c r="D150" s="227" t="s">
        <v>149</v>
      </c>
      <c r="E150" s="248" t="s">
        <v>1</v>
      </c>
      <c r="F150" s="249" t="s">
        <v>184</v>
      </c>
      <c r="G150" s="247"/>
      <c r="H150" s="248" t="s">
        <v>1</v>
      </c>
      <c r="I150" s="247"/>
      <c r="J150" s="247"/>
      <c r="K150" s="247"/>
      <c r="L150" s="250"/>
      <c r="M150" s="251"/>
      <c r="N150" s="252"/>
      <c r="O150" s="252"/>
      <c r="P150" s="252"/>
      <c r="Q150" s="252"/>
      <c r="R150" s="252"/>
      <c r="S150" s="252"/>
      <c r="T150" s="253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T150" s="254" t="s">
        <v>149</v>
      </c>
      <c r="AU150" s="254" t="s">
        <v>83</v>
      </c>
      <c r="AV150" s="15" t="s">
        <v>19</v>
      </c>
      <c r="AW150" s="15" t="s">
        <v>32</v>
      </c>
      <c r="AX150" s="15" t="s">
        <v>74</v>
      </c>
      <c r="AY150" s="254" t="s">
        <v>142</v>
      </c>
    </row>
    <row r="151" s="2" customFormat="1" ht="24.15" customHeight="1">
      <c r="A151" s="32"/>
      <c r="B151" s="33"/>
      <c r="C151" s="212" t="s">
        <v>179</v>
      </c>
      <c r="D151" s="212" t="s">
        <v>144</v>
      </c>
      <c r="E151" s="213" t="s">
        <v>156</v>
      </c>
      <c r="F151" s="214" t="s">
        <v>157</v>
      </c>
      <c r="G151" s="215" t="s">
        <v>96</v>
      </c>
      <c r="H151" s="216">
        <v>96</v>
      </c>
      <c r="I151" s="217">
        <v>52.899999999999999</v>
      </c>
      <c r="J151" s="217">
        <f>ROUND(I151*H151,2)</f>
        <v>5078.3999999999996</v>
      </c>
      <c r="K151" s="218"/>
      <c r="L151" s="38"/>
      <c r="M151" s="219" t="s">
        <v>1</v>
      </c>
      <c r="N151" s="220" t="s">
        <v>39</v>
      </c>
      <c r="O151" s="221">
        <v>0.14899999999999999</v>
      </c>
      <c r="P151" s="221">
        <f>O151*H151</f>
        <v>14.303999999999999</v>
      </c>
      <c r="Q151" s="221">
        <v>0</v>
      </c>
      <c r="R151" s="221">
        <f>Q151*H151</f>
        <v>0</v>
      </c>
      <c r="S151" s="221">
        <v>0</v>
      </c>
      <c r="T151" s="222">
        <f>S151*H151</f>
        <v>0</v>
      </c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R151" s="223" t="s">
        <v>147</v>
      </c>
      <c r="AT151" s="223" t="s">
        <v>144</v>
      </c>
      <c r="AU151" s="223" t="s">
        <v>83</v>
      </c>
      <c r="AY151" s="17" t="s">
        <v>142</v>
      </c>
      <c r="BE151" s="224">
        <f>IF(N151="základní",J151,0)</f>
        <v>5078.3999999999996</v>
      </c>
      <c r="BF151" s="224">
        <f>IF(N151="snížená",J151,0)</f>
        <v>0</v>
      </c>
      <c r="BG151" s="224">
        <f>IF(N151="zákl. přenesená",J151,0)</f>
        <v>0</v>
      </c>
      <c r="BH151" s="224">
        <f>IF(N151="sníž. přenesená",J151,0)</f>
        <v>0</v>
      </c>
      <c r="BI151" s="224">
        <f>IF(N151="nulová",J151,0)</f>
        <v>0</v>
      </c>
      <c r="BJ151" s="17" t="s">
        <v>19</v>
      </c>
      <c r="BK151" s="224">
        <f>ROUND(I151*H151,2)</f>
        <v>5078.3999999999996</v>
      </c>
      <c r="BL151" s="17" t="s">
        <v>147</v>
      </c>
      <c r="BM151" s="223" t="s">
        <v>741</v>
      </c>
    </row>
    <row r="152" s="13" customFormat="1">
      <c r="A152" s="13"/>
      <c r="B152" s="225"/>
      <c r="C152" s="226"/>
      <c r="D152" s="227" t="s">
        <v>149</v>
      </c>
      <c r="E152" s="228" t="s">
        <v>1</v>
      </c>
      <c r="F152" s="229" t="s">
        <v>742</v>
      </c>
      <c r="G152" s="226"/>
      <c r="H152" s="230">
        <v>96</v>
      </c>
      <c r="I152" s="226"/>
      <c r="J152" s="226"/>
      <c r="K152" s="226"/>
      <c r="L152" s="231"/>
      <c r="M152" s="232"/>
      <c r="N152" s="233"/>
      <c r="O152" s="233"/>
      <c r="P152" s="233"/>
      <c r="Q152" s="233"/>
      <c r="R152" s="233"/>
      <c r="S152" s="233"/>
      <c r="T152" s="23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35" t="s">
        <v>149</v>
      </c>
      <c r="AU152" s="235" t="s">
        <v>83</v>
      </c>
      <c r="AV152" s="13" t="s">
        <v>83</v>
      </c>
      <c r="AW152" s="13" t="s">
        <v>32</v>
      </c>
      <c r="AX152" s="13" t="s">
        <v>19</v>
      </c>
      <c r="AY152" s="235" t="s">
        <v>142</v>
      </c>
    </row>
    <row r="153" s="12" customFormat="1" ht="22.8" customHeight="1">
      <c r="A153" s="12"/>
      <c r="B153" s="197"/>
      <c r="C153" s="198"/>
      <c r="D153" s="199" t="s">
        <v>73</v>
      </c>
      <c r="E153" s="210" t="s">
        <v>83</v>
      </c>
      <c r="F153" s="210" t="s">
        <v>185</v>
      </c>
      <c r="G153" s="198"/>
      <c r="H153" s="198"/>
      <c r="I153" s="198"/>
      <c r="J153" s="211">
        <f>BK153</f>
        <v>437181.20000000001</v>
      </c>
      <c r="K153" s="198"/>
      <c r="L153" s="202"/>
      <c r="M153" s="203"/>
      <c r="N153" s="204"/>
      <c r="O153" s="204"/>
      <c r="P153" s="205">
        <f>SUM(P154:P174)</f>
        <v>153.07735000000002</v>
      </c>
      <c r="Q153" s="204"/>
      <c r="R153" s="205">
        <f>SUM(R154:R174)</f>
        <v>106.92610550999999</v>
      </c>
      <c r="S153" s="204"/>
      <c r="T153" s="206">
        <f>SUM(T154:T174)</f>
        <v>0</v>
      </c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R153" s="207" t="s">
        <v>19</v>
      </c>
      <c r="AT153" s="208" t="s">
        <v>73</v>
      </c>
      <c r="AU153" s="208" t="s">
        <v>19</v>
      </c>
      <c r="AY153" s="207" t="s">
        <v>142</v>
      </c>
      <c r="BK153" s="209">
        <f>SUM(BK154:BK174)</f>
        <v>437181.20000000001</v>
      </c>
    </row>
    <row r="154" s="2" customFormat="1" ht="24.15" customHeight="1">
      <c r="A154" s="32"/>
      <c r="B154" s="33"/>
      <c r="C154" s="212" t="s">
        <v>186</v>
      </c>
      <c r="D154" s="212" t="s">
        <v>144</v>
      </c>
      <c r="E154" s="213" t="s">
        <v>743</v>
      </c>
      <c r="F154" s="214" t="s">
        <v>744</v>
      </c>
      <c r="G154" s="215" t="s">
        <v>96</v>
      </c>
      <c r="H154" s="216">
        <v>212.5</v>
      </c>
      <c r="I154" s="217">
        <v>63.200000000000003</v>
      </c>
      <c r="J154" s="217">
        <f>ROUND(I154*H154,2)</f>
        <v>13430</v>
      </c>
      <c r="K154" s="218"/>
      <c r="L154" s="38"/>
      <c r="M154" s="219" t="s">
        <v>1</v>
      </c>
      <c r="N154" s="220" t="s">
        <v>39</v>
      </c>
      <c r="O154" s="221">
        <v>0.059999999999999998</v>
      </c>
      <c r="P154" s="221">
        <f>O154*H154</f>
        <v>12.75</v>
      </c>
      <c r="Q154" s="221">
        <v>0.00048250000000000002</v>
      </c>
      <c r="R154" s="221">
        <f>Q154*H154</f>
        <v>0.10253125</v>
      </c>
      <c r="S154" s="221">
        <v>0</v>
      </c>
      <c r="T154" s="222">
        <f>S154*H154</f>
        <v>0</v>
      </c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R154" s="223" t="s">
        <v>147</v>
      </c>
      <c r="AT154" s="223" t="s">
        <v>144</v>
      </c>
      <c r="AU154" s="223" t="s">
        <v>83</v>
      </c>
      <c r="AY154" s="17" t="s">
        <v>142</v>
      </c>
      <c r="BE154" s="224">
        <f>IF(N154="základní",J154,0)</f>
        <v>13430</v>
      </c>
      <c r="BF154" s="224">
        <f>IF(N154="snížená",J154,0)</f>
        <v>0</v>
      </c>
      <c r="BG154" s="224">
        <f>IF(N154="zákl. přenesená",J154,0)</f>
        <v>0</v>
      </c>
      <c r="BH154" s="224">
        <f>IF(N154="sníž. přenesená",J154,0)</f>
        <v>0</v>
      </c>
      <c r="BI154" s="224">
        <f>IF(N154="nulová",J154,0)</f>
        <v>0</v>
      </c>
      <c r="BJ154" s="17" t="s">
        <v>19</v>
      </c>
      <c r="BK154" s="224">
        <f>ROUND(I154*H154,2)</f>
        <v>13430</v>
      </c>
      <c r="BL154" s="17" t="s">
        <v>147</v>
      </c>
      <c r="BM154" s="223" t="s">
        <v>745</v>
      </c>
    </row>
    <row r="155" s="13" customFormat="1">
      <c r="A155" s="13"/>
      <c r="B155" s="225"/>
      <c r="C155" s="226"/>
      <c r="D155" s="227" t="s">
        <v>149</v>
      </c>
      <c r="E155" s="228" t="s">
        <v>1</v>
      </c>
      <c r="F155" s="229" t="s">
        <v>746</v>
      </c>
      <c r="G155" s="226"/>
      <c r="H155" s="230">
        <v>212.5</v>
      </c>
      <c r="I155" s="226"/>
      <c r="J155" s="226"/>
      <c r="K155" s="226"/>
      <c r="L155" s="231"/>
      <c r="M155" s="232"/>
      <c r="N155" s="233"/>
      <c r="O155" s="233"/>
      <c r="P155" s="233"/>
      <c r="Q155" s="233"/>
      <c r="R155" s="233"/>
      <c r="S155" s="233"/>
      <c r="T155" s="23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35" t="s">
        <v>149</v>
      </c>
      <c r="AU155" s="235" t="s">
        <v>83</v>
      </c>
      <c r="AV155" s="13" t="s">
        <v>83</v>
      </c>
      <c r="AW155" s="13" t="s">
        <v>32</v>
      </c>
      <c r="AX155" s="13" t="s">
        <v>19</v>
      </c>
      <c r="AY155" s="235" t="s">
        <v>142</v>
      </c>
    </row>
    <row r="156" s="2" customFormat="1" ht="33" customHeight="1">
      <c r="A156" s="32"/>
      <c r="B156" s="33"/>
      <c r="C156" s="212" t="s">
        <v>24</v>
      </c>
      <c r="D156" s="212" t="s">
        <v>144</v>
      </c>
      <c r="E156" s="213" t="s">
        <v>217</v>
      </c>
      <c r="F156" s="214" t="s">
        <v>218</v>
      </c>
      <c r="G156" s="215" t="s">
        <v>154</v>
      </c>
      <c r="H156" s="216">
        <v>38.399999999999999</v>
      </c>
      <c r="I156" s="217">
        <v>4120</v>
      </c>
      <c r="J156" s="217">
        <f>ROUND(I156*H156,2)</f>
        <v>158208</v>
      </c>
      <c r="K156" s="218"/>
      <c r="L156" s="38"/>
      <c r="M156" s="219" t="s">
        <v>1</v>
      </c>
      <c r="N156" s="220" t="s">
        <v>39</v>
      </c>
      <c r="O156" s="221">
        <v>1.0249999999999999</v>
      </c>
      <c r="P156" s="221">
        <f>O156*H156</f>
        <v>39.359999999999992</v>
      </c>
      <c r="Q156" s="221">
        <v>0.1885</v>
      </c>
      <c r="R156" s="221">
        <f>Q156*H156</f>
        <v>7.2383999999999995</v>
      </c>
      <c r="S156" s="221">
        <v>0</v>
      </c>
      <c r="T156" s="222">
        <f>S156*H156</f>
        <v>0</v>
      </c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R156" s="223" t="s">
        <v>147</v>
      </c>
      <c r="AT156" s="223" t="s">
        <v>144</v>
      </c>
      <c r="AU156" s="223" t="s">
        <v>83</v>
      </c>
      <c r="AY156" s="17" t="s">
        <v>142</v>
      </c>
      <c r="BE156" s="224">
        <f>IF(N156="základní",J156,0)</f>
        <v>158208</v>
      </c>
      <c r="BF156" s="224">
        <f>IF(N156="snížená",J156,0)</f>
        <v>0</v>
      </c>
      <c r="BG156" s="224">
        <f>IF(N156="zákl. přenesená",J156,0)</f>
        <v>0</v>
      </c>
      <c r="BH156" s="224">
        <f>IF(N156="sníž. přenesená",J156,0)</f>
        <v>0</v>
      </c>
      <c r="BI156" s="224">
        <f>IF(N156="nulová",J156,0)</f>
        <v>0</v>
      </c>
      <c r="BJ156" s="17" t="s">
        <v>19</v>
      </c>
      <c r="BK156" s="224">
        <f>ROUND(I156*H156,2)</f>
        <v>158208</v>
      </c>
      <c r="BL156" s="17" t="s">
        <v>147</v>
      </c>
      <c r="BM156" s="223" t="s">
        <v>747</v>
      </c>
    </row>
    <row r="157" s="15" customFormat="1">
      <c r="A157" s="15"/>
      <c r="B157" s="246"/>
      <c r="C157" s="247"/>
      <c r="D157" s="227" t="s">
        <v>149</v>
      </c>
      <c r="E157" s="248" t="s">
        <v>1</v>
      </c>
      <c r="F157" s="249" t="s">
        <v>220</v>
      </c>
      <c r="G157" s="247"/>
      <c r="H157" s="248" t="s">
        <v>1</v>
      </c>
      <c r="I157" s="247"/>
      <c r="J157" s="247"/>
      <c r="K157" s="247"/>
      <c r="L157" s="250"/>
      <c r="M157" s="251"/>
      <c r="N157" s="252"/>
      <c r="O157" s="252"/>
      <c r="P157" s="252"/>
      <c r="Q157" s="252"/>
      <c r="R157" s="252"/>
      <c r="S157" s="252"/>
      <c r="T157" s="253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T157" s="254" t="s">
        <v>149</v>
      </c>
      <c r="AU157" s="254" t="s">
        <v>83</v>
      </c>
      <c r="AV157" s="15" t="s">
        <v>19</v>
      </c>
      <c r="AW157" s="15" t="s">
        <v>32</v>
      </c>
      <c r="AX157" s="15" t="s">
        <v>74</v>
      </c>
      <c r="AY157" s="254" t="s">
        <v>142</v>
      </c>
    </row>
    <row r="158" s="13" customFormat="1">
      <c r="A158" s="13"/>
      <c r="B158" s="225"/>
      <c r="C158" s="226"/>
      <c r="D158" s="227" t="s">
        <v>149</v>
      </c>
      <c r="E158" s="228" t="s">
        <v>1</v>
      </c>
      <c r="F158" s="229" t="s">
        <v>221</v>
      </c>
      <c r="G158" s="226"/>
      <c r="H158" s="230">
        <v>38.400000000000006</v>
      </c>
      <c r="I158" s="226"/>
      <c r="J158" s="226"/>
      <c r="K158" s="226"/>
      <c r="L158" s="231"/>
      <c r="M158" s="232"/>
      <c r="N158" s="233"/>
      <c r="O158" s="233"/>
      <c r="P158" s="233"/>
      <c r="Q158" s="233"/>
      <c r="R158" s="233"/>
      <c r="S158" s="233"/>
      <c r="T158" s="23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35" t="s">
        <v>149</v>
      </c>
      <c r="AU158" s="235" t="s">
        <v>83</v>
      </c>
      <c r="AV158" s="13" t="s">
        <v>83</v>
      </c>
      <c r="AW158" s="13" t="s">
        <v>32</v>
      </c>
      <c r="AX158" s="13" t="s">
        <v>19</v>
      </c>
      <c r="AY158" s="235" t="s">
        <v>142</v>
      </c>
    </row>
    <row r="159" s="2" customFormat="1" ht="24.15" customHeight="1">
      <c r="A159" s="32"/>
      <c r="B159" s="33"/>
      <c r="C159" s="212" t="s">
        <v>196</v>
      </c>
      <c r="D159" s="212" t="s">
        <v>144</v>
      </c>
      <c r="E159" s="213" t="s">
        <v>748</v>
      </c>
      <c r="F159" s="214" t="s">
        <v>749</v>
      </c>
      <c r="G159" s="215" t="s">
        <v>154</v>
      </c>
      <c r="H159" s="216">
        <v>28.800000000000001</v>
      </c>
      <c r="I159" s="217">
        <v>3680</v>
      </c>
      <c r="J159" s="217">
        <f>ROUND(I159*H159,2)</f>
        <v>105984</v>
      </c>
      <c r="K159" s="218"/>
      <c r="L159" s="38"/>
      <c r="M159" s="219" t="s">
        <v>1</v>
      </c>
      <c r="N159" s="220" t="s">
        <v>39</v>
      </c>
      <c r="O159" s="221">
        <v>0.96999999999999997</v>
      </c>
      <c r="P159" s="221">
        <f>O159*H159</f>
        <v>27.936</v>
      </c>
      <c r="Q159" s="221">
        <v>2.47214</v>
      </c>
      <c r="R159" s="221">
        <f>Q159*H159</f>
        <v>71.197631999999999</v>
      </c>
      <c r="S159" s="221">
        <v>0</v>
      </c>
      <c r="T159" s="222">
        <f>S159*H159</f>
        <v>0</v>
      </c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R159" s="223" t="s">
        <v>147</v>
      </c>
      <c r="AT159" s="223" t="s">
        <v>144</v>
      </c>
      <c r="AU159" s="223" t="s">
        <v>83</v>
      </c>
      <c r="AY159" s="17" t="s">
        <v>142</v>
      </c>
      <c r="BE159" s="224">
        <f>IF(N159="základní",J159,0)</f>
        <v>105984</v>
      </c>
      <c r="BF159" s="224">
        <f>IF(N159="snížená",J159,0)</f>
        <v>0</v>
      </c>
      <c r="BG159" s="224">
        <f>IF(N159="zákl. přenesená",J159,0)</f>
        <v>0</v>
      </c>
      <c r="BH159" s="224">
        <f>IF(N159="sníž. přenesená",J159,0)</f>
        <v>0</v>
      </c>
      <c r="BI159" s="224">
        <f>IF(N159="nulová",J159,0)</f>
        <v>0</v>
      </c>
      <c r="BJ159" s="17" t="s">
        <v>19</v>
      </c>
      <c r="BK159" s="224">
        <f>ROUND(I159*H159,2)</f>
        <v>105984</v>
      </c>
      <c r="BL159" s="17" t="s">
        <v>147</v>
      </c>
      <c r="BM159" s="223" t="s">
        <v>750</v>
      </c>
    </row>
    <row r="160" s="13" customFormat="1">
      <c r="A160" s="13"/>
      <c r="B160" s="225"/>
      <c r="C160" s="226"/>
      <c r="D160" s="227" t="s">
        <v>149</v>
      </c>
      <c r="E160" s="228" t="s">
        <v>1</v>
      </c>
      <c r="F160" s="229" t="s">
        <v>751</v>
      </c>
      <c r="G160" s="226"/>
      <c r="H160" s="230">
        <v>28.799999999999997</v>
      </c>
      <c r="I160" s="226"/>
      <c r="J160" s="226"/>
      <c r="K160" s="226"/>
      <c r="L160" s="231"/>
      <c r="M160" s="232"/>
      <c r="N160" s="233"/>
      <c r="O160" s="233"/>
      <c r="P160" s="233"/>
      <c r="Q160" s="233"/>
      <c r="R160" s="233"/>
      <c r="S160" s="233"/>
      <c r="T160" s="23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35" t="s">
        <v>149</v>
      </c>
      <c r="AU160" s="235" t="s">
        <v>83</v>
      </c>
      <c r="AV160" s="13" t="s">
        <v>83</v>
      </c>
      <c r="AW160" s="13" t="s">
        <v>32</v>
      </c>
      <c r="AX160" s="13" t="s">
        <v>19</v>
      </c>
      <c r="AY160" s="235" t="s">
        <v>142</v>
      </c>
    </row>
    <row r="161" s="2" customFormat="1" ht="16.5" customHeight="1">
      <c r="A161" s="32"/>
      <c r="B161" s="33"/>
      <c r="C161" s="212" t="s">
        <v>8</v>
      </c>
      <c r="D161" s="212" t="s">
        <v>144</v>
      </c>
      <c r="E161" s="213" t="s">
        <v>752</v>
      </c>
      <c r="F161" s="214" t="s">
        <v>753</v>
      </c>
      <c r="G161" s="215" t="s">
        <v>96</v>
      </c>
      <c r="H161" s="216">
        <v>8</v>
      </c>
      <c r="I161" s="217">
        <v>692</v>
      </c>
      <c r="J161" s="217">
        <f>ROUND(I161*H161,2)</f>
        <v>5536</v>
      </c>
      <c r="K161" s="218"/>
      <c r="L161" s="38"/>
      <c r="M161" s="219" t="s">
        <v>1</v>
      </c>
      <c r="N161" s="220" t="s">
        <v>39</v>
      </c>
      <c r="O161" s="221">
        <v>0.35399999999999998</v>
      </c>
      <c r="P161" s="221">
        <f>O161*H161</f>
        <v>2.8319999999999999</v>
      </c>
      <c r="Q161" s="221">
        <v>0.0029399999999999999</v>
      </c>
      <c r="R161" s="221">
        <f>Q161*H161</f>
        <v>0.023519999999999999</v>
      </c>
      <c r="S161" s="221">
        <v>0</v>
      </c>
      <c r="T161" s="222">
        <f>S161*H161</f>
        <v>0</v>
      </c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R161" s="223" t="s">
        <v>147</v>
      </c>
      <c r="AT161" s="223" t="s">
        <v>144</v>
      </c>
      <c r="AU161" s="223" t="s">
        <v>83</v>
      </c>
      <c r="AY161" s="17" t="s">
        <v>142</v>
      </c>
      <c r="BE161" s="224">
        <f>IF(N161="základní",J161,0)</f>
        <v>5536</v>
      </c>
      <c r="BF161" s="224">
        <f>IF(N161="snížená",J161,0)</f>
        <v>0</v>
      </c>
      <c r="BG161" s="224">
        <f>IF(N161="zákl. přenesená",J161,0)</f>
        <v>0</v>
      </c>
      <c r="BH161" s="224">
        <f>IF(N161="sníž. přenesená",J161,0)</f>
        <v>0</v>
      </c>
      <c r="BI161" s="224">
        <f>IF(N161="nulová",J161,0)</f>
        <v>0</v>
      </c>
      <c r="BJ161" s="17" t="s">
        <v>19</v>
      </c>
      <c r="BK161" s="224">
        <f>ROUND(I161*H161,2)</f>
        <v>5536</v>
      </c>
      <c r="BL161" s="17" t="s">
        <v>147</v>
      </c>
      <c r="BM161" s="223" t="s">
        <v>754</v>
      </c>
    </row>
    <row r="162" s="15" customFormat="1">
      <c r="A162" s="15"/>
      <c r="B162" s="246"/>
      <c r="C162" s="247"/>
      <c r="D162" s="227" t="s">
        <v>149</v>
      </c>
      <c r="E162" s="248" t="s">
        <v>1</v>
      </c>
      <c r="F162" s="249" t="s">
        <v>194</v>
      </c>
      <c r="G162" s="247"/>
      <c r="H162" s="248" t="s">
        <v>1</v>
      </c>
      <c r="I162" s="247"/>
      <c r="J162" s="247"/>
      <c r="K162" s="247"/>
      <c r="L162" s="250"/>
      <c r="M162" s="251"/>
      <c r="N162" s="252"/>
      <c r="O162" s="252"/>
      <c r="P162" s="252"/>
      <c r="Q162" s="252"/>
      <c r="R162" s="252"/>
      <c r="S162" s="252"/>
      <c r="T162" s="253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T162" s="254" t="s">
        <v>149</v>
      </c>
      <c r="AU162" s="254" t="s">
        <v>83</v>
      </c>
      <c r="AV162" s="15" t="s">
        <v>19</v>
      </c>
      <c r="AW162" s="15" t="s">
        <v>32</v>
      </c>
      <c r="AX162" s="15" t="s">
        <v>74</v>
      </c>
      <c r="AY162" s="254" t="s">
        <v>142</v>
      </c>
    </row>
    <row r="163" s="13" customFormat="1">
      <c r="A163" s="13"/>
      <c r="B163" s="225"/>
      <c r="C163" s="226"/>
      <c r="D163" s="227" t="s">
        <v>149</v>
      </c>
      <c r="E163" s="228" t="s">
        <v>1</v>
      </c>
      <c r="F163" s="229" t="s">
        <v>755</v>
      </c>
      <c r="G163" s="226"/>
      <c r="H163" s="230">
        <v>8</v>
      </c>
      <c r="I163" s="226"/>
      <c r="J163" s="226"/>
      <c r="K163" s="226"/>
      <c r="L163" s="231"/>
      <c r="M163" s="232"/>
      <c r="N163" s="233"/>
      <c r="O163" s="233"/>
      <c r="P163" s="233"/>
      <c r="Q163" s="233"/>
      <c r="R163" s="233"/>
      <c r="S163" s="233"/>
      <c r="T163" s="234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35" t="s">
        <v>149</v>
      </c>
      <c r="AU163" s="235" t="s">
        <v>83</v>
      </c>
      <c r="AV163" s="13" t="s">
        <v>83</v>
      </c>
      <c r="AW163" s="13" t="s">
        <v>32</v>
      </c>
      <c r="AX163" s="13" t="s">
        <v>19</v>
      </c>
      <c r="AY163" s="235" t="s">
        <v>142</v>
      </c>
    </row>
    <row r="164" s="2" customFormat="1" ht="16.5" customHeight="1">
      <c r="A164" s="32"/>
      <c r="B164" s="33"/>
      <c r="C164" s="212" t="s">
        <v>205</v>
      </c>
      <c r="D164" s="212" t="s">
        <v>144</v>
      </c>
      <c r="E164" s="213" t="s">
        <v>756</v>
      </c>
      <c r="F164" s="214" t="s">
        <v>757</v>
      </c>
      <c r="G164" s="215" t="s">
        <v>96</v>
      </c>
      <c r="H164" s="216">
        <v>8</v>
      </c>
      <c r="I164" s="217">
        <v>146</v>
      </c>
      <c r="J164" s="217">
        <f>ROUND(I164*H164,2)</f>
        <v>1168</v>
      </c>
      <c r="K164" s="218"/>
      <c r="L164" s="38"/>
      <c r="M164" s="219" t="s">
        <v>1</v>
      </c>
      <c r="N164" s="220" t="s">
        <v>39</v>
      </c>
      <c r="O164" s="221">
        <v>0.152</v>
      </c>
      <c r="P164" s="221">
        <f>O164*H164</f>
        <v>1.216</v>
      </c>
      <c r="Q164" s="221">
        <v>0</v>
      </c>
      <c r="R164" s="221">
        <f>Q164*H164</f>
        <v>0</v>
      </c>
      <c r="S164" s="221">
        <v>0</v>
      </c>
      <c r="T164" s="222">
        <f>S164*H164</f>
        <v>0</v>
      </c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R164" s="223" t="s">
        <v>147</v>
      </c>
      <c r="AT164" s="223" t="s">
        <v>144</v>
      </c>
      <c r="AU164" s="223" t="s">
        <v>83</v>
      </c>
      <c r="AY164" s="17" t="s">
        <v>142</v>
      </c>
      <c r="BE164" s="224">
        <f>IF(N164="základní",J164,0)</f>
        <v>1168</v>
      </c>
      <c r="BF164" s="224">
        <f>IF(N164="snížená",J164,0)</f>
        <v>0</v>
      </c>
      <c r="BG164" s="224">
        <f>IF(N164="zákl. přenesená",J164,0)</f>
        <v>0</v>
      </c>
      <c r="BH164" s="224">
        <f>IF(N164="sníž. přenesená",J164,0)</f>
        <v>0</v>
      </c>
      <c r="BI164" s="224">
        <f>IF(N164="nulová",J164,0)</f>
        <v>0</v>
      </c>
      <c r="BJ164" s="17" t="s">
        <v>19</v>
      </c>
      <c r="BK164" s="224">
        <f>ROUND(I164*H164,2)</f>
        <v>1168</v>
      </c>
      <c r="BL164" s="17" t="s">
        <v>147</v>
      </c>
      <c r="BM164" s="223" t="s">
        <v>758</v>
      </c>
    </row>
    <row r="165" s="15" customFormat="1">
      <c r="A165" s="15"/>
      <c r="B165" s="246"/>
      <c r="C165" s="247"/>
      <c r="D165" s="227" t="s">
        <v>149</v>
      </c>
      <c r="E165" s="248" t="s">
        <v>1</v>
      </c>
      <c r="F165" s="249" t="s">
        <v>194</v>
      </c>
      <c r="G165" s="247"/>
      <c r="H165" s="248" t="s">
        <v>1</v>
      </c>
      <c r="I165" s="247"/>
      <c r="J165" s="247"/>
      <c r="K165" s="247"/>
      <c r="L165" s="250"/>
      <c r="M165" s="251"/>
      <c r="N165" s="252"/>
      <c r="O165" s="252"/>
      <c r="P165" s="252"/>
      <c r="Q165" s="252"/>
      <c r="R165" s="252"/>
      <c r="S165" s="252"/>
      <c r="T165" s="253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T165" s="254" t="s">
        <v>149</v>
      </c>
      <c r="AU165" s="254" t="s">
        <v>83</v>
      </c>
      <c r="AV165" s="15" t="s">
        <v>19</v>
      </c>
      <c r="AW165" s="15" t="s">
        <v>32</v>
      </c>
      <c r="AX165" s="15" t="s">
        <v>74</v>
      </c>
      <c r="AY165" s="254" t="s">
        <v>142</v>
      </c>
    </row>
    <row r="166" s="13" customFormat="1">
      <c r="A166" s="13"/>
      <c r="B166" s="225"/>
      <c r="C166" s="226"/>
      <c r="D166" s="227" t="s">
        <v>149</v>
      </c>
      <c r="E166" s="228" t="s">
        <v>1</v>
      </c>
      <c r="F166" s="229" t="s">
        <v>755</v>
      </c>
      <c r="G166" s="226"/>
      <c r="H166" s="230">
        <v>8</v>
      </c>
      <c r="I166" s="226"/>
      <c r="J166" s="226"/>
      <c r="K166" s="226"/>
      <c r="L166" s="231"/>
      <c r="M166" s="232"/>
      <c r="N166" s="233"/>
      <c r="O166" s="233"/>
      <c r="P166" s="233"/>
      <c r="Q166" s="233"/>
      <c r="R166" s="233"/>
      <c r="S166" s="233"/>
      <c r="T166" s="23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35" t="s">
        <v>149</v>
      </c>
      <c r="AU166" s="235" t="s">
        <v>83</v>
      </c>
      <c r="AV166" s="13" t="s">
        <v>83</v>
      </c>
      <c r="AW166" s="13" t="s">
        <v>32</v>
      </c>
      <c r="AX166" s="13" t="s">
        <v>19</v>
      </c>
      <c r="AY166" s="235" t="s">
        <v>142</v>
      </c>
    </row>
    <row r="167" s="2" customFormat="1" ht="21.75" customHeight="1">
      <c r="A167" s="32"/>
      <c r="B167" s="33"/>
      <c r="C167" s="212" t="s">
        <v>211</v>
      </c>
      <c r="D167" s="212" t="s">
        <v>144</v>
      </c>
      <c r="E167" s="213" t="s">
        <v>759</v>
      </c>
      <c r="F167" s="214" t="s">
        <v>760</v>
      </c>
      <c r="G167" s="215" t="s">
        <v>171</v>
      </c>
      <c r="H167" s="216">
        <v>1.536</v>
      </c>
      <c r="I167" s="217">
        <v>56700</v>
      </c>
      <c r="J167" s="217">
        <f>ROUND(I167*H167,2)</f>
        <v>87091.199999999997</v>
      </c>
      <c r="K167" s="218"/>
      <c r="L167" s="38"/>
      <c r="M167" s="219" t="s">
        <v>1</v>
      </c>
      <c r="N167" s="220" t="s">
        <v>39</v>
      </c>
      <c r="O167" s="221">
        <v>23.968</v>
      </c>
      <c r="P167" s="221">
        <f>O167*H167</f>
        <v>36.814847999999998</v>
      </c>
      <c r="Q167" s="221">
        <v>1.0606199999999999</v>
      </c>
      <c r="R167" s="221">
        <f>Q167*H167</f>
        <v>1.62911232</v>
      </c>
      <c r="S167" s="221">
        <v>0</v>
      </c>
      <c r="T167" s="222">
        <f>S167*H167</f>
        <v>0</v>
      </c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R167" s="223" t="s">
        <v>147</v>
      </c>
      <c r="AT167" s="223" t="s">
        <v>144</v>
      </c>
      <c r="AU167" s="223" t="s">
        <v>83</v>
      </c>
      <c r="AY167" s="17" t="s">
        <v>142</v>
      </c>
      <c r="BE167" s="224">
        <f>IF(N167="základní",J167,0)</f>
        <v>87091.199999999997</v>
      </c>
      <c r="BF167" s="224">
        <f>IF(N167="snížená",J167,0)</f>
        <v>0</v>
      </c>
      <c r="BG167" s="224">
        <f>IF(N167="zákl. přenesená",J167,0)</f>
        <v>0</v>
      </c>
      <c r="BH167" s="224">
        <f>IF(N167="sníž. přenesená",J167,0)</f>
        <v>0</v>
      </c>
      <c r="BI167" s="224">
        <f>IF(N167="nulová",J167,0)</f>
        <v>0</v>
      </c>
      <c r="BJ167" s="17" t="s">
        <v>19</v>
      </c>
      <c r="BK167" s="224">
        <f>ROUND(I167*H167,2)</f>
        <v>87091.199999999997</v>
      </c>
      <c r="BL167" s="17" t="s">
        <v>147</v>
      </c>
      <c r="BM167" s="223" t="s">
        <v>761</v>
      </c>
    </row>
    <row r="168" s="13" customFormat="1">
      <c r="A168" s="13"/>
      <c r="B168" s="225"/>
      <c r="C168" s="226"/>
      <c r="D168" s="227" t="s">
        <v>149</v>
      </c>
      <c r="E168" s="228" t="s">
        <v>1</v>
      </c>
      <c r="F168" s="229" t="s">
        <v>762</v>
      </c>
      <c r="G168" s="226"/>
      <c r="H168" s="230">
        <v>1.536</v>
      </c>
      <c r="I168" s="226"/>
      <c r="J168" s="226"/>
      <c r="K168" s="226"/>
      <c r="L168" s="231"/>
      <c r="M168" s="232"/>
      <c r="N168" s="233"/>
      <c r="O168" s="233"/>
      <c r="P168" s="233"/>
      <c r="Q168" s="233"/>
      <c r="R168" s="233"/>
      <c r="S168" s="233"/>
      <c r="T168" s="23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35" t="s">
        <v>149</v>
      </c>
      <c r="AU168" s="235" t="s">
        <v>83</v>
      </c>
      <c r="AV168" s="13" t="s">
        <v>83</v>
      </c>
      <c r="AW168" s="13" t="s">
        <v>32</v>
      </c>
      <c r="AX168" s="13" t="s">
        <v>19</v>
      </c>
      <c r="AY168" s="235" t="s">
        <v>142</v>
      </c>
    </row>
    <row r="169" s="2" customFormat="1" ht="33" customHeight="1">
      <c r="A169" s="32"/>
      <c r="B169" s="33"/>
      <c r="C169" s="212" t="s">
        <v>216</v>
      </c>
      <c r="D169" s="212" t="s">
        <v>144</v>
      </c>
      <c r="E169" s="213" t="s">
        <v>223</v>
      </c>
      <c r="F169" s="214" t="s">
        <v>224</v>
      </c>
      <c r="G169" s="215" t="s">
        <v>154</v>
      </c>
      <c r="H169" s="216">
        <v>11.52</v>
      </c>
      <c r="I169" s="217">
        <v>4860</v>
      </c>
      <c r="J169" s="217">
        <f>ROUND(I169*H169,2)</f>
        <v>55987.199999999997</v>
      </c>
      <c r="K169" s="218"/>
      <c r="L169" s="38"/>
      <c r="M169" s="219" t="s">
        <v>1</v>
      </c>
      <c r="N169" s="220" t="s">
        <v>39</v>
      </c>
      <c r="O169" s="221">
        <v>2.3170000000000002</v>
      </c>
      <c r="P169" s="221">
        <f>O169*H169</f>
        <v>26.691840000000003</v>
      </c>
      <c r="Q169" s="221">
        <v>2.3010199999999998</v>
      </c>
      <c r="R169" s="221">
        <f>Q169*H169</f>
        <v>26.507750399999995</v>
      </c>
      <c r="S169" s="221">
        <v>0</v>
      </c>
      <c r="T169" s="222">
        <f>S169*H169</f>
        <v>0</v>
      </c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R169" s="223" t="s">
        <v>147</v>
      </c>
      <c r="AT169" s="223" t="s">
        <v>144</v>
      </c>
      <c r="AU169" s="223" t="s">
        <v>83</v>
      </c>
      <c r="AY169" s="17" t="s">
        <v>142</v>
      </c>
      <c r="BE169" s="224">
        <f>IF(N169="základní",J169,0)</f>
        <v>55987.199999999997</v>
      </c>
      <c r="BF169" s="224">
        <f>IF(N169="snížená",J169,0)</f>
        <v>0</v>
      </c>
      <c r="BG169" s="224">
        <f>IF(N169="zákl. přenesená",J169,0)</f>
        <v>0</v>
      </c>
      <c r="BH169" s="224">
        <f>IF(N169="sníž. přenesená",J169,0)</f>
        <v>0</v>
      </c>
      <c r="BI169" s="224">
        <f>IF(N169="nulová",J169,0)</f>
        <v>0</v>
      </c>
      <c r="BJ169" s="17" t="s">
        <v>19</v>
      </c>
      <c r="BK169" s="224">
        <f>ROUND(I169*H169,2)</f>
        <v>55987.199999999997</v>
      </c>
      <c r="BL169" s="17" t="s">
        <v>147</v>
      </c>
      <c r="BM169" s="223" t="s">
        <v>763</v>
      </c>
    </row>
    <row r="170" s="13" customFormat="1">
      <c r="A170" s="13"/>
      <c r="B170" s="225"/>
      <c r="C170" s="226"/>
      <c r="D170" s="227" t="s">
        <v>149</v>
      </c>
      <c r="E170" s="228" t="s">
        <v>1</v>
      </c>
      <c r="F170" s="229" t="s">
        <v>764</v>
      </c>
      <c r="G170" s="226"/>
      <c r="H170" s="230">
        <v>11.52</v>
      </c>
      <c r="I170" s="226"/>
      <c r="J170" s="226"/>
      <c r="K170" s="226"/>
      <c r="L170" s="231"/>
      <c r="M170" s="232"/>
      <c r="N170" s="233"/>
      <c r="O170" s="233"/>
      <c r="P170" s="233"/>
      <c r="Q170" s="233"/>
      <c r="R170" s="233"/>
      <c r="S170" s="233"/>
      <c r="T170" s="23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35" t="s">
        <v>149</v>
      </c>
      <c r="AU170" s="235" t="s">
        <v>83</v>
      </c>
      <c r="AV170" s="13" t="s">
        <v>83</v>
      </c>
      <c r="AW170" s="13" t="s">
        <v>32</v>
      </c>
      <c r="AX170" s="13" t="s">
        <v>19</v>
      </c>
      <c r="AY170" s="235" t="s">
        <v>142</v>
      </c>
    </row>
    <row r="171" s="2" customFormat="1" ht="16.5" customHeight="1">
      <c r="A171" s="32"/>
      <c r="B171" s="33"/>
      <c r="C171" s="212" t="s">
        <v>222</v>
      </c>
      <c r="D171" s="212" t="s">
        <v>144</v>
      </c>
      <c r="E171" s="213" t="s">
        <v>228</v>
      </c>
      <c r="F171" s="214" t="s">
        <v>229</v>
      </c>
      <c r="G171" s="215" t="s">
        <v>171</v>
      </c>
      <c r="H171" s="216">
        <v>0.20200000000000001</v>
      </c>
      <c r="I171" s="217">
        <v>38800</v>
      </c>
      <c r="J171" s="217">
        <f>ROUND(I171*H171,2)</f>
        <v>7837.6000000000004</v>
      </c>
      <c r="K171" s="218"/>
      <c r="L171" s="38"/>
      <c r="M171" s="219" t="s">
        <v>1</v>
      </c>
      <c r="N171" s="220" t="s">
        <v>39</v>
      </c>
      <c r="O171" s="221">
        <v>15.231</v>
      </c>
      <c r="P171" s="221">
        <f>O171*H171</f>
        <v>3.0766620000000002</v>
      </c>
      <c r="Q171" s="221">
        <v>1.06277</v>
      </c>
      <c r="R171" s="221">
        <f>Q171*H171</f>
        <v>0.21467954</v>
      </c>
      <c r="S171" s="221">
        <v>0</v>
      </c>
      <c r="T171" s="222">
        <f>S171*H171</f>
        <v>0</v>
      </c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R171" s="223" t="s">
        <v>147</v>
      </c>
      <c r="AT171" s="223" t="s">
        <v>144</v>
      </c>
      <c r="AU171" s="223" t="s">
        <v>83</v>
      </c>
      <c r="AY171" s="17" t="s">
        <v>142</v>
      </c>
      <c r="BE171" s="224">
        <f>IF(N171="základní",J171,0)</f>
        <v>7837.6000000000004</v>
      </c>
      <c r="BF171" s="224">
        <f>IF(N171="snížená",J171,0)</f>
        <v>0</v>
      </c>
      <c r="BG171" s="224">
        <f>IF(N171="zákl. přenesená",J171,0)</f>
        <v>0</v>
      </c>
      <c r="BH171" s="224">
        <f>IF(N171="sníž. přenesená",J171,0)</f>
        <v>0</v>
      </c>
      <c r="BI171" s="224">
        <f>IF(N171="nulová",J171,0)</f>
        <v>0</v>
      </c>
      <c r="BJ171" s="17" t="s">
        <v>19</v>
      </c>
      <c r="BK171" s="224">
        <f>ROUND(I171*H171,2)</f>
        <v>7837.6000000000004</v>
      </c>
      <c r="BL171" s="17" t="s">
        <v>147</v>
      </c>
      <c r="BM171" s="223" t="s">
        <v>765</v>
      </c>
    </row>
    <row r="172" s="13" customFormat="1">
      <c r="A172" s="13"/>
      <c r="B172" s="225"/>
      <c r="C172" s="226"/>
      <c r="D172" s="227" t="s">
        <v>149</v>
      </c>
      <c r="E172" s="228" t="s">
        <v>1</v>
      </c>
      <c r="F172" s="229" t="s">
        <v>766</v>
      </c>
      <c r="G172" s="226"/>
      <c r="H172" s="230">
        <v>0.20208000000000001</v>
      </c>
      <c r="I172" s="226"/>
      <c r="J172" s="226"/>
      <c r="K172" s="226"/>
      <c r="L172" s="231"/>
      <c r="M172" s="232"/>
      <c r="N172" s="233"/>
      <c r="O172" s="233"/>
      <c r="P172" s="233"/>
      <c r="Q172" s="233"/>
      <c r="R172" s="233"/>
      <c r="S172" s="233"/>
      <c r="T172" s="23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35" t="s">
        <v>149</v>
      </c>
      <c r="AU172" s="235" t="s">
        <v>83</v>
      </c>
      <c r="AV172" s="13" t="s">
        <v>83</v>
      </c>
      <c r="AW172" s="13" t="s">
        <v>32</v>
      </c>
      <c r="AX172" s="13" t="s">
        <v>19</v>
      </c>
      <c r="AY172" s="235" t="s">
        <v>142</v>
      </c>
    </row>
    <row r="173" s="2" customFormat="1" ht="16.5" customHeight="1">
      <c r="A173" s="32"/>
      <c r="B173" s="33"/>
      <c r="C173" s="212" t="s">
        <v>227</v>
      </c>
      <c r="D173" s="212" t="s">
        <v>144</v>
      </c>
      <c r="E173" s="213" t="s">
        <v>421</v>
      </c>
      <c r="F173" s="214" t="s">
        <v>422</v>
      </c>
      <c r="G173" s="215" t="s">
        <v>96</v>
      </c>
      <c r="H173" s="216">
        <v>96</v>
      </c>
      <c r="I173" s="217">
        <v>20.199999999999999</v>
      </c>
      <c r="J173" s="217">
        <f>ROUND(I173*H173,2)</f>
        <v>1939.2000000000001</v>
      </c>
      <c r="K173" s="218"/>
      <c r="L173" s="38"/>
      <c r="M173" s="219" t="s">
        <v>1</v>
      </c>
      <c r="N173" s="220" t="s">
        <v>39</v>
      </c>
      <c r="O173" s="221">
        <v>0.025000000000000001</v>
      </c>
      <c r="P173" s="221">
        <f>O173*H173</f>
        <v>2.4000000000000004</v>
      </c>
      <c r="Q173" s="221">
        <v>0.00012999999999999999</v>
      </c>
      <c r="R173" s="221">
        <f>Q173*H173</f>
        <v>0.012479999999999998</v>
      </c>
      <c r="S173" s="221">
        <v>0</v>
      </c>
      <c r="T173" s="222">
        <f>S173*H173</f>
        <v>0</v>
      </c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R173" s="223" t="s">
        <v>147</v>
      </c>
      <c r="AT173" s="223" t="s">
        <v>144</v>
      </c>
      <c r="AU173" s="223" t="s">
        <v>83</v>
      </c>
      <c r="AY173" s="17" t="s">
        <v>142</v>
      </c>
      <c r="BE173" s="224">
        <f>IF(N173="základní",J173,0)</f>
        <v>1939.2000000000001</v>
      </c>
      <c r="BF173" s="224">
        <f>IF(N173="snížená",J173,0)</f>
        <v>0</v>
      </c>
      <c r="BG173" s="224">
        <f>IF(N173="zákl. přenesená",J173,0)</f>
        <v>0</v>
      </c>
      <c r="BH173" s="224">
        <f>IF(N173="sníž. přenesená",J173,0)</f>
        <v>0</v>
      </c>
      <c r="BI173" s="224">
        <f>IF(N173="nulová",J173,0)</f>
        <v>0</v>
      </c>
      <c r="BJ173" s="17" t="s">
        <v>19</v>
      </c>
      <c r="BK173" s="224">
        <f>ROUND(I173*H173,2)</f>
        <v>1939.2000000000001</v>
      </c>
      <c r="BL173" s="17" t="s">
        <v>147</v>
      </c>
      <c r="BM173" s="223" t="s">
        <v>767</v>
      </c>
    </row>
    <row r="174" s="13" customFormat="1">
      <c r="A174" s="13"/>
      <c r="B174" s="225"/>
      <c r="C174" s="226"/>
      <c r="D174" s="227" t="s">
        <v>149</v>
      </c>
      <c r="E174" s="228" t="s">
        <v>1</v>
      </c>
      <c r="F174" s="229" t="s">
        <v>768</v>
      </c>
      <c r="G174" s="226"/>
      <c r="H174" s="230">
        <v>96</v>
      </c>
      <c r="I174" s="226"/>
      <c r="J174" s="226"/>
      <c r="K174" s="226"/>
      <c r="L174" s="231"/>
      <c r="M174" s="232"/>
      <c r="N174" s="233"/>
      <c r="O174" s="233"/>
      <c r="P174" s="233"/>
      <c r="Q174" s="233"/>
      <c r="R174" s="233"/>
      <c r="S174" s="233"/>
      <c r="T174" s="23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35" t="s">
        <v>149</v>
      </c>
      <c r="AU174" s="235" t="s">
        <v>83</v>
      </c>
      <c r="AV174" s="13" t="s">
        <v>83</v>
      </c>
      <c r="AW174" s="13" t="s">
        <v>32</v>
      </c>
      <c r="AX174" s="13" t="s">
        <v>19</v>
      </c>
      <c r="AY174" s="235" t="s">
        <v>142</v>
      </c>
    </row>
    <row r="175" s="12" customFormat="1" ht="22.8" customHeight="1">
      <c r="A175" s="12"/>
      <c r="B175" s="197"/>
      <c r="C175" s="198"/>
      <c r="D175" s="199" t="s">
        <v>73</v>
      </c>
      <c r="E175" s="210" t="s">
        <v>98</v>
      </c>
      <c r="F175" s="210" t="s">
        <v>232</v>
      </c>
      <c r="G175" s="198"/>
      <c r="H175" s="198"/>
      <c r="I175" s="198"/>
      <c r="J175" s="211">
        <f>BK175</f>
        <v>209944.79999999999</v>
      </c>
      <c r="K175" s="198"/>
      <c r="L175" s="202"/>
      <c r="M175" s="203"/>
      <c r="N175" s="204"/>
      <c r="O175" s="204"/>
      <c r="P175" s="205">
        <f>SUM(P176:P180)</f>
        <v>70.141764000000009</v>
      </c>
      <c r="Q175" s="204"/>
      <c r="R175" s="205">
        <f>SUM(R176:R180)</f>
        <v>21.263475633694192</v>
      </c>
      <c r="S175" s="204"/>
      <c r="T175" s="206">
        <f>SUM(T176:T180)</f>
        <v>0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R175" s="207" t="s">
        <v>19</v>
      </c>
      <c r="AT175" s="208" t="s">
        <v>73</v>
      </c>
      <c r="AU175" s="208" t="s">
        <v>19</v>
      </c>
      <c r="AY175" s="207" t="s">
        <v>142</v>
      </c>
      <c r="BK175" s="209">
        <f>SUM(BK176:BK180)</f>
        <v>209944.79999999999</v>
      </c>
    </row>
    <row r="176" s="2" customFormat="1" ht="21.75" customHeight="1">
      <c r="A176" s="32"/>
      <c r="B176" s="33"/>
      <c r="C176" s="212" t="s">
        <v>233</v>
      </c>
      <c r="D176" s="212" t="s">
        <v>144</v>
      </c>
      <c r="E176" s="213" t="s">
        <v>239</v>
      </c>
      <c r="F176" s="214" t="s">
        <v>240</v>
      </c>
      <c r="G176" s="215" t="s">
        <v>96</v>
      </c>
      <c r="H176" s="216">
        <v>19.25</v>
      </c>
      <c r="I176" s="217">
        <v>1580</v>
      </c>
      <c r="J176" s="217">
        <f>ROUND(I176*H176,2)</f>
        <v>30415</v>
      </c>
      <c r="K176" s="218"/>
      <c r="L176" s="38"/>
      <c r="M176" s="219" t="s">
        <v>1</v>
      </c>
      <c r="N176" s="220" t="s">
        <v>39</v>
      </c>
      <c r="O176" s="221">
        <v>0.55000000000000004</v>
      </c>
      <c r="P176" s="221">
        <f>O176*H176</f>
        <v>10.5875</v>
      </c>
      <c r="Q176" s="221">
        <v>0.14292498630136999</v>
      </c>
      <c r="R176" s="221">
        <f>Q176*H176</f>
        <v>2.7513059863013725</v>
      </c>
      <c r="S176" s="221">
        <v>0</v>
      </c>
      <c r="T176" s="222">
        <f>S176*H176</f>
        <v>0</v>
      </c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R176" s="223" t="s">
        <v>147</v>
      </c>
      <c r="AT176" s="223" t="s">
        <v>144</v>
      </c>
      <c r="AU176" s="223" t="s">
        <v>83</v>
      </c>
      <c r="AY176" s="17" t="s">
        <v>142</v>
      </c>
      <c r="BE176" s="224">
        <f>IF(N176="základní",J176,0)</f>
        <v>30415</v>
      </c>
      <c r="BF176" s="224">
        <f>IF(N176="snížená",J176,0)</f>
        <v>0</v>
      </c>
      <c r="BG176" s="224">
        <f>IF(N176="zákl. přenesená",J176,0)</f>
        <v>0</v>
      </c>
      <c r="BH176" s="224">
        <f>IF(N176="sníž. přenesená",J176,0)</f>
        <v>0</v>
      </c>
      <c r="BI176" s="224">
        <f>IF(N176="nulová",J176,0)</f>
        <v>0</v>
      </c>
      <c r="BJ176" s="17" t="s">
        <v>19</v>
      </c>
      <c r="BK176" s="224">
        <f>ROUND(I176*H176,2)</f>
        <v>30415</v>
      </c>
      <c r="BL176" s="17" t="s">
        <v>147</v>
      </c>
      <c r="BM176" s="223" t="s">
        <v>769</v>
      </c>
    </row>
    <row r="177" s="13" customFormat="1">
      <c r="A177" s="13"/>
      <c r="B177" s="225"/>
      <c r="C177" s="226"/>
      <c r="D177" s="227" t="s">
        <v>149</v>
      </c>
      <c r="E177" s="228" t="s">
        <v>1</v>
      </c>
      <c r="F177" s="229" t="s">
        <v>770</v>
      </c>
      <c r="G177" s="226"/>
      <c r="H177" s="230">
        <v>19.25</v>
      </c>
      <c r="I177" s="226"/>
      <c r="J177" s="226"/>
      <c r="K177" s="226"/>
      <c r="L177" s="231"/>
      <c r="M177" s="232"/>
      <c r="N177" s="233"/>
      <c r="O177" s="233"/>
      <c r="P177" s="233"/>
      <c r="Q177" s="233"/>
      <c r="R177" s="233"/>
      <c r="S177" s="233"/>
      <c r="T177" s="23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35" t="s">
        <v>149</v>
      </c>
      <c r="AU177" s="235" t="s">
        <v>83</v>
      </c>
      <c r="AV177" s="13" t="s">
        <v>83</v>
      </c>
      <c r="AW177" s="13" t="s">
        <v>32</v>
      </c>
      <c r="AX177" s="13" t="s">
        <v>19</v>
      </c>
      <c r="AY177" s="235" t="s">
        <v>142</v>
      </c>
    </row>
    <row r="178" s="2" customFormat="1" ht="24.15" customHeight="1">
      <c r="A178" s="32"/>
      <c r="B178" s="33"/>
      <c r="C178" s="212" t="s">
        <v>238</v>
      </c>
      <c r="D178" s="212" t="s">
        <v>144</v>
      </c>
      <c r="E178" s="213" t="s">
        <v>234</v>
      </c>
      <c r="F178" s="214" t="s">
        <v>235</v>
      </c>
      <c r="G178" s="215" t="s">
        <v>96</v>
      </c>
      <c r="H178" s="216">
        <v>87.563999999999993</v>
      </c>
      <c r="I178" s="217">
        <v>1950</v>
      </c>
      <c r="J178" s="217">
        <f>ROUND(I178*H178,2)</f>
        <v>170749.79999999999</v>
      </c>
      <c r="K178" s="218"/>
      <c r="L178" s="38"/>
      <c r="M178" s="219" t="s">
        <v>1</v>
      </c>
      <c r="N178" s="220" t="s">
        <v>39</v>
      </c>
      <c r="O178" s="221">
        <v>0.67600000000000005</v>
      </c>
      <c r="P178" s="221">
        <f>O178*H178</f>
        <v>59.193263999999999</v>
      </c>
      <c r="Q178" s="221">
        <v>0.210164675521822</v>
      </c>
      <c r="R178" s="221">
        <f>Q178*H178</f>
        <v>18.40285964739282</v>
      </c>
      <c r="S178" s="221">
        <v>0</v>
      </c>
      <c r="T178" s="222">
        <f>S178*H178</f>
        <v>0</v>
      </c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R178" s="223" t="s">
        <v>147</v>
      </c>
      <c r="AT178" s="223" t="s">
        <v>144</v>
      </c>
      <c r="AU178" s="223" t="s">
        <v>83</v>
      </c>
      <c r="AY178" s="17" t="s">
        <v>142</v>
      </c>
      <c r="BE178" s="224">
        <f>IF(N178="základní",J178,0)</f>
        <v>170749.79999999999</v>
      </c>
      <c r="BF178" s="224">
        <f>IF(N178="snížená",J178,0)</f>
        <v>0</v>
      </c>
      <c r="BG178" s="224">
        <f>IF(N178="zákl. přenesená",J178,0)</f>
        <v>0</v>
      </c>
      <c r="BH178" s="224">
        <f>IF(N178="sníž. přenesená",J178,0)</f>
        <v>0</v>
      </c>
      <c r="BI178" s="224">
        <f>IF(N178="nulová",J178,0)</f>
        <v>0</v>
      </c>
      <c r="BJ178" s="17" t="s">
        <v>19</v>
      </c>
      <c r="BK178" s="224">
        <f>ROUND(I178*H178,2)</f>
        <v>170749.79999999999</v>
      </c>
      <c r="BL178" s="17" t="s">
        <v>147</v>
      </c>
      <c r="BM178" s="223" t="s">
        <v>771</v>
      </c>
    </row>
    <row r="179" s="13" customFormat="1">
      <c r="A179" s="13"/>
      <c r="B179" s="225"/>
      <c r="C179" s="226"/>
      <c r="D179" s="227" t="s">
        <v>149</v>
      </c>
      <c r="E179" s="228" t="s">
        <v>1</v>
      </c>
      <c r="F179" s="229" t="s">
        <v>772</v>
      </c>
      <c r="G179" s="226"/>
      <c r="H179" s="230">
        <v>87.564000000000007</v>
      </c>
      <c r="I179" s="226"/>
      <c r="J179" s="226"/>
      <c r="K179" s="226"/>
      <c r="L179" s="231"/>
      <c r="M179" s="232"/>
      <c r="N179" s="233"/>
      <c r="O179" s="233"/>
      <c r="P179" s="233"/>
      <c r="Q179" s="233"/>
      <c r="R179" s="233"/>
      <c r="S179" s="233"/>
      <c r="T179" s="234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T179" s="235" t="s">
        <v>149</v>
      </c>
      <c r="AU179" s="235" t="s">
        <v>83</v>
      </c>
      <c r="AV179" s="13" t="s">
        <v>83</v>
      </c>
      <c r="AW179" s="13" t="s">
        <v>32</v>
      </c>
      <c r="AX179" s="13" t="s">
        <v>19</v>
      </c>
      <c r="AY179" s="235" t="s">
        <v>142</v>
      </c>
    </row>
    <row r="180" s="2" customFormat="1" ht="21.75" customHeight="1">
      <c r="A180" s="32"/>
      <c r="B180" s="33"/>
      <c r="C180" s="212" t="s">
        <v>243</v>
      </c>
      <c r="D180" s="212" t="s">
        <v>144</v>
      </c>
      <c r="E180" s="213" t="s">
        <v>287</v>
      </c>
      <c r="F180" s="214" t="s">
        <v>288</v>
      </c>
      <c r="G180" s="215" t="s">
        <v>284</v>
      </c>
      <c r="H180" s="216">
        <v>1</v>
      </c>
      <c r="I180" s="217">
        <v>8780</v>
      </c>
      <c r="J180" s="217">
        <f>ROUND(I180*H180,2)</f>
        <v>8780</v>
      </c>
      <c r="K180" s="218"/>
      <c r="L180" s="38"/>
      <c r="M180" s="219" t="s">
        <v>1</v>
      </c>
      <c r="N180" s="220" t="s">
        <v>39</v>
      </c>
      <c r="O180" s="221">
        <v>0.36099999999999999</v>
      </c>
      <c r="P180" s="221">
        <f>O180*H180</f>
        <v>0.36099999999999999</v>
      </c>
      <c r="Q180" s="221">
        <v>0.10931</v>
      </c>
      <c r="R180" s="221">
        <f>Q180*H180</f>
        <v>0.10931</v>
      </c>
      <c r="S180" s="221">
        <v>0</v>
      </c>
      <c r="T180" s="222">
        <f>S180*H180</f>
        <v>0</v>
      </c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R180" s="223" t="s">
        <v>147</v>
      </c>
      <c r="AT180" s="223" t="s">
        <v>144</v>
      </c>
      <c r="AU180" s="223" t="s">
        <v>83</v>
      </c>
      <c r="AY180" s="17" t="s">
        <v>142</v>
      </c>
      <c r="BE180" s="224">
        <f>IF(N180="základní",J180,0)</f>
        <v>8780</v>
      </c>
      <c r="BF180" s="224">
        <f>IF(N180="snížená",J180,0)</f>
        <v>0</v>
      </c>
      <c r="BG180" s="224">
        <f>IF(N180="zákl. přenesená",J180,0)</f>
        <v>0</v>
      </c>
      <c r="BH180" s="224">
        <f>IF(N180="sníž. přenesená",J180,0)</f>
        <v>0</v>
      </c>
      <c r="BI180" s="224">
        <f>IF(N180="nulová",J180,0)</f>
        <v>0</v>
      </c>
      <c r="BJ180" s="17" t="s">
        <v>19</v>
      </c>
      <c r="BK180" s="224">
        <f>ROUND(I180*H180,2)</f>
        <v>8780</v>
      </c>
      <c r="BL180" s="17" t="s">
        <v>147</v>
      </c>
      <c r="BM180" s="223" t="s">
        <v>773</v>
      </c>
    </row>
    <row r="181" s="12" customFormat="1" ht="22.8" customHeight="1">
      <c r="A181" s="12"/>
      <c r="B181" s="197"/>
      <c r="C181" s="198"/>
      <c r="D181" s="199" t="s">
        <v>73</v>
      </c>
      <c r="E181" s="210" t="s">
        <v>147</v>
      </c>
      <c r="F181" s="210" t="s">
        <v>338</v>
      </c>
      <c r="G181" s="198"/>
      <c r="H181" s="198"/>
      <c r="I181" s="198"/>
      <c r="J181" s="211">
        <f>BK181</f>
        <v>390202.57000000007</v>
      </c>
      <c r="K181" s="198"/>
      <c r="L181" s="202"/>
      <c r="M181" s="203"/>
      <c r="N181" s="204"/>
      <c r="O181" s="204"/>
      <c r="P181" s="205">
        <f>SUM(P182:P191)</f>
        <v>172.86395899999999</v>
      </c>
      <c r="Q181" s="204"/>
      <c r="R181" s="205">
        <f>SUM(R182:R191)</f>
        <v>47.384899095042435</v>
      </c>
      <c r="S181" s="204"/>
      <c r="T181" s="206">
        <f>SUM(T182:T191)</f>
        <v>0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R181" s="207" t="s">
        <v>19</v>
      </c>
      <c r="AT181" s="208" t="s">
        <v>73</v>
      </c>
      <c r="AU181" s="208" t="s">
        <v>19</v>
      </c>
      <c r="AY181" s="207" t="s">
        <v>142</v>
      </c>
      <c r="BK181" s="209">
        <f>SUM(BK182:BK191)</f>
        <v>390202.57000000007</v>
      </c>
    </row>
    <row r="182" s="2" customFormat="1" ht="44.25" customHeight="1">
      <c r="A182" s="32"/>
      <c r="B182" s="33"/>
      <c r="C182" s="212" t="s">
        <v>7</v>
      </c>
      <c r="D182" s="212" t="s">
        <v>144</v>
      </c>
      <c r="E182" s="213" t="s">
        <v>340</v>
      </c>
      <c r="F182" s="214" t="s">
        <v>341</v>
      </c>
      <c r="G182" s="215" t="s">
        <v>96</v>
      </c>
      <c r="H182" s="216">
        <v>96</v>
      </c>
      <c r="I182" s="217">
        <v>3380</v>
      </c>
      <c r="J182" s="217">
        <f>ROUND(I182*H182,2)</f>
        <v>324480</v>
      </c>
      <c r="K182" s="218"/>
      <c r="L182" s="38"/>
      <c r="M182" s="219" t="s">
        <v>1</v>
      </c>
      <c r="N182" s="220" t="s">
        <v>39</v>
      </c>
      <c r="O182" s="221">
        <v>1.4359999999999999</v>
      </c>
      <c r="P182" s="221">
        <f>O182*H182</f>
        <v>137.856</v>
      </c>
      <c r="Q182" s="221">
        <v>0.37456052959659902</v>
      </c>
      <c r="R182" s="221">
        <f>Q182*H182</f>
        <v>35.957810841273506</v>
      </c>
      <c r="S182" s="221">
        <v>0</v>
      </c>
      <c r="T182" s="222">
        <f>S182*H182</f>
        <v>0</v>
      </c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R182" s="223" t="s">
        <v>147</v>
      </c>
      <c r="AT182" s="223" t="s">
        <v>144</v>
      </c>
      <c r="AU182" s="223" t="s">
        <v>83</v>
      </c>
      <c r="AY182" s="17" t="s">
        <v>142</v>
      </c>
      <c r="BE182" s="224">
        <f>IF(N182="základní",J182,0)</f>
        <v>324480</v>
      </c>
      <c r="BF182" s="224">
        <f>IF(N182="snížená",J182,0)</f>
        <v>0</v>
      </c>
      <c r="BG182" s="224">
        <f>IF(N182="zákl. přenesená",J182,0)</f>
        <v>0</v>
      </c>
      <c r="BH182" s="224">
        <f>IF(N182="sníž. přenesená",J182,0)</f>
        <v>0</v>
      </c>
      <c r="BI182" s="224">
        <f>IF(N182="nulová",J182,0)</f>
        <v>0</v>
      </c>
      <c r="BJ182" s="17" t="s">
        <v>19</v>
      </c>
      <c r="BK182" s="224">
        <f>ROUND(I182*H182,2)</f>
        <v>324480</v>
      </c>
      <c r="BL182" s="17" t="s">
        <v>147</v>
      </c>
      <c r="BM182" s="223" t="s">
        <v>774</v>
      </c>
    </row>
    <row r="183" s="2" customFormat="1">
      <c r="A183" s="32"/>
      <c r="B183" s="33"/>
      <c r="C183" s="34"/>
      <c r="D183" s="227" t="s">
        <v>343</v>
      </c>
      <c r="E183" s="34"/>
      <c r="F183" s="255" t="s">
        <v>344</v>
      </c>
      <c r="G183" s="34"/>
      <c r="H183" s="34"/>
      <c r="I183" s="34"/>
      <c r="J183" s="34"/>
      <c r="K183" s="34"/>
      <c r="L183" s="38"/>
      <c r="M183" s="256"/>
      <c r="N183" s="257"/>
      <c r="O183" s="84"/>
      <c r="P183" s="84"/>
      <c r="Q183" s="84"/>
      <c r="R183" s="84"/>
      <c r="S183" s="84"/>
      <c r="T183" s="85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T183" s="17" t="s">
        <v>343</v>
      </c>
      <c r="AU183" s="17" t="s">
        <v>83</v>
      </c>
    </row>
    <row r="184" s="13" customFormat="1">
      <c r="A184" s="13"/>
      <c r="B184" s="225"/>
      <c r="C184" s="226"/>
      <c r="D184" s="227" t="s">
        <v>149</v>
      </c>
      <c r="E184" s="228" t="s">
        <v>1</v>
      </c>
      <c r="F184" s="229" t="s">
        <v>768</v>
      </c>
      <c r="G184" s="226"/>
      <c r="H184" s="230">
        <v>96</v>
      </c>
      <c r="I184" s="226"/>
      <c r="J184" s="226"/>
      <c r="K184" s="226"/>
      <c r="L184" s="231"/>
      <c r="M184" s="232"/>
      <c r="N184" s="233"/>
      <c r="O184" s="233"/>
      <c r="P184" s="233"/>
      <c r="Q184" s="233"/>
      <c r="R184" s="233"/>
      <c r="S184" s="233"/>
      <c r="T184" s="23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35" t="s">
        <v>149</v>
      </c>
      <c r="AU184" s="235" t="s">
        <v>83</v>
      </c>
      <c r="AV184" s="13" t="s">
        <v>83</v>
      </c>
      <c r="AW184" s="13" t="s">
        <v>32</v>
      </c>
      <c r="AX184" s="13" t="s">
        <v>19</v>
      </c>
      <c r="AY184" s="235" t="s">
        <v>142</v>
      </c>
    </row>
    <row r="185" s="2" customFormat="1" ht="24.15" customHeight="1">
      <c r="A185" s="32"/>
      <c r="B185" s="33"/>
      <c r="C185" s="212" t="s">
        <v>252</v>
      </c>
      <c r="D185" s="212" t="s">
        <v>144</v>
      </c>
      <c r="E185" s="213" t="s">
        <v>347</v>
      </c>
      <c r="F185" s="214" t="s">
        <v>348</v>
      </c>
      <c r="G185" s="215" t="s">
        <v>326</v>
      </c>
      <c r="H185" s="216">
        <v>40.393000000000001</v>
      </c>
      <c r="I185" s="217">
        <v>423</v>
      </c>
      <c r="J185" s="217">
        <f>ROUND(I185*H185,2)</f>
        <v>17086.240000000002</v>
      </c>
      <c r="K185" s="218"/>
      <c r="L185" s="38"/>
      <c r="M185" s="219" t="s">
        <v>1</v>
      </c>
      <c r="N185" s="220" t="s">
        <v>39</v>
      </c>
      <c r="O185" s="221">
        <v>0.11500000000000001</v>
      </c>
      <c r="P185" s="221">
        <f>O185*H185</f>
        <v>4.6451950000000002</v>
      </c>
      <c r="Q185" s="221">
        <v>0.0112684166882612</v>
      </c>
      <c r="R185" s="221">
        <f>Q185*H185</f>
        <v>0.45516515528893464</v>
      </c>
      <c r="S185" s="221">
        <v>0</v>
      </c>
      <c r="T185" s="222">
        <f>S185*H185</f>
        <v>0</v>
      </c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R185" s="223" t="s">
        <v>147</v>
      </c>
      <c r="AT185" s="223" t="s">
        <v>144</v>
      </c>
      <c r="AU185" s="223" t="s">
        <v>83</v>
      </c>
      <c r="AY185" s="17" t="s">
        <v>142</v>
      </c>
      <c r="BE185" s="224">
        <f>IF(N185="základní",J185,0)</f>
        <v>17086.240000000002</v>
      </c>
      <c r="BF185" s="224">
        <f>IF(N185="snížená",J185,0)</f>
        <v>0</v>
      </c>
      <c r="BG185" s="224">
        <f>IF(N185="zákl. přenesená",J185,0)</f>
        <v>0</v>
      </c>
      <c r="BH185" s="224">
        <f>IF(N185="sníž. přenesená",J185,0)</f>
        <v>0</v>
      </c>
      <c r="BI185" s="224">
        <f>IF(N185="nulová",J185,0)</f>
        <v>0</v>
      </c>
      <c r="BJ185" s="17" t="s">
        <v>19</v>
      </c>
      <c r="BK185" s="224">
        <f>ROUND(I185*H185,2)</f>
        <v>17086.240000000002</v>
      </c>
      <c r="BL185" s="17" t="s">
        <v>147</v>
      </c>
      <c r="BM185" s="223" t="s">
        <v>775</v>
      </c>
    </row>
    <row r="186" s="13" customFormat="1">
      <c r="A186" s="13"/>
      <c r="B186" s="225"/>
      <c r="C186" s="226"/>
      <c r="D186" s="227" t="s">
        <v>149</v>
      </c>
      <c r="E186" s="228" t="s">
        <v>1</v>
      </c>
      <c r="F186" s="229" t="s">
        <v>776</v>
      </c>
      <c r="G186" s="226"/>
      <c r="H186" s="230">
        <v>40.393102900744722</v>
      </c>
      <c r="I186" s="226"/>
      <c r="J186" s="226"/>
      <c r="K186" s="226"/>
      <c r="L186" s="231"/>
      <c r="M186" s="232"/>
      <c r="N186" s="233"/>
      <c r="O186" s="233"/>
      <c r="P186" s="233"/>
      <c r="Q186" s="233"/>
      <c r="R186" s="233"/>
      <c r="S186" s="233"/>
      <c r="T186" s="23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35" t="s">
        <v>149</v>
      </c>
      <c r="AU186" s="235" t="s">
        <v>83</v>
      </c>
      <c r="AV186" s="13" t="s">
        <v>83</v>
      </c>
      <c r="AW186" s="13" t="s">
        <v>32</v>
      </c>
      <c r="AX186" s="13" t="s">
        <v>19</v>
      </c>
      <c r="AY186" s="235" t="s">
        <v>142</v>
      </c>
    </row>
    <row r="187" s="2" customFormat="1" ht="16.5" customHeight="1">
      <c r="A187" s="32"/>
      <c r="B187" s="33"/>
      <c r="C187" s="212" t="s">
        <v>256</v>
      </c>
      <c r="D187" s="212" t="s">
        <v>144</v>
      </c>
      <c r="E187" s="213" t="s">
        <v>357</v>
      </c>
      <c r="F187" s="214" t="s">
        <v>358</v>
      </c>
      <c r="G187" s="215" t="s">
        <v>154</v>
      </c>
      <c r="H187" s="216">
        <v>4.1989999999999998</v>
      </c>
      <c r="I187" s="217">
        <v>4790</v>
      </c>
      <c r="J187" s="217">
        <f>ROUND(I187*H187,2)</f>
        <v>20113.209999999999</v>
      </c>
      <c r="K187" s="218"/>
      <c r="L187" s="38"/>
      <c r="M187" s="219" t="s">
        <v>1</v>
      </c>
      <c r="N187" s="220" t="s">
        <v>39</v>
      </c>
      <c r="O187" s="221">
        <v>1.448</v>
      </c>
      <c r="P187" s="221">
        <f>O187*H187</f>
        <v>6.080152</v>
      </c>
      <c r="Q187" s="221">
        <v>2.5018699999999998</v>
      </c>
      <c r="R187" s="221">
        <f>Q187*H187</f>
        <v>10.505352129999999</v>
      </c>
      <c r="S187" s="221">
        <v>0</v>
      </c>
      <c r="T187" s="222">
        <f>S187*H187</f>
        <v>0</v>
      </c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R187" s="223" t="s">
        <v>147</v>
      </c>
      <c r="AT187" s="223" t="s">
        <v>144</v>
      </c>
      <c r="AU187" s="223" t="s">
        <v>83</v>
      </c>
      <c r="AY187" s="17" t="s">
        <v>142</v>
      </c>
      <c r="BE187" s="224">
        <f>IF(N187="základní",J187,0)</f>
        <v>20113.209999999999</v>
      </c>
      <c r="BF187" s="224">
        <f>IF(N187="snížená",J187,0)</f>
        <v>0</v>
      </c>
      <c r="BG187" s="224">
        <f>IF(N187="zákl. přenesená",J187,0)</f>
        <v>0</v>
      </c>
      <c r="BH187" s="224">
        <f>IF(N187="sníž. přenesená",J187,0)</f>
        <v>0</v>
      </c>
      <c r="BI187" s="224">
        <f>IF(N187="nulová",J187,0)</f>
        <v>0</v>
      </c>
      <c r="BJ187" s="17" t="s">
        <v>19</v>
      </c>
      <c r="BK187" s="224">
        <f>ROUND(I187*H187,2)</f>
        <v>20113.209999999999</v>
      </c>
      <c r="BL187" s="17" t="s">
        <v>147</v>
      </c>
      <c r="BM187" s="223" t="s">
        <v>777</v>
      </c>
    </row>
    <row r="188" s="2" customFormat="1" ht="16.5" customHeight="1">
      <c r="A188" s="32"/>
      <c r="B188" s="33"/>
      <c r="C188" s="212" t="s">
        <v>266</v>
      </c>
      <c r="D188" s="212" t="s">
        <v>144</v>
      </c>
      <c r="E188" s="213" t="s">
        <v>363</v>
      </c>
      <c r="F188" s="214" t="s">
        <v>364</v>
      </c>
      <c r="G188" s="215" t="s">
        <v>96</v>
      </c>
      <c r="H188" s="216">
        <v>10.098000000000001</v>
      </c>
      <c r="I188" s="217">
        <v>784</v>
      </c>
      <c r="J188" s="217">
        <f>ROUND(I188*H188,2)</f>
        <v>7916.8299999999999</v>
      </c>
      <c r="K188" s="218"/>
      <c r="L188" s="38"/>
      <c r="M188" s="219" t="s">
        <v>1</v>
      </c>
      <c r="N188" s="220" t="s">
        <v>39</v>
      </c>
      <c r="O188" s="221">
        <v>1.1200000000000001</v>
      </c>
      <c r="P188" s="221">
        <f>O188*H188</f>
        <v>11.309760000000003</v>
      </c>
      <c r="Q188" s="221">
        <v>0.011169999999999999</v>
      </c>
      <c r="R188" s="221">
        <f>Q188*H188</f>
        <v>0.11279466000000001</v>
      </c>
      <c r="S188" s="221">
        <v>0</v>
      </c>
      <c r="T188" s="222">
        <f>S188*H188</f>
        <v>0</v>
      </c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R188" s="223" t="s">
        <v>147</v>
      </c>
      <c r="AT188" s="223" t="s">
        <v>144</v>
      </c>
      <c r="AU188" s="223" t="s">
        <v>83</v>
      </c>
      <c r="AY188" s="17" t="s">
        <v>142</v>
      </c>
      <c r="BE188" s="224">
        <f>IF(N188="základní",J188,0)</f>
        <v>7916.8299999999999</v>
      </c>
      <c r="BF188" s="224">
        <f>IF(N188="snížená",J188,0)</f>
        <v>0</v>
      </c>
      <c r="BG188" s="224">
        <f>IF(N188="zákl. přenesená",J188,0)</f>
        <v>0</v>
      </c>
      <c r="BH188" s="224">
        <f>IF(N188="sníž. přenesená",J188,0)</f>
        <v>0</v>
      </c>
      <c r="BI188" s="224">
        <f>IF(N188="nulová",J188,0)</f>
        <v>0</v>
      </c>
      <c r="BJ188" s="17" t="s">
        <v>19</v>
      </c>
      <c r="BK188" s="224">
        <f>ROUND(I188*H188,2)</f>
        <v>7916.8299999999999</v>
      </c>
      <c r="BL188" s="17" t="s">
        <v>147</v>
      </c>
      <c r="BM188" s="223" t="s">
        <v>778</v>
      </c>
    </row>
    <row r="189" s="13" customFormat="1">
      <c r="A189" s="13"/>
      <c r="B189" s="225"/>
      <c r="C189" s="226"/>
      <c r="D189" s="227" t="s">
        <v>149</v>
      </c>
      <c r="E189" s="228" t="s">
        <v>1</v>
      </c>
      <c r="F189" s="229" t="s">
        <v>779</v>
      </c>
      <c r="G189" s="226"/>
      <c r="H189" s="230">
        <v>10.098275725186181</v>
      </c>
      <c r="I189" s="226"/>
      <c r="J189" s="226"/>
      <c r="K189" s="226"/>
      <c r="L189" s="231"/>
      <c r="M189" s="232"/>
      <c r="N189" s="233"/>
      <c r="O189" s="233"/>
      <c r="P189" s="233"/>
      <c r="Q189" s="233"/>
      <c r="R189" s="233"/>
      <c r="S189" s="233"/>
      <c r="T189" s="23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35" t="s">
        <v>149</v>
      </c>
      <c r="AU189" s="235" t="s">
        <v>83</v>
      </c>
      <c r="AV189" s="13" t="s">
        <v>83</v>
      </c>
      <c r="AW189" s="13" t="s">
        <v>32</v>
      </c>
      <c r="AX189" s="13" t="s">
        <v>19</v>
      </c>
      <c r="AY189" s="235" t="s">
        <v>142</v>
      </c>
    </row>
    <row r="190" s="2" customFormat="1" ht="16.5" customHeight="1">
      <c r="A190" s="32"/>
      <c r="B190" s="33"/>
      <c r="C190" s="212" t="s">
        <v>271</v>
      </c>
      <c r="D190" s="212" t="s">
        <v>144</v>
      </c>
      <c r="E190" s="213" t="s">
        <v>368</v>
      </c>
      <c r="F190" s="214" t="s">
        <v>369</v>
      </c>
      <c r="G190" s="215" t="s">
        <v>96</v>
      </c>
      <c r="H190" s="216">
        <v>10.098000000000001</v>
      </c>
      <c r="I190" s="217">
        <v>154</v>
      </c>
      <c r="J190" s="217">
        <f>ROUND(I190*H190,2)</f>
        <v>1555.0899999999999</v>
      </c>
      <c r="K190" s="218"/>
      <c r="L190" s="38"/>
      <c r="M190" s="219" t="s">
        <v>1</v>
      </c>
      <c r="N190" s="220" t="s">
        <v>39</v>
      </c>
      <c r="O190" s="221">
        <v>0.33000000000000002</v>
      </c>
      <c r="P190" s="221">
        <f>O190*H190</f>
        <v>3.3323400000000003</v>
      </c>
      <c r="Q190" s="221">
        <v>0</v>
      </c>
      <c r="R190" s="221">
        <f>Q190*H190</f>
        <v>0</v>
      </c>
      <c r="S190" s="221">
        <v>0</v>
      </c>
      <c r="T190" s="222">
        <f>S190*H190</f>
        <v>0</v>
      </c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R190" s="223" t="s">
        <v>147</v>
      </c>
      <c r="AT190" s="223" t="s">
        <v>144</v>
      </c>
      <c r="AU190" s="223" t="s">
        <v>83</v>
      </c>
      <c r="AY190" s="17" t="s">
        <v>142</v>
      </c>
      <c r="BE190" s="224">
        <f>IF(N190="základní",J190,0)</f>
        <v>1555.0899999999999</v>
      </c>
      <c r="BF190" s="224">
        <f>IF(N190="snížená",J190,0)</f>
        <v>0</v>
      </c>
      <c r="BG190" s="224">
        <f>IF(N190="zákl. přenesená",J190,0)</f>
        <v>0</v>
      </c>
      <c r="BH190" s="224">
        <f>IF(N190="sníž. přenesená",J190,0)</f>
        <v>0</v>
      </c>
      <c r="BI190" s="224">
        <f>IF(N190="nulová",J190,0)</f>
        <v>0</v>
      </c>
      <c r="BJ190" s="17" t="s">
        <v>19</v>
      </c>
      <c r="BK190" s="224">
        <f>ROUND(I190*H190,2)</f>
        <v>1555.0899999999999</v>
      </c>
      <c r="BL190" s="17" t="s">
        <v>147</v>
      </c>
      <c r="BM190" s="223" t="s">
        <v>780</v>
      </c>
    </row>
    <row r="191" s="2" customFormat="1" ht="24.15" customHeight="1">
      <c r="A191" s="32"/>
      <c r="B191" s="33"/>
      <c r="C191" s="212" t="s">
        <v>276</v>
      </c>
      <c r="D191" s="212" t="s">
        <v>144</v>
      </c>
      <c r="E191" s="213" t="s">
        <v>372</v>
      </c>
      <c r="F191" s="214" t="s">
        <v>373</v>
      </c>
      <c r="G191" s="215" t="s">
        <v>171</v>
      </c>
      <c r="H191" s="216">
        <v>0.33600000000000002</v>
      </c>
      <c r="I191" s="217">
        <v>56700</v>
      </c>
      <c r="J191" s="217">
        <f>ROUND(I191*H191,2)</f>
        <v>19051.200000000001</v>
      </c>
      <c r="K191" s="218"/>
      <c r="L191" s="38"/>
      <c r="M191" s="219" t="s">
        <v>1</v>
      </c>
      <c r="N191" s="220" t="s">
        <v>39</v>
      </c>
      <c r="O191" s="221">
        <v>28.692</v>
      </c>
      <c r="P191" s="221">
        <f>O191*H191</f>
        <v>9.6405120000000011</v>
      </c>
      <c r="Q191" s="221">
        <v>1.0529056800000001</v>
      </c>
      <c r="R191" s="221">
        <f>Q191*H191</f>
        <v>0.35377630848000002</v>
      </c>
      <c r="S191" s="221">
        <v>0</v>
      </c>
      <c r="T191" s="222">
        <f>S191*H191</f>
        <v>0</v>
      </c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R191" s="223" t="s">
        <v>147</v>
      </c>
      <c r="AT191" s="223" t="s">
        <v>144</v>
      </c>
      <c r="AU191" s="223" t="s">
        <v>83</v>
      </c>
      <c r="AY191" s="17" t="s">
        <v>142</v>
      </c>
      <c r="BE191" s="224">
        <f>IF(N191="základní",J191,0)</f>
        <v>19051.200000000001</v>
      </c>
      <c r="BF191" s="224">
        <f>IF(N191="snížená",J191,0)</f>
        <v>0</v>
      </c>
      <c r="BG191" s="224">
        <f>IF(N191="zákl. přenesená",J191,0)</f>
        <v>0</v>
      </c>
      <c r="BH191" s="224">
        <f>IF(N191="sníž. přenesená",J191,0)</f>
        <v>0</v>
      </c>
      <c r="BI191" s="224">
        <f>IF(N191="nulová",J191,0)</f>
        <v>0</v>
      </c>
      <c r="BJ191" s="17" t="s">
        <v>19</v>
      </c>
      <c r="BK191" s="224">
        <f>ROUND(I191*H191,2)</f>
        <v>19051.200000000001</v>
      </c>
      <c r="BL191" s="17" t="s">
        <v>147</v>
      </c>
      <c r="BM191" s="223" t="s">
        <v>781</v>
      </c>
    </row>
    <row r="192" s="12" customFormat="1" ht="22.8" customHeight="1">
      <c r="A192" s="12"/>
      <c r="B192" s="197"/>
      <c r="C192" s="198"/>
      <c r="D192" s="199" t="s">
        <v>73</v>
      </c>
      <c r="E192" s="210" t="s">
        <v>168</v>
      </c>
      <c r="F192" s="210" t="s">
        <v>383</v>
      </c>
      <c r="G192" s="198"/>
      <c r="H192" s="198"/>
      <c r="I192" s="198"/>
      <c r="J192" s="211">
        <f>BK192</f>
        <v>120007.08</v>
      </c>
      <c r="K192" s="198"/>
      <c r="L192" s="202"/>
      <c r="M192" s="203"/>
      <c r="N192" s="204"/>
      <c r="O192" s="204"/>
      <c r="P192" s="205">
        <f>SUM(P193:P202)</f>
        <v>135.542518</v>
      </c>
      <c r="Q192" s="204"/>
      <c r="R192" s="205">
        <f>SUM(R193:R202)</f>
        <v>5.5447993499999999</v>
      </c>
      <c r="S192" s="204"/>
      <c r="T192" s="206">
        <f>SUM(T193:T202)</f>
        <v>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R192" s="207" t="s">
        <v>19</v>
      </c>
      <c r="AT192" s="208" t="s">
        <v>73</v>
      </c>
      <c r="AU192" s="208" t="s">
        <v>19</v>
      </c>
      <c r="AY192" s="207" t="s">
        <v>142</v>
      </c>
      <c r="BK192" s="209">
        <f>SUM(BK193:BK202)</f>
        <v>120007.08</v>
      </c>
    </row>
    <row r="193" s="2" customFormat="1" ht="24.15" customHeight="1">
      <c r="A193" s="32"/>
      <c r="B193" s="33"/>
      <c r="C193" s="212" t="s">
        <v>281</v>
      </c>
      <c r="D193" s="212" t="s">
        <v>144</v>
      </c>
      <c r="E193" s="213" t="s">
        <v>385</v>
      </c>
      <c r="F193" s="214" t="s">
        <v>386</v>
      </c>
      <c r="G193" s="215" t="s">
        <v>96</v>
      </c>
      <c r="H193" s="216">
        <v>80.704999999999998</v>
      </c>
      <c r="I193" s="217">
        <v>161</v>
      </c>
      <c r="J193" s="217">
        <f>ROUND(I193*H193,2)</f>
        <v>12993.51</v>
      </c>
      <c r="K193" s="218"/>
      <c r="L193" s="38"/>
      <c r="M193" s="219" t="s">
        <v>1</v>
      </c>
      <c r="N193" s="220" t="s">
        <v>39</v>
      </c>
      <c r="O193" s="221">
        <v>0.154</v>
      </c>
      <c r="P193" s="221">
        <f>O193*H193</f>
        <v>12.428569999999999</v>
      </c>
      <c r="Q193" s="221">
        <v>0.0080000000000000002</v>
      </c>
      <c r="R193" s="221">
        <f>Q193*H193</f>
        <v>0.64563999999999999</v>
      </c>
      <c r="S193" s="221">
        <v>0</v>
      </c>
      <c r="T193" s="222">
        <f>S193*H193</f>
        <v>0</v>
      </c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R193" s="223" t="s">
        <v>147</v>
      </c>
      <c r="AT193" s="223" t="s">
        <v>144</v>
      </c>
      <c r="AU193" s="223" t="s">
        <v>83</v>
      </c>
      <c r="AY193" s="17" t="s">
        <v>142</v>
      </c>
      <c r="BE193" s="224">
        <f>IF(N193="základní",J193,0)</f>
        <v>12993.51</v>
      </c>
      <c r="BF193" s="224">
        <f>IF(N193="snížená",J193,0)</f>
        <v>0</v>
      </c>
      <c r="BG193" s="224">
        <f>IF(N193="zákl. přenesená",J193,0)</f>
        <v>0</v>
      </c>
      <c r="BH193" s="224">
        <f>IF(N193="sníž. přenesená",J193,0)</f>
        <v>0</v>
      </c>
      <c r="BI193" s="224">
        <f>IF(N193="nulová",J193,0)</f>
        <v>0</v>
      </c>
      <c r="BJ193" s="17" t="s">
        <v>19</v>
      </c>
      <c r="BK193" s="224">
        <f>ROUND(I193*H193,2)</f>
        <v>12993.51</v>
      </c>
      <c r="BL193" s="17" t="s">
        <v>147</v>
      </c>
      <c r="BM193" s="223" t="s">
        <v>782</v>
      </c>
    </row>
    <row r="194" s="13" customFormat="1">
      <c r="A194" s="13"/>
      <c r="B194" s="225"/>
      <c r="C194" s="226"/>
      <c r="D194" s="227" t="s">
        <v>149</v>
      </c>
      <c r="E194" s="228" t="s">
        <v>1</v>
      </c>
      <c r="F194" s="229" t="s">
        <v>783</v>
      </c>
      <c r="G194" s="226"/>
      <c r="H194" s="230">
        <v>80.705419595687957</v>
      </c>
      <c r="I194" s="226"/>
      <c r="J194" s="226"/>
      <c r="K194" s="226"/>
      <c r="L194" s="231"/>
      <c r="M194" s="232"/>
      <c r="N194" s="233"/>
      <c r="O194" s="233"/>
      <c r="P194" s="233"/>
      <c r="Q194" s="233"/>
      <c r="R194" s="233"/>
      <c r="S194" s="233"/>
      <c r="T194" s="23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35" t="s">
        <v>149</v>
      </c>
      <c r="AU194" s="235" t="s">
        <v>83</v>
      </c>
      <c r="AV194" s="13" t="s">
        <v>83</v>
      </c>
      <c r="AW194" s="13" t="s">
        <v>32</v>
      </c>
      <c r="AX194" s="13" t="s">
        <v>19</v>
      </c>
      <c r="AY194" s="235" t="s">
        <v>142</v>
      </c>
    </row>
    <row r="195" s="2" customFormat="1" ht="24.15" customHeight="1">
      <c r="A195" s="32"/>
      <c r="B195" s="33"/>
      <c r="C195" s="212" t="s">
        <v>286</v>
      </c>
      <c r="D195" s="212" t="s">
        <v>144</v>
      </c>
      <c r="E195" s="213" t="s">
        <v>389</v>
      </c>
      <c r="F195" s="214" t="s">
        <v>390</v>
      </c>
      <c r="G195" s="215" t="s">
        <v>96</v>
      </c>
      <c r="H195" s="216">
        <v>80.704999999999998</v>
      </c>
      <c r="I195" s="217">
        <v>309</v>
      </c>
      <c r="J195" s="217">
        <f>ROUND(I195*H195,2)</f>
        <v>24937.849999999999</v>
      </c>
      <c r="K195" s="218"/>
      <c r="L195" s="38"/>
      <c r="M195" s="219" t="s">
        <v>1</v>
      </c>
      <c r="N195" s="220" t="s">
        <v>39</v>
      </c>
      <c r="O195" s="221">
        <v>0.41999999999999998</v>
      </c>
      <c r="P195" s="221">
        <f>O195*H195</f>
        <v>33.896099999999997</v>
      </c>
      <c r="Q195" s="221">
        <v>0.01575</v>
      </c>
      <c r="R195" s="221">
        <f>Q195*H195</f>
        <v>1.27110375</v>
      </c>
      <c r="S195" s="221">
        <v>0</v>
      </c>
      <c r="T195" s="222">
        <f>S195*H195</f>
        <v>0</v>
      </c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R195" s="223" t="s">
        <v>147</v>
      </c>
      <c r="AT195" s="223" t="s">
        <v>144</v>
      </c>
      <c r="AU195" s="223" t="s">
        <v>83</v>
      </c>
      <c r="AY195" s="17" t="s">
        <v>142</v>
      </c>
      <c r="BE195" s="224">
        <f>IF(N195="základní",J195,0)</f>
        <v>24937.849999999999</v>
      </c>
      <c r="BF195" s="224">
        <f>IF(N195="snížená",J195,0)</f>
        <v>0</v>
      </c>
      <c r="BG195" s="224">
        <f>IF(N195="zákl. přenesená",J195,0)</f>
        <v>0</v>
      </c>
      <c r="BH195" s="224">
        <f>IF(N195="sníž. přenesená",J195,0)</f>
        <v>0</v>
      </c>
      <c r="BI195" s="224">
        <f>IF(N195="nulová",J195,0)</f>
        <v>0</v>
      </c>
      <c r="BJ195" s="17" t="s">
        <v>19</v>
      </c>
      <c r="BK195" s="224">
        <f>ROUND(I195*H195,2)</f>
        <v>24937.849999999999</v>
      </c>
      <c r="BL195" s="17" t="s">
        <v>147</v>
      </c>
      <c r="BM195" s="223" t="s">
        <v>784</v>
      </c>
    </row>
    <row r="196" s="2" customFormat="1" ht="24.15" customHeight="1">
      <c r="A196" s="32"/>
      <c r="B196" s="33"/>
      <c r="C196" s="212" t="s">
        <v>290</v>
      </c>
      <c r="D196" s="212" t="s">
        <v>144</v>
      </c>
      <c r="E196" s="213" t="s">
        <v>394</v>
      </c>
      <c r="F196" s="214" t="s">
        <v>395</v>
      </c>
      <c r="G196" s="215" t="s">
        <v>96</v>
      </c>
      <c r="H196" s="216">
        <v>120.42400000000001</v>
      </c>
      <c r="I196" s="217">
        <v>142</v>
      </c>
      <c r="J196" s="217">
        <f>ROUND(I196*H196,2)</f>
        <v>17100.209999999999</v>
      </c>
      <c r="K196" s="218"/>
      <c r="L196" s="38"/>
      <c r="M196" s="219" t="s">
        <v>1</v>
      </c>
      <c r="N196" s="220" t="s">
        <v>39</v>
      </c>
      <c r="O196" s="221">
        <v>0.11700000000000001</v>
      </c>
      <c r="P196" s="221">
        <f>O196*H196</f>
        <v>14.089608000000002</v>
      </c>
      <c r="Q196" s="221">
        <v>0.0080000000000000002</v>
      </c>
      <c r="R196" s="221">
        <f>Q196*H196</f>
        <v>0.96339200000000003</v>
      </c>
      <c r="S196" s="221">
        <v>0</v>
      </c>
      <c r="T196" s="222">
        <f>S196*H196</f>
        <v>0</v>
      </c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R196" s="223" t="s">
        <v>147</v>
      </c>
      <c r="AT196" s="223" t="s">
        <v>144</v>
      </c>
      <c r="AU196" s="223" t="s">
        <v>83</v>
      </c>
      <c r="AY196" s="17" t="s">
        <v>142</v>
      </c>
      <c r="BE196" s="224">
        <f>IF(N196="základní",J196,0)</f>
        <v>17100.209999999999</v>
      </c>
      <c r="BF196" s="224">
        <f>IF(N196="snížená",J196,0)</f>
        <v>0</v>
      </c>
      <c r="BG196" s="224">
        <f>IF(N196="zákl. přenesená",J196,0)</f>
        <v>0</v>
      </c>
      <c r="BH196" s="224">
        <f>IF(N196="sníž. přenesená",J196,0)</f>
        <v>0</v>
      </c>
      <c r="BI196" s="224">
        <f>IF(N196="nulová",J196,0)</f>
        <v>0</v>
      </c>
      <c r="BJ196" s="17" t="s">
        <v>19</v>
      </c>
      <c r="BK196" s="224">
        <f>ROUND(I196*H196,2)</f>
        <v>17100.209999999999</v>
      </c>
      <c r="BL196" s="17" t="s">
        <v>147</v>
      </c>
      <c r="BM196" s="223" t="s">
        <v>785</v>
      </c>
    </row>
    <row r="197" s="13" customFormat="1">
      <c r="A197" s="13"/>
      <c r="B197" s="225"/>
      <c r="C197" s="226"/>
      <c r="D197" s="227" t="s">
        <v>149</v>
      </c>
      <c r="E197" s="228" t="s">
        <v>1</v>
      </c>
      <c r="F197" s="229" t="s">
        <v>786</v>
      </c>
      <c r="G197" s="226"/>
      <c r="H197" s="230">
        <v>120.42419999999999</v>
      </c>
      <c r="I197" s="226"/>
      <c r="J197" s="226"/>
      <c r="K197" s="226"/>
      <c r="L197" s="231"/>
      <c r="M197" s="232"/>
      <c r="N197" s="233"/>
      <c r="O197" s="233"/>
      <c r="P197" s="233"/>
      <c r="Q197" s="233"/>
      <c r="R197" s="233"/>
      <c r="S197" s="233"/>
      <c r="T197" s="23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35" t="s">
        <v>149</v>
      </c>
      <c r="AU197" s="235" t="s">
        <v>83</v>
      </c>
      <c r="AV197" s="13" t="s">
        <v>83</v>
      </c>
      <c r="AW197" s="13" t="s">
        <v>32</v>
      </c>
      <c r="AX197" s="13" t="s">
        <v>19</v>
      </c>
      <c r="AY197" s="235" t="s">
        <v>142</v>
      </c>
    </row>
    <row r="198" s="2" customFormat="1" ht="24.15" customHeight="1">
      <c r="A198" s="32"/>
      <c r="B198" s="33"/>
      <c r="C198" s="212" t="s">
        <v>236</v>
      </c>
      <c r="D198" s="212" t="s">
        <v>144</v>
      </c>
      <c r="E198" s="213" t="s">
        <v>403</v>
      </c>
      <c r="F198" s="214" t="s">
        <v>404</v>
      </c>
      <c r="G198" s="215" t="s">
        <v>96</v>
      </c>
      <c r="H198" s="216">
        <v>46.32</v>
      </c>
      <c r="I198" s="217">
        <v>138</v>
      </c>
      <c r="J198" s="217">
        <f>ROUND(I198*H198,2)</f>
        <v>6392.1599999999999</v>
      </c>
      <c r="K198" s="218"/>
      <c r="L198" s="38"/>
      <c r="M198" s="219" t="s">
        <v>1</v>
      </c>
      <c r="N198" s="220" t="s">
        <v>39</v>
      </c>
      <c r="O198" s="221">
        <v>0.086999999999999994</v>
      </c>
      <c r="P198" s="221">
        <f>O198*H198</f>
        <v>4.0298400000000001</v>
      </c>
      <c r="Q198" s="221">
        <v>0.0089999999999999993</v>
      </c>
      <c r="R198" s="221">
        <f>Q198*H198</f>
        <v>0.41687999999999997</v>
      </c>
      <c r="S198" s="221">
        <v>0</v>
      </c>
      <c r="T198" s="222">
        <f>S198*H198</f>
        <v>0</v>
      </c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R198" s="223" t="s">
        <v>147</v>
      </c>
      <c r="AT198" s="223" t="s">
        <v>144</v>
      </c>
      <c r="AU198" s="223" t="s">
        <v>83</v>
      </c>
      <c r="AY198" s="17" t="s">
        <v>142</v>
      </c>
      <c r="BE198" s="224">
        <f>IF(N198="základní",J198,0)</f>
        <v>6392.1599999999999</v>
      </c>
      <c r="BF198" s="224">
        <f>IF(N198="snížená",J198,0)</f>
        <v>0</v>
      </c>
      <c r="BG198" s="224">
        <f>IF(N198="zákl. přenesená",J198,0)</f>
        <v>0</v>
      </c>
      <c r="BH198" s="224">
        <f>IF(N198="sníž. přenesená",J198,0)</f>
        <v>0</v>
      </c>
      <c r="BI198" s="224">
        <f>IF(N198="nulová",J198,0)</f>
        <v>0</v>
      </c>
      <c r="BJ198" s="17" t="s">
        <v>19</v>
      </c>
      <c r="BK198" s="224">
        <f>ROUND(I198*H198,2)</f>
        <v>6392.1599999999999</v>
      </c>
      <c r="BL198" s="17" t="s">
        <v>147</v>
      </c>
      <c r="BM198" s="223" t="s">
        <v>787</v>
      </c>
    </row>
    <row r="199" s="13" customFormat="1">
      <c r="A199" s="13"/>
      <c r="B199" s="225"/>
      <c r="C199" s="226"/>
      <c r="D199" s="227" t="s">
        <v>149</v>
      </c>
      <c r="E199" s="228" t="s">
        <v>1</v>
      </c>
      <c r="F199" s="229" t="s">
        <v>788</v>
      </c>
      <c r="G199" s="226"/>
      <c r="H199" s="230">
        <v>46.319999999999993</v>
      </c>
      <c r="I199" s="226"/>
      <c r="J199" s="226"/>
      <c r="K199" s="226"/>
      <c r="L199" s="231"/>
      <c r="M199" s="232"/>
      <c r="N199" s="233"/>
      <c r="O199" s="233"/>
      <c r="P199" s="233"/>
      <c r="Q199" s="233"/>
      <c r="R199" s="233"/>
      <c r="S199" s="233"/>
      <c r="T199" s="23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35" t="s">
        <v>149</v>
      </c>
      <c r="AU199" s="235" t="s">
        <v>83</v>
      </c>
      <c r="AV199" s="13" t="s">
        <v>83</v>
      </c>
      <c r="AW199" s="13" t="s">
        <v>32</v>
      </c>
      <c r="AX199" s="13" t="s">
        <v>19</v>
      </c>
      <c r="AY199" s="235" t="s">
        <v>142</v>
      </c>
    </row>
    <row r="200" s="2" customFormat="1" ht="24.15" customHeight="1">
      <c r="A200" s="32"/>
      <c r="B200" s="33"/>
      <c r="C200" s="212" t="s">
        <v>297</v>
      </c>
      <c r="D200" s="212" t="s">
        <v>144</v>
      </c>
      <c r="E200" s="213" t="s">
        <v>398</v>
      </c>
      <c r="F200" s="214" t="s">
        <v>399</v>
      </c>
      <c r="G200" s="215" t="s">
        <v>96</v>
      </c>
      <c r="H200" s="216">
        <v>120.42400000000001</v>
      </c>
      <c r="I200" s="217">
        <v>273</v>
      </c>
      <c r="J200" s="217">
        <f>ROUND(I200*H200,2)</f>
        <v>32875.75</v>
      </c>
      <c r="K200" s="218"/>
      <c r="L200" s="38"/>
      <c r="M200" s="219" t="s">
        <v>1</v>
      </c>
      <c r="N200" s="220" t="s">
        <v>39</v>
      </c>
      <c r="O200" s="221">
        <v>0.34999999999999998</v>
      </c>
      <c r="P200" s="221">
        <f>O200*H200</f>
        <v>42.148400000000002</v>
      </c>
      <c r="Q200" s="221">
        <v>0.01575</v>
      </c>
      <c r="R200" s="221">
        <f>Q200*H200</f>
        <v>1.8966780000000001</v>
      </c>
      <c r="S200" s="221">
        <v>0</v>
      </c>
      <c r="T200" s="222">
        <f>S200*H200</f>
        <v>0</v>
      </c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R200" s="223" t="s">
        <v>147</v>
      </c>
      <c r="AT200" s="223" t="s">
        <v>144</v>
      </c>
      <c r="AU200" s="223" t="s">
        <v>83</v>
      </c>
      <c r="AY200" s="17" t="s">
        <v>142</v>
      </c>
      <c r="BE200" s="224">
        <f>IF(N200="základní",J200,0)</f>
        <v>32875.75</v>
      </c>
      <c r="BF200" s="224">
        <f>IF(N200="snížená",J200,0)</f>
        <v>0</v>
      </c>
      <c r="BG200" s="224">
        <f>IF(N200="zákl. přenesená",J200,0)</f>
        <v>0</v>
      </c>
      <c r="BH200" s="224">
        <f>IF(N200="sníž. přenesená",J200,0)</f>
        <v>0</v>
      </c>
      <c r="BI200" s="224">
        <f>IF(N200="nulová",J200,0)</f>
        <v>0</v>
      </c>
      <c r="BJ200" s="17" t="s">
        <v>19</v>
      </c>
      <c r="BK200" s="224">
        <f>ROUND(I200*H200,2)</f>
        <v>32875.75</v>
      </c>
      <c r="BL200" s="17" t="s">
        <v>147</v>
      </c>
      <c r="BM200" s="223" t="s">
        <v>789</v>
      </c>
    </row>
    <row r="201" s="2" customFormat="1" ht="21.75" customHeight="1">
      <c r="A201" s="32"/>
      <c r="B201" s="33"/>
      <c r="C201" s="212" t="s">
        <v>241</v>
      </c>
      <c r="D201" s="212" t="s">
        <v>144</v>
      </c>
      <c r="E201" s="213" t="s">
        <v>408</v>
      </c>
      <c r="F201" s="214" t="s">
        <v>409</v>
      </c>
      <c r="G201" s="215" t="s">
        <v>96</v>
      </c>
      <c r="H201" s="216">
        <v>46.32</v>
      </c>
      <c r="I201" s="217">
        <v>286</v>
      </c>
      <c r="J201" s="217">
        <f>ROUND(I201*H201,2)</f>
        <v>13247.52</v>
      </c>
      <c r="K201" s="218"/>
      <c r="L201" s="38"/>
      <c r="M201" s="219" t="s">
        <v>1</v>
      </c>
      <c r="N201" s="220" t="s">
        <v>39</v>
      </c>
      <c r="O201" s="221">
        <v>0.33000000000000002</v>
      </c>
      <c r="P201" s="221">
        <f>O201*H201</f>
        <v>15.285600000000001</v>
      </c>
      <c r="Q201" s="221">
        <v>0.0043800000000000002</v>
      </c>
      <c r="R201" s="221">
        <f>Q201*H201</f>
        <v>0.20288160000000002</v>
      </c>
      <c r="S201" s="221">
        <v>0</v>
      </c>
      <c r="T201" s="222">
        <f>S201*H201</f>
        <v>0</v>
      </c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R201" s="223" t="s">
        <v>147</v>
      </c>
      <c r="AT201" s="223" t="s">
        <v>144</v>
      </c>
      <c r="AU201" s="223" t="s">
        <v>83</v>
      </c>
      <c r="AY201" s="17" t="s">
        <v>142</v>
      </c>
      <c r="BE201" s="224">
        <f>IF(N201="základní",J201,0)</f>
        <v>13247.52</v>
      </c>
      <c r="BF201" s="224">
        <f>IF(N201="snížená",J201,0)</f>
        <v>0</v>
      </c>
      <c r="BG201" s="224">
        <f>IF(N201="zákl. přenesená",J201,0)</f>
        <v>0</v>
      </c>
      <c r="BH201" s="224">
        <f>IF(N201="sníž. přenesená",J201,0)</f>
        <v>0</v>
      </c>
      <c r="BI201" s="224">
        <f>IF(N201="nulová",J201,0)</f>
        <v>0</v>
      </c>
      <c r="BJ201" s="17" t="s">
        <v>19</v>
      </c>
      <c r="BK201" s="224">
        <f>ROUND(I201*H201,2)</f>
        <v>13247.52</v>
      </c>
      <c r="BL201" s="17" t="s">
        <v>147</v>
      </c>
      <c r="BM201" s="223" t="s">
        <v>790</v>
      </c>
    </row>
    <row r="202" s="2" customFormat="1" ht="24.15" customHeight="1">
      <c r="A202" s="32"/>
      <c r="B202" s="33"/>
      <c r="C202" s="212" t="s">
        <v>304</v>
      </c>
      <c r="D202" s="212" t="s">
        <v>144</v>
      </c>
      <c r="E202" s="213" t="s">
        <v>412</v>
      </c>
      <c r="F202" s="214" t="s">
        <v>413</v>
      </c>
      <c r="G202" s="215" t="s">
        <v>96</v>
      </c>
      <c r="H202" s="216">
        <v>46.32</v>
      </c>
      <c r="I202" s="217">
        <v>269</v>
      </c>
      <c r="J202" s="217">
        <f>ROUND(I202*H202,2)</f>
        <v>12460.08</v>
      </c>
      <c r="K202" s="218"/>
      <c r="L202" s="38"/>
      <c r="M202" s="219" t="s">
        <v>1</v>
      </c>
      <c r="N202" s="220" t="s">
        <v>39</v>
      </c>
      <c r="O202" s="221">
        <v>0.29499999999999998</v>
      </c>
      <c r="P202" s="221">
        <f>O202*H202</f>
        <v>13.664399999999999</v>
      </c>
      <c r="Q202" s="221">
        <v>0.0032000000000000002</v>
      </c>
      <c r="R202" s="221">
        <f>Q202*H202</f>
        <v>0.148224</v>
      </c>
      <c r="S202" s="221">
        <v>0</v>
      </c>
      <c r="T202" s="222">
        <f>S202*H202</f>
        <v>0</v>
      </c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R202" s="223" t="s">
        <v>147</v>
      </c>
      <c r="AT202" s="223" t="s">
        <v>144</v>
      </c>
      <c r="AU202" s="223" t="s">
        <v>83</v>
      </c>
      <c r="AY202" s="17" t="s">
        <v>142</v>
      </c>
      <c r="BE202" s="224">
        <f>IF(N202="základní",J202,0)</f>
        <v>12460.08</v>
      </c>
      <c r="BF202" s="224">
        <f>IF(N202="snížená",J202,0)</f>
        <v>0</v>
      </c>
      <c r="BG202" s="224">
        <f>IF(N202="zákl. přenesená",J202,0)</f>
        <v>0</v>
      </c>
      <c r="BH202" s="224">
        <f>IF(N202="sníž. přenesená",J202,0)</f>
        <v>0</v>
      </c>
      <c r="BI202" s="224">
        <f>IF(N202="nulová",J202,0)</f>
        <v>0</v>
      </c>
      <c r="BJ202" s="17" t="s">
        <v>19</v>
      </c>
      <c r="BK202" s="224">
        <f>ROUND(I202*H202,2)</f>
        <v>12460.08</v>
      </c>
      <c r="BL202" s="17" t="s">
        <v>147</v>
      </c>
      <c r="BM202" s="223" t="s">
        <v>791</v>
      </c>
    </row>
    <row r="203" s="12" customFormat="1" ht="25.92" customHeight="1">
      <c r="A203" s="12"/>
      <c r="B203" s="197"/>
      <c r="C203" s="198"/>
      <c r="D203" s="199" t="s">
        <v>73</v>
      </c>
      <c r="E203" s="200" t="s">
        <v>425</v>
      </c>
      <c r="F203" s="200" t="s">
        <v>426</v>
      </c>
      <c r="G203" s="198"/>
      <c r="H203" s="198"/>
      <c r="I203" s="198"/>
      <c r="J203" s="201">
        <f>BK203</f>
        <v>1350527.4500000002</v>
      </c>
      <c r="K203" s="198"/>
      <c r="L203" s="202"/>
      <c r="M203" s="203"/>
      <c r="N203" s="204"/>
      <c r="O203" s="204"/>
      <c r="P203" s="205">
        <f>P204+P211+P221+P225+P258+P272</f>
        <v>657.70598500000006</v>
      </c>
      <c r="Q203" s="204"/>
      <c r="R203" s="205">
        <f>R204+R211+R221+R225+R258+R272</f>
        <v>15.323476857500001</v>
      </c>
      <c r="S203" s="204"/>
      <c r="T203" s="206">
        <f>T204+T211+T221+T225+T258+T272</f>
        <v>0</v>
      </c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R203" s="207" t="s">
        <v>83</v>
      </c>
      <c r="AT203" s="208" t="s">
        <v>73</v>
      </c>
      <c r="AU203" s="208" t="s">
        <v>74</v>
      </c>
      <c r="AY203" s="207" t="s">
        <v>142</v>
      </c>
      <c r="BK203" s="209">
        <f>BK204+BK211+BK221+BK225+BK258+BK272</f>
        <v>1350527.4500000002</v>
      </c>
    </row>
    <row r="204" s="12" customFormat="1" ht="22.8" customHeight="1">
      <c r="A204" s="12"/>
      <c r="B204" s="197"/>
      <c r="C204" s="198"/>
      <c r="D204" s="199" t="s">
        <v>73</v>
      </c>
      <c r="E204" s="210" t="s">
        <v>427</v>
      </c>
      <c r="F204" s="210" t="s">
        <v>428</v>
      </c>
      <c r="G204" s="198"/>
      <c r="H204" s="198"/>
      <c r="I204" s="198"/>
      <c r="J204" s="211">
        <f>BK204</f>
        <v>87329.600000000006</v>
      </c>
      <c r="K204" s="198"/>
      <c r="L204" s="202"/>
      <c r="M204" s="203"/>
      <c r="N204" s="204"/>
      <c r="O204" s="204"/>
      <c r="P204" s="205">
        <f>SUM(P205:P210)</f>
        <v>17.488</v>
      </c>
      <c r="Q204" s="204"/>
      <c r="R204" s="205">
        <f>SUM(R205:R210)</f>
        <v>1.024</v>
      </c>
      <c r="S204" s="204"/>
      <c r="T204" s="206">
        <f>SUM(T205:T210)</f>
        <v>0</v>
      </c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R204" s="207" t="s">
        <v>83</v>
      </c>
      <c r="AT204" s="208" t="s">
        <v>73</v>
      </c>
      <c r="AU204" s="208" t="s">
        <v>19</v>
      </c>
      <c r="AY204" s="207" t="s">
        <v>142</v>
      </c>
      <c r="BK204" s="209">
        <f>SUM(BK205:BK210)</f>
        <v>87329.600000000006</v>
      </c>
    </row>
    <row r="205" s="2" customFormat="1" ht="24.15" customHeight="1">
      <c r="A205" s="32"/>
      <c r="B205" s="33"/>
      <c r="C205" s="212" t="s">
        <v>269</v>
      </c>
      <c r="D205" s="212" t="s">
        <v>144</v>
      </c>
      <c r="E205" s="213" t="s">
        <v>430</v>
      </c>
      <c r="F205" s="214" t="s">
        <v>431</v>
      </c>
      <c r="G205" s="215" t="s">
        <v>96</v>
      </c>
      <c r="H205" s="216">
        <v>96</v>
      </c>
      <c r="I205" s="217">
        <v>19.600000000000001</v>
      </c>
      <c r="J205" s="217">
        <f>ROUND(I205*H205,2)</f>
        <v>1881.5999999999999</v>
      </c>
      <c r="K205" s="218"/>
      <c r="L205" s="38"/>
      <c r="M205" s="219" t="s">
        <v>1</v>
      </c>
      <c r="N205" s="220" t="s">
        <v>39</v>
      </c>
      <c r="O205" s="221">
        <v>0.024</v>
      </c>
      <c r="P205" s="221">
        <f>O205*H205</f>
        <v>2.3040000000000003</v>
      </c>
      <c r="Q205" s="221">
        <v>0</v>
      </c>
      <c r="R205" s="221">
        <f>Q205*H205</f>
        <v>0</v>
      </c>
      <c r="S205" s="221">
        <v>0</v>
      </c>
      <c r="T205" s="222">
        <f>S205*H205</f>
        <v>0</v>
      </c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R205" s="223" t="s">
        <v>222</v>
      </c>
      <c r="AT205" s="223" t="s">
        <v>144</v>
      </c>
      <c r="AU205" s="223" t="s">
        <v>83</v>
      </c>
      <c r="AY205" s="17" t="s">
        <v>142</v>
      </c>
      <c r="BE205" s="224">
        <f>IF(N205="základní",J205,0)</f>
        <v>1881.5999999999999</v>
      </c>
      <c r="BF205" s="224">
        <f>IF(N205="snížená",J205,0)</f>
        <v>0</v>
      </c>
      <c r="BG205" s="224">
        <f>IF(N205="zákl. přenesená",J205,0)</f>
        <v>0</v>
      </c>
      <c r="BH205" s="224">
        <f>IF(N205="sníž. přenesená",J205,0)</f>
        <v>0</v>
      </c>
      <c r="BI205" s="224">
        <f>IF(N205="nulová",J205,0)</f>
        <v>0</v>
      </c>
      <c r="BJ205" s="17" t="s">
        <v>19</v>
      </c>
      <c r="BK205" s="224">
        <f>ROUND(I205*H205,2)</f>
        <v>1881.5999999999999</v>
      </c>
      <c r="BL205" s="17" t="s">
        <v>222</v>
      </c>
      <c r="BM205" s="223" t="s">
        <v>792</v>
      </c>
    </row>
    <row r="206" s="13" customFormat="1">
      <c r="A206" s="13"/>
      <c r="B206" s="225"/>
      <c r="C206" s="226"/>
      <c r="D206" s="227" t="s">
        <v>149</v>
      </c>
      <c r="E206" s="228" t="s">
        <v>1</v>
      </c>
      <c r="F206" s="229" t="s">
        <v>742</v>
      </c>
      <c r="G206" s="226"/>
      <c r="H206" s="230">
        <v>96</v>
      </c>
      <c r="I206" s="226"/>
      <c r="J206" s="226"/>
      <c r="K206" s="226"/>
      <c r="L206" s="231"/>
      <c r="M206" s="232"/>
      <c r="N206" s="233"/>
      <c r="O206" s="233"/>
      <c r="P206" s="233"/>
      <c r="Q206" s="233"/>
      <c r="R206" s="233"/>
      <c r="S206" s="233"/>
      <c r="T206" s="23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35" t="s">
        <v>149</v>
      </c>
      <c r="AU206" s="235" t="s">
        <v>83</v>
      </c>
      <c r="AV206" s="13" t="s">
        <v>83</v>
      </c>
      <c r="AW206" s="13" t="s">
        <v>32</v>
      </c>
      <c r="AX206" s="13" t="s">
        <v>19</v>
      </c>
      <c r="AY206" s="235" t="s">
        <v>142</v>
      </c>
    </row>
    <row r="207" s="2" customFormat="1" ht="24.15" customHeight="1">
      <c r="A207" s="32"/>
      <c r="B207" s="33"/>
      <c r="C207" s="212" t="s">
        <v>311</v>
      </c>
      <c r="D207" s="212" t="s">
        <v>144</v>
      </c>
      <c r="E207" s="213" t="s">
        <v>434</v>
      </c>
      <c r="F207" s="214" t="s">
        <v>435</v>
      </c>
      <c r="G207" s="215" t="s">
        <v>96</v>
      </c>
      <c r="H207" s="216">
        <v>96</v>
      </c>
      <c r="I207" s="217">
        <v>50.5</v>
      </c>
      <c r="J207" s="217">
        <f>ROUND(I207*H207,2)</f>
        <v>4848</v>
      </c>
      <c r="K207" s="218"/>
      <c r="L207" s="38"/>
      <c r="M207" s="219" t="s">
        <v>1</v>
      </c>
      <c r="N207" s="220" t="s">
        <v>39</v>
      </c>
      <c r="O207" s="221">
        <v>0.053999999999999999</v>
      </c>
      <c r="P207" s="221">
        <f>O207*H207</f>
        <v>5.1840000000000002</v>
      </c>
      <c r="Q207" s="221">
        <v>0</v>
      </c>
      <c r="R207" s="221">
        <f>Q207*H207</f>
        <v>0</v>
      </c>
      <c r="S207" s="221">
        <v>0</v>
      </c>
      <c r="T207" s="222">
        <f>S207*H207</f>
        <v>0</v>
      </c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R207" s="223" t="s">
        <v>222</v>
      </c>
      <c r="AT207" s="223" t="s">
        <v>144</v>
      </c>
      <c r="AU207" s="223" t="s">
        <v>83</v>
      </c>
      <c r="AY207" s="17" t="s">
        <v>142</v>
      </c>
      <c r="BE207" s="224">
        <f>IF(N207="základní",J207,0)</f>
        <v>4848</v>
      </c>
      <c r="BF207" s="224">
        <f>IF(N207="snížená",J207,0)</f>
        <v>0</v>
      </c>
      <c r="BG207" s="224">
        <f>IF(N207="zákl. přenesená",J207,0)</f>
        <v>0</v>
      </c>
      <c r="BH207" s="224">
        <f>IF(N207="sníž. přenesená",J207,0)</f>
        <v>0</v>
      </c>
      <c r="BI207" s="224">
        <f>IF(N207="nulová",J207,0)</f>
        <v>0</v>
      </c>
      <c r="BJ207" s="17" t="s">
        <v>19</v>
      </c>
      <c r="BK207" s="224">
        <f>ROUND(I207*H207,2)</f>
        <v>4848</v>
      </c>
      <c r="BL207" s="17" t="s">
        <v>222</v>
      </c>
      <c r="BM207" s="223" t="s">
        <v>793</v>
      </c>
    </row>
    <row r="208" s="13" customFormat="1">
      <c r="A208" s="13"/>
      <c r="B208" s="225"/>
      <c r="C208" s="226"/>
      <c r="D208" s="227" t="s">
        <v>149</v>
      </c>
      <c r="E208" s="228" t="s">
        <v>1</v>
      </c>
      <c r="F208" s="229" t="s">
        <v>742</v>
      </c>
      <c r="G208" s="226"/>
      <c r="H208" s="230">
        <v>96</v>
      </c>
      <c r="I208" s="226"/>
      <c r="J208" s="226"/>
      <c r="K208" s="226"/>
      <c r="L208" s="231"/>
      <c r="M208" s="232"/>
      <c r="N208" s="233"/>
      <c r="O208" s="233"/>
      <c r="P208" s="233"/>
      <c r="Q208" s="233"/>
      <c r="R208" s="233"/>
      <c r="S208" s="233"/>
      <c r="T208" s="23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35" t="s">
        <v>149</v>
      </c>
      <c r="AU208" s="235" t="s">
        <v>83</v>
      </c>
      <c r="AV208" s="13" t="s">
        <v>83</v>
      </c>
      <c r="AW208" s="13" t="s">
        <v>32</v>
      </c>
      <c r="AX208" s="13" t="s">
        <v>19</v>
      </c>
      <c r="AY208" s="235" t="s">
        <v>142</v>
      </c>
    </row>
    <row r="209" s="2" customFormat="1" ht="33" customHeight="1">
      <c r="A209" s="32"/>
      <c r="B209" s="33"/>
      <c r="C209" s="212" t="s">
        <v>274</v>
      </c>
      <c r="D209" s="212" t="s">
        <v>144</v>
      </c>
      <c r="E209" s="213" t="s">
        <v>438</v>
      </c>
      <c r="F209" s="214" t="s">
        <v>439</v>
      </c>
      <c r="G209" s="215" t="s">
        <v>96</v>
      </c>
      <c r="H209" s="216">
        <v>200</v>
      </c>
      <c r="I209" s="217">
        <v>403</v>
      </c>
      <c r="J209" s="217">
        <f>ROUND(I209*H209,2)</f>
        <v>80600</v>
      </c>
      <c r="K209" s="218"/>
      <c r="L209" s="38"/>
      <c r="M209" s="219" t="s">
        <v>1</v>
      </c>
      <c r="N209" s="220" t="s">
        <v>39</v>
      </c>
      <c r="O209" s="221">
        <v>0.050000000000000003</v>
      </c>
      <c r="P209" s="221">
        <f>O209*H209</f>
        <v>10</v>
      </c>
      <c r="Q209" s="221">
        <v>0.0051200000000000004</v>
      </c>
      <c r="R209" s="221">
        <f>Q209*H209</f>
        <v>1.024</v>
      </c>
      <c r="S209" s="221">
        <v>0</v>
      </c>
      <c r="T209" s="222">
        <f>S209*H209</f>
        <v>0</v>
      </c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R209" s="223" t="s">
        <v>222</v>
      </c>
      <c r="AT209" s="223" t="s">
        <v>144</v>
      </c>
      <c r="AU209" s="223" t="s">
        <v>83</v>
      </c>
      <c r="AY209" s="17" t="s">
        <v>142</v>
      </c>
      <c r="BE209" s="224">
        <f>IF(N209="základní",J209,0)</f>
        <v>80600</v>
      </c>
      <c r="BF209" s="224">
        <f>IF(N209="snížená",J209,0)</f>
        <v>0</v>
      </c>
      <c r="BG209" s="224">
        <f>IF(N209="zákl. přenesená",J209,0)</f>
        <v>0</v>
      </c>
      <c r="BH209" s="224">
        <f>IF(N209="sníž. přenesená",J209,0)</f>
        <v>0</v>
      </c>
      <c r="BI209" s="224">
        <f>IF(N209="nulová",J209,0)</f>
        <v>0</v>
      </c>
      <c r="BJ209" s="17" t="s">
        <v>19</v>
      </c>
      <c r="BK209" s="224">
        <f>ROUND(I209*H209,2)</f>
        <v>80600</v>
      </c>
      <c r="BL209" s="17" t="s">
        <v>222</v>
      </c>
      <c r="BM209" s="223" t="s">
        <v>794</v>
      </c>
    </row>
    <row r="210" s="13" customFormat="1">
      <c r="A210" s="13"/>
      <c r="B210" s="225"/>
      <c r="C210" s="226"/>
      <c r="D210" s="227" t="s">
        <v>149</v>
      </c>
      <c r="E210" s="228" t="s">
        <v>1</v>
      </c>
      <c r="F210" s="229" t="s">
        <v>795</v>
      </c>
      <c r="G210" s="226"/>
      <c r="H210" s="230">
        <v>200</v>
      </c>
      <c r="I210" s="226"/>
      <c r="J210" s="226"/>
      <c r="K210" s="226"/>
      <c r="L210" s="231"/>
      <c r="M210" s="232"/>
      <c r="N210" s="233"/>
      <c r="O210" s="233"/>
      <c r="P210" s="233"/>
      <c r="Q210" s="233"/>
      <c r="R210" s="233"/>
      <c r="S210" s="233"/>
      <c r="T210" s="234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T210" s="235" t="s">
        <v>149</v>
      </c>
      <c r="AU210" s="235" t="s">
        <v>83</v>
      </c>
      <c r="AV210" s="13" t="s">
        <v>83</v>
      </c>
      <c r="AW210" s="13" t="s">
        <v>32</v>
      </c>
      <c r="AX210" s="13" t="s">
        <v>19</v>
      </c>
      <c r="AY210" s="235" t="s">
        <v>142</v>
      </c>
    </row>
    <row r="211" s="12" customFormat="1" ht="22.8" customHeight="1">
      <c r="A211" s="12"/>
      <c r="B211" s="197"/>
      <c r="C211" s="198"/>
      <c r="D211" s="199" t="s">
        <v>73</v>
      </c>
      <c r="E211" s="210" t="s">
        <v>442</v>
      </c>
      <c r="F211" s="210" t="s">
        <v>443</v>
      </c>
      <c r="G211" s="198"/>
      <c r="H211" s="198"/>
      <c r="I211" s="198"/>
      <c r="J211" s="211">
        <f>BK211</f>
        <v>248902.67999999999</v>
      </c>
      <c r="K211" s="198"/>
      <c r="L211" s="202"/>
      <c r="M211" s="203"/>
      <c r="N211" s="204"/>
      <c r="O211" s="204"/>
      <c r="P211" s="205">
        <f>SUM(P212:P220)</f>
        <v>96.970240000000004</v>
      </c>
      <c r="Q211" s="204"/>
      <c r="R211" s="205">
        <f>SUM(R212:R220)</f>
        <v>4.0172355600000005</v>
      </c>
      <c r="S211" s="204"/>
      <c r="T211" s="206">
        <f>SUM(T212:T220)</f>
        <v>0</v>
      </c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R211" s="207" t="s">
        <v>83</v>
      </c>
      <c r="AT211" s="208" t="s">
        <v>73</v>
      </c>
      <c r="AU211" s="208" t="s">
        <v>19</v>
      </c>
      <c r="AY211" s="207" t="s">
        <v>142</v>
      </c>
      <c r="BK211" s="209">
        <f>SUM(BK212:BK220)</f>
        <v>248902.67999999999</v>
      </c>
    </row>
    <row r="212" s="2" customFormat="1" ht="37.8" customHeight="1">
      <c r="A212" s="32"/>
      <c r="B212" s="33"/>
      <c r="C212" s="212" t="s">
        <v>318</v>
      </c>
      <c r="D212" s="212" t="s">
        <v>144</v>
      </c>
      <c r="E212" s="213" t="s">
        <v>796</v>
      </c>
      <c r="F212" s="214" t="s">
        <v>797</v>
      </c>
      <c r="G212" s="215" t="s">
        <v>154</v>
      </c>
      <c r="H212" s="216">
        <v>78.480000000000004</v>
      </c>
      <c r="I212" s="217">
        <v>2190</v>
      </c>
      <c r="J212" s="217">
        <f>ROUND(I212*H212,2)</f>
        <v>171871.20000000001</v>
      </c>
      <c r="K212" s="218"/>
      <c r="L212" s="38"/>
      <c r="M212" s="219" t="s">
        <v>1</v>
      </c>
      <c r="N212" s="220" t="s">
        <v>39</v>
      </c>
      <c r="O212" s="221">
        <v>0.67900000000000005</v>
      </c>
      <c r="P212" s="221">
        <f>O212*H212</f>
        <v>53.287920000000007</v>
      </c>
      <c r="Q212" s="221">
        <v>0.042000000000000003</v>
      </c>
      <c r="R212" s="221">
        <f>Q212*H212</f>
        <v>3.2961600000000004</v>
      </c>
      <c r="S212" s="221">
        <v>0</v>
      </c>
      <c r="T212" s="222">
        <f>S212*H212</f>
        <v>0</v>
      </c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R212" s="223" t="s">
        <v>222</v>
      </c>
      <c r="AT212" s="223" t="s">
        <v>144</v>
      </c>
      <c r="AU212" s="223" t="s">
        <v>83</v>
      </c>
      <c r="AY212" s="17" t="s">
        <v>142</v>
      </c>
      <c r="BE212" s="224">
        <f>IF(N212="základní",J212,0)</f>
        <v>171871.20000000001</v>
      </c>
      <c r="BF212" s="224">
        <f>IF(N212="snížená",J212,0)</f>
        <v>0</v>
      </c>
      <c r="BG212" s="224">
        <f>IF(N212="zákl. přenesená",J212,0)</f>
        <v>0</v>
      </c>
      <c r="BH212" s="224">
        <f>IF(N212="sníž. přenesená",J212,0)</f>
        <v>0</v>
      </c>
      <c r="BI212" s="224">
        <f>IF(N212="nulová",J212,0)</f>
        <v>0</v>
      </c>
      <c r="BJ212" s="17" t="s">
        <v>19</v>
      </c>
      <c r="BK212" s="224">
        <f>ROUND(I212*H212,2)</f>
        <v>171871.20000000001</v>
      </c>
      <c r="BL212" s="17" t="s">
        <v>222</v>
      </c>
      <c r="BM212" s="223" t="s">
        <v>798</v>
      </c>
    </row>
    <row r="213" s="2" customFormat="1" ht="24.15" customHeight="1">
      <c r="A213" s="32"/>
      <c r="B213" s="33"/>
      <c r="C213" s="212" t="s">
        <v>323</v>
      </c>
      <c r="D213" s="212" t="s">
        <v>144</v>
      </c>
      <c r="E213" s="213" t="s">
        <v>445</v>
      </c>
      <c r="F213" s="214" t="s">
        <v>446</v>
      </c>
      <c r="G213" s="215" t="s">
        <v>96</v>
      </c>
      <c r="H213" s="216">
        <v>80.599999999999994</v>
      </c>
      <c r="I213" s="217">
        <v>510</v>
      </c>
      <c r="J213" s="217">
        <f>ROUND(I213*H213,2)</f>
        <v>41106</v>
      </c>
      <c r="K213" s="218"/>
      <c r="L213" s="38"/>
      <c r="M213" s="219" t="s">
        <v>1</v>
      </c>
      <c r="N213" s="220" t="s">
        <v>39</v>
      </c>
      <c r="O213" s="221">
        <v>0.16700000000000001</v>
      </c>
      <c r="P213" s="221">
        <f>O213*H213</f>
        <v>13.4602</v>
      </c>
      <c r="Q213" s="221">
        <v>0.0043049999999999998</v>
      </c>
      <c r="R213" s="221">
        <f>Q213*H213</f>
        <v>0.34698299999999999</v>
      </c>
      <c r="S213" s="221">
        <v>0</v>
      </c>
      <c r="T213" s="222">
        <f>S213*H213</f>
        <v>0</v>
      </c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R213" s="223" t="s">
        <v>222</v>
      </c>
      <c r="AT213" s="223" t="s">
        <v>144</v>
      </c>
      <c r="AU213" s="223" t="s">
        <v>83</v>
      </c>
      <c r="AY213" s="17" t="s">
        <v>142</v>
      </c>
      <c r="BE213" s="224">
        <f>IF(N213="základní",J213,0)</f>
        <v>41106</v>
      </c>
      <c r="BF213" s="224">
        <f>IF(N213="snížená",J213,0)</f>
        <v>0</v>
      </c>
      <c r="BG213" s="224">
        <f>IF(N213="zákl. přenesená",J213,0)</f>
        <v>0</v>
      </c>
      <c r="BH213" s="224">
        <f>IF(N213="sníž. přenesená",J213,0)</f>
        <v>0</v>
      </c>
      <c r="BI213" s="224">
        <f>IF(N213="nulová",J213,0)</f>
        <v>0</v>
      </c>
      <c r="BJ213" s="17" t="s">
        <v>19</v>
      </c>
      <c r="BK213" s="224">
        <f>ROUND(I213*H213,2)</f>
        <v>41106</v>
      </c>
      <c r="BL213" s="17" t="s">
        <v>222</v>
      </c>
      <c r="BM213" s="223" t="s">
        <v>799</v>
      </c>
    </row>
    <row r="214" s="13" customFormat="1">
      <c r="A214" s="13"/>
      <c r="B214" s="225"/>
      <c r="C214" s="226"/>
      <c r="D214" s="227" t="s">
        <v>149</v>
      </c>
      <c r="E214" s="228" t="s">
        <v>1</v>
      </c>
      <c r="F214" s="229" t="s">
        <v>448</v>
      </c>
      <c r="G214" s="226"/>
      <c r="H214" s="230">
        <v>80.599999999999994</v>
      </c>
      <c r="I214" s="226"/>
      <c r="J214" s="226"/>
      <c r="K214" s="226"/>
      <c r="L214" s="231"/>
      <c r="M214" s="232"/>
      <c r="N214" s="233"/>
      <c r="O214" s="233"/>
      <c r="P214" s="233"/>
      <c r="Q214" s="233"/>
      <c r="R214" s="233"/>
      <c r="S214" s="233"/>
      <c r="T214" s="234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35" t="s">
        <v>149</v>
      </c>
      <c r="AU214" s="235" t="s">
        <v>83</v>
      </c>
      <c r="AV214" s="13" t="s">
        <v>83</v>
      </c>
      <c r="AW214" s="13" t="s">
        <v>32</v>
      </c>
      <c r="AX214" s="13" t="s">
        <v>19</v>
      </c>
      <c r="AY214" s="235" t="s">
        <v>142</v>
      </c>
    </row>
    <row r="215" s="2" customFormat="1" ht="37.8" customHeight="1">
      <c r="A215" s="32"/>
      <c r="B215" s="33"/>
      <c r="C215" s="212" t="s">
        <v>329</v>
      </c>
      <c r="D215" s="212" t="s">
        <v>144</v>
      </c>
      <c r="E215" s="213" t="s">
        <v>450</v>
      </c>
      <c r="F215" s="214" t="s">
        <v>451</v>
      </c>
      <c r="G215" s="215" t="s">
        <v>96</v>
      </c>
      <c r="H215" s="216">
        <v>12</v>
      </c>
      <c r="I215" s="217">
        <v>448</v>
      </c>
      <c r="J215" s="217">
        <f>ROUND(I215*H215,2)</f>
        <v>5376</v>
      </c>
      <c r="K215" s="218"/>
      <c r="L215" s="38"/>
      <c r="M215" s="219" t="s">
        <v>1</v>
      </c>
      <c r="N215" s="220" t="s">
        <v>39</v>
      </c>
      <c r="O215" s="221">
        <v>0.10000000000000001</v>
      </c>
      <c r="P215" s="221">
        <f>O215*H215</f>
        <v>1.2000000000000002</v>
      </c>
      <c r="Q215" s="221">
        <v>0.0027875</v>
      </c>
      <c r="R215" s="221">
        <f>Q215*H215</f>
        <v>0.033450000000000001</v>
      </c>
      <c r="S215" s="221">
        <v>0</v>
      </c>
      <c r="T215" s="222">
        <f>S215*H215</f>
        <v>0</v>
      </c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R215" s="223" t="s">
        <v>222</v>
      </c>
      <c r="AT215" s="223" t="s">
        <v>144</v>
      </c>
      <c r="AU215" s="223" t="s">
        <v>83</v>
      </c>
      <c r="AY215" s="17" t="s">
        <v>142</v>
      </c>
      <c r="BE215" s="224">
        <f>IF(N215="základní",J215,0)</f>
        <v>5376</v>
      </c>
      <c r="BF215" s="224">
        <f>IF(N215="snížená",J215,0)</f>
        <v>0</v>
      </c>
      <c r="BG215" s="224">
        <f>IF(N215="zákl. přenesená",J215,0)</f>
        <v>0</v>
      </c>
      <c r="BH215" s="224">
        <f>IF(N215="sníž. přenesená",J215,0)</f>
        <v>0</v>
      </c>
      <c r="BI215" s="224">
        <f>IF(N215="nulová",J215,0)</f>
        <v>0</v>
      </c>
      <c r="BJ215" s="17" t="s">
        <v>19</v>
      </c>
      <c r="BK215" s="224">
        <f>ROUND(I215*H215,2)</f>
        <v>5376</v>
      </c>
      <c r="BL215" s="17" t="s">
        <v>222</v>
      </c>
      <c r="BM215" s="223" t="s">
        <v>800</v>
      </c>
    </row>
    <row r="216" s="13" customFormat="1">
      <c r="A216" s="13"/>
      <c r="B216" s="225"/>
      <c r="C216" s="226"/>
      <c r="D216" s="227" t="s">
        <v>149</v>
      </c>
      <c r="E216" s="228" t="s">
        <v>1</v>
      </c>
      <c r="F216" s="229" t="s">
        <v>801</v>
      </c>
      <c r="G216" s="226"/>
      <c r="H216" s="230">
        <v>12</v>
      </c>
      <c r="I216" s="226"/>
      <c r="J216" s="226"/>
      <c r="K216" s="226"/>
      <c r="L216" s="231"/>
      <c r="M216" s="232"/>
      <c r="N216" s="233"/>
      <c r="O216" s="233"/>
      <c r="P216" s="233"/>
      <c r="Q216" s="233"/>
      <c r="R216" s="233"/>
      <c r="S216" s="233"/>
      <c r="T216" s="234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35" t="s">
        <v>149</v>
      </c>
      <c r="AU216" s="235" t="s">
        <v>83</v>
      </c>
      <c r="AV216" s="13" t="s">
        <v>83</v>
      </c>
      <c r="AW216" s="13" t="s">
        <v>32</v>
      </c>
      <c r="AX216" s="13" t="s">
        <v>19</v>
      </c>
      <c r="AY216" s="235" t="s">
        <v>142</v>
      </c>
    </row>
    <row r="217" s="2" customFormat="1" ht="24.15" customHeight="1">
      <c r="A217" s="32"/>
      <c r="B217" s="33"/>
      <c r="C217" s="212" t="s">
        <v>334</v>
      </c>
      <c r="D217" s="212" t="s">
        <v>144</v>
      </c>
      <c r="E217" s="213" t="s">
        <v>455</v>
      </c>
      <c r="F217" s="214" t="s">
        <v>456</v>
      </c>
      <c r="G217" s="215" t="s">
        <v>96</v>
      </c>
      <c r="H217" s="216">
        <v>48.359999999999999</v>
      </c>
      <c r="I217" s="217">
        <v>351</v>
      </c>
      <c r="J217" s="217">
        <f>ROUND(I217*H217,2)</f>
        <v>16974.360000000001</v>
      </c>
      <c r="K217" s="218"/>
      <c r="L217" s="38"/>
      <c r="M217" s="219" t="s">
        <v>1</v>
      </c>
      <c r="N217" s="220" t="s">
        <v>39</v>
      </c>
      <c r="O217" s="221">
        <v>0.24099999999999999</v>
      </c>
      <c r="P217" s="221">
        <f>O217*H217</f>
        <v>11.65476</v>
      </c>
      <c r="Q217" s="221">
        <v>0.00677</v>
      </c>
      <c r="R217" s="221">
        <f>Q217*H217</f>
        <v>0.3273972</v>
      </c>
      <c r="S217" s="221">
        <v>0</v>
      </c>
      <c r="T217" s="222">
        <f>S217*H217</f>
        <v>0</v>
      </c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R217" s="223" t="s">
        <v>222</v>
      </c>
      <c r="AT217" s="223" t="s">
        <v>144</v>
      </c>
      <c r="AU217" s="223" t="s">
        <v>83</v>
      </c>
      <c r="AY217" s="17" t="s">
        <v>142</v>
      </c>
      <c r="BE217" s="224">
        <f>IF(N217="základní",J217,0)</f>
        <v>16974.360000000001</v>
      </c>
      <c r="BF217" s="224">
        <f>IF(N217="snížená",J217,0)</f>
        <v>0</v>
      </c>
      <c r="BG217" s="224">
        <f>IF(N217="zákl. přenesená",J217,0)</f>
        <v>0</v>
      </c>
      <c r="BH217" s="224">
        <f>IF(N217="sníž. přenesená",J217,0)</f>
        <v>0</v>
      </c>
      <c r="BI217" s="224">
        <f>IF(N217="nulová",J217,0)</f>
        <v>0</v>
      </c>
      <c r="BJ217" s="17" t="s">
        <v>19</v>
      </c>
      <c r="BK217" s="224">
        <f>ROUND(I217*H217,2)</f>
        <v>16974.360000000001</v>
      </c>
      <c r="BL217" s="17" t="s">
        <v>222</v>
      </c>
      <c r="BM217" s="223" t="s">
        <v>802</v>
      </c>
    </row>
    <row r="218" s="13" customFormat="1">
      <c r="A218" s="13"/>
      <c r="B218" s="225"/>
      <c r="C218" s="226"/>
      <c r="D218" s="227" t="s">
        <v>149</v>
      </c>
      <c r="E218" s="228" t="s">
        <v>1</v>
      </c>
      <c r="F218" s="229" t="s">
        <v>803</v>
      </c>
      <c r="G218" s="226"/>
      <c r="H218" s="230">
        <v>48.359999999999999</v>
      </c>
      <c r="I218" s="226"/>
      <c r="J218" s="226"/>
      <c r="K218" s="226"/>
      <c r="L218" s="231"/>
      <c r="M218" s="232"/>
      <c r="N218" s="233"/>
      <c r="O218" s="233"/>
      <c r="P218" s="233"/>
      <c r="Q218" s="233"/>
      <c r="R218" s="233"/>
      <c r="S218" s="233"/>
      <c r="T218" s="23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35" t="s">
        <v>149</v>
      </c>
      <c r="AU218" s="235" t="s">
        <v>83</v>
      </c>
      <c r="AV218" s="13" t="s">
        <v>83</v>
      </c>
      <c r="AW218" s="13" t="s">
        <v>32</v>
      </c>
      <c r="AX218" s="13" t="s">
        <v>19</v>
      </c>
      <c r="AY218" s="235" t="s">
        <v>142</v>
      </c>
    </row>
    <row r="219" s="2" customFormat="1" ht="44.25" customHeight="1">
      <c r="A219" s="32"/>
      <c r="B219" s="33"/>
      <c r="C219" s="212" t="s">
        <v>339</v>
      </c>
      <c r="D219" s="212" t="s">
        <v>144</v>
      </c>
      <c r="E219" s="213" t="s">
        <v>804</v>
      </c>
      <c r="F219" s="214" t="s">
        <v>805</v>
      </c>
      <c r="G219" s="215" t="s">
        <v>96</v>
      </c>
      <c r="H219" s="216">
        <v>54.960000000000001</v>
      </c>
      <c r="I219" s="217">
        <v>247</v>
      </c>
      <c r="J219" s="217">
        <f>ROUND(I219*H219,2)</f>
        <v>13575.120000000001</v>
      </c>
      <c r="K219" s="218"/>
      <c r="L219" s="38"/>
      <c r="M219" s="219" t="s">
        <v>1</v>
      </c>
      <c r="N219" s="220" t="s">
        <v>39</v>
      </c>
      <c r="O219" s="221">
        <v>0.316</v>
      </c>
      <c r="P219" s="221">
        <f>O219*H219</f>
        <v>17.367360000000001</v>
      </c>
      <c r="Q219" s="221">
        <v>0.000241</v>
      </c>
      <c r="R219" s="221">
        <f>Q219*H219</f>
        <v>0.013245360000000001</v>
      </c>
      <c r="S219" s="221">
        <v>0</v>
      </c>
      <c r="T219" s="222">
        <f>S219*H219</f>
        <v>0</v>
      </c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R219" s="223" t="s">
        <v>222</v>
      </c>
      <c r="AT219" s="223" t="s">
        <v>144</v>
      </c>
      <c r="AU219" s="223" t="s">
        <v>83</v>
      </c>
      <c r="AY219" s="17" t="s">
        <v>142</v>
      </c>
      <c r="BE219" s="224">
        <f>IF(N219="základní",J219,0)</f>
        <v>13575.120000000001</v>
      </c>
      <c r="BF219" s="224">
        <f>IF(N219="snížená",J219,0)</f>
        <v>0</v>
      </c>
      <c r="BG219" s="224">
        <f>IF(N219="zákl. přenesená",J219,0)</f>
        <v>0</v>
      </c>
      <c r="BH219" s="224">
        <f>IF(N219="sníž. přenesená",J219,0)</f>
        <v>0</v>
      </c>
      <c r="BI219" s="224">
        <f>IF(N219="nulová",J219,0)</f>
        <v>0</v>
      </c>
      <c r="BJ219" s="17" t="s">
        <v>19</v>
      </c>
      <c r="BK219" s="224">
        <f>ROUND(I219*H219,2)</f>
        <v>13575.120000000001</v>
      </c>
      <c r="BL219" s="17" t="s">
        <v>222</v>
      </c>
      <c r="BM219" s="223" t="s">
        <v>806</v>
      </c>
    </row>
    <row r="220" s="13" customFormat="1">
      <c r="A220" s="13"/>
      <c r="B220" s="225"/>
      <c r="C220" s="226"/>
      <c r="D220" s="227" t="s">
        <v>149</v>
      </c>
      <c r="E220" s="228" t="s">
        <v>1</v>
      </c>
      <c r="F220" s="229" t="s">
        <v>807</v>
      </c>
      <c r="G220" s="226"/>
      <c r="H220" s="230">
        <v>54.960000000000001</v>
      </c>
      <c r="I220" s="226"/>
      <c r="J220" s="226"/>
      <c r="K220" s="226"/>
      <c r="L220" s="231"/>
      <c r="M220" s="232"/>
      <c r="N220" s="233"/>
      <c r="O220" s="233"/>
      <c r="P220" s="233"/>
      <c r="Q220" s="233"/>
      <c r="R220" s="233"/>
      <c r="S220" s="233"/>
      <c r="T220" s="234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T220" s="235" t="s">
        <v>149</v>
      </c>
      <c r="AU220" s="235" t="s">
        <v>83</v>
      </c>
      <c r="AV220" s="13" t="s">
        <v>83</v>
      </c>
      <c r="AW220" s="13" t="s">
        <v>32</v>
      </c>
      <c r="AX220" s="13" t="s">
        <v>19</v>
      </c>
      <c r="AY220" s="235" t="s">
        <v>142</v>
      </c>
    </row>
    <row r="221" s="12" customFormat="1" ht="22.8" customHeight="1">
      <c r="A221" s="12"/>
      <c r="B221" s="197"/>
      <c r="C221" s="198"/>
      <c r="D221" s="199" t="s">
        <v>73</v>
      </c>
      <c r="E221" s="210" t="s">
        <v>525</v>
      </c>
      <c r="F221" s="210" t="s">
        <v>526</v>
      </c>
      <c r="G221" s="198"/>
      <c r="H221" s="198"/>
      <c r="I221" s="198"/>
      <c r="J221" s="211">
        <f>BK221</f>
        <v>3875</v>
      </c>
      <c r="K221" s="198"/>
      <c r="L221" s="202"/>
      <c r="M221" s="203"/>
      <c r="N221" s="204"/>
      <c r="O221" s="204"/>
      <c r="P221" s="205">
        <f>SUM(P222:P224)</f>
        <v>3.0419999999999998</v>
      </c>
      <c r="Q221" s="204"/>
      <c r="R221" s="205">
        <f>SUM(R222:R224)</f>
        <v>0.017490000000000002</v>
      </c>
      <c r="S221" s="204"/>
      <c r="T221" s="206">
        <f>SUM(T222:T224)</f>
        <v>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R221" s="207" t="s">
        <v>83</v>
      </c>
      <c r="AT221" s="208" t="s">
        <v>73</v>
      </c>
      <c r="AU221" s="208" t="s">
        <v>19</v>
      </c>
      <c r="AY221" s="207" t="s">
        <v>142</v>
      </c>
      <c r="BK221" s="209">
        <f>SUM(BK222:BK224)</f>
        <v>3875</v>
      </c>
    </row>
    <row r="222" s="2" customFormat="1" ht="16.5" customHeight="1">
      <c r="A222" s="32"/>
      <c r="B222" s="33"/>
      <c r="C222" s="212" t="s">
        <v>346</v>
      </c>
      <c r="D222" s="212" t="s">
        <v>144</v>
      </c>
      <c r="E222" s="213" t="s">
        <v>536</v>
      </c>
      <c r="F222" s="214" t="s">
        <v>537</v>
      </c>
      <c r="G222" s="215" t="s">
        <v>326</v>
      </c>
      <c r="H222" s="216">
        <v>12</v>
      </c>
      <c r="I222" s="217">
        <v>297</v>
      </c>
      <c r="J222" s="217">
        <f>ROUND(I222*H222,2)</f>
        <v>3564</v>
      </c>
      <c r="K222" s="218"/>
      <c r="L222" s="38"/>
      <c r="M222" s="219" t="s">
        <v>1</v>
      </c>
      <c r="N222" s="220" t="s">
        <v>39</v>
      </c>
      <c r="O222" s="221">
        <v>0.245</v>
      </c>
      <c r="P222" s="221">
        <f>O222*H222</f>
        <v>2.9399999999999999</v>
      </c>
      <c r="Q222" s="221">
        <v>0.0013400000000000001</v>
      </c>
      <c r="R222" s="221">
        <f>Q222*H222</f>
        <v>0.016080000000000001</v>
      </c>
      <c r="S222" s="221">
        <v>0</v>
      </c>
      <c r="T222" s="222">
        <f>S222*H222</f>
        <v>0</v>
      </c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R222" s="223" t="s">
        <v>222</v>
      </c>
      <c r="AT222" s="223" t="s">
        <v>144</v>
      </c>
      <c r="AU222" s="223" t="s">
        <v>83</v>
      </c>
      <c r="AY222" s="17" t="s">
        <v>142</v>
      </c>
      <c r="BE222" s="224">
        <f>IF(N222="základní",J222,0)</f>
        <v>3564</v>
      </c>
      <c r="BF222" s="224">
        <f>IF(N222="snížená",J222,0)</f>
        <v>0</v>
      </c>
      <c r="BG222" s="224">
        <f>IF(N222="zákl. přenesená",J222,0)</f>
        <v>0</v>
      </c>
      <c r="BH222" s="224">
        <f>IF(N222="sníž. přenesená",J222,0)</f>
        <v>0</v>
      </c>
      <c r="BI222" s="224">
        <f>IF(N222="nulová",J222,0)</f>
        <v>0</v>
      </c>
      <c r="BJ222" s="17" t="s">
        <v>19</v>
      </c>
      <c r="BK222" s="224">
        <f>ROUND(I222*H222,2)</f>
        <v>3564</v>
      </c>
      <c r="BL222" s="17" t="s">
        <v>222</v>
      </c>
      <c r="BM222" s="223" t="s">
        <v>808</v>
      </c>
    </row>
    <row r="223" s="13" customFormat="1">
      <c r="A223" s="13"/>
      <c r="B223" s="225"/>
      <c r="C223" s="226"/>
      <c r="D223" s="227" t="s">
        <v>149</v>
      </c>
      <c r="E223" s="228" t="s">
        <v>1</v>
      </c>
      <c r="F223" s="229" t="s">
        <v>8</v>
      </c>
      <c r="G223" s="226"/>
      <c r="H223" s="230">
        <v>12</v>
      </c>
      <c r="I223" s="226"/>
      <c r="J223" s="226"/>
      <c r="K223" s="226"/>
      <c r="L223" s="231"/>
      <c r="M223" s="232"/>
      <c r="N223" s="233"/>
      <c r="O223" s="233"/>
      <c r="P223" s="233"/>
      <c r="Q223" s="233"/>
      <c r="R223" s="233"/>
      <c r="S223" s="233"/>
      <c r="T223" s="234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T223" s="235" t="s">
        <v>149</v>
      </c>
      <c r="AU223" s="235" t="s">
        <v>83</v>
      </c>
      <c r="AV223" s="13" t="s">
        <v>83</v>
      </c>
      <c r="AW223" s="13" t="s">
        <v>32</v>
      </c>
      <c r="AX223" s="13" t="s">
        <v>19</v>
      </c>
      <c r="AY223" s="235" t="s">
        <v>142</v>
      </c>
    </row>
    <row r="224" s="2" customFormat="1" ht="24.15" customHeight="1">
      <c r="A224" s="32"/>
      <c r="B224" s="33"/>
      <c r="C224" s="212" t="s">
        <v>351</v>
      </c>
      <c r="D224" s="212" t="s">
        <v>144</v>
      </c>
      <c r="E224" s="213" t="s">
        <v>540</v>
      </c>
      <c r="F224" s="214" t="s">
        <v>541</v>
      </c>
      <c r="G224" s="215" t="s">
        <v>284</v>
      </c>
      <c r="H224" s="216">
        <v>1</v>
      </c>
      <c r="I224" s="217">
        <v>311</v>
      </c>
      <c r="J224" s="217">
        <f>ROUND(I224*H224,2)</f>
        <v>311</v>
      </c>
      <c r="K224" s="218"/>
      <c r="L224" s="38"/>
      <c r="M224" s="219" t="s">
        <v>1</v>
      </c>
      <c r="N224" s="220" t="s">
        <v>39</v>
      </c>
      <c r="O224" s="221">
        <v>0.10199999999999999</v>
      </c>
      <c r="P224" s="221">
        <f>O224*H224</f>
        <v>0.10199999999999999</v>
      </c>
      <c r="Q224" s="221">
        <v>0.00141</v>
      </c>
      <c r="R224" s="221">
        <f>Q224*H224</f>
        <v>0.00141</v>
      </c>
      <c r="S224" s="221">
        <v>0</v>
      </c>
      <c r="T224" s="222">
        <f>S224*H224</f>
        <v>0</v>
      </c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R224" s="223" t="s">
        <v>222</v>
      </c>
      <c r="AT224" s="223" t="s">
        <v>144</v>
      </c>
      <c r="AU224" s="223" t="s">
        <v>83</v>
      </c>
      <c r="AY224" s="17" t="s">
        <v>142</v>
      </c>
      <c r="BE224" s="224">
        <f>IF(N224="základní",J224,0)</f>
        <v>311</v>
      </c>
      <c r="BF224" s="224">
        <f>IF(N224="snížená",J224,0)</f>
        <v>0</v>
      </c>
      <c r="BG224" s="224">
        <f>IF(N224="zákl. přenesená",J224,0)</f>
        <v>0</v>
      </c>
      <c r="BH224" s="224">
        <f>IF(N224="sníž. přenesená",J224,0)</f>
        <v>0</v>
      </c>
      <c r="BI224" s="224">
        <f>IF(N224="nulová",J224,0)</f>
        <v>0</v>
      </c>
      <c r="BJ224" s="17" t="s">
        <v>19</v>
      </c>
      <c r="BK224" s="224">
        <f>ROUND(I224*H224,2)</f>
        <v>311</v>
      </c>
      <c r="BL224" s="17" t="s">
        <v>222</v>
      </c>
      <c r="BM224" s="223" t="s">
        <v>809</v>
      </c>
    </row>
    <row r="225" s="12" customFormat="1" ht="22.8" customHeight="1">
      <c r="A225" s="12"/>
      <c r="B225" s="197"/>
      <c r="C225" s="198"/>
      <c r="D225" s="199" t="s">
        <v>73</v>
      </c>
      <c r="E225" s="210" t="s">
        <v>543</v>
      </c>
      <c r="F225" s="210" t="s">
        <v>544</v>
      </c>
      <c r="G225" s="198"/>
      <c r="H225" s="198"/>
      <c r="I225" s="198"/>
      <c r="J225" s="211">
        <f>BK225</f>
        <v>605808.37</v>
      </c>
      <c r="K225" s="198"/>
      <c r="L225" s="202"/>
      <c r="M225" s="203"/>
      <c r="N225" s="204"/>
      <c r="O225" s="204"/>
      <c r="P225" s="205">
        <f>SUM(P226:P257)</f>
        <v>389.22614500000003</v>
      </c>
      <c r="Q225" s="204"/>
      <c r="R225" s="205">
        <f>SUM(R226:R257)</f>
        <v>6.8639104975</v>
      </c>
      <c r="S225" s="204"/>
      <c r="T225" s="206">
        <f>SUM(T226:T257)</f>
        <v>0</v>
      </c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R225" s="207" t="s">
        <v>83</v>
      </c>
      <c r="AT225" s="208" t="s">
        <v>73</v>
      </c>
      <c r="AU225" s="208" t="s">
        <v>19</v>
      </c>
      <c r="AY225" s="207" t="s">
        <v>142</v>
      </c>
      <c r="BK225" s="209">
        <f>SUM(BK226:BK257)</f>
        <v>605808.37</v>
      </c>
    </row>
    <row r="226" s="2" customFormat="1" ht="24.15" customHeight="1">
      <c r="A226" s="32"/>
      <c r="B226" s="33"/>
      <c r="C226" s="212" t="s">
        <v>356</v>
      </c>
      <c r="D226" s="212" t="s">
        <v>144</v>
      </c>
      <c r="E226" s="213" t="s">
        <v>578</v>
      </c>
      <c r="F226" s="214" t="s">
        <v>579</v>
      </c>
      <c r="G226" s="215" t="s">
        <v>96</v>
      </c>
      <c r="H226" s="216">
        <v>96.942999999999998</v>
      </c>
      <c r="I226" s="217">
        <v>293</v>
      </c>
      <c r="J226" s="217">
        <f>ROUND(I226*H226,2)</f>
        <v>28404.299999999999</v>
      </c>
      <c r="K226" s="218"/>
      <c r="L226" s="38"/>
      <c r="M226" s="219" t="s">
        <v>1</v>
      </c>
      <c r="N226" s="220" t="s">
        <v>39</v>
      </c>
      <c r="O226" s="221">
        <v>0.42999999999999999</v>
      </c>
      <c r="P226" s="221">
        <f>O226*H226</f>
        <v>41.685490000000001</v>
      </c>
      <c r="Q226" s="221">
        <v>0.00017249999999999999</v>
      </c>
      <c r="R226" s="221">
        <f>Q226*H226</f>
        <v>0.0167226675</v>
      </c>
      <c r="S226" s="221">
        <v>0</v>
      </c>
      <c r="T226" s="222">
        <f>S226*H226</f>
        <v>0</v>
      </c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R226" s="223" t="s">
        <v>147</v>
      </c>
      <c r="AT226" s="223" t="s">
        <v>144</v>
      </c>
      <c r="AU226" s="223" t="s">
        <v>83</v>
      </c>
      <c r="AY226" s="17" t="s">
        <v>142</v>
      </c>
      <c r="BE226" s="224">
        <f>IF(N226="základní",J226,0)</f>
        <v>28404.299999999999</v>
      </c>
      <c r="BF226" s="224">
        <f>IF(N226="snížená",J226,0)</f>
        <v>0</v>
      </c>
      <c r="BG226" s="224">
        <f>IF(N226="zákl. přenesená",J226,0)</f>
        <v>0</v>
      </c>
      <c r="BH226" s="224">
        <f>IF(N226="sníž. přenesená",J226,0)</f>
        <v>0</v>
      </c>
      <c r="BI226" s="224">
        <f>IF(N226="nulová",J226,0)</f>
        <v>0</v>
      </c>
      <c r="BJ226" s="17" t="s">
        <v>19</v>
      </c>
      <c r="BK226" s="224">
        <f>ROUND(I226*H226,2)</f>
        <v>28404.299999999999</v>
      </c>
      <c r="BL226" s="17" t="s">
        <v>147</v>
      </c>
      <c r="BM226" s="223" t="s">
        <v>810</v>
      </c>
    </row>
    <row r="227" s="13" customFormat="1">
      <c r="A227" s="13"/>
      <c r="B227" s="225"/>
      <c r="C227" s="226"/>
      <c r="D227" s="227" t="s">
        <v>149</v>
      </c>
      <c r="E227" s="228" t="s">
        <v>1</v>
      </c>
      <c r="F227" s="229" t="s">
        <v>811</v>
      </c>
      <c r="G227" s="226"/>
      <c r="H227" s="230">
        <v>96.94344696178733</v>
      </c>
      <c r="I227" s="226"/>
      <c r="J227" s="226"/>
      <c r="K227" s="226"/>
      <c r="L227" s="231"/>
      <c r="M227" s="232"/>
      <c r="N227" s="233"/>
      <c r="O227" s="233"/>
      <c r="P227" s="233"/>
      <c r="Q227" s="233"/>
      <c r="R227" s="233"/>
      <c r="S227" s="233"/>
      <c r="T227" s="234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35" t="s">
        <v>149</v>
      </c>
      <c r="AU227" s="235" t="s">
        <v>83</v>
      </c>
      <c r="AV227" s="13" t="s">
        <v>83</v>
      </c>
      <c r="AW227" s="13" t="s">
        <v>32</v>
      </c>
      <c r="AX227" s="13" t="s">
        <v>19</v>
      </c>
      <c r="AY227" s="235" t="s">
        <v>142</v>
      </c>
    </row>
    <row r="228" s="2" customFormat="1" ht="24.15" customHeight="1">
      <c r="A228" s="32"/>
      <c r="B228" s="33"/>
      <c r="C228" s="258" t="s">
        <v>362</v>
      </c>
      <c r="D228" s="258" t="s">
        <v>475</v>
      </c>
      <c r="E228" s="259" t="s">
        <v>583</v>
      </c>
      <c r="F228" s="260" t="s">
        <v>584</v>
      </c>
      <c r="G228" s="261" t="s">
        <v>96</v>
      </c>
      <c r="H228" s="262">
        <v>96.942999999999998</v>
      </c>
      <c r="I228" s="263">
        <v>20.600000000000001</v>
      </c>
      <c r="J228" s="263">
        <f>ROUND(I228*H228,2)</f>
        <v>1997.03</v>
      </c>
      <c r="K228" s="264"/>
      <c r="L228" s="265"/>
      <c r="M228" s="266" t="s">
        <v>1</v>
      </c>
      <c r="N228" s="267" t="s">
        <v>39</v>
      </c>
      <c r="O228" s="221">
        <v>0</v>
      </c>
      <c r="P228" s="221">
        <f>O228*H228</f>
        <v>0</v>
      </c>
      <c r="Q228" s="221">
        <v>0.00012</v>
      </c>
      <c r="R228" s="221">
        <f>Q228*H228</f>
        <v>0.01163316</v>
      </c>
      <c r="S228" s="221">
        <v>0</v>
      </c>
      <c r="T228" s="222">
        <f>S228*H228</f>
        <v>0</v>
      </c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R228" s="223" t="s">
        <v>179</v>
      </c>
      <c r="AT228" s="223" t="s">
        <v>475</v>
      </c>
      <c r="AU228" s="223" t="s">
        <v>83</v>
      </c>
      <c r="AY228" s="17" t="s">
        <v>142</v>
      </c>
      <c r="BE228" s="224">
        <f>IF(N228="základní",J228,0)</f>
        <v>1997.03</v>
      </c>
      <c r="BF228" s="224">
        <f>IF(N228="snížená",J228,0)</f>
        <v>0</v>
      </c>
      <c r="BG228" s="224">
        <f>IF(N228="zákl. přenesená",J228,0)</f>
        <v>0</v>
      </c>
      <c r="BH228" s="224">
        <f>IF(N228="sníž. přenesená",J228,0)</f>
        <v>0</v>
      </c>
      <c r="BI228" s="224">
        <f>IF(N228="nulová",J228,0)</f>
        <v>0</v>
      </c>
      <c r="BJ228" s="17" t="s">
        <v>19</v>
      </c>
      <c r="BK228" s="224">
        <f>ROUND(I228*H228,2)</f>
        <v>1997.03</v>
      </c>
      <c r="BL228" s="17" t="s">
        <v>147</v>
      </c>
      <c r="BM228" s="223" t="s">
        <v>812</v>
      </c>
    </row>
    <row r="229" s="2" customFormat="1" ht="24.15" customHeight="1">
      <c r="A229" s="32"/>
      <c r="B229" s="33"/>
      <c r="C229" s="258" t="s">
        <v>367</v>
      </c>
      <c r="D229" s="258" t="s">
        <v>475</v>
      </c>
      <c r="E229" s="259" t="s">
        <v>813</v>
      </c>
      <c r="F229" s="260" t="s">
        <v>814</v>
      </c>
      <c r="G229" s="261" t="s">
        <v>96</v>
      </c>
      <c r="H229" s="262">
        <v>114.82899999999999</v>
      </c>
      <c r="I229" s="263">
        <v>78</v>
      </c>
      <c r="J229" s="263">
        <f>ROUND(I229*H229,2)</f>
        <v>8956.6599999999999</v>
      </c>
      <c r="K229" s="264"/>
      <c r="L229" s="265"/>
      <c r="M229" s="266" t="s">
        <v>1</v>
      </c>
      <c r="N229" s="267" t="s">
        <v>39</v>
      </c>
      <c r="O229" s="221">
        <v>0</v>
      </c>
      <c r="P229" s="221">
        <f>O229*H229</f>
        <v>0</v>
      </c>
      <c r="Q229" s="221">
        <v>0.00020000000000000001</v>
      </c>
      <c r="R229" s="221">
        <f>Q229*H229</f>
        <v>0.022965800000000001</v>
      </c>
      <c r="S229" s="221">
        <v>0</v>
      </c>
      <c r="T229" s="222">
        <f>S229*H229</f>
        <v>0</v>
      </c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R229" s="223" t="s">
        <v>179</v>
      </c>
      <c r="AT229" s="223" t="s">
        <v>475</v>
      </c>
      <c r="AU229" s="223" t="s">
        <v>83</v>
      </c>
      <c r="AY229" s="17" t="s">
        <v>142</v>
      </c>
      <c r="BE229" s="224">
        <f>IF(N229="základní",J229,0)</f>
        <v>8956.6599999999999</v>
      </c>
      <c r="BF229" s="224">
        <f>IF(N229="snížená",J229,0)</f>
        <v>0</v>
      </c>
      <c r="BG229" s="224">
        <f>IF(N229="zákl. přenesená",J229,0)</f>
        <v>0</v>
      </c>
      <c r="BH229" s="224">
        <f>IF(N229="sníž. přenesená",J229,0)</f>
        <v>0</v>
      </c>
      <c r="BI229" s="224">
        <f>IF(N229="nulová",J229,0)</f>
        <v>0</v>
      </c>
      <c r="BJ229" s="17" t="s">
        <v>19</v>
      </c>
      <c r="BK229" s="224">
        <f>ROUND(I229*H229,2)</f>
        <v>8956.6599999999999</v>
      </c>
      <c r="BL229" s="17" t="s">
        <v>147</v>
      </c>
      <c r="BM229" s="223" t="s">
        <v>815</v>
      </c>
    </row>
    <row r="230" s="13" customFormat="1">
      <c r="A230" s="13"/>
      <c r="B230" s="225"/>
      <c r="C230" s="226"/>
      <c r="D230" s="227" t="s">
        <v>149</v>
      </c>
      <c r="E230" s="228" t="s">
        <v>1</v>
      </c>
      <c r="F230" s="229" t="s">
        <v>816</v>
      </c>
      <c r="G230" s="226"/>
      <c r="H230" s="230">
        <v>96.942999999999998</v>
      </c>
      <c r="I230" s="226"/>
      <c r="J230" s="226"/>
      <c r="K230" s="226"/>
      <c r="L230" s="231"/>
      <c r="M230" s="232"/>
      <c r="N230" s="233"/>
      <c r="O230" s="233"/>
      <c r="P230" s="233"/>
      <c r="Q230" s="233"/>
      <c r="R230" s="233"/>
      <c r="S230" s="233"/>
      <c r="T230" s="23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35" t="s">
        <v>149</v>
      </c>
      <c r="AU230" s="235" t="s">
        <v>83</v>
      </c>
      <c r="AV230" s="13" t="s">
        <v>83</v>
      </c>
      <c r="AW230" s="13" t="s">
        <v>32</v>
      </c>
      <c r="AX230" s="13" t="s">
        <v>19</v>
      </c>
      <c r="AY230" s="235" t="s">
        <v>142</v>
      </c>
    </row>
    <row r="231" s="13" customFormat="1">
      <c r="A231" s="13"/>
      <c r="B231" s="225"/>
      <c r="C231" s="226"/>
      <c r="D231" s="227" t="s">
        <v>149</v>
      </c>
      <c r="E231" s="226"/>
      <c r="F231" s="229" t="s">
        <v>817</v>
      </c>
      <c r="G231" s="226"/>
      <c r="H231" s="230">
        <v>114.82899999999999</v>
      </c>
      <c r="I231" s="226"/>
      <c r="J231" s="226"/>
      <c r="K231" s="226"/>
      <c r="L231" s="231"/>
      <c r="M231" s="232"/>
      <c r="N231" s="233"/>
      <c r="O231" s="233"/>
      <c r="P231" s="233"/>
      <c r="Q231" s="233"/>
      <c r="R231" s="233"/>
      <c r="S231" s="233"/>
      <c r="T231" s="23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35" t="s">
        <v>149</v>
      </c>
      <c r="AU231" s="235" t="s">
        <v>83</v>
      </c>
      <c r="AV231" s="13" t="s">
        <v>83</v>
      </c>
      <c r="AW231" s="13" t="s">
        <v>4</v>
      </c>
      <c r="AX231" s="13" t="s">
        <v>19</v>
      </c>
      <c r="AY231" s="235" t="s">
        <v>142</v>
      </c>
    </row>
    <row r="232" s="2" customFormat="1" ht="37.8" customHeight="1">
      <c r="A232" s="32"/>
      <c r="B232" s="33"/>
      <c r="C232" s="212" t="s">
        <v>371</v>
      </c>
      <c r="D232" s="212" t="s">
        <v>144</v>
      </c>
      <c r="E232" s="213" t="s">
        <v>818</v>
      </c>
      <c r="F232" s="214" t="s">
        <v>819</v>
      </c>
      <c r="G232" s="215" t="s">
        <v>154</v>
      </c>
      <c r="H232" s="216">
        <v>96.942999999999998</v>
      </c>
      <c r="I232" s="217">
        <v>2220</v>
      </c>
      <c r="J232" s="217">
        <f>ROUND(I232*H232,2)</f>
        <v>215213.45999999999</v>
      </c>
      <c r="K232" s="218"/>
      <c r="L232" s="38"/>
      <c r="M232" s="219" t="s">
        <v>1</v>
      </c>
      <c r="N232" s="220" t="s">
        <v>39</v>
      </c>
      <c r="O232" s="221">
        <v>0.67900000000000005</v>
      </c>
      <c r="P232" s="221">
        <f>O232*H232</f>
        <v>65.824297000000001</v>
      </c>
      <c r="Q232" s="221">
        <v>0.042000000000000003</v>
      </c>
      <c r="R232" s="221">
        <f>Q232*H232</f>
        <v>4.0716060000000001</v>
      </c>
      <c r="S232" s="221">
        <v>0</v>
      </c>
      <c r="T232" s="222">
        <f>S232*H232</f>
        <v>0</v>
      </c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R232" s="223" t="s">
        <v>222</v>
      </c>
      <c r="AT232" s="223" t="s">
        <v>144</v>
      </c>
      <c r="AU232" s="223" t="s">
        <v>83</v>
      </c>
      <c r="AY232" s="17" t="s">
        <v>142</v>
      </c>
      <c r="BE232" s="224">
        <f>IF(N232="základní",J232,0)</f>
        <v>215213.45999999999</v>
      </c>
      <c r="BF232" s="224">
        <f>IF(N232="snížená",J232,0)</f>
        <v>0</v>
      </c>
      <c r="BG232" s="224">
        <f>IF(N232="zákl. přenesená",J232,0)</f>
        <v>0</v>
      </c>
      <c r="BH232" s="224">
        <f>IF(N232="sníž. přenesená",J232,0)</f>
        <v>0</v>
      </c>
      <c r="BI232" s="224">
        <f>IF(N232="nulová",J232,0)</f>
        <v>0</v>
      </c>
      <c r="BJ232" s="17" t="s">
        <v>19</v>
      </c>
      <c r="BK232" s="224">
        <f>ROUND(I232*H232,2)</f>
        <v>215213.45999999999</v>
      </c>
      <c r="BL232" s="17" t="s">
        <v>222</v>
      </c>
      <c r="BM232" s="223" t="s">
        <v>820</v>
      </c>
    </row>
    <row r="233" s="2" customFormat="1" ht="33" customHeight="1">
      <c r="A233" s="32"/>
      <c r="B233" s="33"/>
      <c r="C233" s="212" t="s">
        <v>375</v>
      </c>
      <c r="D233" s="212" t="s">
        <v>144</v>
      </c>
      <c r="E233" s="213" t="s">
        <v>555</v>
      </c>
      <c r="F233" s="214" t="s">
        <v>556</v>
      </c>
      <c r="G233" s="215" t="s">
        <v>96</v>
      </c>
      <c r="H233" s="216">
        <v>96.942999999999998</v>
      </c>
      <c r="I233" s="217">
        <v>71.599999999999994</v>
      </c>
      <c r="J233" s="217">
        <f>ROUND(I233*H233,2)</f>
        <v>6941.1199999999999</v>
      </c>
      <c r="K233" s="218"/>
      <c r="L233" s="38"/>
      <c r="M233" s="219" t="s">
        <v>1</v>
      </c>
      <c r="N233" s="220" t="s">
        <v>39</v>
      </c>
      <c r="O233" s="221">
        <v>0.11500000000000001</v>
      </c>
      <c r="P233" s="221">
        <f>O233*H233</f>
        <v>11.148445000000001</v>
      </c>
      <c r="Q233" s="221">
        <v>0</v>
      </c>
      <c r="R233" s="221">
        <f>Q233*H233</f>
        <v>0</v>
      </c>
      <c r="S233" s="221">
        <v>0</v>
      </c>
      <c r="T233" s="222">
        <f>S233*H233</f>
        <v>0</v>
      </c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R233" s="223" t="s">
        <v>222</v>
      </c>
      <c r="AT233" s="223" t="s">
        <v>144</v>
      </c>
      <c r="AU233" s="223" t="s">
        <v>83</v>
      </c>
      <c r="AY233" s="17" t="s">
        <v>142</v>
      </c>
      <c r="BE233" s="224">
        <f>IF(N233="základní",J233,0)</f>
        <v>6941.1199999999999</v>
      </c>
      <c r="BF233" s="224">
        <f>IF(N233="snížená",J233,0)</f>
        <v>0</v>
      </c>
      <c r="BG233" s="224">
        <f>IF(N233="zákl. přenesená",J233,0)</f>
        <v>0</v>
      </c>
      <c r="BH233" s="224">
        <f>IF(N233="sníž. přenesená",J233,0)</f>
        <v>0</v>
      </c>
      <c r="BI233" s="224">
        <f>IF(N233="nulová",J233,0)</f>
        <v>0</v>
      </c>
      <c r="BJ233" s="17" t="s">
        <v>19</v>
      </c>
      <c r="BK233" s="224">
        <f>ROUND(I233*H233,2)</f>
        <v>6941.1199999999999</v>
      </c>
      <c r="BL233" s="17" t="s">
        <v>222</v>
      </c>
      <c r="BM233" s="223" t="s">
        <v>821</v>
      </c>
    </row>
    <row r="234" s="13" customFormat="1">
      <c r="A234" s="13"/>
      <c r="B234" s="225"/>
      <c r="C234" s="226"/>
      <c r="D234" s="227" t="s">
        <v>149</v>
      </c>
      <c r="E234" s="228" t="s">
        <v>1</v>
      </c>
      <c r="F234" s="229" t="s">
        <v>822</v>
      </c>
      <c r="G234" s="226"/>
      <c r="H234" s="230">
        <v>96.94344696178733</v>
      </c>
      <c r="I234" s="226"/>
      <c r="J234" s="226"/>
      <c r="K234" s="226"/>
      <c r="L234" s="231"/>
      <c r="M234" s="232"/>
      <c r="N234" s="233"/>
      <c r="O234" s="233"/>
      <c r="P234" s="233"/>
      <c r="Q234" s="233"/>
      <c r="R234" s="233"/>
      <c r="S234" s="233"/>
      <c r="T234" s="234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35" t="s">
        <v>149</v>
      </c>
      <c r="AU234" s="235" t="s">
        <v>83</v>
      </c>
      <c r="AV234" s="13" t="s">
        <v>83</v>
      </c>
      <c r="AW234" s="13" t="s">
        <v>32</v>
      </c>
      <c r="AX234" s="13" t="s">
        <v>19</v>
      </c>
      <c r="AY234" s="235" t="s">
        <v>142</v>
      </c>
    </row>
    <row r="235" s="2" customFormat="1" ht="49.05" customHeight="1">
      <c r="A235" s="32"/>
      <c r="B235" s="33"/>
      <c r="C235" s="258" t="s">
        <v>379</v>
      </c>
      <c r="D235" s="258" t="s">
        <v>475</v>
      </c>
      <c r="E235" s="259" t="s">
        <v>559</v>
      </c>
      <c r="F235" s="260" t="s">
        <v>560</v>
      </c>
      <c r="G235" s="261" t="s">
        <v>96</v>
      </c>
      <c r="H235" s="262">
        <v>112.987</v>
      </c>
      <c r="I235" s="263">
        <v>168</v>
      </c>
      <c r="J235" s="263">
        <f>ROUND(I235*H235,2)</f>
        <v>18981.82</v>
      </c>
      <c r="K235" s="264"/>
      <c r="L235" s="265"/>
      <c r="M235" s="266" t="s">
        <v>1</v>
      </c>
      <c r="N235" s="267" t="s">
        <v>39</v>
      </c>
      <c r="O235" s="221">
        <v>0</v>
      </c>
      <c r="P235" s="221">
        <f>O235*H235</f>
        <v>0</v>
      </c>
      <c r="Q235" s="221">
        <v>0.0023</v>
      </c>
      <c r="R235" s="221">
        <f>Q235*H235</f>
        <v>0.25987009999999999</v>
      </c>
      <c r="S235" s="221">
        <v>0</v>
      </c>
      <c r="T235" s="222">
        <f>S235*H235</f>
        <v>0</v>
      </c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R235" s="223" t="s">
        <v>241</v>
      </c>
      <c r="AT235" s="223" t="s">
        <v>475</v>
      </c>
      <c r="AU235" s="223" t="s">
        <v>83</v>
      </c>
      <c r="AY235" s="17" t="s">
        <v>142</v>
      </c>
      <c r="BE235" s="224">
        <f>IF(N235="základní",J235,0)</f>
        <v>18981.82</v>
      </c>
      <c r="BF235" s="224">
        <f>IF(N235="snížená",J235,0)</f>
        <v>0</v>
      </c>
      <c r="BG235" s="224">
        <f>IF(N235="zákl. přenesená",J235,0)</f>
        <v>0</v>
      </c>
      <c r="BH235" s="224">
        <f>IF(N235="sníž. přenesená",J235,0)</f>
        <v>0</v>
      </c>
      <c r="BI235" s="224">
        <f>IF(N235="nulová",J235,0)</f>
        <v>0</v>
      </c>
      <c r="BJ235" s="17" t="s">
        <v>19</v>
      </c>
      <c r="BK235" s="224">
        <f>ROUND(I235*H235,2)</f>
        <v>18981.82</v>
      </c>
      <c r="BL235" s="17" t="s">
        <v>222</v>
      </c>
      <c r="BM235" s="223" t="s">
        <v>823</v>
      </c>
    </row>
    <row r="236" s="13" customFormat="1">
      <c r="A236" s="13"/>
      <c r="B236" s="225"/>
      <c r="C236" s="226"/>
      <c r="D236" s="227" t="s">
        <v>149</v>
      </c>
      <c r="E236" s="228" t="s">
        <v>1</v>
      </c>
      <c r="F236" s="229" t="s">
        <v>816</v>
      </c>
      <c r="G236" s="226"/>
      <c r="H236" s="230">
        <v>96.942999999999998</v>
      </c>
      <c r="I236" s="226"/>
      <c r="J236" s="226"/>
      <c r="K236" s="226"/>
      <c r="L236" s="231"/>
      <c r="M236" s="232"/>
      <c r="N236" s="233"/>
      <c r="O236" s="233"/>
      <c r="P236" s="233"/>
      <c r="Q236" s="233"/>
      <c r="R236" s="233"/>
      <c r="S236" s="233"/>
      <c r="T236" s="234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T236" s="235" t="s">
        <v>149</v>
      </c>
      <c r="AU236" s="235" t="s">
        <v>83</v>
      </c>
      <c r="AV236" s="13" t="s">
        <v>83</v>
      </c>
      <c r="AW236" s="13" t="s">
        <v>32</v>
      </c>
      <c r="AX236" s="13" t="s">
        <v>19</v>
      </c>
      <c r="AY236" s="235" t="s">
        <v>142</v>
      </c>
    </row>
    <row r="237" s="13" customFormat="1">
      <c r="A237" s="13"/>
      <c r="B237" s="225"/>
      <c r="C237" s="226"/>
      <c r="D237" s="227" t="s">
        <v>149</v>
      </c>
      <c r="E237" s="226"/>
      <c r="F237" s="229" t="s">
        <v>824</v>
      </c>
      <c r="G237" s="226"/>
      <c r="H237" s="230">
        <v>112.987</v>
      </c>
      <c r="I237" s="226"/>
      <c r="J237" s="226"/>
      <c r="K237" s="226"/>
      <c r="L237" s="231"/>
      <c r="M237" s="232"/>
      <c r="N237" s="233"/>
      <c r="O237" s="233"/>
      <c r="P237" s="233"/>
      <c r="Q237" s="233"/>
      <c r="R237" s="233"/>
      <c r="S237" s="233"/>
      <c r="T237" s="234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T237" s="235" t="s">
        <v>149</v>
      </c>
      <c r="AU237" s="235" t="s">
        <v>83</v>
      </c>
      <c r="AV237" s="13" t="s">
        <v>83</v>
      </c>
      <c r="AW237" s="13" t="s">
        <v>4</v>
      </c>
      <c r="AX237" s="13" t="s">
        <v>19</v>
      </c>
      <c r="AY237" s="235" t="s">
        <v>142</v>
      </c>
    </row>
    <row r="238" s="2" customFormat="1" ht="24.15" customHeight="1">
      <c r="A238" s="32"/>
      <c r="B238" s="33"/>
      <c r="C238" s="212" t="s">
        <v>384</v>
      </c>
      <c r="D238" s="212" t="s">
        <v>144</v>
      </c>
      <c r="E238" s="213" t="s">
        <v>564</v>
      </c>
      <c r="F238" s="214" t="s">
        <v>565</v>
      </c>
      <c r="G238" s="215" t="s">
        <v>96</v>
      </c>
      <c r="H238" s="216">
        <v>96.942999999999998</v>
      </c>
      <c r="I238" s="217">
        <v>960</v>
      </c>
      <c r="J238" s="217">
        <f>ROUND(I238*H238,2)</f>
        <v>93065.279999999999</v>
      </c>
      <c r="K238" s="218"/>
      <c r="L238" s="38"/>
      <c r="M238" s="219" t="s">
        <v>1</v>
      </c>
      <c r="N238" s="220" t="s">
        <v>39</v>
      </c>
      <c r="O238" s="221">
        <v>1.286</v>
      </c>
      <c r="P238" s="221">
        <f>O238*H238</f>
        <v>124.66869800000001</v>
      </c>
      <c r="Q238" s="221">
        <v>0.0013500000000000001</v>
      </c>
      <c r="R238" s="221">
        <f>Q238*H238</f>
        <v>0.13087304999999999</v>
      </c>
      <c r="S238" s="221">
        <v>0</v>
      </c>
      <c r="T238" s="222">
        <f>S238*H238</f>
        <v>0</v>
      </c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R238" s="223" t="s">
        <v>222</v>
      </c>
      <c r="AT238" s="223" t="s">
        <v>144</v>
      </c>
      <c r="AU238" s="223" t="s">
        <v>83</v>
      </c>
      <c r="AY238" s="17" t="s">
        <v>142</v>
      </c>
      <c r="BE238" s="224">
        <f>IF(N238="základní",J238,0)</f>
        <v>93065.279999999999</v>
      </c>
      <c r="BF238" s="224">
        <f>IF(N238="snížená",J238,0)</f>
        <v>0</v>
      </c>
      <c r="BG238" s="224">
        <f>IF(N238="zákl. přenesená",J238,0)</f>
        <v>0</v>
      </c>
      <c r="BH238" s="224">
        <f>IF(N238="sníž. přenesená",J238,0)</f>
        <v>0</v>
      </c>
      <c r="BI238" s="224">
        <f>IF(N238="nulová",J238,0)</f>
        <v>0</v>
      </c>
      <c r="BJ238" s="17" t="s">
        <v>19</v>
      </c>
      <c r="BK238" s="224">
        <f>ROUND(I238*H238,2)</f>
        <v>93065.279999999999</v>
      </c>
      <c r="BL238" s="17" t="s">
        <v>222</v>
      </c>
      <c r="BM238" s="223" t="s">
        <v>825</v>
      </c>
    </row>
    <row r="239" s="13" customFormat="1">
      <c r="A239" s="13"/>
      <c r="B239" s="225"/>
      <c r="C239" s="226"/>
      <c r="D239" s="227" t="s">
        <v>149</v>
      </c>
      <c r="E239" s="228" t="s">
        <v>1</v>
      </c>
      <c r="F239" s="229" t="s">
        <v>816</v>
      </c>
      <c r="G239" s="226"/>
      <c r="H239" s="230">
        <v>96.942999999999998</v>
      </c>
      <c r="I239" s="226"/>
      <c r="J239" s="226"/>
      <c r="K239" s="226"/>
      <c r="L239" s="231"/>
      <c r="M239" s="232"/>
      <c r="N239" s="233"/>
      <c r="O239" s="233"/>
      <c r="P239" s="233"/>
      <c r="Q239" s="233"/>
      <c r="R239" s="233"/>
      <c r="S239" s="233"/>
      <c r="T239" s="23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35" t="s">
        <v>149</v>
      </c>
      <c r="AU239" s="235" t="s">
        <v>83</v>
      </c>
      <c r="AV239" s="13" t="s">
        <v>83</v>
      </c>
      <c r="AW239" s="13" t="s">
        <v>32</v>
      </c>
      <c r="AX239" s="13" t="s">
        <v>19</v>
      </c>
      <c r="AY239" s="235" t="s">
        <v>142</v>
      </c>
    </row>
    <row r="240" s="2" customFormat="1" ht="16.5" customHeight="1">
      <c r="A240" s="32"/>
      <c r="B240" s="33"/>
      <c r="C240" s="258" t="s">
        <v>388</v>
      </c>
      <c r="D240" s="258" t="s">
        <v>475</v>
      </c>
      <c r="E240" s="259" t="s">
        <v>568</v>
      </c>
      <c r="F240" s="260" t="s">
        <v>569</v>
      </c>
      <c r="G240" s="261" t="s">
        <v>570</v>
      </c>
      <c r="H240" s="262">
        <v>96.942999999999998</v>
      </c>
      <c r="I240" s="263">
        <v>67.799999999999997</v>
      </c>
      <c r="J240" s="263">
        <f>ROUND(I240*H240,2)</f>
        <v>6572.7399999999998</v>
      </c>
      <c r="K240" s="264"/>
      <c r="L240" s="265"/>
      <c r="M240" s="266" t="s">
        <v>1</v>
      </c>
      <c r="N240" s="267" t="s">
        <v>39</v>
      </c>
      <c r="O240" s="221">
        <v>0</v>
      </c>
      <c r="P240" s="221">
        <f>O240*H240</f>
        <v>0</v>
      </c>
      <c r="Q240" s="221">
        <v>0.001</v>
      </c>
      <c r="R240" s="221">
        <f>Q240*H240</f>
        <v>0.096943000000000001</v>
      </c>
      <c r="S240" s="221">
        <v>0</v>
      </c>
      <c r="T240" s="222">
        <f>S240*H240</f>
        <v>0</v>
      </c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R240" s="223" t="s">
        <v>241</v>
      </c>
      <c r="AT240" s="223" t="s">
        <v>475</v>
      </c>
      <c r="AU240" s="223" t="s">
        <v>83</v>
      </c>
      <c r="AY240" s="17" t="s">
        <v>142</v>
      </c>
      <c r="BE240" s="224">
        <f>IF(N240="základní",J240,0)</f>
        <v>6572.7399999999998</v>
      </c>
      <c r="BF240" s="224">
        <f>IF(N240="snížená",J240,0)</f>
        <v>0</v>
      </c>
      <c r="BG240" s="224">
        <f>IF(N240="zákl. přenesená",J240,0)</f>
        <v>0</v>
      </c>
      <c r="BH240" s="224">
        <f>IF(N240="sníž. přenesená",J240,0)</f>
        <v>0</v>
      </c>
      <c r="BI240" s="224">
        <f>IF(N240="nulová",J240,0)</f>
        <v>0</v>
      </c>
      <c r="BJ240" s="17" t="s">
        <v>19</v>
      </c>
      <c r="BK240" s="224">
        <f>ROUND(I240*H240,2)</f>
        <v>6572.7399999999998</v>
      </c>
      <c r="BL240" s="17" t="s">
        <v>222</v>
      </c>
      <c r="BM240" s="223" t="s">
        <v>826</v>
      </c>
    </row>
    <row r="241" s="13" customFormat="1">
      <c r="A241" s="13"/>
      <c r="B241" s="225"/>
      <c r="C241" s="226"/>
      <c r="D241" s="227" t="s">
        <v>149</v>
      </c>
      <c r="E241" s="228" t="s">
        <v>1</v>
      </c>
      <c r="F241" s="229" t="s">
        <v>816</v>
      </c>
      <c r="G241" s="226"/>
      <c r="H241" s="230">
        <v>96.942999999999998</v>
      </c>
      <c r="I241" s="226"/>
      <c r="J241" s="226"/>
      <c r="K241" s="226"/>
      <c r="L241" s="231"/>
      <c r="M241" s="232"/>
      <c r="N241" s="233"/>
      <c r="O241" s="233"/>
      <c r="P241" s="233"/>
      <c r="Q241" s="233"/>
      <c r="R241" s="233"/>
      <c r="S241" s="233"/>
      <c r="T241" s="234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35" t="s">
        <v>149</v>
      </c>
      <c r="AU241" s="235" t="s">
        <v>83</v>
      </c>
      <c r="AV241" s="13" t="s">
        <v>83</v>
      </c>
      <c r="AW241" s="13" t="s">
        <v>32</v>
      </c>
      <c r="AX241" s="13" t="s">
        <v>19</v>
      </c>
      <c r="AY241" s="235" t="s">
        <v>142</v>
      </c>
    </row>
    <row r="242" s="2" customFormat="1" ht="16.5" customHeight="1">
      <c r="A242" s="32"/>
      <c r="B242" s="33"/>
      <c r="C242" s="212" t="s">
        <v>393</v>
      </c>
      <c r="D242" s="212" t="s">
        <v>144</v>
      </c>
      <c r="E242" s="213" t="s">
        <v>606</v>
      </c>
      <c r="F242" s="214" t="s">
        <v>607</v>
      </c>
      <c r="G242" s="215" t="s">
        <v>326</v>
      </c>
      <c r="H242" s="216">
        <v>96.942999999999998</v>
      </c>
      <c r="I242" s="217">
        <v>18.5</v>
      </c>
      <c r="J242" s="217">
        <f>ROUND(I242*H242,2)</f>
        <v>1793.4500000000001</v>
      </c>
      <c r="K242" s="218"/>
      <c r="L242" s="38"/>
      <c r="M242" s="219" t="s">
        <v>1</v>
      </c>
      <c r="N242" s="220" t="s">
        <v>39</v>
      </c>
      <c r="O242" s="221">
        <v>0.029999999999999999</v>
      </c>
      <c r="P242" s="221">
        <f>O242*H242</f>
        <v>2.90829</v>
      </c>
      <c r="Q242" s="221">
        <v>2.0000000000000002E-05</v>
      </c>
      <c r="R242" s="221">
        <f>Q242*H242</f>
        <v>0.0019388600000000002</v>
      </c>
      <c r="S242" s="221">
        <v>0</v>
      </c>
      <c r="T242" s="222">
        <f>S242*H242</f>
        <v>0</v>
      </c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R242" s="223" t="s">
        <v>222</v>
      </c>
      <c r="AT242" s="223" t="s">
        <v>144</v>
      </c>
      <c r="AU242" s="223" t="s">
        <v>83</v>
      </c>
      <c r="AY242" s="17" t="s">
        <v>142</v>
      </c>
      <c r="BE242" s="224">
        <f>IF(N242="základní",J242,0)</f>
        <v>1793.4500000000001</v>
      </c>
      <c r="BF242" s="224">
        <f>IF(N242="snížená",J242,0)</f>
        <v>0</v>
      </c>
      <c r="BG242" s="224">
        <f>IF(N242="zákl. přenesená",J242,0)</f>
        <v>0</v>
      </c>
      <c r="BH242" s="224">
        <f>IF(N242="sníž. přenesená",J242,0)</f>
        <v>0</v>
      </c>
      <c r="BI242" s="224">
        <f>IF(N242="nulová",J242,0)</f>
        <v>0</v>
      </c>
      <c r="BJ242" s="17" t="s">
        <v>19</v>
      </c>
      <c r="BK242" s="224">
        <f>ROUND(I242*H242,2)</f>
        <v>1793.4500000000001</v>
      </c>
      <c r="BL242" s="17" t="s">
        <v>222</v>
      </c>
      <c r="BM242" s="223" t="s">
        <v>827</v>
      </c>
    </row>
    <row r="243" s="13" customFormat="1">
      <c r="A243" s="13"/>
      <c r="B243" s="225"/>
      <c r="C243" s="226"/>
      <c r="D243" s="227" t="s">
        <v>149</v>
      </c>
      <c r="E243" s="228" t="s">
        <v>1</v>
      </c>
      <c r="F243" s="229" t="s">
        <v>816</v>
      </c>
      <c r="G243" s="226"/>
      <c r="H243" s="230">
        <v>96.942999999999998</v>
      </c>
      <c r="I243" s="226"/>
      <c r="J243" s="226"/>
      <c r="K243" s="226"/>
      <c r="L243" s="231"/>
      <c r="M243" s="232"/>
      <c r="N243" s="233"/>
      <c r="O243" s="233"/>
      <c r="P243" s="233"/>
      <c r="Q243" s="233"/>
      <c r="R243" s="233"/>
      <c r="S243" s="233"/>
      <c r="T243" s="234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T243" s="235" t="s">
        <v>149</v>
      </c>
      <c r="AU243" s="235" t="s">
        <v>83</v>
      </c>
      <c r="AV243" s="13" t="s">
        <v>83</v>
      </c>
      <c r="AW243" s="13" t="s">
        <v>32</v>
      </c>
      <c r="AX243" s="13" t="s">
        <v>19</v>
      </c>
      <c r="AY243" s="235" t="s">
        <v>142</v>
      </c>
    </row>
    <row r="244" s="2" customFormat="1" ht="16.5" customHeight="1">
      <c r="A244" s="32"/>
      <c r="B244" s="33"/>
      <c r="C244" s="258" t="s">
        <v>397</v>
      </c>
      <c r="D244" s="258" t="s">
        <v>475</v>
      </c>
      <c r="E244" s="259" t="s">
        <v>610</v>
      </c>
      <c r="F244" s="260" t="s">
        <v>611</v>
      </c>
      <c r="G244" s="261" t="s">
        <v>154</v>
      </c>
      <c r="H244" s="262">
        <v>0.42099999999999999</v>
      </c>
      <c r="I244" s="263">
        <v>9960</v>
      </c>
      <c r="J244" s="263">
        <f>ROUND(I244*H244,2)</f>
        <v>4193.1599999999999</v>
      </c>
      <c r="K244" s="264"/>
      <c r="L244" s="265"/>
      <c r="M244" s="266" t="s">
        <v>1</v>
      </c>
      <c r="N244" s="267" t="s">
        <v>39</v>
      </c>
      <c r="O244" s="221">
        <v>0</v>
      </c>
      <c r="P244" s="221">
        <f>O244*H244</f>
        <v>0</v>
      </c>
      <c r="Q244" s="221">
        <v>0.55000000000000004</v>
      </c>
      <c r="R244" s="221">
        <f>Q244*H244</f>
        <v>0.23155000000000001</v>
      </c>
      <c r="S244" s="221">
        <v>0</v>
      </c>
      <c r="T244" s="222">
        <f>S244*H244</f>
        <v>0</v>
      </c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R244" s="223" t="s">
        <v>241</v>
      </c>
      <c r="AT244" s="223" t="s">
        <v>475</v>
      </c>
      <c r="AU244" s="223" t="s">
        <v>83</v>
      </c>
      <c r="AY244" s="17" t="s">
        <v>142</v>
      </c>
      <c r="BE244" s="224">
        <f>IF(N244="základní",J244,0)</f>
        <v>4193.1599999999999</v>
      </c>
      <c r="BF244" s="224">
        <f>IF(N244="snížená",J244,0)</f>
        <v>0</v>
      </c>
      <c r="BG244" s="224">
        <f>IF(N244="zákl. přenesená",J244,0)</f>
        <v>0</v>
      </c>
      <c r="BH244" s="224">
        <f>IF(N244="sníž. přenesená",J244,0)</f>
        <v>0</v>
      </c>
      <c r="BI244" s="224">
        <f>IF(N244="nulová",J244,0)</f>
        <v>0</v>
      </c>
      <c r="BJ244" s="17" t="s">
        <v>19</v>
      </c>
      <c r="BK244" s="224">
        <f>ROUND(I244*H244,2)</f>
        <v>4193.1599999999999</v>
      </c>
      <c r="BL244" s="17" t="s">
        <v>222</v>
      </c>
      <c r="BM244" s="223" t="s">
        <v>828</v>
      </c>
    </row>
    <row r="245" s="13" customFormat="1">
      <c r="A245" s="13"/>
      <c r="B245" s="225"/>
      <c r="C245" s="226"/>
      <c r="D245" s="227" t="s">
        <v>149</v>
      </c>
      <c r="E245" s="228" t="s">
        <v>1</v>
      </c>
      <c r="F245" s="229" t="s">
        <v>613</v>
      </c>
      <c r="G245" s="226"/>
      <c r="H245" s="230">
        <v>0.42095519999999997</v>
      </c>
      <c r="I245" s="226"/>
      <c r="J245" s="226"/>
      <c r="K245" s="226"/>
      <c r="L245" s="231"/>
      <c r="M245" s="232"/>
      <c r="N245" s="233"/>
      <c r="O245" s="233"/>
      <c r="P245" s="233"/>
      <c r="Q245" s="233"/>
      <c r="R245" s="233"/>
      <c r="S245" s="233"/>
      <c r="T245" s="234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T245" s="235" t="s">
        <v>149</v>
      </c>
      <c r="AU245" s="235" t="s">
        <v>83</v>
      </c>
      <c r="AV245" s="13" t="s">
        <v>83</v>
      </c>
      <c r="AW245" s="13" t="s">
        <v>32</v>
      </c>
      <c r="AX245" s="13" t="s">
        <v>19</v>
      </c>
      <c r="AY245" s="235" t="s">
        <v>142</v>
      </c>
    </row>
    <row r="246" s="2" customFormat="1" ht="24.15" customHeight="1">
      <c r="A246" s="32"/>
      <c r="B246" s="33"/>
      <c r="C246" s="212" t="s">
        <v>402</v>
      </c>
      <c r="D246" s="212" t="s">
        <v>144</v>
      </c>
      <c r="E246" s="213" t="s">
        <v>573</v>
      </c>
      <c r="F246" s="214" t="s">
        <v>574</v>
      </c>
      <c r="G246" s="215" t="s">
        <v>96</v>
      </c>
      <c r="H246" s="216">
        <v>96.942999999999998</v>
      </c>
      <c r="I246" s="217">
        <v>658</v>
      </c>
      <c r="J246" s="217">
        <f>ROUND(I246*H246,2)</f>
        <v>63788.489999999998</v>
      </c>
      <c r="K246" s="218"/>
      <c r="L246" s="38"/>
      <c r="M246" s="219" t="s">
        <v>1</v>
      </c>
      <c r="N246" s="220" t="s">
        <v>39</v>
      </c>
      <c r="O246" s="221">
        <v>0.33000000000000002</v>
      </c>
      <c r="P246" s="221">
        <f>O246*H246</f>
        <v>31.99119</v>
      </c>
      <c r="Q246" s="221">
        <v>0.014160000000000001</v>
      </c>
      <c r="R246" s="221">
        <f>Q246*H246</f>
        <v>1.3727128800000001</v>
      </c>
      <c r="S246" s="221">
        <v>0</v>
      </c>
      <c r="T246" s="222">
        <f>S246*H246</f>
        <v>0</v>
      </c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R246" s="223" t="s">
        <v>222</v>
      </c>
      <c r="AT246" s="223" t="s">
        <v>144</v>
      </c>
      <c r="AU246" s="223" t="s">
        <v>83</v>
      </c>
      <c r="AY246" s="17" t="s">
        <v>142</v>
      </c>
      <c r="BE246" s="224">
        <f>IF(N246="základní",J246,0)</f>
        <v>63788.489999999998</v>
      </c>
      <c r="BF246" s="224">
        <f>IF(N246="snížená",J246,0)</f>
        <v>0</v>
      </c>
      <c r="BG246" s="224">
        <f>IF(N246="zákl. přenesená",J246,0)</f>
        <v>0</v>
      </c>
      <c r="BH246" s="224">
        <f>IF(N246="sníž. přenesená",J246,0)</f>
        <v>0</v>
      </c>
      <c r="BI246" s="224">
        <f>IF(N246="nulová",J246,0)</f>
        <v>0</v>
      </c>
      <c r="BJ246" s="17" t="s">
        <v>19</v>
      </c>
      <c r="BK246" s="224">
        <f>ROUND(I246*H246,2)</f>
        <v>63788.489999999998</v>
      </c>
      <c r="BL246" s="17" t="s">
        <v>222</v>
      </c>
      <c r="BM246" s="223" t="s">
        <v>829</v>
      </c>
    </row>
    <row r="247" s="13" customFormat="1">
      <c r="A247" s="13"/>
      <c r="B247" s="225"/>
      <c r="C247" s="226"/>
      <c r="D247" s="227" t="s">
        <v>149</v>
      </c>
      <c r="E247" s="228" t="s">
        <v>1</v>
      </c>
      <c r="F247" s="229" t="s">
        <v>822</v>
      </c>
      <c r="G247" s="226"/>
      <c r="H247" s="230">
        <v>96.94344696178733</v>
      </c>
      <c r="I247" s="226"/>
      <c r="J247" s="226"/>
      <c r="K247" s="226"/>
      <c r="L247" s="231"/>
      <c r="M247" s="232"/>
      <c r="N247" s="233"/>
      <c r="O247" s="233"/>
      <c r="P247" s="233"/>
      <c r="Q247" s="233"/>
      <c r="R247" s="233"/>
      <c r="S247" s="233"/>
      <c r="T247" s="234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35" t="s">
        <v>149</v>
      </c>
      <c r="AU247" s="235" t="s">
        <v>83</v>
      </c>
      <c r="AV247" s="13" t="s">
        <v>83</v>
      </c>
      <c r="AW247" s="13" t="s">
        <v>32</v>
      </c>
      <c r="AX247" s="13" t="s">
        <v>19</v>
      </c>
      <c r="AY247" s="235" t="s">
        <v>142</v>
      </c>
    </row>
    <row r="248" s="2" customFormat="1" ht="24.15" customHeight="1">
      <c r="A248" s="32"/>
      <c r="B248" s="33"/>
      <c r="C248" s="212" t="s">
        <v>407</v>
      </c>
      <c r="D248" s="212" t="s">
        <v>144</v>
      </c>
      <c r="E248" s="213" t="s">
        <v>596</v>
      </c>
      <c r="F248" s="214" t="s">
        <v>597</v>
      </c>
      <c r="G248" s="215" t="s">
        <v>96</v>
      </c>
      <c r="H248" s="216">
        <v>96.942999999999998</v>
      </c>
      <c r="I248" s="217">
        <v>877</v>
      </c>
      <c r="J248" s="217">
        <f>ROUND(I248*H248,2)</f>
        <v>85019.009999999995</v>
      </c>
      <c r="K248" s="218"/>
      <c r="L248" s="38"/>
      <c r="M248" s="219" t="s">
        <v>1</v>
      </c>
      <c r="N248" s="220" t="s">
        <v>39</v>
      </c>
      <c r="O248" s="221">
        <v>1.0449999999999999</v>
      </c>
      <c r="P248" s="221">
        <f>O248*H248</f>
        <v>101.30543499999999</v>
      </c>
      <c r="Q248" s="221">
        <v>0</v>
      </c>
      <c r="R248" s="221">
        <f>Q248*H248</f>
        <v>0</v>
      </c>
      <c r="S248" s="221">
        <v>0</v>
      </c>
      <c r="T248" s="222">
        <f>S248*H248</f>
        <v>0</v>
      </c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R248" s="223" t="s">
        <v>222</v>
      </c>
      <c r="AT248" s="223" t="s">
        <v>144</v>
      </c>
      <c r="AU248" s="223" t="s">
        <v>83</v>
      </c>
      <c r="AY248" s="17" t="s">
        <v>142</v>
      </c>
      <c r="BE248" s="224">
        <f>IF(N248="základní",J248,0)</f>
        <v>85019.009999999995</v>
      </c>
      <c r="BF248" s="224">
        <f>IF(N248="snížená",J248,0)</f>
        <v>0</v>
      </c>
      <c r="BG248" s="224">
        <f>IF(N248="zákl. přenesená",J248,0)</f>
        <v>0</v>
      </c>
      <c r="BH248" s="224">
        <f>IF(N248="sníž. přenesená",J248,0)</f>
        <v>0</v>
      </c>
      <c r="BI248" s="224">
        <f>IF(N248="nulová",J248,0)</f>
        <v>0</v>
      </c>
      <c r="BJ248" s="17" t="s">
        <v>19</v>
      </c>
      <c r="BK248" s="224">
        <f>ROUND(I248*H248,2)</f>
        <v>85019.009999999995</v>
      </c>
      <c r="BL248" s="17" t="s">
        <v>222</v>
      </c>
      <c r="BM248" s="223" t="s">
        <v>830</v>
      </c>
    </row>
    <row r="249" s="13" customFormat="1">
      <c r="A249" s="13"/>
      <c r="B249" s="225"/>
      <c r="C249" s="226"/>
      <c r="D249" s="227" t="s">
        <v>149</v>
      </c>
      <c r="E249" s="228" t="s">
        <v>1</v>
      </c>
      <c r="F249" s="229" t="s">
        <v>822</v>
      </c>
      <c r="G249" s="226"/>
      <c r="H249" s="230">
        <v>96.94344696178733</v>
      </c>
      <c r="I249" s="226"/>
      <c r="J249" s="226"/>
      <c r="K249" s="226"/>
      <c r="L249" s="231"/>
      <c r="M249" s="232"/>
      <c r="N249" s="233"/>
      <c r="O249" s="233"/>
      <c r="P249" s="233"/>
      <c r="Q249" s="233"/>
      <c r="R249" s="233"/>
      <c r="S249" s="233"/>
      <c r="T249" s="234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35" t="s">
        <v>149</v>
      </c>
      <c r="AU249" s="235" t="s">
        <v>83</v>
      </c>
      <c r="AV249" s="13" t="s">
        <v>83</v>
      </c>
      <c r="AW249" s="13" t="s">
        <v>32</v>
      </c>
      <c r="AX249" s="13" t="s">
        <v>19</v>
      </c>
      <c r="AY249" s="235" t="s">
        <v>142</v>
      </c>
    </row>
    <row r="250" s="2" customFormat="1" ht="37.8" customHeight="1">
      <c r="A250" s="32"/>
      <c r="B250" s="33"/>
      <c r="C250" s="258" t="s">
        <v>411</v>
      </c>
      <c r="D250" s="258" t="s">
        <v>475</v>
      </c>
      <c r="E250" s="259" t="s">
        <v>601</v>
      </c>
      <c r="F250" s="260" t="s">
        <v>602</v>
      </c>
      <c r="G250" s="261" t="s">
        <v>96</v>
      </c>
      <c r="H250" s="262">
        <v>126.026</v>
      </c>
      <c r="I250" s="263">
        <v>451</v>
      </c>
      <c r="J250" s="263">
        <f>ROUND(I250*H250,2)</f>
        <v>56837.730000000003</v>
      </c>
      <c r="K250" s="264"/>
      <c r="L250" s="265"/>
      <c r="M250" s="266" t="s">
        <v>1</v>
      </c>
      <c r="N250" s="267" t="s">
        <v>39</v>
      </c>
      <c r="O250" s="221">
        <v>0</v>
      </c>
      <c r="P250" s="221">
        <f>O250*H250</f>
        <v>0</v>
      </c>
      <c r="Q250" s="221">
        <v>0.0050000000000000001</v>
      </c>
      <c r="R250" s="221">
        <f>Q250*H250</f>
        <v>0.63012999999999997</v>
      </c>
      <c r="S250" s="221">
        <v>0</v>
      </c>
      <c r="T250" s="222">
        <f>S250*H250</f>
        <v>0</v>
      </c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R250" s="223" t="s">
        <v>241</v>
      </c>
      <c r="AT250" s="223" t="s">
        <v>475</v>
      </c>
      <c r="AU250" s="223" t="s">
        <v>83</v>
      </c>
      <c r="AY250" s="17" t="s">
        <v>142</v>
      </c>
      <c r="BE250" s="224">
        <f>IF(N250="základní",J250,0)</f>
        <v>56837.730000000003</v>
      </c>
      <c r="BF250" s="224">
        <f>IF(N250="snížená",J250,0)</f>
        <v>0</v>
      </c>
      <c r="BG250" s="224">
        <f>IF(N250="zákl. přenesená",J250,0)</f>
        <v>0</v>
      </c>
      <c r="BH250" s="224">
        <f>IF(N250="sníž. přenesená",J250,0)</f>
        <v>0</v>
      </c>
      <c r="BI250" s="224">
        <f>IF(N250="nulová",J250,0)</f>
        <v>0</v>
      </c>
      <c r="BJ250" s="17" t="s">
        <v>19</v>
      </c>
      <c r="BK250" s="224">
        <f>ROUND(I250*H250,2)</f>
        <v>56837.730000000003</v>
      </c>
      <c r="BL250" s="17" t="s">
        <v>222</v>
      </c>
      <c r="BM250" s="223" t="s">
        <v>831</v>
      </c>
    </row>
    <row r="251" s="13" customFormat="1">
      <c r="A251" s="13"/>
      <c r="B251" s="225"/>
      <c r="C251" s="226"/>
      <c r="D251" s="227" t="s">
        <v>149</v>
      </c>
      <c r="E251" s="228" t="s">
        <v>1</v>
      </c>
      <c r="F251" s="229" t="s">
        <v>816</v>
      </c>
      <c r="G251" s="226"/>
      <c r="H251" s="230">
        <v>96.942999999999998</v>
      </c>
      <c r="I251" s="226"/>
      <c r="J251" s="226"/>
      <c r="K251" s="226"/>
      <c r="L251" s="231"/>
      <c r="M251" s="232"/>
      <c r="N251" s="233"/>
      <c r="O251" s="233"/>
      <c r="P251" s="233"/>
      <c r="Q251" s="233"/>
      <c r="R251" s="233"/>
      <c r="S251" s="233"/>
      <c r="T251" s="234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35" t="s">
        <v>149</v>
      </c>
      <c r="AU251" s="235" t="s">
        <v>83</v>
      </c>
      <c r="AV251" s="13" t="s">
        <v>83</v>
      </c>
      <c r="AW251" s="13" t="s">
        <v>32</v>
      </c>
      <c r="AX251" s="13" t="s">
        <v>19</v>
      </c>
      <c r="AY251" s="235" t="s">
        <v>142</v>
      </c>
    </row>
    <row r="252" s="13" customFormat="1">
      <c r="A252" s="13"/>
      <c r="B252" s="225"/>
      <c r="C252" s="226"/>
      <c r="D252" s="227" t="s">
        <v>149</v>
      </c>
      <c r="E252" s="226"/>
      <c r="F252" s="229" t="s">
        <v>832</v>
      </c>
      <c r="G252" s="226"/>
      <c r="H252" s="230">
        <v>126.026</v>
      </c>
      <c r="I252" s="226"/>
      <c r="J252" s="226"/>
      <c r="K252" s="226"/>
      <c r="L252" s="231"/>
      <c r="M252" s="232"/>
      <c r="N252" s="233"/>
      <c r="O252" s="233"/>
      <c r="P252" s="233"/>
      <c r="Q252" s="233"/>
      <c r="R252" s="233"/>
      <c r="S252" s="233"/>
      <c r="T252" s="234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35" t="s">
        <v>149</v>
      </c>
      <c r="AU252" s="235" t="s">
        <v>83</v>
      </c>
      <c r="AV252" s="13" t="s">
        <v>83</v>
      </c>
      <c r="AW252" s="13" t="s">
        <v>4</v>
      </c>
      <c r="AX252" s="13" t="s">
        <v>19</v>
      </c>
      <c r="AY252" s="235" t="s">
        <v>142</v>
      </c>
    </row>
    <row r="253" s="2" customFormat="1" ht="37.8" customHeight="1">
      <c r="A253" s="32"/>
      <c r="B253" s="33"/>
      <c r="C253" s="212" t="s">
        <v>415</v>
      </c>
      <c r="D253" s="212" t="s">
        <v>144</v>
      </c>
      <c r="E253" s="213" t="s">
        <v>615</v>
      </c>
      <c r="F253" s="214" t="s">
        <v>616</v>
      </c>
      <c r="G253" s="215" t="s">
        <v>96</v>
      </c>
      <c r="H253" s="216">
        <v>96.942999999999998</v>
      </c>
      <c r="I253" s="217">
        <v>82.5</v>
      </c>
      <c r="J253" s="217">
        <f>ROUND(I253*H253,2)</f>
        <v>7997.8000000000002</v>
      </c>
      <c r="K253" s="218"/>
      <c r="L253" s="38"/>
      <c r="M253" s="219" t="s">
        <v>1</v>
      </c>
      <c r="N253" s="220" t="s">
        <v>39</v>
      </c>
      <c r="O253" s="221">
        <v>0.10000000000000001</v>
      </c>
      <c r="P253" s="221">
        <f>O253*H253</f>
        <v>9.6943000000000001</v>
      </c>
      <c r="Q253" s="221">
        <v>1.0000000000000001E-05</v>
      </c>
      <c r="R253" s="221">
        <f>Q253*H253</f>
        <v>0.00096943000000000007</v>
      </c>
      <c r="S253" s="221">
        <v>0</v>
      </c>
      <c r="T253" s="222">
        <f>S253*H253</f>
        <v>0</v>
      </c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R253" s="223" t="s">
        <v>222</v>
      </c>
      <c r="AT253" s="223" t="s">
        <v>144</v>
      </c>
      <c r="AU253" s="223" t="s">
        <v>83</v>
      </c>
      <c r="AY253" s="17" t="s">
        <v>142</v>
      </c>
      <c r="BE253" s="224">
        <f>IF(N253="základní",J253,0)</f>
        <v>7997.8000000000002</v>
      </c>
      <c r="BF253" s="224">
        <f>IF(N253="snížená",J253,0)</f>
        <v>0</v>
      </c>
      <c r="BG253" s="224">
        <f>IF(N253="zákl. přenesená",J253,0)</f>
        <v>0</v>
      </c>
      <c r="BH253" s="224">
        <f>IF(N253="sníž. přenesená",J253,0)</f>
        <v>0</v>
      </c>
      <c r="BI253" s="224">
        <f>IF(N253="nulová",J253,0)</f>
        <v>0</v>
      </c>
      <c r="BJ253" s="17" t="s">
        <v>19</v>
      </c>
      <c r="BK253" s="224">
        <f>ROUND(I253*H253,2)</f>
        <v>7997.8000000000002</v>
      </c>
      <c r="BL253" s="17" t="s">
        <v>222</v>
      </c>
      <c r="BM253" s="223" t="s">
        <v>833</v>
      </c>
    </row>
    <row r="254" s="13" customFormat="1">
      <c r="A254" s="13"/>
      <c r="B254" s="225"/>
      <c r="C254" s="226"/>
      <c r="D254" s="227" t="s">
        <v>149</v>
      </c>
      <c r="E254" s="228" t="s">
        <v>1</v>
      </c>
      <c r="F254" s="229" t="s">
        <v>822</v>
      </c>
      <c r="G254" s="226"/>
      <c r="H254" s="230">
        <v>96.94344696178733</v>
      </c>
      <c r="I254" s="226"/>
      <c r="J254" s="226"/>
      <c r="K254" s="226"/>
      <c r="L254" s="231"/>
      <c r="M254" s="232"/>
      <c r="N254" s="233"/>
      <c r="O254" s="233"/>
      <c r="P254" s="233"/>
      <c r="Q254" s="233"/>
      <c r="R254" s="233"/>
      <c r="S254" s="233"/>
      <c r="T254" s="234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35" t="s">
        <v>149</v>
      </c>
      <c r="AU254" s="235" t="s">
        <v>83</v>
      </c>
      <c r="AV254" s="13" t="s">
        <v>83</v>
      </c>
      <c r="AW254" s="13" t="s">
        <v>32</v>
      </c>
      <c r="AX254" s="13" t="s">
        <v>19</v>
      </c>
      <c r="AY254" s="235" t="s">
        <v>142</v>
      </c>
    </row>
    <row r="255" s="2" customFormat="1" ht="37.8" customHeight="1">
      <c r="A255" s="32"/>
      <c r="B255" s="33"/>
      <c r="C255" s="258" t="s">
        <v>420</v>
      </c>
      <c r="D255" s="258" t="s">
        <v>475</v>
      </c>
      <c r="E255" s="259" t="s">
        <v>619</v>
      </c>
      <c r="F255" s="260" t="s">
        <v>620</v>
      </c>
      <c r="G255" s="261" t="s">
        <v>96</v>
      </c>
      <c r="H255" s="262">
        <v>106.637</v>
      </c>
      <c r="I255" s="263">
        <v>56.700000000000003</v>
      </c>
      <c r="J255" s="263">
        <f>ROUND(I255*H255,2)</f>
        <v>6046.3199999999997</v>
      </c>
      <c r="K255" s="264"/>
      <c r="L255" s="265"/>
      <c r="M255" s="266" t="s">
        <v>1</v>
      </c>
      <c r="N255" s="267" t="s">
        <v>39</v>
      </c>
      <c r="O255" s="221">
        <v>0</v>
      </c>
      <c r="P255" s="221">
        <f>O255*H255</f>
        <v>0</v>
      </c>
      <c r="Q255" s="221">
        <v>0.00014999999999999999</v>
      </c>
      <c r="R255" s="221">
        <f>Q255*H255</f>
        <v>0.015995549999999997</v>
      </c>
      <c r="S255" s="221">
        <v>0</v>
      </c>
      <c r="T255" s="222">
        <f>S255*H255</f>
        <v>0</v>
      </c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R255" s="223" t="s">
        <v>241</v>
      </c>
      <c r="AT255" s="223" t="s">
        <v>475</v>
      </c>
      <c r="AU255" s="223" t="s">
        <v>83</v>
      </c>
      <c r="AY255" s="17" t="s">
        <v>142</v>
      </c>
      <c r="BE255" s="224">
        <f>IF(N255="základní",J255,0)</f>
        <v>6046.3199999999997</v>
      </c>
      <c r="BF255" s="224">
        <f>IF(N255="snížená",J255,0)</f>
        <v>0</v>
      </c>
      <c r="BG255" s="224">
        <f>IF(N255="zákl. přenesená",J255,0)</f>
        <v>0</v>
      </c>
      <c r="BH255" s="224">
        <f>IF(N255="sníž. přenesená",J255,0)</f>
        <v>0</v>
      </c>
      <c r="BI255" s="224">
        <f>IF(N255="nulová",J255,0)</f>
        <v>0</v>
      </c>
      <c r="BJ255" s="17" t="s">
        <v>19</v>
      </c>
      <c r="BK255" s="224">
        <f>ROUND(I255*H255,2)</f>
        <v>6046.3199999999997</v>
      </c>
      <c r="BL255" s="17" t="s">
        <v>222</v>
      </c>
      <c r="BM255" s="223" t="s">
        <v>834</v>
      </c>
    </row>
    <row r="256" s="13" customFormat="1">
      <c r="A256" s="13"/>
      <c r="B256" s="225"/>
      <c r="C256" s="226"/>
      <c r="D256" s="227" t="s">
        <v>149</v>
      </c>
      <c r="E256" s="228" t="s">
        <v>1</v>
      </c>
      <c r="F256" s="229" t="s">
        <v>816</v>
      </c>
      <c r="G256" s="226"/>
      <c r="H256" s="230">
        <v>96.942999999999998</v>
      </c>
      <c r="I256" s="226"/>
      <c r="J256" s="226"/>
      <c r="K256" s="226"/>
      <c r="L256" s="231"/>
      <c r="M256" s="232"/>
      <c r="N256" s="233"/>
      <c r="O256" s="233"/>
      <c r="P256" s="233"/>
      <c r="Q256" s="233"/>
      <c r="R256" s="233"/>
      <c r="S256" s="233"/>
      <c r="T256" s="234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T256" s="235" t="s">
        <v>149</v>
      </c>
      <c r="AU256" s="235" t="s">
        <v>83</v>
      </c>
      <c r="AV256" s="13" t="s">
        <v>83</v>
      </c>
      <c r="AW256" s="13" t="s">
        <v>32</v>
      </c>
      <c r="AX256" s="13" t="s">
        <v>19</v>
      </c>
      <c r="AY256" s="235" t="s">
        <v>142</v>
      </c>
    </row>
    <row r="257" s="13" customFormat="1">
      <c r="A257" s="13"/>
      <c r="B257" s="225"/>
      <c r="C257" s="226"/>
      <c r="D257" s="227" t="s">
        <v>149</v>
      </c>
      <c r="E257" s="226"/>
      <c r="F257" s="229" t="s">
        <v>835</v>
      </c>
      <c r="G257" s="226"/>
      <c r="H257" s="230">
        <v>106.637</v>
      </c>
      <c r="I257" s="226"/>
      <c r="J257" s="226"/>
      <c r="K257" s="226"/>
      <c r="L257" s="231"/>
      <c r="M257" s="232"/>
      <c r="N257" s="233"/>
      <c r="O257" s="233"/>
      <c r="P257" s="233"/>
      <c r="Q257" s="233"/>
      <c r="R257" s="233"/>
      <c r="S257" s="233"/>
      <c r="T257" s="234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T257" s="235" t="s">
        <v>149</v>
      </c>
      <c r="AU257" s="235" t="s">
        <v>83</v>
      </c>
      <c r="AV257" s="13" t="s">
        <v>83</v>
      </c>
      <c r="AW257" s="13" t="s">
        <v>4</v>
      </c>
      <c r="AX257" s="13" t="s">
        <v>19</v>
      </c>
      <c r="AY257" s="235" t="s">
        <v>142</v>
      </c>
    </row>
    <row r="258" s="12" customFormat="1" ht="22.8" customHeight="1">
      <c r="A258" s="12"/>
      <c r="B258" s="197"/>
      <c r="C258" s="198"/>
      <c r="D258" s="199" t="s">
        <v>73</v>
      </c>
      <c r="E258" s="210" t="s">
        <v>623</v>
      </c>
      <c r="F258" s="210" t="s">
        <v>624</v>
      </c>
      <c r="G258" s="198"/>
      <c r="H258" s="198"/>
      <c r="I258" s="198"/>
      <c r="J258" s="211">
        <f>BK258</f>
        <v>209785.20000000001</v>
      </c>
      <c r="K258" s="198"/>
      <c r="L258" s="202"/>
      <c r="M258" s="203"/>
      <c r="N258" s="204"/>
      <c r="O258" s="204"/>
      <c r="P258" s="205">
        <f>SUM(P259:P271)</f>
        <v>46.601200000000006</v>
      </c>
      <c r="Q258" s="204"/>
      <c r="R258" s="205">
        <f>SUM(R259:R271)</f>
        <v>0.70662240000000009</v>
      </c>
      <c r="S258" s="204"/>
      <c r="T258" s="206">
        <f>SUM(T259:T271)</f>
        <v>0</v>
      </c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R258" s="207" t="s">
        <v>83</v>
      </c>
      <c r="AT258" s="208" t="s">
        <v>73</v>
      </c>
      <c r="AU258" s="208" t="s">
        <v>19</v>
      </c>
      <c r="AY258" s="207" t="s">
        <v>142</v>
      </c>
      <c r="BK258" s="209">
        <f>SUM(BK259:BK271)</f>
        <v>209785.20000000001</v>
      </c>
    </row>
    <row r="259" s="2" customFormat="1" ht="24.15" customHeight="1">
      <c r="A259" s="32"/>
      <c r="B259" s="33"/>
      <c r="C259" s="212" t="s">
        <v>429</v>
      </c>
      <c r="D259" s="212" t="s">
        <v>144</v>
      </c>
      <c r="E259" s="213" t="s">
        <v>635</v>
      </c>
      <c r="F259" s="214" t="s">
        <v>636</v>
      </c>
      <c r="G259" s="215" t="s">
        <v>96</v>
      </c>
      <c r="H259" s="216">
        <v>10.4</v>
      </c>
      <c r="I259" s="217">
        <v>753</v>
      </c>
      <c r="J259" s="217">
        <f>ROUND(I259*H259,2)</f>
        <v>7831.1999999999998</v>
      </c>
      <c r="K259" s="218"/>
      <c r="L259" s="38"/>
      <c r="M259" s="219" t="s">
        <v>1</v>
      </c>
      <c r="N259" s="220" t="s">
        <v>39</v>
      </c>
      <c r="O259" s="221">
        <v>1.298</v>
      </c>
      <c r="P259" s="221">
        <f>O259*H259</f>
        <v>13.4992</v>
      </c>
      <c r="Q259" s="221">
        <v>0.00025000000000000001</v>
      </c>
      <c r="R259" s="221">
        <f>Q259*H259</f>
        <v>0.0026000000000000003</v>
      </c>
      <c r="S259" s="221">
        <v>0</v>
      </c>
      <c r="T259" s="222">
        <f>S259*H259</f>
        <v>0</v>
      </c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R259" s="223" t="s">
        <v>222</v>
      </c>
      <c r="AT259" s="223" t="s">
        <v>144</v>
      </c>
      <c r="AU259" s="223" t="s">
        <v>83</v>
      </c>
      <c r="AY259" s="17" t="s">
        <v>142</v>
      </c>
      <c r="BE259" s="224">
        <f>IF(N259="základní",J259,0)</f>
        <v>7831.1999999999998</v>
      </c>
      <c r="BF259" s="224">
        <f>IF(N259="snížená",J259,0)</f>
        <v>0</v>
      </c>
      <c r="BG259" s="224">
        <f>IF(N259="zákl. přenesená",J259,0)</f>
        <v>0</v>
      </c>
      <c r="BH259" s="224">
        <f>IF(N259="sníž. přenesená",J259,0)</f>
        <v>0</v>
      </c>
      <c r="BI259" s="224">
        <f>IF(N259="nulová",J259,0)</f>
        <v>0</v>
      </c>
      <c r="BJ259" s="17" t="s">
        <v>19</v>
      </c>
      <c r="BK259" s="224">
        <f>ROUND(I259*H259,2)</f>
        <v>7831.1999999999998</v>
      </c>
      <c r="BL259" s="17" t="s">
        <v>222</v>
      </c>
      <c r="BM259" s="223" t="s">
        <v>836</v>
      </c>
    </row>
    <row r="260" s="13" customFormat="1">
      <c r="A260" s="13"/>
      <c r="B260" s="225"/>
      <c r="C260" s="226"/>
      <c r="D260" s="227" t="s">
        <v>149</v>
      </c>
      <c r="E260" s="228" t="s">
        <v>1</v>
      </c>
      <c r="F260" s="229" t="s">
        <v>837</v>
      </c>
      <c r="G260" s="226"/>
      <c r="H260" s="230">
        <v>10.4</v>
      </c>
      <c r="I260" s="226"/>
      <c r="J260" s="226"/>
      <c r="K260" s="226"/>
      <c r="L260" s="231"/>
      <c r="M260" s="232"/>
      <c r="N260" s="233"/>
      <c r="O260" s="233"/>
      <c r="P260" s="233"/>
      <c r="Q260" s="233"/>
      <c r="R260" s="233"/>
      <c r="S260" s="233"/>
      <c r="T260" s="23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35" t="s">
        <v>149</v>
      </c>
      <c r="AU260" s="235" t="s">
        <v>83</v>
      </c>
      <c r="AV260" s="13" t="s">
        <v>83</v>
      </c>
      <c r="AW260" s="13" t="s">
        <v>32</v>
      </c>
      <c r="AX260" s="13" t="s">
        <v>19</v>
      </c>
      <c r="AY260" s="235" t="s">
        <v>142</v>
      </c>
    </row>
    <row r="261" s="2" customFormat="1" ht="24.15" customHeight="1">
      <c r="A261" s="32"/>
      <c r="B261" s="33"/>
      <c r="C261" s="258" t="s">
        <v>433</v>
      </c>
      <c r="D261" s="258" t="s">
        <v>475</v>
      </c>
      <c r="E261" s="259" t="s">
        <v>640</v>
      </c>
      <c r="F261" s="260" t="s">
        <v>641</v>
      </c>
      <c r="G261" s="261" t="s">
        <v>96</v>
      </c>
      <c r="H261" s="262">
        <v>10.4</v>
      </c>
      <c r="I261" s="263">
        <v>3440</v>
      </c>
      <c r="J261" s="263">
        <f>ROUND(I261*H261,2)</f>
        <v>35776</v>
      </c>
      <c r="K261" s="264"/>
      <c r="L261" s="265"/>
      <c r="M261" s="266" t="s">
        <v>1</v>
      </c>
      <c r="N261" s="267" t="s">
        <v>39</v>
      </c>
      <c r="O261" s="221">
        <v>0</v>
      </c>
      <c r="P261" s="221">
        <f>O261*H261</f>
        <v>0</v>
      </c>
      <c r="Q261" s="221">
        <v>0.034200000000000001</v>
      </c>
      <c r="R261" s="221">
        <f>Q261*H261</f>
        <v>0.35568000000000005</v>
      </c>
      <c r="S261" s="221">
        <v>0</v>
      </c>
      <c r="T261" s="222">
        <f>S261*H261</f>
        <v>0</v>
      </c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R261" s="223" t="s">
        <v>241</v>
      </c>
      <c r="AT261" s="223" t="s">
        <v>475</v>
      </c>
      <c r="AU261" s="223" t="s">
        <v>83</v>
      </c>
      <c r="AY261" s="17" t="s">
        <v>142</v>
      </c>
      <c r="BE261" s="224">
        <f>IF(N261="základní",J261,0)</f>
        <v>35776</v>
      </c>
      <c r="BF261" s="224">
        <f>IF(N261="snížená",J261,0)</f>
        <v>0</v>
      </c>
      <c r="BG261" s="224">
        <f>IF(N261="zákl. přenesená",J261,0)</f>
        <v>0</v>
      </c>
      <c r="BH261" s="224">
        <f>IF(N261="sníž. přenesená",J261,0)</f>
        <v>0</v>
      </c>
      <c r="BI261" s="224">
        <f>IF(N261="nulová",J261,0)</f>
        <v>0</v>
      </c>
      <c r="BJ261" s="17" t="s">
        <v>19</v>
      </c>
      <c r="BK261" s="224">
        <f>ROUND(I261*H261,2)</f>
        <v>35776</v>
      </c>
      <c r="BL261" s="17" t="s">
        <v>222</v>
      </c>
      <c r="BM261" s="223" t="s">
        <v>838</v>
      </c>
    </row>
    <row r="262" s="13" customFormat="1">
      <c r="A262" s="13"/>
      <c r="B262" s="225"/>
      <c r="C262" s="226"/>
      <c r="D262" s="227" t="s">
        <v>149</v>
      </c>
      <c r="E262" s="228" t="s">
        <v>1</v>
      </c>
      <c r="F262" s="229" t="s">
        <v>839</v>
      </c>
      <c r="G262" s="226"/>
      <c r="H262" s="230">
        <v>10.4</v>
      </c>
      <c r="I262" s="226"/>
      <c r="J262" s="226"/>
      <c r="K262" s="226"/>
      <c r="L262" s="231"/>
      <c r="M262" s="232"/>
      <c r="N262" s="233"/>
      <c r="O262" s="233"/>
      <c r="P262" s="233"/>
      <c r="Q262" s="233"/>
      <c r="R262" s="233"/>
      <c r="S262" s="233"/>
      <c r="T262" s="234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35" t="s">
        <v>149</v>
      </c>
      <c r="AU262" s="235" t="s">
        <v>83</v>
      </c>
      <c r="AV262" s="13" t="s">
        <v>83</v>
      </c>
      <c r="AW262" s="13" t="s">
        <v>32</v>
      </c>
      <c r="AX262" s="13" t="s">
        <v>19</v>
      </c>
      <c r="AY262" s="235" t="s">
        <v>142</v>
      </c>
    </row>
    <row r="263" s="2" customFormat="1" ht="24.15" customHeight="1">
      <c r="A263" s="32"/>
      <c r="B263" s="33"/>
      <c r="C263" s="212" t="s">
        <v>437</v>
      </c>
      <c r="D263" s="212" t="s">
        <v>144</v>
      </c>
      <c r="E263" s="213" t="s">
        <v>678</v>
      </c>
      <c r="F263" s="214" t="s">
        <v>679</v>
      </c>
      <c r="G263" s="215" t="s">
        <v>284</v>
      </c>
      <c r="H263" s="216">
        <v>1</v>
      </c>
      <c r="I263" s="217">
        <v>1050</v>
      </c>
      <c r="J263" s="217">
        <f>ROUND(I263*H263,2)</f>
        <v>1050</v>
      </c>
      <c r="K263" s="218"/>
      <c r="L263" s="38"/>
      <c r="M263" s="219" t="s">
        <v>1</v>
      </c>
      <c r="N263" s="220" t="s">
        <v>39</v>
      </c>
      <c r="O263" s="221">
        <v>1.825</v>
      </c>
      <c r="P263" s="221">
        <f>O263*H263</f>
        <v>1.825</v>
      </c>
      <c r="Q263" s="221">
        <v>0</v>
      </c>
      <c r="R263" s="221">
        <f>Q263*H263</f>
        <v>0</v>
      </c>
      <c r="S263" s="221">
        <v>0</v>
      </c>
      <c r="T263" s="222">
        <f>S263*H263</f>
        <v>0</v>
      </c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R263" s="223" t="s">
        <v>222</v>
      </c>
      <c r="AT263" s="223" t="s">
        <v>144</v>
      </c>
      <c r="AU263" s="223" t="s">
        <v>83</v>
      </c>
      <c r="AY263" s="17" t="s">
        <v>142</v>
      </c>
      <c r="BE263" s="224">
        <f>IF(N263="základní",J263,0)</f>
        <v>1050</v>
      </c>
      <c r="BF263" s="224">
        <f>IF(N263="snížená",J263,0)</f>
        <v>0</v>
      </c>
      <c r="BG263" s="224">
        <f>IF(N263="zákl. přenesená",J263,0)</f>
        <v>0</v>
      </c>
      <c r="BH263" s="224">
        <f>IF(N263="sníž. přenesená",J263,0)</f>
        <v>0</v>
      </c>
      <c r="BI263" s="224">
        <f>IF(N263="nulová",J263,0)</f>
        <v>0</v>
      </c>
      <c r="BJ263" s="17" t="s">
        <v>19</v>
      </c>
      <c r="BK263" s="224">
        <f>ROUND(I263*H263,2)</f>
        <v>1050</v>
      </c>
      <c r="BL263" s="17" t="s">
        <v>222</v>
      </c>
      <c r="BM263" s="223" t="s">
        <v>840</v>
      </c>
    </row>
    <row r="264" s="2" customFormat="1" ht="24.15" customHeight="1">
      <c r="A264" s="32"/>
      <c r="B264" s="33"/>
      <c r="C264" s="258" t="s">
        <v>444</v>
      </c>
      <c r="D264" s="258" t="s">
        <v>475</v>
      </c>
      <c r="E264" s="259" t="s">
        <v>841</v>
      </c>
      <c r="F264" s="260" t="s">
        <v>842</v>
      </c>
      <c r="G264" s="261" t="s">
        <v>284</v>
      </c>
      <c r="H264" s="262">
        <v>1</v>
      </c>
      <c r="I264" s="263">
        <v>3920</v>
      </c>
      <c r="J264" s="263">
        <f>ROUND(I264*H264,2)</f>
        <v>3920</v>
      </c>
      <c r="K264" s="264"/>
      <c r="L264" s="265"/>
      <c r="M264" s="266" t="s">
        <v>1</v>
      </c>
      <c r="N264" s="267" t="s">
        <v>39</v>
      </c>
      <c r="O264" s="221">
        <v>0</v>
      </c>
      <c r="P264" s="221">
        <f>O264*H264</f>
        <v>0</v>
      </c>
      <c r="Q264" s="221">
        <v>0.022499999999999999</v>
      </c>
      <c r="R264" s="221">
        <f>Q264*H264</f>
        <v>0.022499999999999999</v>
      </c>
      <c r="S264" s="221">
        <v>0</v>
      </c>
      <c r="T264" s="222">
        <f>S264*H264</f>
        <v>0</v>
      </c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R264" s="223" t="s">
        <v>241</v>
      </c>
      <c r="AT264" s="223" t="s">
        <v>475</v>
      </c>
      <c r="AU264" s="223" t="s">
        <v>83</v>
      </c>
      <c r="AY264" s="17" t="s">
        <v>142</v>
      </c>
      <c r="BE264" s="224">
        <f>IF(N264="základní",J264,0)</f>
        <v>3920</v>
      </c>
      <c r="BF264" s="224">
        <f>IF(N264="snížená",J264,0)</f>
        <v>0</v>
      </c>
      <c r="BG264" s="224">
        <f>IF(N264="zákl. přenesená",J264,0)</f>
        <v>0</v>
      </c>
      <c r="BH264" s="224">
        <f>IF(N264="sníž. přenesená",J264,0)</f>
        <v>0</v>
      </c>
      <c r="BI264" s="224">
        <f>IF(N264="nulová",J264,0)</f>
        <v>0</v>
      </c>
      <c r="BJ264" s="17" t="s">
        <v>19</v>
      </c>
      <c r="BK264" s="224">
        <f>ROUND(I264*H264,2)</f>
        <v>3920</v>
      </c>
      <c r="BL264" s="17" t="s">
        <v>222</v>
      </c>
      <c r="BM264" s="223" t="s">
        <v>843</v>
      </c>
    </row>
    <row r="265" s="2" customFormat="1" ht="24.15" customHeight="1">
      <c r="A265" s="32"/>
      <c r="B265" s="33"/>
      <c r="C265" s="212" t="s">
        <v>449</v>
      </c>
      <c r="D265" s="212" t="s">
        <v>144</v>
      </c>
      <c r="E265" s="213" t="s">
        <v>686</v>
      </c>
      <c r="F265" s="214" t="s">
        <v>687</v>
      </c>
      <c r="G265" s="215" t="s">
        <v>284</v>
      </c>
      <c r="H265" s="216">
        <v>2</v>
      </c>
      <c r="I265" s="217">
        <v>4160</v>
      </c>
      <c r="J265" s="217">
        <f>ROUND(I265*H265,2)</f>
        <v>8320</v>
      </c>
      <c r="K265" s="218"/>
      <c r="L265" s="38"/>
      <c r="M265" s="219" t="s">
        <v>1</v>
      </c>
      <c r="N265" s="220" t="s">
        <v>39</v>
      </c>
      <c r="O265" s="221">
        <v>7.3600000000000003</v>
      </c>
      <c r="P265" s="221">
        <f>O265*H265</f>
        <v>14.720000000000001</v>
      </c>
      <c r="Q265" s="221">
        <v>0.00087000000000000001</v>
      </c>
      <c r="R265" s="221">
        <f>Q265*H265</f>
        <v>0.00174</v>
      </c>
      <c r="S265" s="221">
        <v>0</v>
      </c>
      <c r="T265" s="222">
        <f>S265*H265</f>
        <v>0</v>
      </c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R265" s="223" t="s">
        <v>222</v>
      </c>
      <c r="AT265" s="223" t="s">
        <v>144</v>
      </c>
      <c r="AU265" s="223" t="s">
        <v>83</v>
      </c>
      <c r="AY265" s="17" t="s">
        <v>142</v>
      </c>
      <c r="BE265" s="224">
        <f>IF(N265="základní",J265,0)</f>
        <v>8320</v>
      </c>
      <c r="BF265" s="224">
        <f>IF(N265="snížená",J265,0)</f>
        <v>0</v>
      </c>
      <c r="BG265" s="224">
        <f>IF(N265="zákl. přenesená",J265,0)</f>
        <v>0</v>
      </c>
      <c r="BH265" s="224">
        <f>IF(N265="sníž. přenesená",J265,0)</f>
        <v>0</v>
      </c>
      <c r="BI265" s="224">
        <f>IF(N265="nulová",J265,0)</f>
        <v>0</v>
      </c>
      <c r="BJ265" s="17" t="s">
        <v>19</v>
      </c>
      <c r="BK265" s="224">
        <f>ROUND(I265*H265,2)</f>
        <v>8320</v>
      </c>
      <c r="BL265" s="17" t="s">
        <v>222</v>
      </c>
      <c r="BM265" s="223" t="s">
        <v>844</v>
      </c>
    </row>
    <row r="266" s="2" customFormat="1" ht="24.15" customHeight="1">
      <c r="A266" s="32"/>
      <c r="B266" s="33"/>
      <c r="C266" s="258" t="s">
        <v>454</v>
      </c>
      <c r="D266" s="258" t="s">
        <v>475</v>
      </c>
      <c r="E266" s="259" t="s">
        <v>690</v>
      </c>
      <c r="F266" s="260" t="s">
        <v>691</v>
      </c>
      <c r="G266" s="261" t="s">
        <v>96</v>
      </c>
      <c r="H266" s="262">
        <v>7.96</v>
      </c>
      <c r="I266" s="263">
        <v>10800</v>
      </c>
      <c r="J266" s="263">
        <f>ROUND(I266*H266,2)</f>
        <v>85968</v>
      </c>
      <c r="K266" s="264"/>
      <c r="L266" s="265"/>
      <c r="M266" s="266" t="s">
        <v>1</v>
      </c>
      <c r="N266" s="267" t="s">
        <v>39</v>
      </c>
      <c r="O266" s="221">
        <v>0</v>
      </c>
      <c r="P266" s="221">
        <f>O266*H266</f>
        <v>0</v>
      </c>
      <c r="Q266" s="221">
        <v>0.025440000000000001</v>
      </c>
      <c r="R266" s="221">
        <f>Q266*H266</f>
        <v>0.2025024</v>
      </c>
      <c r="S266" s="221">
        <v>0</v>
      </c>
      <c r="T266" s="222">
        <f>S266*H266</f>
        <v>0</v>
      </c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R266" s="223" t="s">
        <v>241</v>
      </c>
      <c r="AT266" s="223" t="s">
        <v>475</v>
      </c>
      <c r="AU266" s="223" t="s">
        <v>83</v>
      </c>
      <c r="AY266" s="17" t="s">
        <v>142</v>
      </c>
      <c r="BE266" s="224">
        <f>IF(N266="základní",J266,0)</f>
        <v>85968</v>
      </c>
      <c r="BF266" s="224">
        <f>IF(N266="snížená",J266,0)</f>
        <v>0</v>
      </c>
      <c r="BG266" s="224">
        <f>IF(N266="zákl. přenesená",J266,0)</f>
        <v>0</v>
      </c>
      <c r="BH266" s="224">
        <f>IF(N266="sníž. přenesená",J266,0)</f>
        <v>0</v>
      </c>
      <c r="BI266" s="224">
        <f>IF(N266="nulová",J266,0)</f>
        <v>0</v>
      </c>
      <c r="BJ266" s="17" t="s">
        <v>19</v>
      </c>
      <c r="BK266" s="224">
        <f>ROUND(I266*H266,2)</f>
        <v>85968</v>
      </c>
      <c r="BL266" s="17" t="s">
        <v>222</v>
      </c>
      <c r="BM266" s="223" t="s">
        <v>845</v>
      </c>
    </row>
    <row r="267" s="13" customFormat="1">
      <c r="A267" s="13"/>
      <c r="B267" s="225"/>
      <c r="C267" s="226"/>
      <c r="D267" s="227" t="s">
        <v>149</v>
      </c>
      <c r="E267" s="228" t="s">
        <v>1</v>
      </c>
      <c r="F267" s="229" t="s">
        <v>846</v>
      </c>
      <c r="G267" s="226"/>
      <c r="H267" s="230">
        <v>4.4219999999999988</v>
      </c>
      <c r="I267" s="226"/>
      <c r="J267" s="226"/>
      <c r="K267" s="226"/>
      <c r="L267" s="231"/>
      <c r="M267" s="232"/>
      <c r="N267" s="233"/>
      <c r="O267" s="233"/>
      <c r="P267" s="233"/>
      <c r="Q267" s="233"/>
      <c r="R267" s="233"/>
      <c r="S267" s="233"/>
      <c r="T267" s="234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35" t="s">
        <v>149</v>
      </c>
      <c r="AU267" s="235" t="s">
        <v>83</v>
      </c>
      <c r="AV267" s="13" t="s">
        <v>83</v>
      </c>
      <c r="AW267" s="13" t="s">
        <v>32</v>
      </c>
      <c r="AX267" s="13" t="s">
        <v>19</v>
      </c>
      <c r="AY267" s="235" t="s">
        <v>142</v>
      </c>
    </row>
    <row r="268" s="13" customFormat="1">
      <c r="A268" s="13"/>
      <c r="B268" s="225"/>
      <c r="C268" s="226"/>
      <c r="D268" s="227" t="s">
        <v>149</v>
      </c>
      <c r="E268" s="226"/>
      <c r="F268" s="229" t="s">
        <v>847</v>
      </c>
      <c r="G268" s="226"/>
      <c r="H268" s="230">
        <v>7.96</v>
      </c>
      <c r="I268" s="226"/>
      <c r="J268" s="226"/>
      <c r="K268" s="226"/>
      <c r="L268" s="231"/>
      <c r="M268" s="232"/>
      <c r="N268" s="233"/>
      <c r="O268" s="233"/>
      <c r="P268" s="233"/>
      <c r="Q268" s="233"/>
      <c r="R268" s="233"/>
      <c r="S268" s="233"/>
      <c r="T268" s="234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35" t="s">
        <v>149</v>
      </c>
      <c r="AU268" s="235" t="s">
        <v>83</v>
      </c>
      <c r="AV268" s="13" t="s">
        <v>83</v>
      </c>
      <c r="AW268" s="13" t="s">
        <v>4</v>
      </c>
      <c r="AX268" s="13" t="s">
        <v>19</v>
      </c>
      <c r="AY268" s="235" t="s">
        <v>142</v>
      </c>
    </row>
    <row r="269" s="2" customFormat="1" ht="24.15" customHeight="1">
      <c r="A269" s="32"/>
      <c r="B269" s="33"/>
      <c r="C269" s="212" t="s">
        <v>458</v>
      </c>
      <c r="D269" s="212" t="s">
        <v>144</v>
      </c>
      <c r="E269" s="213" t="s">
        <v>848</v>
      </c>
      <c r="F269" s="214" t="s">
        <v>849</v>
      </c>
      <c r="G269" s="215" t="s">
        <v>284</v>
      </c>
      <c r="H269" s="216">
        <v>1</v>
      </c>
      <c r="I269" s="217">
        <v>1520</v>
      </c>
      <c r="J269" s="217">
        <f>ROUND(I269*H269,2)</f>
        <v>1520</v>
      </c>
      <c r="K269" s="218"/>
      <c r="L269" s="38"/>
      <c r="M269" s="219" t="s">
        <v>1</v>
      </c>
      <c r="N269" s="220" t="s">
        <v>39</v>
      </c>
      <c r="O269" s="221">
        <v>2.8050000000000002</v>
      </c>
      <c r="P269" s="221">
        <f>O269*H269</f>
        <v>2.8050000000000002</v>
      </c>
      <c r="Q269" s="221">
        <v>0</v>
      </c>
      <c r="R269" s="221">
        <f>Q269*H269</f>
        <v>0</v>
      </c>
      <c r="S269" s="221">
        <v>0</v>
      </c>
      <c r="T269" s="222">
        <f>S269*H269</f>
        <v>0</v>
      </c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R269" s="223" t="s">
        <v>222</v>
      </c>
      <c r="AT269" s="223" t="s">
        <v>144</v>
      </c>
      <c r="AU269" s="223" t="s">
        <v>83</v>
      </c>
      <c r="AY269" s="17" t="s">
        <v>142</v>
      </c>
      <c r="BE269" s="224">
        <f>IF(N269="základní",J269,0)</f>
        <v>1520</v>
      </c>
      <c r="BF269" s="224">
        <f>IF(N269="snížená",J269,0)</f>
        <v>0</v>
      </c>
      <c r="BG269" s="224">
        <f>IF(N269="zákl. přenesená",J269,0)</f>
        <v>0</v>
      </c>
      <c r="BH269" s="224">
        <f>IF(N269="sníž. přenesená",J269,0)</f>
        <v>0</v>
      </c>
      <c r="BI269" s="224">
        <f>IF(N269="nulová",J269,0)</f>
        <v>0</v>
      </c>
      <c r="BJ269" s="17" t="s">
        <v>19</v>
      </c>
      <c r="BK269" s="224">
        <f>ROUND(I269*H269,2)</f>
        <v>1520</v>
      </c>
      <c r="BL269" s="17" t="s">
        <v>222</v>
      </c>
      <c r="BM269" s="223" t="s">
        <v>850</v>
      </c>
    </row>
    <row r="270" s="2" customFormat="1" ht="24.15" customHeight="1">
      <c r="A270" s="32"/>
      <c r="B270" s="33"/>
      <c r="C270" s="258" t="s">
        <v>463</v>
      </c>
      <c r="D270" s="258" t="s">
        <v>475</v>
      </c>
      <c r="E270" s="259" t="s">
        <v>851</v>
      </c>
      <c r="F270" s="260" t="s">
        <v>852</v>
      </c>
      <c r="G270" s="261" t="s">
        <v>284</v>
      </c>
      <c r="H270" s="262">
        <v>1</v>
      </c>
      <c r="I270" s="263">
        <v>31000</v>
      </c>
      <c r="J270" s="263">
        <f>ROUND(I270*H270,2)</f>
        <v>31000</v>
      </c>
      <c r="K270" s="264"/>
      <c r="L270" s="265"/>
      <c r="M270" s="266" t="s">
        <v>1</v>
      </c>
      <c r="N270" s="267" t="s">
        <v>39</v>
      </c>
      <c r="O270" s="221">
        <v>0</v>
      </c>
      <c r="P270" s="221">
        <f>O270*H270</f>
        <v>0</v>
      </c>
      <c r="Q270" s="221">
        <v>0.11799999999999999</v>
      </c>
      <c r="R270" s="221">
        <f>Q270*H270</f>
        <v>0.11799999999999999</v>
      </c>
      <c r="S270" s="221">
        <v>0</v>
      </c>
      <c r="T270" s="222">
        <f>S270*H270</f>
        <v>0</v>
      </c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R270" s="223" t="s">
        <v>241</v>
      </c>
      <c r="AT270" s="223" t="s">
        <v>475</v>
      </c>
      <c r="AU270" s="223" t="s">
        <v>83</v>
      </c>
      <c r="AY270" s="17" t="s">
        <v>142</v>
      </c>
      <c r="BE270" s="224">
        <f>IF(N270="základní",J270,0)</f>
        <v>31000</v>
      </c>
      <c r="BF270" s="224">
        <f>IF(N270="snížená",J270,0)</f>
        <v>0</v>
      </c>
      <c r="BG270" s="224">
        <f>IF(N270="zákl. přenesená",J270,0)</f>
        <v>0</v>
      </c>
      <c r="BH270" s="224">
        <f>IF(N270="sníž. přenesená",J270,0)</f>
        <v>0</v>
      </c>
      <c r="BI270" s="224">
        <f>IF(N270="nulová",J270,0)</f>
        <v>0</v>
      </c>
      <c r="BJ270" s="17" t="s">
        <v>19</v>
      </c>
      <c r="BK270" s="224">
        <f>ROUND(I270*H270,2)</f>
        <v>31000</v>
      </c>
      <c r="BL270" s="17" t="s">
        <v>222</v>
      </c>
      <c r="BM270" s="223" t="s">
        <v>853</v>
      </c>
    </row>
    <row r="271" s="2" customFormat="1" ht="33" customHeight="1">
      <c r="A271" s="32"/>
      <c r="B271" s="33"/>
      <c r="C271" s="212" t="s">
        <v>470</v>
      </c>
      <c r="D271" s="212" t="s">
        <v>144</v>
      </c>
      <c r="E271" s="213" t="s">
        <v>695</v>
      </c>
      <c r="F271" s="214" t="s">
        <v>696</v>
      </c>
      <c r="G271" s="215" t="s">
        <v>284</v>
      </c>
      <c r="H271" s="216">
        <v>4</v>
      </c>
      <c r="I271" s="217">
        <v>8600</v>
      </c>
      <c r="J271" s="217">
        <f>ROUND(I271*H271,2)</f>
        <v>34400</v>
      </c>
      <c r="K271" s="218"/>
      <c r="L271" s="38"/>
      <c r="M271" s="219" t="s">
        <v>1</v>
      </c>
      <c r="N271" s="220" t="s">
        <v>39</v>
      </c>
      <c r="O271" s="221">
        <v>3.4380000000000002</v>
      </c>
      <c r="P271" s="221">
        <f>O271*H271</f>
        <v>13.752000000000001</v>
      </c>
      <c r="Q271" s="221">
        <v>0.00089999999999999998</v>
      </c>
      <c r="R271" s="221">
        <f>Q271*H271</f>
        <v>0.0035999999999999999</v>
      </c>
      <c r="S271" s="221">
        <v>0</v>
      </c>
      <c r="T271" s="222">
        <f>S271*H271</f>
        <v>0</v>
      </c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R271" s="223" t="s">
        <v>222</v>
      </c>
      <c r="AT271" s="223" t="s">
        <v>144</v>
      </c>
      <c r="AU271" s="223" t="s">
        <v>83</v>
      </c>
      <c r="AY271" s="17" t="s">
        <v>142</v>
      </c>
      <c r="BE271" s="224">
        <f>IF(N271="základní",J271,0)</f>
        <v>34400</v>
      </c>
      <c r="BF271" s="224">
        <f>IF(N271="snížená",J271,0)</f>
        <v>0</v>
      </c>
      <c r="BG271" s="224">
        <f>IF(N271="zákl. přenesená",J271,0)</f>
        <v>0</v>
      </c>
      <c r="BH271" s="224">
        <f>IF(N271="sníž. přenesená",J271,0)</f>
        <v>0</v>
      </c>
      <c r="BI271" s="224">
        <f>IF(N271="nulová",J271,0)</f>
        <v>0</v>
      </c>
      <c r="BJ271" s="17" t="s">
        <v>19</v>
      </c>
      <c r="BK271" s="224">
        <f>ROUND(I271*H271,2)</f>
        <v>34400</v>
      </c>
      <c r="BL271" s="17" t="s">
        <v>222</v>
      </c>
      <c r="BM271" s="223" t="s">
        <v>854</v>
      </c>
    </row>
    <row r="272" s="12" customFormat="1" ht="22.8" customHeight="1">
      <c r="A272" s="12"/>
      <c r="B272" s="197"/>
      <c r="C272" s="198"/>
      <c r="D272" s="199" t="s">
        <v>73</v>
      </c>
      <c r="E272" s="210" t="s">
        <v>707</v>
      </c>
      <c r="F272" s="210" t="s">
        <v>708</v>
      </c>
      <c r="G272" s="198"/>
      <c r="H272" s="198"/>
      <c r="I272" s="198"/>
      <c r="J272" s="211">
        <f>BK272</f>
        <v>194826.60000000001</v>
      </c>
      <c r="K272" s="198"/>
      <c r="L272" s="202"/>
      <c r="M272" s="203"/>
      <c r="N272" s="204"/>
      <c r="O272" s="204"/>
      <c r="P272" s="205">
        <f>SUM(P273:P276)</f>
        <v>104.37840000000001</v>
      </c>
      <c r="Q272" s="204"/>
      <c r="R272" s="205">
        <f>SUM(R273:R276)</f>
        <v>2.6942183999999996</v>
      </c>
      <c r="S272" s="204"/>
      <c r="T272" s="206">
        <f>SUM(T273:T276)</f>
        <v>0</v>
      </c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R272" s="207" t="s">
        <v>83</v>
      </c>
      <c r="AT272" s="208" t="s">
        <v>73</v>
      </c>
      <c r="AU272" s="208" t="s">
        <v>19</v>
      </c>
      <c r="AY272" s="207" t="s">
        <v>142</v>
      </c>
      <c r="BK272" s="209">
        <f>SUM(BK273:BK276)</f>
        <v>194826.60000000001</v>
      </c>
    </row>
    <row r="273" s="2" customFormat="1" ht="33" customHeight="1">
      <c r="A273" s="32"/>
      <c r="B273" s="33"/>
      <c r="C273" s="212" t="s">
        <v>474</v>
      </c>
      <c r="D273" s="212" t="s">
        <v>144</v>
      </c>
      <c r="E273" s="213" t="s">
        <v>710</v>
      </c>
      <c r="F273" s="214" t="s">
        <v>711</v>
      </c>
      <c r="G273" s="215" t="s">
        <v>96</v>
      </c>
      <c r="H273" s="216">
        <v>78.480000000000004</v>
      </c>
      <c r="I273" s="217">
        <v>1160</v>
      </c>
      <c r="J273" s="217">
        <f>ROUND(I273*H273,2)</f>
        <v>91036.800000000003</v>
      </c>
      <c r="K273" s="218"/>
      <c r="L273" s="38"/>
      <c r="M273" s="219" t="s">
        <v>1</v>
      </c>
      <c r="N273" s="220" t="s">
        <v>39</v>
      </c>
      <c r="O273" s="221">
        <v>1.3300000000000001</v>
      </c>
      <c r="P273" s="221">
        <f>O273*H273</f>
        <v>104.37840000000001</v>
      </c>
      <c r="Q273" s="221">
        <v>0.0090299999999999998</v>
      </c>
      <c r="R273" s="221">
        <f>Q273*H273</f>
        <v>0.70867440000000004</v>
      </c>
      <c r="S273" s="221">
        <v>0</v>
      </c>
      <c r="T273" s="222">
        <f>S273*H273</f>
        <v>0</v>
      </c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R273" s="223" t="s">
        <v>222</v>
      </c>
      <c r="AT273" s="223" t="s">
        <v>144</v>
      </c>
      <c r="AU273" s="223" t="s">
        <v>83</v>
      </c>
      <c r="AY273" s="17" t="s">
        <v>142</v>
      </c>
      <c r="BE273" s="224">
        <f>IF(N273="základní",J273,0)</f>
        <v>91036.800000000003</v>
      </c>
      <c r="BF273" s="224">
        <f>IF(N273="snížená",J273,0)</f>
        <v>0</v>
      </c>
      <c r="BG273" s="224">
        <f>IF(N273="zákl. přenesená",J273,0)</f>
        <v>0</v>
      </c>
      <c r="BH273" s="224">
        <f>IF(N273="sníž. přenesená",J273,0)</f>
        <v>0</v>
      </c>
      <c r="BI273" s="224">
        <f>IF(N273="nulová",J273,0)</f>
        <v>0</v>
      </c>
      <c r="BJ273" s="17" t="s">
        <v>19</v>
      </c>
      <c r="BK273" s="224">
        <f>ROUND(I273*H273,2)</f>
        <v>91036.800000000003</v>
      </c>
      <c r="BL273" s="17" t="s">
        <v>222</v>
      </c>
      <c r="BM273" s="223" t="s">
        <v>855</v>
      </c>
    </row>
    <row r="274" s="13" customFormat="1">
      <c r="A274" s="13"/>
      <c r="B274" s="225"/>
      <c r="C274" s="226"/>
      <c r="D274" s="227" t="s">
        <v>149</v>
      </c>
      <c r="E274" s="228" t="s">
        <v>1</v>
      </c>
      <c r="F274" s="229" t="s">
        <v>856</v>
      </c>
      <c r="G274" s="226"/>
      <c r="H274" s="230">
        <v>78.47999999999999</v>
      </c>
      <c r="I274" s="226"/>
      <c r="J274" s="226"/>
      <c r="K274" s="226"/>
      <c r="L274" s="231"/>
      <c r="M274" s="232"/>
      <c r="N274" s="233"/>
      <c r="O274" s="233"/>
      <c r="P274" s="233"/>
      <c r="Q274" s="233"/>
      <c r="R274" s="233"/>
      <c r="S274" s="233"/>
      <c r="T274" s="234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T274" s="235" t="s">
        <v>149</v>
      </c>
      <c r="AU274" s="235" t="s">
        <v>83</v>
      </c>
      <c r="AV274" s="13" t="s">
        <v>83</v>
      </c>
      <c r="AW274" s="13" t="s">
        <v>32</v>
      </c>
      <c r="AX274" s="13" t="s">
        <v>19</v>
      </c>
      <c r="AY274" s="235" t="s">
        <v>142</v>
      </c>
    </row>
    <row r="275" s="2" customFormat="1" ht="24.15" customHeight="1">
      <c r="A275" s="32"/>
      <c r="B275" s="33"/>
      <c r="C275" s="258" t="s">
        <v>481</v>
      </c>
      <c r="D275" s="258" t="s">
        <v>475</v>
      </c>
      <c r="E275" s="259" t="s">
        <v>857</v>
      </c>
      <c r="F275" s="260" t="s">
        <v>858</v>
      </c>
      <c r="G275" s="261" t="s">
        <v>96</v>
      </c>
      <c r="H275" s="262">
        <v>90.251999999999995</v>
      </c>
      <c r="I275" s="263">
        <v>1150</v>
      </c>
      <c r="J275" s="263">
        <f>ROUND(I275*H275,2)</f>
        <v>103789.8</v>
      </c>
      <c r="K275" s="264"/>
      <c r="L275" s="265"/>
      <c r="M275" s="266" t="s">
        <v>1</v>
      </c>
      <c r="N275" s="267" t="s">
        <v>39</v>
      </c>
      <c r="O275" s="221">
        <v>0</v>
      </c>
      <c r="P275" s="221">
        <f>O275*H275</f>
        <v>0</v>
      </c>
      <c r="Q275" s="221">
        <v>0.021999999999999999</v>
      </c>
      <c r="R275" s="221">
        <f>Q275*H275</f>
        <v>1.9855439999999998</v>
      </c>
      <c r="S275" s="221">
        <v>0</v>
      </c>
      <c r="T275" s="222">
        <f>S275*H275</f>
        <v>0</v>
      </c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R275" s="223" t="s">
        <v>241</v>
      </c>
      <c r="AT275" s="223" t="s">
        <v>475</v>
      </c>
      <c r="AU275" s="223" t="s">
        <v>83</v>
      </c>
      <c r="AY275" s="17" t="s">
        <v>142</v>
      </c>
      <c r="BE275" s="224">
        <f>IF(N275="základní",J275,0)</f>
        <v>103789.8</v>
      </c>
      <c r="BF275" s="224">
        <f>IF(N275="snížená",J275,0)</f>
        <v>0</v>
      </c>
      <c r="BG275" s="224">
        <f>IF(N275="zákl. přenesená",J275,0)</f>
        <v>0</v>
      </c>
      <c r="BH275" s="224">
        <f>IF(N275="sníž. přenesená",J275,0)</f>
        <v>0</v>
      </c>
      <c r="BI275" s="224">
        <f>IF(N275="nulová",J275,0)</f>
        <v>0</v>
      </c>
      <c r="BJ275" s="17" t="s">
        <v>19</v>
      </c>
      <c r="BK275" s="224">
        <f>ROUND(I275*H275,2)</f>
        <v>103789.8</v>
      </c>
      <c r="BL275" s="17" t="s">
        <v>222</v>
      </c>
      <c r="BM275" s="223" t="s">
        <v>859</v>
      </c>
    </row>
    <row r="276" s="13" customFormat="1">
      <c r="A276" s="13"/>
      <c r="B276" s="225"/>
      <c r="C276" s="226"/>
      <c r="D276" s="227" t="s">
        <v>149</v>
      </c>
      <c r="E276" s="226"/>
      <c r="F276" s="229" t="s">
        <v>860</v>
      </c>
      <c r="G276" s="226"/>
      <c r="H276" s="230">
        <v>90.251999999999995</v>
      </c>
      <c r="I276" s="226"/>
      <c r="J276" s="226"/>
      <c r="K276" s="226"/>
      <c r="L276" s="231"/>
      <c r="M276" s="268"/>
      <c r="N276" s="269"/>
      <c r="O276" s="269"/>
      <c r="P276" s="269"/>
      <c r="Q276" s="269"/>
      <c r="R276" s="269"/>
      <c r="S276" s="269"/>
      <c r="T276" s="270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T276" s="235" t="s">
        <v>149</v>
      </c>
      <c r="AU276" s="235" t="s">
        <v>83</v>
      </c>
      <c r="AV276" s="13" t="s">
        <v>83</v>
      </c>
      <c r="AW276" s="13" t="s">
        <v>4</v>
      </c>
      <c r="AX276" s="13" t="s">
        <v>19</v>
      </c>
      <c r="AY276" s="235" t="s">
        <v>142</v>
      </c>
    </row>
    <row r="277" s="2" customFormat="1" ht="6.96" customHeight="1">
      <c r="A277" s="32"/>
      <c r="B277" s="59"/>
      <c r="C277" s="60"/>
      <c r="D277" s="60"/>
      <c r="E277" s="60"/>
      <c r="F277" s="60"/>
      <c r="G277" s="60"/>
      <c r="H277" s="60"/>
      <c r="I277" s="60"/>
      <c r="J277" s="60"/>
      <c r="K277" s="60"/>
      <c r="L277" s="38"/>
      <c r="M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</sheetData>
  <sheetProtection sheet="1" autoFilter="0" formatColumns="0" formatRows="0" objects="1" scenarios="1" spinCount="100000" saltValue="tYgTCz3INs79Hcy0M9HIylOEIi/ASMMTZDwOuWFo4sXoeOn4cBiEmvo4Ph8pyNAp6D5zsfr8BgkUPn6bB24X9w==" hashValue="dxG83Xi3DUzEQkLVi6GZ5XChx/0pF7yFCI798NsT9MBHmoMvAxlyD/2n76JriQjnwB3H1fWNXcN9SULBzbi3ww==" algorithmName="SHA-512" password="CC35"/>
  <autoFilter ref="C128:K276"/>
  <mergeCells count="9">
    <mergeCell ref="E7:H7"/>
    <mergeCell ref="E9:H9"/>
    <mergeCell ref="E18:H18"/>
    <mergeCell ref="E27:H27"/>
    <mergeCell ref="E85:H85"/>
    <mergeCell ref="E87:H87"/>
    <mergeCell ref="E119:H119"/>
    <mergeCell ref="E121:H121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2"/>
    </row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7" t="s">
        <v>89</v>
      </c>
    </row>
    <row r="3" s="1" customFormat="1" ht="6.96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"/>
      <c r="AT3" s="17" t="s">
        <v>83</v>
      </c>
    </row>
    <row r="4" s="1" customFormat="1" ht="24.96" customHeight="1">
      <c r="B4" s="20"/>
      <c r="D4" s="132" t="s">
        <v>102</v>
      </c>
      <c r="L4" s="20"/>
      <c r="M4" s="133" t="s">
        <v>10</v>
      </c>
      <c r="AT4" s="17" t="s">
        <v>4</v>
      </c>
    </row>
    <row r="5" s="1" customFormat="1" ht="6.96" customHeight="1">
      <c r="B5" s="20"/>
      <c r="L5" s="20"/>
    </row>
    <row r="6" s="1" customFormat="1" ht="12" customHeight="1">
      <c r="B6" s="20"/>
      <c r="D6" s="134" t="s">
        <v>14</v>
      </c>
      <c r="L6" s="20"/>
    </row>
    <row r="7" s="1" customFormat="1" ht="16.5" customHeight="1">
      <c r="B7" s="20"/>
      <c r="E7" s="135" t="str">
        <f>'Rekapitulace stavby'!K6</f>
        <v>RD Valcha SO1+ SO2</v>
      </c>
      <c r="F7" s="134"/>
      <c r="G7" s="134"/>
      <c r="H7" s="134"/>
      <c r="L7" s="20"/>
    </row>
    <row r="8" s="2" customFormat="1" ht="12" customHeight="1">
      <c r="A8" s="32"/>
      <c r="B8" s="38"/>
      <c r="C8" s="32"/>
      <c r="D8" s="134" t="s">
        <v>103</v>
      </c>
      <c r="E8" s="32"/>
      <c r="F8" s="32"/>
      <c r="G8" s="32"/>
      <c r="H8" s="32"/>
      <c r="I8" s="32"/>
      <c r="J8" s="32"/>
      <c r="K8" s="32"/>
      <c r="L8" s="56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="2" customFormat="1" ht="16.5" customHeight="1">
      <c r="A9" s="32"/>
      <c r="B9" s="38"/>
      <c r="C9" s="32"/>
      <c r="D9" s="32"/>
      <c r="E9" s="136" t="s">
        <v>861</v>
      </c>
      <c r="F9" s="32"/>
      <c r="G9" s="32"/>
      <c r="H9" s="32"/>
      <c r="I9" s="32"/>
      <c r="J9" s="32"/>
      <c r="K9" s="32"/>
      <c r="L9" s="5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="2" customFormat="1">
      <c r="A10" s="32"/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5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="2" customFormat="1" ht="12" customHeight="1">
      <c r="A11" s="32"/>
      <c r="B11" s="38"/>
      <c r="C11" s="32"/>
      <c r="D11" s="134" t="s">
        <v>17</v>
      </c>
      <c r="E11" s="32"/>
      <c r="F11" s="137" t="s">
        <v>1</v>
      </c>
      <c r="G11" s="32"/>
      <c r="H11" s="32"/>
      <c r="I11" s="134" t="s">
        <v>18</v>
      </c>
      <c r="J11" s="137" t="s">
        <v>1</v>
      </c>
      <c r="K11" s="32"/>
      <c r="L11" s="5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="2" customFormat="1" ht="12" customHeight="1">
      <c r="A12" s="32"/>
      <c r="B12" s="38"/>
      <c r="C12" s="32"/>
      <c r="D12" s="134" t="s">
        <v>20</v>
      </c>
      <c r="E12" s="32"/>
      <c r="F12" s="137" t="s">
        <v>21</v>
      </c>
      <c r="G12" s="32"/>
      <c r="H12" s="32"/>
      <c r="I12" s="134" t="s">
        <v>22</v>
      </c>
      <c r="J12" s="138" t="str">
        <f>'Rekapitulace stavby'!AN8</f>
        <v>8. 9. 2025</v>
      </c>
      <c r="K12" s="32"/>
      <c r="L12" s="5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="2" customFormat="1" ht="10.8" customHeight="1">
      <c r="A13" s="32"/>
      <c r="B13" s="38"/>
      <c r="C13" s="32"/>
      <c r="D13" s="32"/>
      <c r="E13" s="32"/>
      <c r="F13" s="32"/>
      <c r="G13" s="32"/>
      <c r="H13" s="32"/>
      <c r="I13" s="32"/>
      <c r="J13" s="32"/>
      <c r="K13" s="32"/>
      <c r="L13" s="5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="2" customFormat="1" ht="12" customHeight="1">
      <c r="A14" s="32"/>
      <c r="B14" s="38"/>
      <c r="C14" s="32"/>
      <c r="D14" s="134" t="s">
        <v>26</v>
      </c>
      <c r="E14" s="32"/>
      <c r="F14" s="32"/>
      <c r="G14" s="32"/>
      <c r="H14" s="32"/>
      <c r="I14" s="134" t="s">
        <v>27</v>
      </c>
      <c r="J14" s="137" t="str">
        <f>IF('Rekapitulace stavby'!AN10="","",'Rekapitulace stavby'!AN10)</f>
        <v/>
      </c>
      <c r="K14" s="32"/>
      <c r="L14" s="5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="2" customFormat="1" ht="18" customHeight="1">
      <c r="A15" s="32"/>
      <c r="B15" s="38"/>
      <c r="C15" s="32"/>
      <c r="D15" s="32"/>
      <c r="E15" s="137" t="str">
        <f>IF('Rekapitulace stavby'!E11="","",'Rekapitulace stavby'!E11)</f>
        <v xml:space="preserve"> </v>
      </c>
      <c r="F15" s="32"/>
      <c r="G15" s="32"/>
      <c r="H15" s="32"/>
      <c r="I15" s="134" t="s">
        <v>28</v>
      </c>
      <c r="J15" s="137" t="str">
        <f>IF('Rekapitulace stavby'!AN11="","",'Rekapitulace stavby'!AN11)</f>
        <v/>
      </c>
      <c r="K15" s="32"/>
      <c r="L15" s="5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="2" customFormat="1" ht="6.96" customHeight="1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5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="2" customFormat="1" ht="12" customHeight="1">
      <c r="A17" s="32"/>
      <c r="B17" s="38"/>
      <c r="C17" s="32"/>
      <c r="D17" s="134" t="s">
        <v>29</v>
      </c>
      <c r="E17" s="32"/>
      <c r="F17" s="32"/>
      <c r="G17" s="32"/>
      <c r="H17" s="32"/>
      <c r="I17" s="134" t="s">
        <v>27</v>
      </c>
      <c r="J17" s="137" t="str">
        <f>'Rekapitulace stavby'!AN13</f>
        <v/>
      </c>
      <c r="K17" s="32"/>
      <c r="L17" s="5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="2" customFormat="1" ht="18" customHeight="1">
      <c r="A18" s="32"/>
      <c r="B18" s="38"/>
      <c r="C18" s="32"/>
      <c r="D18" s="32"/>
      <c r="E18" s="137" t="str">
        <f>'Rekapitulace stavby'!E14</f>
        <v xml:space="preserve"> </v>
      </c>
      <c r="F18" s="137"/>
      <c r="G18" s="137"/>
      <c r="H18" s="137"/>
      <c r="I18" s="134" t="s">
        <v>28</v>
      </c>
      <c r="J18" s="137" t="str">
        <f>'Rekapitulace stavby'!AN14</f>
        <v/>
      </c>
      <c r="K18" s="32"/>
      <c r="L18" s="5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="2" customFormat="1" ht="6.96" customHeight="1">
      <c r="A19" s="32"/>
      <c r="B19" s="38"/>
      <c r="C19" s="32"/>
      <c r="D19" s="32"/>
      <c r="E19" s="32"/>
      <c r="F19" s="32"/>
      <c r="G19" s="32"/>
      <c r="H19" s="32"/>
      <c r="I19" s="32"/>
      <c r="J19" s="32"/>
      <c r="K19" s="32"/>
      <c r="L19" s="5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="2" customFormat="1" ht="12" customHeight="1">
      <c r="A20" s="32"/>
      <c r="B20" s="38"/>
      <c r="C20" s="32"/>
      <c r="D20" s="134" t="s">
        <v>30</v>
      </c>
      <c r="E20" s="32"/>
      <c r="F20" s="32"/>
      <c r="G20" s="32"/>
      <c r="H20" s="32"/>
      <c r="I20" s="134" t="s">
        <v>27</v>
      </c>
      <c r="J20" s="137" t="str">
        <f>IF('Rekapitulace stavby'!AN16="","",'Rekapitulace stavby'!AN16)</f>
        <v/>
      </c>
      <c r="K20" s="32"/>
      <c r="L20" s="5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="2" customFormat="1" ht="18" customHeight="1">
      <c r="A21" s="32"/>
      <c r="B21" s="38"/>
      <c r="C21" s="32"/>
      <c r="D21" s="32"/>
      <c r="E21" s="137" t="str">
        <f>IF('Rekapitulace stavby'!E17="","",'Rekapitulace stavby'!E17)</f>
        <v xml:space="preserve"> </v>
      </c>
      <c r="F21" s="32"/>
      <c r="G21" s="32"/>
      <c r="H21" s="32"/>
      <c r="I21" s="134" t="s">
        <v>28</v>
      </c>
      <c r="J21" s="137" t="str">
        <f>IF('Rekapitulace stavby'!AN17="","",'Rekapitulace stavby'!AN17)</f>
        <v/>
      </c>
      <c r="K21" s="32"/>
      <c r="L21" s="5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="2" customFormat="1" ht="6.96" customHeight="1">
      <c r="A22" s="32"/>
      <c r="B22" s="38"/>
      <c r="C22" s="32"/>
      <c r="D22" s="32"/>
      <c r="E22" s="32"/>
      <c r="F22" s="32"/>
      <c r="G22" s="32"/>
      <c r="H22" s="32"/>
      <c r="I22" s="32"/>
      <c r="J22" s="32"/>
      <c r="K22" s="32"/>
      <c r="L22" s="5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="2" customFormat="1" ht="12" customHeight="1">
      <c r="A23" s="32"/>
      <c r="B23" s="38"/>
      <c r="C23" s="32"/>
      <c r="D23" s="134" t="s">
        <v>31</v>
      </c>
      <c r="E23" s="32"/>
      <c r="F23" s="32"/>
      <c r="G23" s="32"/>
      <c r="H23" s="32"/>
      <c r="I23" s="134" t="s">
        <v>27</v>
      </c>
      <c r="J23" s="137" t="str">
        <f>IF('Rekapitulace stavby'!AN19="","",'Rekapitulace stavby'!AN19)</f>
        <v/>
      </c>
      <c r="K23" s="32"/>
      <c r="L23" s="5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="2" customFormat="1" ht="18" customHeight="1">
      <c r="A24" s="32"/>
      <c r="B24" s="38"/>
      <c r="C24" s="32"/>
      <c r="D24" s="32"/>
      <c r="E24" s="137" t="str">
        <f>IF('Rekapitulace stavby'!E20="","",'Rekapitulace stavby'!E20)</f>
        <v xml:space="preserve"> </v>
      </c>
      <c r="F24" s="32"/>
      <c r="G24" s="32"/>
      <c r="H24" s="32"/>
      <c r="I24" s="134" t="s">
        <v>28</v>
      </c>
      <c r="J24" s="137" t="str">
        <f>IF('Rekapitulace stavby'!AN20="","",'Rekapitulace stavby'!AN20)</f>
        <v/>
      </c>
      <c r="K24" s="32"/>
      <c r="L24" s="5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="2" customFormat="1" ht="6.96" customHeight="1">
      <c r="A25" s="32"/>
      <c r="B25" s="38"/>
      <c r="C25" s="32"/>
      <c r="D25" s="32"/>
      <c r="E25" s="32"/>
      <c r="F25" s="32"/>
      <c r="G25" s="32"/>
      <c r="H25" s="32"/>
      <c r="I25" s="32"/>
      <c r="J25" s="32"/>
      <c r="K25" s="32"/>
      <c r="L25" s="5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="2" customFormat="1" ht="12" customHeight="1">
      <c r="A26" s="32"/>
      <c r="B26" s="38"/>
      <c r="C26" s="32"/>
      <c r="D26" s="134" t="s">
        <v>33</v>
      </c>
      <c r="E26" s="32"/>
      <c r="F26" s="32"/>
      <c r="G26" s="32"/>
      <c r="H26" s="32"/>
      <c r="I26" s="32"/>
      <c r="J26" s="32"/>
      <c r="K26" s="32"/>
      <c r="L26" s="5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="8" customFormat="1" ht="16.5" customHeight="1">
      <c r="A27" s="139"/>
      <c r="B27" s="140"/>
      <c r="C27" s="139"/>
      <c r="D27" s="139"/>
      <c r="E27" s="141" t="s">
        <v>1</v>
      </c>
      <c r="F27" s="141"/>
      <c r="G27" s="141"/>
      <c r="H27" s="141"/>
      <c r="I27" s="139"/>
      <c r="J27" s="139"/>
      <c r="K27" s="139"/>
      <c r="L27" s="142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s="2" customFormat="1" ht="6.96" customHeight="1">
      <c r="A28" s="32"/>
      <c r="B28" s="38"/>
      <c r="C28" s="32"/>
      <c r="D28" s="32"/>
      <c r="E28" s="32"/>
      <c r="F28" s="32"/>
      <c r="G28" s="32"/>
      <c r="H28" s="32"/>
      <c r="I28" s="32"/>
      <c r="J28" s="32"/>
      <c r="K28" s="32"/>
      <c r="L28" s="5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="2" customFormat="1" ht="6.96" customHeight="1">
      <c r="A29" s="32"/>
      <c r="B29" s="38"/>
      <c r="C29" s="32"/>
      <c r="D29" s="143"/>
      <c r="E29" s="143"/>
      <c r="F29" s="143"/>
      <c r="G29" s="143"/>
      <c r="H29" s="143"/>
      <c r="I29" s="143"/>
      <c r="J29" s="143"/>
      <c r="K29" s="143"/>
      <c r="L29" s="5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="2" customFormat="1" ht="25.44" customHeight="1">
      <c r="A30" s="32"/>
      <c r="B30" s="38"/>
      <c r="C30" s="32"/>
      <c r="D30" s="144" t="s">
        <v>34</v>
      </c>
      <c r="E30" s="32"/>
      <c r="F30" s="32"/>
      <c r="G30" s="32"/>
      <c r="H30" s="32"/>
      <c r="I30" s="32"/>
      <c r="J30" s="145">
        <f>ROUND(J120, 2)</f>
        <v>330370.83000000002</v>
      </c>
      <c r="K30" s="32"/>
      <c r="L30" s="5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="2" customFormat="1" ht="6.96" customHeight="1">
      <c r="A31" s="32"/>
      <c r="B31" s="38"/>
      <c r="C31" s="32"/>
      <c r="D31" s="143"/>
      <c r="E31" s="143"/>
      <c r="F31" s="143"/>
      <c r="G31" s="143"/>
      <c r="H31" s="143"/>
      <c r="I31" s="143"/>
      <c r="J31" s="143"/>
      <c r="K31" s="143"/>
      <c r="L31" s="5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="2" customFormat="1" ht="14.4" customHeight="1">
      <c r="A32" s="32"/>
      <c r="B32" s="38"/>
      <c r="C32" s="32"/>
      <c r="D32" s="32"/>
      <c r="E32" s="32"/>
      <c r="F32" s="146" t="s">
        <v>36</v>
      </c>
      <c r="G32" s="32"/>
      <c r="H32" s="32"/>
      <c r="I32" s="146" t="s">
        <v>35</v>
      </c>
      <c r="J32" s="146" t="s">
        <v>37</v>
      </c>
      <c r="K32" s="32"/>
      <c r="L32" s="5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="2" customFormat="1" ht="14.4" customHeight="1">
      <c r="A33" s="32"/>
      <c r="B33" s="38"/>
      <c r="C33" s="32"/>
      <c r="D33" s="147" t="s">
        <v>38</v>
      </c>
      <c r="E33" s="134" t="s">
        <v>39</v>
      </c>
      <c r="F33" s="148">
        <f>ROUND((SUM(BE120:BE185)),  2)</f>
        <v>330370.83000000002</v>
      </c>
      <c r="G33" s="32"/>
      <c r="H33" s="32"/>
      <c r="I33" s="149">
        <v>0.20999999999999999</v>
      </c>
      <c r="J33" s="148">
        <f>ROUND(((SUM(BE120:BE185))*I33),  2)</f>
        <v>69377.869999999995</v>
      </c>
      <c r="K33" s="32"/>
      <c r="L33" s="5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="2" customFormat="1" ht="14.4" customHeight="1">
      <c r="A34" s="32"/>
      <c r="B34" s="38"/>
      <c r="C34" s="32"/>
      <c r="D34" s="32"/>
      <c r="E34" s="134" t="s">
        <v>40</v>
      </c>
      <c r="F34" s="148">
        <f>ROUND((SUM(BF120:BF185)),  2)</f>
        <v>0</v>
      </c>
      <c r="G34" s="32"/>
      <c r="H34" s="32"/>
      <c r="I34" s="149">
        <v>0.12</v>
      </c>
      <c r="J34" s="148">
        <f>ROUND(((SUM(BF120:BF185))*I34),  2)</f>
        <v>0</v>
      </c>
      <c r="K34" s="32"/>
      <c r="L34" s="5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idden="1" s="2" customFormat="1" ht="14.4" customHeight="1">
      <c r="A35" s="32"/>
      <c r="B35" s="38"/>
      <c r="C35" s="32"/>
      <c r="D35" s="32"/>
      <c r="E35" s="134" t="s">
        <v>41</v>
      </c>
      <c r="F35" s="148">
        <f>ROUND((SUM(BG120:BG185)),  2)</f>
        <v>0</v>
      </c>
      <c r="G35" s="32"/>
      <c r="H35" s="32"/>
      <c r="I35" s="149">
        <v>0.20999999999999999</v>
      </c>
      <c r="J35" s="148">
        <f>0</f>
        <v>0</v>
      </c>
      <c r="K35" s="32"/>
      <c r="L35" s="5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idden="1" s="2" customFormat="1" ht="14.4" customHeight="1">
      <c r="A36" s="32"/>
      <c r="B36" s="38"/>
      <c r="C36" s="32"/>
      <c r="D36" s="32"/>
      <c r="E36" s="134" t="s">
        <v>42</v>
      </c>
      <c r="F36" s="148">
        <f>ROUND((SUM(BH120:BH185)),  2)</f>
        <v>0</v>
      </c>
      <c r="G36" s="32"/>
      <c r="H36" s="32"/>
      <c r="I36" s="149">
        <v>0.12</v>
      </c>
      <c r="J36" s="148">
        <f>0</f>
        <v>0</v>
      </c>
      <c r="K36" s="32"/>
      <c r="L36" s="5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idden="1" s="2" customFormat="1" ht="14.4" customHeight="1">
      <c r="A37" s="32"/>
      <c r="B37" s="38"/>
      <c r="C37" s="32"/>
      <c r="D37" s="32"/>
      <c r="E37" s="134" t="s">
        <v>43</v>
      </c>
      <c r="F37" s="148">
        <f>ROUND((SUM(BI120:BI185)),  2)</f>
        <v>0</v>
      </c>
      <c r="G37" s="32"/>
      <c r="H37" s="32"/>
      <c r="I37" s="149">
        <v>0</v>
      </c>
      <c r="J37" s="148">
        <f>0</f>
        <v>0</v>
      </c>
      <c r="K37" s="32"/>
      <c r="L37" s="5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="2" customFormat="1" ht="6.96" customHeight="1">
      <c r="A38" s="32"/>
      <c r="B38" s="38"/>
      <c r="C38" s="32"/>
      <c r="D38" s="32"/>
      <c r="E38" s="32"/>
      <c r="F38" s="32"/>
      <c r="G38" s="32"/>
      <c r="H38" s="32"/>
      <c r="I38" s="32"/>
      <c r="J38" s="32"/>
      <c r="K38" s="32"/>
      <c r="L38" s="5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="2" customFormat="1" ht="25.44" customHeight="1">
      <c r="A39" s="32"/>
      <c r="B39" s="38"/>
      <c r="C39" s="150"/>
      <c r="D39" s="151" t="s">
        <v>44</v>
      </c>
      <c r="E39" s="152"/>
      <c r="F39" s="152"/>
      <c r="G39" s="153" t="s">
        <v>45</v>
      </c>
      <c r="H39" s="154" t="s">
        <v>46</v>
      </c>
      <c r="I39" s="152"/>
      <c r="J39" s="155">
        <f>SUM(J30:J37)</f>
        <v>399748.70000000001</v>
      </c>
      <c r="K39" s="156"/>
      <c r="L39" s="5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="2" customFormat="1" ht="14.4" customHeight="1">
      <c r="A40" s="32"/>
      <c r="B40" s="38"/>
      <c r="C40" s="32"/>
      <c r="D40" s="32"/>
      <c r="E40" s="32"/>
      <c r="F40" s="32"/>
      <c r="G40" s="32"/>
      <c r="H40" s="32"/>
      <c r="I40" s="32"/>
      <c r="J40" s="32"/>
      <c r="K40" s="32"/>
      <c r="L40" s="5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="1" customFormat="1" ht="14.4" customHeight="1">
      <c r="B41" s="20"/>
      <c r="L41" s="20"/>
    </row>
    <row r="42" s="1" customFormat="1" ht="14.4" customHeight="1">
      <c r="B42" s="20"/>
      <c r="L42" s="20"/>
    </row>
    <row r="43" s="1" customFormat="1" ht="14.4" customHeight="1">
      <c r="B43" s="20"/>
      <c r="L43" s="20"/>
    </row>
    <row r="44" s="1" customFormat="1" ht="14.4" customHeight="1">
      <c r="B44" s="20"/>
      <c r="L44" s="20"/>
    </row>
    <row r="45" s="1" customFormat="1" ht="14.4" customHeight="1">
      <c r="B45" s="20"/>
      <c r="L45" s="20"/>
    </row>
    <row r="46" s="1" customFormat="1" ht="14.4" customHeight="1">
      <c r="B46" s="20"/>
      <c r="L46" s="20"/>
    </row>
    <row r="47" s="1" customFormat="1" ht="14.4" customHeight="1">
      <c r="B47" s="20"/>
      <c r="L47" s="20"/>
    </row>
    <row r="48" s="1" customFormat="1" ht="14.4" customHeight="1">
      <c r="B48" s="20"/>
      <c r="L48" s="20"/>
    </row>
    <row r="49" s="1" customFormat="1" ht="14.4" customHeight="1">
      <c r="B49" s="20"/>
      <c r="L49" s="20"/>
    </row>
    <row r="50" s="2" customFormat="1" ht="14.4" customHeight="1">
      <c r="B50" s="56"/>
      <c r="D50" s="157" t="s">
        <v>47</v>
      </c>
      <c r="E50" s="158"/>
      <c r="F50" s="158"/>
      <c r="G50" s="157" t="s">
        <v>48</v>
      </c>
      <c r="H50" s="158"/>
      <c r="I50" s="158"/>
      <c r="J50" s="158"/>
      <c r="K50" s="158"/>
      <c r="L50" s="56"/>
    </row>
    <row r="51">
      <c r="B51" s="20"/>
      <c r="L51" s="20"/>
    </row>
    <row r="52">
      <c r="B52" s="20"/>
      <c r="L52" s="20"/>
    </row>
    <row r="53">
      <c r="B53" s="20"/>
      <c r="L53" s="20"/>
    </row>
    <row r="54">
      <c r="B54" s="20"/>
      <c r="L54" s="20"/>
    </row>
    <row r="55">
      <c r="B55" s="20"/>
      <c r="L55" s="20"/>
    </row>
    <row r="56">
      <c r="B56" s="20"/>
      <c r="L56" s="20"/>
    </row>
    <row r="57">
      <c r="B57" s="20"/>
      <c r="L57" s="20"/>
    </row>
    <row r="58">
      <c r="B58" s="20"/>
      <c r="L58" s="20"/>
    </row>
    <row r="59">
      <c r="B59" s="20"/>
      <c r="L59" s="20"/>
    </row>
    <row r="60">
      <c r="B60" s="20"/>
      <c r="L60" s="20"/>
    </row>
    <row r="61" s="2" customFormat="1">
      <c r="A61" s="32"/>
      <c r="B61" s="38"/>
      <c r="C61" s="32"/>
      <c r="D61" s="159" t="s">
        <v>49</v>
      </c>
      <c r="E61" s="160"/>
      <c r="F61" s="161" t="s">
        <v>50</v>
      </c>
      <c r="G61" s="159" t="s">
        <v>49</v>
      </c>
      <c r="H61" s="160"/>
      <c r="I61" s="160"/>
      <c r="J61" s="162" t="s">
        <v>50</v>
      </c>
      <c r="K61" s="160"/>
      <c r="L61" s="5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B62" s="20"/>
      <c r="L62" s="20"/>
    </row>
    <row r="63">
      <c r="B63" s="20"/>
      <c r="L63" s="20"/>
    </row>
    <row r="64">
      <c r="B64" s="20"/>
      <c r="L64" s="20"/>
    </row>
    <row r="65" s="2" customFormat="1">
      <c r="A65" s="32"/>
      <c r="B65" s="38"/>
      <c r="C65" s="32"/>
      <c r="D65" s="157" t="s">
        <v>51</v>
      </c>
      <c r="E65" s="163"/>
      <c r="F65" s="163"/>
      <c r="G65" s="157" t="s">
        <v>52</v>
      </c>
      <c r="H65" s="163"/>
      <c r="I65" s="163"/>
      <c r="J65" s="163"/>
      <c r="K65" s="163"/>
      <c r="L65" s="5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B66" s="20"/>
      <c r="L66" s="20"/>
    </row>
    <row r="67">
      <c r="B67" s="20"/>
      <c r="L67" s="20"/>
    </row>
    <row r="68">
      <c r="B68" s="20"/>
      <c r="L68" s="20"/>
    </row>
    <row r="69">
      <c r="B69" s="20"/>
      <c r="L69" s="20"/>
    </row>
    <row r="70">
      <c r="B70" s="20"/>
      <c r="L70" s="20"/>
    </row>
    <row r="71">
      <c r="B71" s="20"/>
      <c r="L71" s="20"/>
    </row>
    <row r="72">
      <c r="B72" s="20"/>
      <c r="L72" s="20"/>
    </row>
    <row r="73">
      <c r="B73" s="20"/>
      <c r="L73" s="20"/>
    </row>
    <row r="74">
      <c r="B74" s="20"/>
      <c r="L74" s="20"/>
    </row>
    <row r="75">
      <c r="B75" s="20"/>
      <c r="L75" s="20"/>
    </row>
    <row r="76" s="2" customFormat="1">
      <c r="A76" s="32"/>
      <c r="B76" s="38"/>
      <c r="C76" s="32"/>
      <c r="D76" s="159" t="s">
        <v>49</v>
      </c>
      <c r="E76" s="160"/>
      <c r="F76" s="161" t="s">
        <v>50</v>
      </c>
      <c r="G76" s="159" t="s">
        <v>49</v>
      </c>
      <c r="H76" s="160"/>
      <c r="I76" s="160"/>
      <c r="J76" s="162" t="s">
        <v>50</v>
      </c>
      <c r="K76" s="160"/>
      <c r="L76" s="5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="2" customFormat="1" ht="14.4" customHeight="1">
      <c r="A77" s="32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5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81" s="2" customFormat="1" ht="6.96" customHeight="1">
      <c r="A81" s="32"/>
      <c r="B81" s="166"/>
      <c r="C81" s="167"/>
      <c r="D81" s="167"/>
      <c r="E81" s="167"/>
      <c r="F81" s="167"/>
      <c r="G81" s="167"/>
      <c r="H81" s="167"/>
      <c r="I81" s="167"/>
      <c r="J81" s="167"/>
      <c r="K81" s="167"/>
      <c r="L81" s="5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="2" customFormat="1" ht="24.96" customHeight="1">
      <c r="A82" s="32"/>
      <c r="B82" s="33"/>
      <c r="C82" s="23" t="s">
        <v>105</v>
      </c>
      <c r="D82" s="34"/>
      <c r="E82" s="34"/>
      <c r="F82" s="34"/>
      <c r="G82" s="34"/>
      <c r="H82" s="34"/>
      <c r="I82" s="34"/>
      <c r="J82" s="34"/>
      <c r="K82" s="34"/>
      <c r="L82" s="5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5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="2" customFormat="1" ht="12" customHeight="1">
      <c r="A84" s="32"/>
      <c r="B84" s="33"/>
      <c r="C84" s="29" t="s">
        <v>14</v>
      </c>
      <c r="D84" s="34"/>
      <c r="E84" s="34"/>
      <c r="F84" s="34"/>
      <c r="G84" s="34"/>
      <c r="H84" s="34"/>
      <c r="I84" s="34"/>
      <c r="J84" s="34"/>
      <c r="K84" s="34"/>
      <c r="L84" s="5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="2" customFormat="1" ht="16.5" customHeight="1">
      <c r="A85" s="32"/>
      <c r="B85" s="33"/>
      <c r="C85" s="34"/>
      <c r="D85" s="34"/>
      <c r="E85" s="168" t="str">
        <f>E7</f>
        <v>RD Valcha SO1+ SO2</v>
      </c>
      <c r="F85" s="29"/>
      <c r="G85" s="29"/>
      <c r="H85" s="29"/>
      <c r="I85" s="34"/>
      <c r="J85" s="34"/>
      <c r="K85" s="34"/>
      <c r="L85" s="5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="2" customFormat="1" ht="12" customHeight="1">
      <c r="A86" s="32"/>
      <c r="B86" s="33"/>
      <c r="C86" s="29" t="s">
        <v>103</v>
      </c>
      <c r="D86" s="34"/>
      <c r="E86" s="34"/>
      <c r="F86" s="34"/>
      <c r="G86" s="34"/>
      <c r="H86" s="34"/>
      <c r="I86" s="34"/>
      <c r="J86" s="34"/>
      <c r="K86" s="34"/>
      <c r="L86" s="5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="2" customFormat="1" ht="16.5" customHeight="1">
      <c r="A87" s="32"/>
      <c r="B87" s="33"/>
      <c r="C87" s="34"/>
      <c r="D87" s="34"/>
      <c r="E87" s="69" t="str">
        <f>E9</f>
        <v>Elektroinstalace - RD Valcha</v>
      </c>
      <c r="F87" s="34"/>
      <c r="G87" s="34"/>
      <c r="H87" s="34"/>
      <c r="I87" s="34"/>
      <c r="J87" s="34"/>
      <c r="K87" s="34"/>
      <c r="L87" s="5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5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="2" customFormat="1" ht="12" customHeight="1">
      <c r="A89" s="32"/>
      <c r="B89" s="33"/>
      <c r="C89" s="29" t="s">
        <v>20</v>
      </c>
      <c r="D89" s="34"/>
      <c r="E89" s="34"/>
      <c r="F89" s="26" t="str">
        <f>F12</f>
        <v xml:space="preserve"> </v>
      </c>
      <c r="G89" s="34"/>
      <c r="H89" s="34"/>
      <c r="I89" s="29" t="s">
        <v>22</v>
      </c>
      <c r="J89" s="72" t="str">
        <f>IF(J12="","",J12)</f>
        <v>8. 9. 2025</v>
      </c>
      <c r="K89" s="34"/>
      <c r="L89" s="5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="2" customFormat="1" ht="6.96" customHeight="1">
      <c r="A90" s="3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5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="2" customFormat="1" ht="15.15" customHeight="1">
      <c r="A91" s="32"/>
      <c r="B91" s="33"/>
      <c r="C91" s="29" t="s">
        <v>26</v>
      </c>
      <c r="D91" s="34"/>
      <c r="E91" s="34"/>
      <c r="F91" s="26" t="str">
        <f>E15</f>
        <v xml:space="preserve"> </v>
      </c>
      <c r="G91" s="34"/>
      <c r="H91" s="34"/>
      <c r="I91" s="29" t="s">
        <v>30</v>
      </c>
      <c r="J91" s="30" t="str">
        <f>E21</f>
        <v xml:space="preserve"> </v>
      </c>
      <c r="K91" s="34"/>
      <c r="L91" s="5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="2" customFormat="1" ht="15.15" customHeight="1">
      <c r="A92" s="32"/>
      <c r="B92" s="33"/>
      <c r="C92" s="29" t="s">
        <v>29</v>
      </c>
      <c r="D92" s="34"/>
      <c r="E92" s="34"/>
      <c r="F92" s="26" t="str">
        <f>IF(E18="","",E18)</f>
        <v xml:space="preserve"> </v>
      </c>
      <c r="G92" s="34"/>
      <c r="H92" s="34"/>
      <c r="I92" s="29" t="s">
        <v>31</v>
      </c>
      <c r="J92" s="30" t="str">
        <f>E24</f>
        <v xml:space="preserve"> </v>
      </c>
      <c r="K92" s="34"/>
      <c r="L92" s="5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="2" customFormat="1" ht="10.32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5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="2" customFormat="1" ht="29.28" customHeight="1">
      <c r="A94" s="32"/>
      <c r="B94" s="33"/>
      <c r="C94" s="169" t="s">
        <v>106</v>
      </c>
      <c r="D94" s="170"/>
      <c r="E94" s="170"/>
      <c r="F94" s="170"/>
      <c r="G94" s="170"/>
      <c r="H94" s="170"/>
      <c r="I94" s="170"/>
      <c r="J94" s="171" t="s">
        <v>107</v>
      </c>
      <c r="K94" s="170"/>
      <c r="L94" s="5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="2" customFormat="1" ht="10.32" customHeight="1">
      <c r="A95" s="32"/>
      <c r="B95" s="33"/>
      <c r="C95" s="34"/>
      <c r="D95" s="34"/>
      <c r="E95" s="34"/>
      <c r="F95" s="34"/>
      <c r="G95" s="34"/>
      <c r="H95" s="34"/>
      <c r="I95" s="34"/>
      <c r="J95" s="34"/>
      <c r="K95" s="34"/>
      <c r="L95" s="5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="2" customFormat="1" ht="22.8" customHeight="1">
      <c r="A96" s="32"/>
      <c r="B96" s="33"/>
      <c r="C96" s="172" t="s">
        <v>108</v>
      </c>
      <c r="D96" s="34"/>
      <c r="E96" s="34"/>
      <c r="F96" s="34"/>
      <c r="G96" s="34"/>
      <c r="H96" s="34"/>
      <c r="I96" s="34"/>
      <c r="J96" s="103">
        <f>J120</f>
        <v>330370.83000000002</v>
      </c>
      <c r="K96" s="34"/>
      <c r="L96" s="5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U96" s="17" t="s">
        <v>109</v>
      </c>
    </row>
    <row r="97" s="9" customFormat="1" ht="24.96" customHeight="1">
      <c r="A97" s="9"/>
      <c r="B97" s="173"/>
      <c r="C97" s="174"/>
      <c r="D97" s="175" t="s">
        <v>116</v>
      </c>
      <c r="E97" s="176"/>
      <c r="F97" s="176"/>
      <c r="G97" s="176"/>
      <c r="H97" s="176"/>
      <c r="I97" s="176"/>
      <c r="J97" s="177">
        <f>J121</f>
        <v>309890.83000000002</v>
      </c>
      <c r="K97" s="174"/>
      <c r="L97" s="178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79"/>
      <c r="C98" s="180"/>
      <c r="D98" s="181" t="s">
        <v>862</v>
      </c>
      <c r="E98" s="182"/>
      <c r="F98" s="182"/>
      <c r="G98" s="182"/>
      <c r="H98" s="182"/>
      <c r="I98" s="182"/>
      <c r="J98" s="183">
        <f>J122</f>
        <v>309890.83000000002</v>
      </c>
      <c r="K98" s="180"/>
      <c r="L98" s="184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9" customFormat="1" ht="24.96" customHeight="1">
      <c r="A99" s="9"/>
      <c r="B99" s="173"/>
      <c r="C99" s="174"/>
      <c r="D99" s="175" t="s">
        <v>863</v>
      </c>
      <c r="E99" s="176"/>
      <c r="F99" s="176"/>
      <c r="G99" s="176"/>
      <c r="H99" s="176"/>
      <c r="I99" s="176"/>
      <c r="J99" s="177">
        <f>J181</f>
        <v>20480</v>
      </c>
      <c r="K99" s="174"/>
      <c r="L99" s="178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="10" customFormat="1" ht="19.92" customHeight="1">
      <c r="A100" s="10"/>
      <c r="B100" s="179"/>
      <c r="C100" s="180"/>
      <c r="D100" s="181" t="s">
        <v>864</v>
      </c>
      <c r="E100" s="182"/>
      <c r="F100" s="182"/>
      <c r="G100" s="182"/>
      <c r="H100" s="182"/>
      <c r="I100" s="182"/>
      <c r="J100" s="183">
        <f>J182</f>
        <v>20480</v>
      </c>
      <c r="K100" s="180"/>
      <c r="L100" s="184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2" customFormat="1" ht="21.84" customHeight="1">
      <c r="A101" s="32"/>
      <c r="B101" s="33"/>
      <c r="C101" s="34"/>
      <c r="D101" s="34"/>
      <c r="E101" s="34"/>
      <c r="F101" s="34"/>
      <c r="G101" s="34"/>
      <c r="H101" s="34"/>
      <c r="I101" s="34"/>
      <c r="J101" s="34"/>
      <c r="K101" s="34"/>
      <c r="L101" s="5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s="2" customFormat="1" ht="6.96" customHeight="1">
      <c r="A102" s="32"/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5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6" s="2" customFormat="1" ht="6.96" customHeight="1">
      <c r="A106" s="32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5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s="2" customFormat="1" ht="24.96" customHeight="1">
      <c r="A107" s="32"/>
      <c r="B107" s="33"/>
      <c r="C107" s="23" t="s">
        <v>127</v>
      </c>
      <c r="D107" s="34"/>
      <c r="E107" s="34"/>
      <c r="F107" s="34"/>
      <c r="G107" s="34"/>
      <c r="H107" s="34"/>
      <c r="I107" s="34"/>
      <c r="J107" s="34"/>
      <c r="K107" s="34"/>
      <c r="L107" s="5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s="2" customFormat="1" ht="6.96" customHeight="1">
      <c r="A108" s="32"/>
      <c r="B108" s="33"/>
      <c r="C108" s="34"/>
      <c r="D108" s="34"/>
      <c r="E108" s="34"/>
      <c r="F108" s="34"/>
      <c r="G108" s="34"/>
      <c r="H108" s="34"/>
      <c r="I108" s="34"/>
      <c r="J108" s="34"/>
      <c r="K108" s="34"/>
      <c r="L108" s="5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s="2" customFormat="1" ht="12" customHeight="1">
      <c r="A109" s="32"/>
      <c r="B109" s="33"/>
      <c r="C109" s="29" t="s">
        <v>14</v>
      </c>
      <c r="D109" s="34"/>
      <c r="E109" s="34"/>
      <c r="F109" s="34"/>
      <c r="G109" s="34"/>
      <c r="H109" s="34"/>
      <c r="I109" s="34"/>
      <c r="J109" s="34"/>
      <c r="K109" s="34"/>
      <c r="L109" s="5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s="2" customFormat="1" ht="16.5" customHeight="1">
      <c r="A110" s="32"/>
      <c r="B110" s="33"/>
      <c r="C110" s="34"/>
      <c r="D110" s="34"/>
      <c r="E110" s="168" t="str">
        <f>E7</f>
        <v>RD Valcha SO1+ SO2</v>
      </c>
      <c r="F110" s="29"/>
      <c r="G110" s="29"/>
      <c r="H110" s="29"/>
      <c r="I110" s="34"/>
      <c r="J110" s="34"/>
      <c r="K110" s="34"/>
      <c r="L110" s="5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s="2" customFormat="1" ht="12" customHeight="1">
      <c r="A111" s="32"/>
      <c r="B111" s="33"/>
      <c r="C111" s="29" t="s">
        <v>103</v>
      </c>
      <c r="D111" s="34"/>
      <c r="E111" s="34"/>
      <c r="F111" s="34"/>
      <c r="G111" s="34"/>
      <c r="H111" s="34"/>
      <c r="I111" s="34"/>
      <c r="J111" s="34"/>
      <c r="K111" s="34"/>
      <c r="L111" s="5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s="2" customFormat="1" ht="16.5" customHeight="1">
      <c r="A112" s="32"/>
      <c r="B112" s="33"/>
      <c r="C112" s="34"/>
      <c r="D112" s="34"/>
      <c r="E112" s="69" t="str">
        <f>E9</f>
        <v>Elektroinstalace - RD Valcha</v>
      </c>
      <c r="F112" s="34"/>
      <c r="G112" s="34"/>
      <c r="H112" s="34"/>
      <c r="I112" s="34"/>
      <c r="J112" s="34"/>
      <c r="K112" s="34"/>
      <c r="L112" s="5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s="2" customFormat="1" ht="6.96" customHeight="1">
      <c r="A113" s="32"/>
      <c r="B113" s="33"/>
      <c r="C113" s="34"/>
      <c r="D113" s="34"/>
      <c r="E113" s="34"/>
      <c r="F113" s="34"/>
      <c r="G113" s="34"/>
      <c r="H113" s="34"/>
      <c r="I113" s="34"/>
      <c r="J113" s="34"/>
      <c r="K113" s="34"/>
      <c r="L113" s="5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s="2" customFormat="1" ht="12" customHeight="1">
      <c r="A114" s="32"/>
      <c r="B114" s="33"/>
      <c r="C114" s="29" t="s">
        <v>20</v>
      </c>
      <c r="D114" s="34"/>
      <c r="E114" s="34"/>
      <c r="F114" s="26" t="str">
        <f>F12</f>
        <v xml:space="preserve"> </v>
      </c>
      <c r="G114" s="34"/>
      <c r="H114" s="34"/>
      <c r="I114" s="29" t="s">
        <v>22</v>
      </c>
      <c r="J114" s="72" t="str">
        <f>IF(J12="","",J12)</f>
        <v>8. 9. 2025</v>
      </c>
      <c r="K114" s="34"/>
      <c r="L114" s="5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s="2" customFormat="1" ht="6.96" customHeight="1">
      <c r="A115" s="32"/>
      <c r="B115" s="33"/>
      <c r="C115" s="34"/>
      <c r="D115" s="34"/>
      <c r="E115" s="34"/>
      <c r="F115" s="34"/>
      <c r="G115" s="34"/>
      <c r="H115" s="34"/>
      <c r="I115" s="34"/>
      <c r="J115" s="34"/>
      <c r="K115" s="34"/>
      <c r="L115" s="5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="2" customFormat="1" ht="15.15" customHeight="1">
      <c r="A116" s="32"/>
      <c r="B116" s="33"/>
      <c r="C116" s="29" t="s">
        <v>26</v>
      </c>
      <c r="D116" s="34"/>
      <c r="E116" s="34"/>
      <c r="F116" s="26" t="str">
        <f>E15</f>
        <v xml:space="preserve"> </v>
      </c>
      <c r="G116" s="34"/>
      <c r="H116" s="34"/>
      <c r="I116" s="29" t="s">
        <v>30</v>
      </c>
      <c r="J116" s="30" t="str">
        <f>E21</f>
        <v xml:space="preserve"> </v>
      </c>
      <c r="K116" s="34"/>
      <c r="L116" s="5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="2" customFormat="1" ht="15.15" customHeight="1">
      <c r="A117" s="32"/>
      <c r="B117" s="33"/>
      <c r="C117" s="29" t="s">
        <v>29</v>
      </c>
      <c r="D117" s="34"/>
      <c r="E117" s="34"/>
      <c r="F117" s="26" t="str">
        <f>IF(E18="","",E18)</f>
        <v xml:space="preserve"> </v>
      </c>
      <c r="G117" s="34"/>
      <c r="H117" s="34"/>
      <c r="I117" s="29" t="s">
        <v>31</v>
      </c>
      <c r="J117" s="30" t="str">
        <f>E24</f>
        <v xml:space="preserve"> </v>
      </c>
      <c r="K117" s="34"/>
      <c r="L117" s="5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="2" customFormat="1" ht="10.32" customHeight="1">
      <c r="A118" s="32"/>
      <c r="B118" s="33"/>
      <c r="C118" s="34"/>
      <c r="D118" s="34"/>
      <c r="E118" s="34"/>
      <c r="F118" s="34"/>
      <c r="G118" s="34"/>
      <c r="H118" s="34"/>
      <c r="I118" s="34"/>
      <c r="J118" s="34"/>
      <c r="K118" s="34"/>
      <c r="L118" s="5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="11" customFormat="1" ht="29.28" customHeight="1">
      <c r="A119" s="185"/>
      <c r="B119" s="186"/>
      <c r="C119" s="187" t="s">
        <v>128</v>
      </c>
      <c r="D119" s="188" t="s">
        <v>59</v>
      </c>
      <c r="E119" s="188" t="s">
        <v>55</v>
      </c>
      <c r="F119" s="188" t="s">
        <v>56</v>
      </c>
      <c r="G119" s="188" t="s">
        <v>129</v>
      </c>
      <c r="H119" s="188" t="s">
        <v>130</v>
      </c>
      <c r="I119" s="188" t="s">
        <v>131</v>
      </c>
      <c r="J119" s="189" t="s">
        <v>107</v>
      </c>
      <c r="K119" s="190" t="s">
        <v>132</v>
      </c>
      <c r="L119" s="191"/>
      <c r="M119" s="93" t="s">
        <v>1</v>
      </c>
      <c r="N119" s="94" t="s">
        <v>38</v>
      </c>
      <c r="O119" s="94" t="s">
        <v>133</v>
      </c>
      <c r="P119" s="94" t="s">
        <v>134</v>
      </c>
      <c r="Q119" s="94" t="s">
        <v>135</v>
      </c>
      <c r="R119" s="94" t="s">
        <v>136</v>
      </c>
      <c r="S119" s="94" t="s">
        <v>137</v>
      </c>
      <c r="T119" s="95" t="s">
        <v>138</v>
      </c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 s="2" customFormat="1" ht="22.8" customHeight="1">
      <c r="A120" s="32"/>
      <c r="B120" s="33"/>
      <c r="C120" s="100" t="s">
        <v>139</v>
      </c>
      <c r="D120" s="34"/>
      <c r="E120" s="34"/>
      <c r="F120" s="34"/>
      <c r="G120" s="34"/>
      <c r="H120" s="34"/>
      <c r="I120" s="34"/>
      <c r="J120" s="192">
        <f>BK120</f>
        <v>330370.83000000002</v>
      </c>
      <c r="K120" s="34"/>
      <c r="L120" s="38"/>
      <c r="M120" s="96"/>
      <c r="N120" s="193"/>
      <c r="O120" s="97"/>
      <c r="P120" s="194">
        <f>P121+P181</f>
        <v>183.36600000000001</v>
      </c>
      <c r="Q120" s="97"/>
      <c r="R120" s="194">
        <f>R121+R181</f>
        <v>0.38837399999999994</v>
      </c>
      <c r="S120" s="97"/>
      <c r="T120" s="195">
        <f>T121+T181</f>
        <v>0</v>
      </c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T120" s="17" t="s">
        <v>73</v>
      </c>
      <c r="AU120" s="17" t="s">
        <v>109</v>
      </c>
      <c r="BK120" s="196">
        <f>BK121+BK181</f>
        <v>330370.83000000002</v>
      </c>
    </row>
    <row r="121" s="12" customFormat="1" ht="25.92" customHeight="1">
      <c r="A121" s="12"/>
      <c r="B121" s="197"/>
      <c r="C121" s="198"/>
      <c r="D121" s="199" t="s">
        <v>73</v>
      </c>
      <c r="E121" s="200" t="s">
        <v>425</v>
      </c>
      <c r="F121" s="200" t="s">
        <v>426</v>
      </c>
      <c r="G121" s="198"/>
      <c r="H121" s="198"/>
      <c r="I121" s="198"/>
      <c r="J121" s="201">
        <f>BK121</f>
        <v>309890.83000000002</v>
      </c>
      <c r="K121" s="198"/>
      <c r="L121" s="202"/>
      <c r="M121" s="203"/>
      <c r="N121" s="204"/>
      <c r="O121" s="204"/>
      <c r="P121" s="205">
        <f>P122</f>
        <v>180.96600000000001</v>
      </c>
      <c r="Q121" s="204"/>
      <c r="R121" s="205">
        <f>R122</f>
        <v>0.26787399999999995</v>
      </c>
      <c r="S121" s="204"/>
      <c r="T121" s="206">
        <f>T122</f>
        <v>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07" t="s">
        <v>83</v>
      </c>
      <c r="AT121" s="208" t="s">
        <v>73</v>
      </c>
      <c r="AU121" s="208" t="s">
        <v>74</v>
      </c>
      <c r="AY121" s="207" t="s">
        <v>142</v>
      </c>
      <c r="BK121" s="209">
        <f>BK122</f>
        <v>309890.83000000002</v>
      </c>
    </row>
    <row r="122" s="12" customFormat="1" ht="22.8" customHeight="1">
      <c r="A122" s="12"/>
      <c r="B122" s="197"/>
      <c r="C122" s="198"/>
      <c r="D122" s="199" t="s">
        <v>73</v>
      </c>
      <c r="E122" s="210" t="s">
        <v>865</v>
      </c>
      <c r="F122" s="210" t="s">
        <v>866</v>
      </c>
      <c r="G122" s="198"/>
      <c r="H122" s="198"/>
      <c r="I122" s="198"/>
      <c r="J122" s="211">
        <f>BK122</f>
        <v>309890.83000000002</v>
      </c>
      <c r="K122" s="198"/>
      <c r="L122" s="202"/>
      <c r="M122" s="203"/>
      <c r="N122" s="204"/>
      <c r="O122" s="204"/>
      <c r="P122" s="205">
        <f>SUM(P123:P180)</f>
        <v>180.96600000000001</v>
      </c>
      <c r="Q122" s="204"/>
      <c r="R122" s="205">
        <f>SUM(R123:R180)</f>
        <v>0.26787399999999995</v>
      </c>
      <c r="S122" s="204"/>
      <c r="T122" s="206">
        <f>SUM(T123:T180)</f>
        <v>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R122" s="207" t="s">
        <v>83</v>
      </c>
      <c r="AT122" s="208" t="s">
        <v>73</v>
      </c>
      <c r="AU122" s="208" t="s">
        <v>19</v>
      </c>
      <c r="AY122" s="207" t="s">
        <v>142</v>
      </c>
      <c r="BK122" s="209">
        <f>SUM(BK123:BK180)</f>
        <v>309890.83000000002</v>
      </c>
    </row>
    <row r="123" s="2" customFormat="1" ht="24.15" customHeight="1">
      <c r="A123" s="32"/>
      <c r="B123" s="33"/>
      <c r="C123" s="212" t="s">
        <v>19</v>
      </c>
      <c r="D123" s="212" t="s">
        <v>144</v>
      </c>
      <c r="E123" s="213" t="s">
        <v>867</v>
      </c>
      <c r="F123" s="214" t="s">
        <v>868</v>
      </c>
      <c r="G123" s="215" t="s">
        <v>326</v>
      </c>
      <c r="H123" s="216">
        <v>16</v>
      </c>
      <c r="I123" s="217">
        <v>39.799999999999997</v>
      </c>
      <c r="J123" s="217">
        <f>ROUND(I123*H123,2)</f>
        <v>636.79999999999995</v>
      </c>
      <c r="K123" s="218"/>
      <c r="L123" s="38"/>
      <c r="M123" s="219" t="s">
        <v>1</v>
      </c>
      <c r="N123" s="220" t="s">
        <v>39</v>
      </c>
      <c r="O123" s="221">
        <v>0.073999999999999996</v>
      </c>
      <c r="P123" s="221">
        <f>O123*H123</f>
        <v>1.1839999999999999</v>
      </c>
      <c r="Q123" s="221">
        <v>0</v>
      </c>
      <c r="R123" s="221">
        <f>Q123*H123</f>
        <v>0</v>
      </c>
      <c r="S123" s="221">
        <v>0</v>
      </c>
      <c r="T123" s="222">
        <f>S123*H123</f>
        <v>0</v>
      </c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R123" s="223" t="s">
        <v>222</v>
      </c>
      <c r="AT123" s="223" t="s">
        <v>144</v>
      </c>
      <c r="AU123" s="223" t="s">
        <v>83</v>
      </c>
      <c r="AY123" s="17" t="s">
        <v>142</v>
      </c>
      <c r="BE123" s="224">
        <f>IF(N123="základní",J123,0)</f>
        <v>636.79999999999995</v>
      </c>
      <c r="BF123" s="224">
        <f>IF(N123="snížená",J123,0)</f>
        <v>0</v>
      </c>
      <c r="BG123" s="224">
        <f>IF(N123="zákl. přenesená",J123,0)</f>
        <v>0</v>
      </c>
      <c r="BH123" s="224">
        <f>IF(N123="sníž. přenesená",J123,0)</f>
        <v>0</v>
      </c>
      <c r="BI123" s="224">
        <f>IF(N123="nulová",J123,0)</f>
        <v>0</v>
      </c>
      <c r="BJ123" s="17" t="s">
        <v>19</v>
      </c>
      <c r="BK123" s="224">
        <f>ROUND(I123*H123,2)</f>
        <v>636.79999999999995</v>
      </c>
      <c r="BL123" s="17" t="s">
        <v>222</v>
      </c>
      <c r="BM123" s="223" t="s">
        <v>869</v>
      </c>
    </row>
    <row r="124" s="2" customFormat="1" ht="24.15" customHeight="1">
      <c r="A124" s="32"/>
      <c r="B124" s="33"/>
      <c r="C124" s="258" t="s">
        <v>83</v>
      </c>
      <c r="D124" s="258" t="s">
        <v>475</v>
      </c>
      <c r="E124" s="259" t="s">
        <v>870</v>
      </c>
      <c r="F124" s="260" t="s">
        <v>871</v>
      </c>
      <c r="G124" s="261" t="s">
        <v>326</v>
      </c>
      <c r="H124" s="262">
        <v>18.399999999999999</v>
      </c>
      <c r="I124" s="263">
        <v>35.5</v>
      </c>
      <c r="J124" s="263">
        <f>ROUND(I124*H124,2)</f>
        <v>653.20000000000005</v>
      </c>
      <c r="K124" s="264"/>
      <c r="L124" s="265"/>
      <c r="M124" s="266" t="s">
        <v>1</v>
      </c>
      <c r="N124" s="267" t="s">
        <v>39</v>
      </c>
      <c r="O124" s="221">
        <v>0</v>
      </c>
      <c r="P124" s="221">
        <f>O124*H124</f>
        <v>0</v>
      </c>
      <c r="Q124" s="221">
        <v>0.00011</v>
      </c>
      <c r="R124" s="221">
        <f>Q124*H124</f>
        <v>0.0020239999999999998</v>
      </c>
      <c r="S124" s="221">
        <v>0</v>
      </c>
      <c r="T124" s="222">
        <f>S124*H124</f>
        <v>0</v>
      </c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R124" s="223" t="s">
        <v>241</v>
      </c>
      <c r="AT124" s="223" t="s">
        <v>475</v>
      </c>
      <c r="AU124" s="223" t="s">
        <v>83</v>
      </c>
      <c r="AY124" s="17" t="s">
        <v>142</v>
      </c>
      <c r="BE124" s="224">
        <f>IF(N124="základní",J124,0)</f>
        <v>653.20000000000005</v>
      </c>
      <c r="BF124" s="224">
        <f>IF(N124="snížená",J124,0)</f>
        <v>0</v>
      </c>
      <c r="BG124" s="224">
        <f>IF(N124="zákl. přenesená",J124,0)</f>
        <v>0</v>
      </c>
      <c r="BH124" s="224">
        <f>IF(N124="sníž. přenesená",J124,0)</f>
        <v>0</v>
      </c>
      <c r="BI124" s="224">
        <f>IF(N124="nulová",J124,0)</f>
        <v>0</v>
      </c>
      <c r="BJ124" s="17" t="s">
        <v>19</v>
      </c>
      <c r="BK124" s="224">
        <f>ROUND(I124*H124,2)</f>
        <v>653.20000000000005</v>
      </c>
      <c r="BL124" s="17" t="s">
        <v>222</v>
      </c>
      <c r="BM124" s="223" t="s">
        <v>872</v>
      </c>
    </row>
    <row r="125" s="13" customFormat="1">
      <c r="A125" s="13"/>
      <c r="B125" s="225"/>
      <c r="C125" s="226"/>
      <c r="D125" s="227" t="s">
        <v>149</v>
      </c>
      <c r="E125" s="226"/>
      <c r="F125" s="229" t="s">
        <v>873</v>
      </c>
      <c r="G125" s="226"/>
      <c r="H125" s="230">
        <v>18.399999999999999</v>
      </c>
      <c r="I125" s="226"/>
      <c r="J125" s="226"/>
      <c r="K125" s="226"/>
      <c r="L125" s="231"/>
      <c r="M125" s="232"/>
      <c r="N125" s="233"/>
      <c r="O125" s="233"/>
      <c r="P125" s="233"/>
      <c r="Q125" s="233"/>
      <c r="R125" s="233"/>
      <c r="S125" s="233"/>
      <c r="T125" s="234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T125" s="235" t="s">
        <v>149</v>
      </c>
      <c r="AU125" s="235" t="s">
        <v>83</v>
      </c>
      <c r="AV125" s="13" t="s">
        <v>83</v>
      </c>
      <c r="AW125" s="13" t="s">
        <v>4</v>
      </c>
      <c r="AX125" s="13" t="s">
        <v>19</v>
      </c>
      <c r="AY125" s="235" t="s">
        <v>142</v>
      </c>
    </row>
    <row r="126" s="2" customFormat="1" ht="33" customHeight="1">
      <c r="A126" s="32"/>
      <c r="B126" s="33"/>
      <c r="C126" s="212" t="s">
        <v>98</v>
      </c>
      <c r="D126" s="212" t="s">
        <v>144</v>
      </c>
      <c r="E126" s="213" t="s">
        <v>874</v>
      </c>
      <c r="F126" s="214" t="s">
        <v>875</v>
      </c>
      <c r="G126" s="215" t="s">
        <v>326</v>
      </c>
      <c r="H126" s="216">
        <v>18</v>
      </c>
      <c r="I126" s="217">
        <v>61.399999999999999</v>
      </c>
      <c r="J126" s="217">
        <f>ROUND(I126*H126,2)</f>
        <v>1105.2000000000001</v>
      </c>
      <c r="K126" s="218"/>
      <c r="L126" s="38"/>
      <c r="M126" s="219" t="s">
        <v>1</v>
      </c>
      <c r="N126" s="220" t="s">
        <v>39</v>
      </c>
      <c r="O126" s="221">
        <v>0.114</v>
      </c>
      <c r="P126" s="221">
        <f>O126*H126</f>
        <v>2.052</v>
      </c>
      <c r="Q126" s="221">
        <v>0</v>
      </c>
      <c r="R126" s="221">
        <f>Q126*H126</f>
        <v>0</v>
      </c>
      <c r="S126" s="221">
        <v>0</v>
      </c>
      <c r="T126" s="222">
        <f>S126*H126</f>
        <v>0</v>
      </c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R126" s="223" t="s">
        <v>222</v>
      </c>
      <c r="AT126" s="223" t="s">
        <v>144</v>
      </c>
      <c r="AU126" s="223" t="s">
        <v>83</v>
      </c>
      <c r="AY126" s="17" t="s">
        <v>142</v>
      </c>
      <c r="BE126" s="224">
        <f>IF(N126="základní",J126,0)</f>
        <v>1105.2000000000001</v>
      </c>
      <c r="BF126" s="224">
        <f>IF(N126="snížená",J126,0)</f>
        <v>0</v>
      </c>
      <c r="BG126" s="224">
        <f>IF(N126="zákl. přenesená",J126,0)</f>
        <v>0</v>
      </c>
      <c r="BH126" s="224">
        <f>IF(N126="sníž. přenesená",J126,0)</f>
        <v>0</v>
      </c>
      <c r="BI126" s="224">
        <f>IF(N126="nulová",J126,0)</f>
        <v>0</v>
      </c>
      <c r="BJ126" s="17" t="s">
        <v>19</v>
      </c>
      <c r="BK126" s="224">
        <f>ROUND(I126*H126,2)</f>
        <v>1105.2000000000001</v>
      </c>
      <c r="BL126" s="17" t="s">
        <v>222</v>
      </c>
      <c r="BM126" s="223" t="s">
        <v>876</v>
      </c>
    </row>
    <row r="127" s="15" customFormat="1">
      <c r="A127" s="15"/>
      <c r="B127" s="246"/>
      <c r="C127" s="247"/>
      <c r="D127" s="227" t="s">
        <v>149</v>
      </c>
      <c r="E127" s="248" t="s">
        <v>1</v>
      </c>
      <c r="F127" s="249" t="s">
        <v>877</v>
      </c>
      <c r="G127" s="247"/>
      <c r="H127" s="248" t="s">
        <v>1</v>
      </c>
      <c r="I127" s="247"/>
      <c r="J127" s="247"/>
      <c r="K127" s="247"/>
      <c r="L127" s="250"/>
      <c r="M127" s="251"/>
      <c r="N127" s="252"/>
      <c r="O127" s="252"/>
      <c r="P127" s="252"/>
      <c r="Q127" s="252"/>
      <c r="R127" s="252"/>
      <c r="S127" s="252"/>
      <c r="T127" s="253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T127" s="254" t="s">
        <v>149</v>
      </c>
      <c r="AU127" s="254" t="s">
        <v>83</v>
      </c>
      <c r="AV127" s="15" t="s">
        <v>19</v>
      </c>
      <c r="AW127" s="15" t="s">
        <v>32</v>
      </c>
      <c r="AX127" s="15" t="s">
        <v>74</v>
      </c>
      <c r="AY127" s="254" t="s">
        <v>142</v>
      </c>
    </row>
    <row r="128" s="13" customFormat="1">
      <c r="A128" s="13"/>
      <c r="B128" s="225"/>
      <c r="C128" s="226"/>
      <c r="D128" s="227" t="s">
        <v>149</v>
      </c>
      <c r="E128" s="228" t="s">
        <v>1</v>
      </c>
      <c r="F128" s="229" t="s">
        <v>233</v>
      </c>
      <c r="G128" s="226"/>
      <c r="H128" s="230">
        <v>18</v>
      </c>
      <c r="I128" s="226"/>
      <c r="J128" s="226"/>
      <c r="K128" s="226"/>
      <c r="L128" s="231"/>
      <c r="M128" s="232"/>
      <c r="N128" s="233"/>
      <c r="O128" s="233"/>
      <c r="P128" s="233"/>
      <c r="Q128" s="233"/>
      <c r="R128" s="233"/>
      <c r="S128" s="233"/>
      <c r="T128" s="23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35" t="s">
        <v>149</v>
      </c>
      <c r="AU128" s="235" t="s">
        <v>83</v>
      </c>
      <c r="AV128" s="13" t="s">
        <v>83</v>
      </c>
      <c r="AW128" s="13" t="s">
        <v>32</v>
      </c>
      <c r="AX128" s="13" t="s">
        <v>19</v>
      </c>
      <c r="AY128" s="235" t="s">
        <v>142</v>
      </c>
    </row>
    <row r="129" s="2" customFormat="1" ht="16.5" customHeight="1">
      <c r="A129" s="32"/>
      <c r="B129" s="33"/>
      <c r="C129" s="258" t="s">
        <v>147</v>
      </c>
      <c r="D129" s="258" t="s">
        <v>475</v>
      </c>
      <c r="E129" s="259" t="s">
        <v>878</v>
      </c>
      <c r="F129" s="260" t="s">
        <v>879</v>
      </c>
      <c r="G129" s="261" t="s">
        <v>880</v>
      </c>
      <c r="H129" s="262">
        <v>0.017999999999999999</v>
      </c>
      <c r="I129" s="263">
        <v>105203</v>
      </c>
      <c r="J129" s="263">
        <f>ROUND(I129*H129,2)</f>
        <v>1893.6500000000001</v>
      </c>
      <c r="K129" s="264"/>
      <c r="L129" s="265"/>
      <c r="M129" s="266" t="s">
        <v>1</v>
      </c>
      <c r="N129" s="267" t="s">
        <v>39</v>
      </c>
      <c r="O129" s="221">
        <v>0</v>
      </c>
      <c r="P129" s="221">
        <f>O129*H129</f>
        <v>0</v>
      </c>
      <c r="Q129" s="221">
        <v>0.53000000000000003</v>
      </c>
      <c r="R129" s="221">
        <f>Q129*H129</f>
        <v>0.0095399999999999999</v>
      </c>
      <c r="S129" s="221">
        <v>0</v>
      </c>
      <c r="T129" s="222">
        <f>S129*H129</f>
        <v>0</v>
      </c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R129" s="223" t="s">
        <v>241</v>
      </c>
      <c r="AT129" s="223" t="s">
        <v>475</v>
      </c>
      <c r="AU129" s="223" t="s">
        <v>83</v>
      </c>
      <c r="AY129" s="17" t="s">
        <v>142</v>
      </c>
      <c r="BE129" s="224">
        <f>IF(N129="základní",J129,0)</f>
        <v>1893.6500000000001</v>
      </c>
      <c r="BF129" s="224">
        <f>IF(N129="snížená",J129,0)</f>
        <v>0</v>
      </c>
      <c r="BG129" s="224">
        <f>IF(N129="zákl. přenesená",J129,0)</f>
        <v>0</v>
      </c>
      <c r="BH129" s="224">
        <f>IF(N129="sníž. přenesená",J129,0)</f>
        <v>0</v>
      </c>
      <c r="BI129" s="224">
        <f>IF(N129="nulová",J129,0)</f>
        <v>0</v>
      </c>
      <c r="BJ129" s="17" t="s">
        <v>19</v>
      </c>
      <c r="BK129" s="224">
        <f>ROUND(I129*H129,2)</f>
        <v>1893.6500000000001</v>
      </c>
      <c r="BL129" s="17" t="s">
        <v>222</v>
      </c>
      <c r="BM129" s="223" t="s">
        <v>881</v>
      </c>
    </row>
    <row r="130" s="2" customFormat="1" ht="33" customHeight="1">
      <c r="A130" s="32"/>
      <c r="B130" s="33"/>
      <c r="C130" s="212" t="s">
        <v>163</v>
      </c>
      <c r="D130" s="212" t="s">
        <v>144</v>
      </c>
      <c r="E130" s="213" t="s">
        <v>882</v>
      </c>
      <c r="F130" s="214" t="s">
        <v>883</v>
      </c>
      <c r="G130" s="215" t="s">
        <v>326</v>
      </c>
      <c r="H130" s="216">
        <v>16</v>
      </c>
      <c r="I130" s="217">
        <v>63.5</v>
      </c>
      <c r="J130" s="217">
        <f>ROUND(I130*H130,2)</f>
        <v>1016</v>
      </c>
      <c r="K130" s="218"/>
      <c r="L130" s="38"/>
      <c r="M130" s="219" t="s">
        <v>1</v>
      </c>
      <c r="N130" s="220" t="s">
        <v>39</v>
      </c>
      <c r="O130" s="221">
        <v>0.11799999999999999</v>
      </c>
      <c r="P130" s="221">
        <f>O130*H130</f>
        <v>1.8879999999999999</v>
      </c>
      <c r="Q130" s="221">
        <v>0</v>
      </c>
      <c r="R130" s="221">
        <f>Q130*H130</f>
        <v>0</v>
      </c>
      <c r="S130" s="221">
        <v>0</v>
      </c>
      <c r="T130" s="222">
        <f>S130*H130</f>
        <v>0</v>
      </c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R130" s="223" t="s">
        <v>222</v>
      </c>
      <c r="AT130" s="223" t="s">
        <v>144</v>
      </c>
      <c r="AU130" s="223" t="s">
        <v>83</v>
      </c>
      <c r="AY130" s="17" t="s">
        <v>142</v>
      </c>
      <c r="BE130" s="224">
        <f>IF(N130="základní",J130,0)</f>
        <v>1016</v>
      </c>
      <c r="BF130" s="224">
        <f>IF(N130="snížená",J130,0)</f>
        <v>0</v>
      </c>
      <c r="BG130" s="224">
        <f>IF(N130="zákl. přenesená",J130,0)</f>
        <v>0</v>
      </c>
      <c r="BH130" s="224">
        <f>IF(N130="sníž. přenesená",J130,0)</f>
        <v>0</v>
      </c>
      <c r="BI130" s="224">
        <f>IF(N130="nulová",J130,0)</f>
        <v>0</v>
      </c>
      <c r="BJ130" s="17" t="s">
        <v>19</v>
      </c>
      <c r="BK130" s="224">
        <f>ROUND(I130*H130,2)</f>
        <v>1016</v>
      </c>
      <c r="BL130" s="17" t="s">
        <v>222</v>
      </c>
      <c r="BM130" s="223" t="s">
        <v>884</v>
      </c>
    </row>
    <row r="131" s="15" customFormat="1">
      <c r="A131" s="15"/>
      <c r="B131" s="246"/>
      <c r="C131" s="247"/>
      <c r="D131" s="227" t="s">
        <v>149</v>
      </c>
      <c r="E131" s="248" t="s">
        <v>1</v>
      </c>
      <c r="F131" s="249" t="s">
        <v>885</v>
      </c>
      <c r="G131" s="247"/>
      <c r="H131" s="248" t="s">
        <v>1</v>
      </c>
      <c r="I131" s="247"/>
      <c r="J131" s="247"/>
      <c r="K131" s="247"/>
      <c r="L131" s="250"/>
      <c r="M131" s="251"/>
      <c r="N131" s="252"/>
      <c r="O131" s="252"/>
      <c r="P131" s="252"/>
      <c r="Q131" s="252"/>
      <c r="R131" s="252"/>
      <c r="S131" s="252"/>
      <c r="T131" s="253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T131" s="254" t="s">
        <v>149</v>
      </c>
      <c r="AU131" s="254" t="s">
        <v>83</v>
      </c>
      <c r="AV131" s="15" t="s">
        <v>19</v>
      </c>
      <c r="AW131" s="15" t="s">
        <v>32</v>
      </c>
      <c r="AX131" s="15" t="s">
        <v>74</v>
      </c>
      <c r="AY131" s="254" t="s">
        <v>142</v>
      </c>
    </row>
    <row r="132" s="13" customFormat="1">
      <c r="A132" s="13"/>
      <c r="B132" s="225"/>
      <c r="C132" s="226"/>
      <c r="D132" s="227" t="s">
        <v>149</v>
      </c>
      <c r="E132" s="228" t="s">
        <v>1</v>
      </c>
      <c r="F132" s="229" t="s">
        <v>886</v>
      </c>
      <c r="G132" s="226"/>
      <c r="H132" s="230">
        <v>16</v>
      </c>
      <c r="I132" s="226"/>
      <c r="J132" s="226"/>
      <c r="K132" s="226"/>
      <c r="L132" s="231"/>
      <c r="M132" s="232"/>
      <c r="N132" s="233"/>
      <c r="O132" s="233"/>
      <c r="P132" s="233"/>
      <c r="Q132" s="233"/>
      <c r="R132" s="233"/>
      <c r="S132" s="233"/>
      <c r="T132" s="23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35" t="s">
        <v>149</v>
      </c>
      <c r="AU132" s="235" t="s">
        <v>83</v>
      </c>
      <c r="AV132" s="13" t="s">
        <v>83</v>
      </c>
      <c r="AW132" s="13" t="s">
        <v>32</v>
      </c>
      <c r="AX132" s="13" t="s">
        <v>19</v>
      </c>
      <c r="AY132" s="235" t="s">
        <v>142</v>
      </c>
    </row>
    <row r="133" s="2" customFormat="1" ht="16.5" customHeight="1">
      <c r="A133" s="32"/>
      <c r="B133" s="33"/>
      <c r="C133" s="258" t="s">
        <v>168</v>
      </c>
      <c r="D133" s="258" t="s">
        <v>475</v>
      </c>
      <c r="E133" s="259" t="s">
        <v>887</v>
      </c>
      <c r="F133" s="260" t="s">
        <v>888</v>
      </c>
      <c r="G133" s="261" t="s">
        <v>880</v>
      </c>
      <c r="H133" s="262">
        <v>0.016</v>
      </c>
      <c r="I133" s="263">
        <v>164529.79999999999</v>
      </c>
      <c r="J133" s="263">
        <f>ROUND(I133*H133,2)</f>
        <v>2632.48</v>
      </c>
      <c r="K133" s="264"/>
      <c r="L133" s="265"/>
      <c r="M133" s="266" t="s">
        <v>1</v>
      </c>
      <c r="N133" s="267" t="s">
        <v>39</v>
      </c>
      <c r="O133" s="221">
        <v>0</v>
      </c>
      <c r="P133" s="221">
        <f>O133*H133</f>
        <v>0</v>
      </c>
      <c r="Q133" s="221">
        <v>0.77000000000000002</v>
      </c>
      <c r="R133" s="221">
        <f>Q133*H133</f>
        <v>0.012320000000000001</v>
      </c>
      <c r="S133" s="221">
        <v>0</v>
      </c>
      <c r="T133" s="222">
        <f>S133*H133</f>
        <v>0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R133" s="223" t="s">
        <v>241</v>
      </c>
      <c r="AT133" s="223" t="s">
        <v>475</v>
      </c>
      <c r="AU133" s="223" t="s">
        <v>83</v>
      </c>
      <c r="AY133" s="17" t="s">
        <v>142</v>
      </c>
      <c r="BE133" s="224">
        <f>IF(N133="základní",J133,0)</f>
        <v>2632.48</v>
      </c>
      <c r="BF133" s="224">
        <f>IF(N133="snížená",J133,0)</f>
        <v>0</v>
      </c>
      <c r="BG133" s="224">
        <f>IF(N133="zákl. přenesená",J133,0)</f>
        <v>0</v>
      </c>
      <c r="BH133" s="224">
        <f>IF(N133="sníž. přenesená",J133,0)</f>
        <v>0</v>
      </c>
      <c r="BI133" s="224">
        <f>IF(N133="nulová",J133,0)</f>
        <v>0</v>
      </c>
      <c r="BJ133" s="17" t="s">
        <v>19</v>
      </c>
      <c r="BK133" s="224">
        <f>ROUND(I133*H133,2)</f>
        <v>2632.48</v>
      </c>
      <c r="BL133" s="17" t="s">
        <v>222</v>
      </c>
      <c r="BM133" s="223" t="s">
        <v>889</v>
      </c>
    </row>
    <row r="134" s="2" customFormat="1" ht="24.15" customHeight="1">
      <c r="A134" s="32"/>
      <c r="B134" s="33"/>
      <c r="C134" s="212" t="s">
        <v>174</v>
      </c>
      <c r="D134" s="212" t="s">
        <v>144</v>
      </c>
      <c r="E134" s="213" t="s">
        <v>890</v>
      </c>
      <c r="F134" s="214" t="s">
        <v>891</v>
      </c>
      <c r="G134" s="215" t="s">
        <v>284</v>
      </c>
      <c r="H134" s="216">
        <v>50</v>
      </c>
      <c r="I134" s="217">
        <v>125</v>
      </c>
      <c r="J134" s="217">
        <f>ROUND(I134*H134,2)</f>
        <v>6250</v>
      </c>
      <c r="K134" s="218"/>
      <c r="L134" s="38"/>
      <c r="M134" s="219" t="s">
        <v>1</v>
      </c>
      <c r="N134" s="220" t="s">
        <v>39</v>
      </c>
      <c r="O134" s="221">
        <v>0.249</v>
      </c>
      <c r="P134" s="221">
        <f>O134*H134</f>
        <v>12.449999999999999</v>
      </c>
      <c r="Q134" s="221">
        <v>0</v>
      </c>
      <c r="R134" s="221">
        <f>Q134*H134</f>
        <v>0</v>
      </c>
      <c r="S134" s="221">
        <v>0</v>
      </c>
      <c r="T134" s="222">
        <f>S134*H134</f>
        <v>0</v>
      </c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R134" s="223" t="s">
        <v>454</v>
      </c>
      <c r="AT134" s="223" t="s">
        <v>144</v>
      </c>
      <c r="AU134" s="223" t="s">
        <v>83</v>
      </c>
      <c r="AY134" s="17" t="s">
        <v>142</v>
      </c>
      <c r="BE134" s="224">
        <f>IF(N134="základní",J134,0)</f>
        <v>6250</v>
      </c>
      <c r="BF134" s="224">
        <f>IF(N134="snížená",J134,0)</f>
        <v>0</v>
      </c>
      <c r="BG134" s="224">
        <f>IF(N134="zákl. přenesená",J134,0)</f>
        <v>0</v>
      </c>
      <c r="BH134" s="224">
        <f>IF(N134="sníž. přenesená",J134,0)</f>
        <v>0</v>
      </c>
      <c r="BI134" s="224">
        <f>IF(N134="nulová",J134,0)</f>
        <v>0</v>
      </c>
      <c r="BJ134" s="17" t="s">
        <v>19</v>
      </c>
      <c r="BK134" s="224">
        <f>ROUND(I134*H134,2)</f>
        <v>6250</v>
      </c>
      <c r="BL134" s="17" t="s">
        <v>454</v>
      </c>
      <c r="BM134" s="223" t="s">
        <v>892</v>
      </c>
    </row>
    <row r="135" s="2" customFormat="1" ht="24.15" customHeight="1">
      <c r="A135" s="32"/>
      <c r="B135" s="33"/>
      <c r="C135" s="258" t="s">
        <v>179</v>
      </c>
      <c r="D135" s="258" t="s">
        <v>475</v>
      </c>
      <c r="E135" s="259" t="s">
        <v>893</v>
      </c>
      <c r="F135" s="260" t="s">
        <v>894</v>
      </c>
      <c r="G135" s="261" t="s">
        <v>284</v>
      </c>
      <c r="H135" s="262">
        <v>50</v>
      </c>
      <c r="I135" s="263">
        <v>136</v>
      </c>
      <c r="J135" s="263">
        <f>ROUND(I135*H135,2)</f>
        <v>6800</v>
      </c>
      <c r="K135" s="264"/>
      <c r="L135" s="265"/>
      <c r="M135" s="266" t="s">
        <v>1</v>
      </c>
      <c r="N135" s="267" t="s">
        <v>39</v>
      </c>
      <c r="O135" s="221">
        <v>0</v>
      </c>
      <c r="P135" s="221">
        <f>O135*H135</f>
        <v>0</v>
      </c>
      <c r="Q135" s="221">
        <v>6.0000000000000002E-05</v>
      </c>
      <c r="R135" s="221">
        <f>Q135*H135</f>
        <v>0.0030000000000000001</v>
      </c>
      <c r="S135" s="221">
        <v>0</v>
      </c>
      <c r="T135" s="222">
        <f>S135*H135</f>
        <v>0</v>
      </c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R135" s="223" t="s">
        <v>895</v>
      </c>
      <c r="AT135" s="223" t="s">
        <v>475</v>
      </c>
      <c r="AU135" s="223" t="s">
        <v>83</v>
      </c>
      <c r="AY135" s="17" t="s">
        <v>142</v>
      </c>
      <c r="BE135" s="224">
        <f>IF(N135="základní",J135,0)</f>
        <v>6800</v>
      </c>
      <c r="BF135" s="224">
        <f>IF(N135="snížená",J135,0)</f>
        <v>0</v>
      </c>
      <c r="BG135" s="224">
        <f>IF(N135="zákl. přenesená",J135,0)</f>
        <v>0</v>
      </c>
      <c r="BH135" s="224">
        <f>IF(N135="sníž. přenesená",J135,0)</f>
        <v>0</v>
      </c>
      <c r="BI135" s="224">
        <f>IF(N135="nulová",J135,0)</f>
        <v>0</v>
      </c>
      <c r="BJ135" s="17" t="s">
        <v>19</v>
      </c>
      <c r="BK135" s="224">
        <f>ROUND(I135*H135,2)</f>
        <v>6800</v>
      </c>
      <c r="BL135" s="17" t="s">
        <v>895</v>
      </c>
      <c r="BM135" s="223" t="s">
        <v>896</v>
      </c>
    </row>
    <row r="136" s="2" customFormat="1" ht="37.8" customHeight="1">
      <c r="A136" s="32"/>
      <c r="B136" s="33"/>
      <c r="C136" s="212" t="s">
        <v>186</v>
      </c>
      <c r="D136" s="212" t="s">
        <v>144</v>
      </c>
      <c r="E136" s="213" t="s">
        <v>897</v>
      </c>
      <c r="F136" s="214" t="s">
        <v>898</v>
      </c>
      <c r="G136" s="215" t="s">
        <v>284</v>
      </c>
      <c r="H136" s="216">
        <v>38</v>
      </c>
      <c r="I136" s="217">
        <v>412</v>
      </c>
      <c r="J136" s="217">
        <f>ROUND(I136*H136,2)</f>
        <v>15656</v>
      </c>
      <c r="K136" s="218"/>
      <c r="L136" s="38"/>
      <c r="M136" s="219" t="s">
        <v>1</v>
      </c>
      <c r="N136" s="220" t="s">
        <v>39</v>
      </c>
      <c r="O136" s="221">
        <v>0.76600000000000001</v>
      </c>
      <c r="P136" s="221">
        <f>O136*H136</f>
        <v>29.108000000000001</v>
      </c>
      <c r="Q136" s="221">
        <v>0</v>
      </c>
      <c r="R136" s="221">
        <f>Q136*H136</f>
        <v>0</v>
      </c>
      <c r="S136" s="221">
        <v>0</v>
      </c>
      <c r="T136" s="222">
        <f>S136*H136</f>
        <v>0</v>
      </c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R136" s="223" t="s">
        <v>222</v>
      </c>
      <c r="AT136" s="223" t="s">
        <v>144</v>
      </c>
      <c r="AU136" s="223" t="s">
        <v>83</v>
      </c>
      <c r="AY136" s="17" t="s">
        <v>142</v>
      </c>
      <c r="BE136" s="224">
        <f>IF(N136="základní",J136,0)</f>
        <v>15656</v>
      </c>
      <c r="BF136" s="224">
        <f>IF(N136="snížená",J136,0)</f>
        <v>0</v>
      </c>
      <c r="BG136" s="224">
        <f>IF(N136="zákl. přenesená",J136,0)</f>
        <v>0</v>
      </c>
      <c r="BH136" s="224">
        <f>IF(N136="sníž. přenesená",J136,0)</f>
        <v>0</v>
      </c>
      <c r="BI136" s="224">
        <f>IF(N136="nulová",J136,0)</f>
        <v>0</v>
      </c>
      <c r="BJ136" s="17" t="s">
        <v>19</v>
      </c>
      <c r="BK136" s="224">
        <f>ROUND(I136*H136,2)</f>
        <v>15656</v>
      </c>
      <c r="BL136" s="17" t="s">
        <v>222</v>
      </c>
      <c r="BM136" s="223" t="s">
        <v>899</v>
      </c>
    </row>
    <row r="137" s="2" customFormat="1" ht="24.15" customHeight="1">
      <c r="A137" s="32"/>
      <c r="B137" s="33"/>
      <c r="C137" s="258" t="s">
        <v>24</v>
      </c>
      <c r="D137" s="258" t="s">
        <v>475</v>
      </c>
      <c r="E137" s="259" t="s">
        <v>900</v>
      </c>
      <c r="F137" s="260" t="s">
        <v>901</v>
      </c>
      <c r="G137" s="261" t="s">
        <v>284</v>
      </c>
      <c r="H137" s="262">
        <v>38</v>
      </c>
      <c r="I137" s="263">
        <v>734</v>
      </c>
      <c r="J137" s="263">
        <f>ROUND(I137*H137,2)</f>
        <v>27892</v>
      </c>
      <c r="K137" s="264"/>
      <c r="L137" s="265"/>
      <c r="M137" s="266" t="s">
        <v>1</v>
      </c>
      <c r="N137" s="267" t="s">
        <v>39</v>
      </c>
      <c r="O137" s="221">
        <v>0</v>
      </c>
      <c r="P137" s="221">
        <f>O137*H137</f>
        <v>0</v>
      </c>
      <c r="Q137" s="221">
        <v>0.00051000000000000004</v>
      </c>
      <c r="R137" s="221">
        <f>Q137*H137</f>
        <v>0.019380000000000001</v>
      </c>
      <c r="S137" s="221">
        <v>0</v>
      </c>
      <c r="T137" s="222">
        <f>S137*H137</f>
        <v>0</v>
      </c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R137" s="223" t="s">
        <v>241</v>
      </c>
      <c r="AT137" s="223" t="s">
        <v>475</v>
      </c>
      <c r="AU137" s="223" t="s">
        <v>83</v>
      </c>
      <c r="AY137" s="17" t="s">
        <v>142</v>
      </c>
      <c r="BE137" s="224">
        <f>IF(N137="základní",J137,0)</f>
        <v>27892</v>
      </c>
      <c r="BF137" s="224">
        <f>IF(N137="snížená",J137,0)</f>
        <v>0</v>
      </c>
      <c r="BG137" s="224">
        <f>IF(N137="zákl. přenesená",J137,0)</f>
        <v>0</v>
      </c>
      <c r="BH137" s="224">
        <f>IF(N137="sníž. přenesená",J137,0)</f>
        <v>0</v>
      </c>
      <c r="BI137" s="224">
        <f>IF(N137="nulová",J137,0)</f>
        <v>0</v>
      </c>
      <c r="BJ137" s="17" t="s">
        <v>19</v>
      </c>
      <c r="BK137" s="224">
        <f>ROUND(I137*H137,2)</f>
        <v>27892</v>
      </c>
      <c r="BL137" s="17" t="s">
        <v>222</v>
      </c>
      <c r="BM137" s="223" t="s">
        <v>902</v>
      </c>
    </row>
    <row r="138" s="2" customFormat="1" ht="16.5" customHeight="1">
      <c r="A138" s="32"/>
      <c r="B138" s="33"/>
      <c r="C138" s="258" t="s">
        <v>196</v>
      </c>
      <c r="D138" s="258" t="s">
        <v>475</v>
      </c>
      <c r="E138" s="259" t="s">
        <v>903</v>
      </c>
      <c r="F138" s="260" t="s">
        <v>904</v>
      </c>
      <c r="G138" s="261" t="s">
        <v>284</v>
      </c>
      <c r="H138" s="262">
        <v>2</v>
      </c>
      <c r="I138" s="263">
        <v>784</v>
      </c>
      <c r="J138" s="263">
        <f>ROUND(I138*H138,2)</f>
        <v>1568</v>
      </c>
      <c r="K138" s="264"/>
      <c r="L138" s="265"/>
      <c r="M138" s="266" t="s">
        <v>1</v>
      </c>
      <c r="N138" s="267" t="s">
        <v>39</v>
      </c>
      <c r="O138" s="221">
        <v>0</v>
      </c>
      <c r="P138" s="221">
        <f>O138*H138</f>
        <v>0</v>
      </c>
      <c r="Q138" s="221">
        <v>0.00050000000000000001</v>
      </c>
      <c r="R138" s="221">
        <f>Q138*H138</f>
        <v>0.001</v>
      </c>
      <c r="S138" s="221">
        <v>0</v>
      </c>
      <c r="T138" s="222">
        <f>S138*H138</f>
        <v>0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R138" s="223" t="s">
        <v>241</v>
      </c>
      <c r="AT138" s="223" t="s">
        <v>475</v>
      </c>
      <c r="AU138" s="223" t="s">
        <v>83</v>
      </c>
      <c r="AY138" s="17" t="s">
        <v>142</v>
      </c>
      <c r="BE138" s="224">
        <f>IF(N138="základní",J138,0)</f>
        <v>1568</v>
      </c>
      <c r="BF138" s="224">
        <f>IF(N138="snížená",J138,0)</f>
        <v>0</v>
      </c>
      <c r="BG138" s="224">
        <f>IF(N138="zákl. přenesená",J138,0)</f>
        <v>0</v>
      </c>
      <c r="BH138" s="224">
        <f>IF(N138="sníž. přenesená",J138,0)</f>
        <v>0</v>
      </c>
      <c r="BI138" s="224">
        <f>IF(N138="nulová",J138,0)</f>
        <v>0</v>
      </c>
      <c r="BJ138" s="17" t="s">
        <v>19</v>
      </c>
      <c r="BK138" s="224">
        <f>ROUND(I138*H138,2)</f>
        <v>1568</v>
      </c>
      <c r="BL138" s="17" t="s">
        <v>222</v>
      </c>
      <c r="BM138" s="223" t="s">
        <v>905</v>
      </c>
    </row>
    <row r="139" s="2" customFormat="1" ht="24.15" customHeight="1">
      <c r="A139" s="32"/>
      <c r="B139" s="33"/>
      <c r="C139" s="212" t="s">
        <v>8</v>
      </c>
      <c r="D139" s="212" t="s">
        <v>144</v>
      </c>
      <c r="E139" s="213" t="s">
        <v>906</v>
      </c>
      <c r="F139" s="214" t="s">
        <v>907</v>
      </c>
      <c r="G139" s="215" t="s">
        <v>284</v>
      </c>
      <c r="H139" s="216">
        <v>10</v>
      </c>
      <c r="I139" s="217">
        <v>771</v>
      </c>
      <c r="J139" s="217">
        <f>ROUND(I139*H139,2)</f>
        <v>7710</v>
      </c>
      <c r="K139" s="218"/>
      <c r="L139" s="38"/>
      <c r="M139" s="219" t="s">
        <v>1</v>
      </c>
      <c r="N139" s="220" t="s">
        <v>39</v>
      </c>
      <c r="O139" s="221">
        <v>1.4319999999999999</v>
      </c>
      <c r="P139" s="221">
        <f>O139*H139</f>
        <v>14.32</v>
      </c>
      <c r="Q139" s="221">
        <v>0</v>
      </c>
      <c r="R139" s="221">
        <f>Q139*H139</f>
        <v>0</v>
      </c>
      <c r="S139" s="221">
        <v>0</v>
      </c>
      <c r="T139" s="222">
        <f>S139*H139</f>
        <v>0</v>
      </c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R139" s="223" t="s">
        <v>222</v>
      </c>
      <c r="AT139" s="223" t="s">
        <v>144</v>
      </c>
      <c r="AU139" s="223" t="s">
        <v>83</v>
      </c>
      <c r="AY139" s="17" t="s">
        <v>142</v>
      </c>
      <c r="BE139" s="224">
        <f>IF(N139="základní",J139,0)</f>
        <v>7710</v>
      </c>
      <c r="BF139" s="224">
        <f>IF(N139="snížená",J139,0)</f>
        <v>0</v>
      </c>
      <c r="BG139" s="224">
        <f>IF(N139="zákl. přenesená",J139,0)</f>
        <v>0</v>
      </c>
      <c r="BH139" s="224">
        <f>IF(N139="sníž. přenesená",J139,0)</f>
        <v>0</v>
      </c>
      <c r="BI139" s="224">
        <f>IF(N139="nulová",J139,0)</f>
        <v>0</v>
      </c>
      <c r="BJ139" s="17" t="s">
        <v>19</v>
      </c>
      <c r="BK139" s="224">
        <f>ROUND(I139*H139,2)</f>
        <v>7710</v>
      </c>
      <c r="BL139" s="17" t="s">
        <v>222</v>
      </c>
      <c r="BM139" s="223" t="s">
        <v>908</v>
      </c>
    </row>
    <row r="140" s="2" customFormat="1" ht="24.15" customHeight="1">
      <c r="A140" s="32"/>
      <c r="B140" s="33"/>
      <c r="C140" s="258" t="s">
        <v>205</v>
      </c>
      <c r="D140" s="258" t="s">
        <v>475</v>
      </c>
      <c r="E140" s="259" t="s">
        <v>909</v>
      </c>
      <c r="F140" s="260" t="s">
        <v>910</v>
      </c>
      <c r="G140" s="261" t="s">
        <v>284</v>
      </c>
      <c r="H140" s="262">
        <v>10</v>
      </c>
      <c r="I140" s="263">
        <v>1290</v>
      </c>
      <c r="J140" s="263">
        <f>ROUND(I140*H140,2)</f>
        <v>12900</v>
      </c>
      <c r="K140" s="264"/>
      <c r="L140" s="265"/>
      <c r="M140" s="266" t="s">
        <v>1</v>
      </c>
      <c r="N140" s="267" t="s">
        <v>39</v>
      </c>
      <c r="O140" s="221">
        <v>0</v>
      </c>
      <c r="P140" s="221">
        <f>O140*H140</f>
        <v>0</v>
      </c>
      <c r="Q140" s="221">
        <v>0.002</v>
      </c>
      <c r="R140" s="221">
        <f>Q140*H140</f>
        <v>0.02</v>
      </c>
      <c r="S140" s="221">
        <v>0</v>
      </c>
      <c r="T140" s="222">
        <f>S140*H140</f>
        <v>0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R140" s="223" t="s">
        <v>241</v>
      </c>
      <c r="AT140" s="223" t="s">
        <v>475</v>
      </c>
      <c r="AU140" s="223" t="s">
        <v>83</v>
      </c>
      <c r="AY140" s="17" t="s">
        <v>142</v>
      </c>
      <c r="BE140" s="224">
        <f>IF(N140="základní",J140,0)</f>
        <v>12900</v>
      </c>
      <c r="BF140" s="224">
        <f>IF(N140="snížená",J140,0)</f>
        <v>0</v>
      </c>
      <c r="BG140" s="224">
        <f>IF(N140="zákl. přenesená",J140,0)</f>
        <v>0</v>
      </c>
      <c r="BH140" s="224">
        <f>IF(N140="sníž. přenesená",J140,0)</f>
        <v>0</v>
      </c>
      <c r="BI140" s="224">
        <f>IF(N140="nulová",J140,0)</f>
        <v>0</v>
      </c>
      <c r="BJ140" s="17" t="s">
        <v>19</v>
      </c>
      <c r="BK140" s="224">
        <f>ROUND(I140*H140,2)</f>
        <v>12900</v>
      </c>
      <c r="BL140" s="17" t="s">
        <v>222</v>
      </c>
      <c r="BM140" s="223" t="s">
        <v>911</v>
      </c>
    </row>
    <row r="141" s="2" customFormat="1" ht="24.15" customHeight="1">
      <c r="A141" s="32"/>
      <c r="B141" s="33"/>
      <c r="C141" s="212" t="s">
        <v>211</v>
      </c>
      <c r="D141" s="212" t="s">
        <v>144</v>
      </c>
      <c r="E141" s="213" t="s">
        <v>912</v>
      </c>
      <c r="F141" s="214" t="s">
        <v>913</v>
      </c>
      <c r="G141" s="215" t="s">
        <v>914</v>
      </c>
      <c r="H141" s="216">
        <v>2</v>
      </c>
      <c r="I141" s="217">
        <v>20000</v>
      </c>
      <c r="J141" s="217">
        <f>ROUND(I141*H141,2)</f>
        <v>40000</v>
      </c>
      <c r="K141" s="218"/>
      <c r="L141" s="38"/>
      <c r="M141" s="219" t="s">
        <v>1</v>
      </c>
      <c r="N141" s="220" t="s">
        <v>39</v>
      </c>
      <c r="O141" s="221">
        <v>0.30599999999999999</v>
      </c>
      <c r="P141" s="221">
        <f>O141*H141</f>
        <v>0.61199999999999999</v>
      </c>
      <c r="Q141" s="221">
        <v>0</v>
      </c>
      <c r="R141" s="221">
        <f>Q141*H141</f>
        <v>0</v>
      </c>
      <c r="S141" s="221">
        <v>0</v>
      </c>
      <c r="T141" s="222">
        <f>S141*H141</f>
        <v>0</v>
      </c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R141" s="223" t="s">
        <v>222</v>
      </c>
      <c r="AT141" s="223" t="s">
        <v>144</v>
      </c>
      <c r="AU141" s="223" t="s">
        <v>83</v>
      </c>
      <c r="AY141" s="17" t="s">
        <v>142</v>
      </c>
      <c r="BE141" s="224">
        <f>IF(N141="základní",J141,0)</f>
        <v>40000</v>
      </c>
      <c r="BF141" s="224">
        <f>IF(N141="snížená",J141,0)</f>
        <v>0</v>
      </c>
      <c r="BG141" s="224">
        <f>IF(N141="zákl. přenesená",J141,0)</f>
        <v>0</v>
      </c>
      <c r="BH141" s="224">
        <f>IF(N141="sníž. přenesená",J141,0)</f>
        <v>0</v>
      </c>
      <c r="BI141" s="224">
        <f>IF(N141="nulová",J141,0)</f>
        <v>0</v>
      </c>
      <c r="BJ141" s="17" t="s">
        <v>19</v>
      </c>
      <c r="BK141" s="224">
        <f>ROUND(I141*H141,2)</f>
        <v>40000</v>
      </c>
      <c r="BL141" s="17" t="s">
        <v>222</v>
      </c>
      <c r="BM141" s="223" t="s">
        <v>915</v>
      </c>
    </row>
    <row r="142" s="2" customFormat="1" ht="33" customHeight="1">
      <c r="A142" s="32"/>
      <c r="B142" s="33"/>
      <c r="C142" s="212" t="s">
        <v>216</v>
      </c>
      <c r="D142" s="212" t="s">
        <v>144</v>
      </c>
      <c r="E142" s="213" t="s">
        <v>916</v>
      </c>
      <c r="F142" s="214" t="s">
        <v>917</v>
      </c>
      <c r="G142" s="215" t="s">
        <v>326</v>
      </c>
      <c r="H142" s="216">
        <v>460</v>
      </c>
      <c r="I142" s="217">
        <v>44.100000000000001</v>
      </c>
      <c r="J142" s="217">
        <f>ROUND(I142*H142,2)</f>
        <v>20286</v>
      </c>
      <c r="K142" s="218"/>
      <c r="L142" s="38"/>
      <c r="M142" s="219" t="s">
        <v>1</v>
      </c>
      <c r="N142" s="220" t="s">
        <v>39</v>
      </c>
      <c r="O142" s="221">
        <v>0.082000000000000003</v>
      </c>
      <c r="P142" s="221">
        <f>O142*H142</f>
        <v>37.719999999999999</v>
      </c>
      <c r="Q142" s="221">
        <v>0</v>
      </c>
      <c r="R142" s="221">
        <f>Q142*H142</f>
        <v>0</v>
      </c>
      <c r="S142" s="221">
        <v>0</v>
      </c>
      <c r="T142" s="222">
        <f>S142*H142</f>
        <v>0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R142" s="223" t="s">
        <v>222</v>
      </c>
      <c r="AT142" s="223" t="s">
        <v>144</v>
      </c>
      <c r="AU142" s="223" t="s">
        <v>83</v>
      </c>
      <c r="AY142" s="17" t="s">
        <v>142</v>
      </c>
      <c r="BE142" s="224">
        <f>IF(N142="základní",J142,0)</f>
        <v>20286</v>
      </c>
      <c r="BF142" s="224">
        <f>IF(N142="snížená",J142,0)</f>
        <v>0</v>
      </c>
      <c r="BG142" s="224">
        <f>IF(N142="zákl. přenesená",J142,0)</f>
        <v>0</v>
      </c>
      <c r="BH142" s="224">
        <f>IF(N142="sníž. přenesená",J142,0)</f>
        <v>0</v>
      </c>
      <c r="BI142" s="224">
        <f>IF(N142="nulová",J142,0)</f>
        <v>0</v>
      </c>
      <c r="BJ142" s="17" t="s">
        <v>19</v>
      </c>
      <c r="BK142" s="224">
        <f>ROUND(I142*H142,2)</f>
        <v>20286</v>
      </c>
      <c r="BL142" s="17" t="s">
        <v>222</v>
      </c>
      <c r="BM142" s="223" t="s">
        <v>918</v>
      </c>
    </row>
    <row r="143" s="13" customFormat="1">
      <c r="A143" s="13"/>
      <c r="B143" s="225"/>
      <c r="C143" s="226"/>
      <c r="D143" s="227" t="s">
        <v>149</v>
      </c>
      <c r="E143" s="228" t="s">
        <v>1</v>
      </c>
      <c r="F143" s="229" t="s">
        <v>919</v>
      </c>
      <c r="G143" s="226"/>
      <c r="H143" s="230">
        <v>460</v>
      </c>
      <c r="I143" s="226"/>
      <c r="J143" s="226"/>
      <c r="K143" s="226"/>
      <c r="L143" s="231"/>
      <c r="M143" s="232"/>
      <c r="N143" s="233"/>
      <c r="O143" s="233"/>
      <c r="P143" s="233"/>
      <c r="Q143" s="233"/>
      <c r="R143" s="233"/>
      <c r="S143" s="233"/>
      <c r="T143" s="23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35" t="s">
        <v>149</v>
      </c>
      <c r="AU143" s="235" t="s">
        <v>83</v>
      </c>
      <c r="AV143" s="13" t="s">
        <v>83</v>
      </c>
      <c r="AW143" s="13" t="s">
        <v>32</v>
      </c>
      <c r="AX143" s="13" t="s">
        <v>19</v>
      </c>
      <c r="AY143" s="235" t="s">
        <v>142</v>
      </c>
    </row>
    <row r="144" s="2" customFormat="1" ht="16.5" customHeight="1">
      <c r="A144" s="32"/>
      <c r="B144" s="33"/>
      <c r="C144" s="258" t="s">
        <v>222</v>
      </c>
      <c r="D144" s="258" t="s">
        <v>475</v>
      </c>
      <c r="E144" s="259" t="s">
        <v>920</v>
      </c>
      <c r="F144" s="260" t="s">
        <v>921</v>
      </c>
      <c r="G144" s="261" t="s">
        <v>880</v>
      </c>
      <c r="H144" s="262">
        <v>0.46000000000000002</v>
      </c>
      <c r="I144" s="263">
        <v>16579</v>
      </c>
      <c r="J144" s="263">
        <f>ROUND(I144*H144,2)</f>
        <v>7626.3400000000001</v>
      </c>
      <c r="K144" s="264"/>
      <c r="L144" s="265"/>
      <c r="M144" s="266" t="s">
        <v>1</v>
      </c>
      <c r="N144" s="267" t="s">
        <v>39</v>
      </c>
      <c r="O144" s="221">
        <v>0</v>
      </c>
      <c r="P144" s="221">
        <f>O144*H144</f>
        <v>0</v>
      </c>
      <c r="Q144" s="221">
        <v>0.12</v>
      </c>
      <c r="R144" s="221">
        <f>Q144*H144</f>
        <v>0.055199999999999999</v>
      </c>
      <c r="S144" s="221">
        <v>0</v>
      </c>
      <c r="T144" s="222">
        <f>S144*H144</f>
        <v>0</v>
      </c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R144" s="223" t="s">
        <v>241</v>
      </c>
      <c r="AT144" s="223" t="s">
        <v>475</v>
      </c>
      <c r="AU144" s="223" t="s">
        <v>83</v>
      </c>
      <c r="AY144" s="17" t="s">
        <v>142</v>
      </c>
      <c r="BE144" s="224">
        <f>IF(N144="základní",J144,0)</f>
        <v>7626.3400000000001</v>
      </c>
      <c r="BF144" s="224">
        <f>IF(N144="snížená",J144,0)</f>
        <v>0</v>
      </c>
      <c r="BG144" s="224">
        <f>IF(N144="zákl. přenesená",J144,0)</f>
        <v>0</v>
      </c>
      <c r="BH144" s="224">
        <f>IF(N144="sníž. přenesená",J144,0)</f>
        <v>0</v>
      </c>
      <c r="BI144" s="224">
        <f>IF(N144="nulová",J144,0)</f>
        <v>0</v>
      </c>
      <c r="BJ144" s="17" t="s">
        <v>19</v>
      </c>
      <c r="BK144" s="224">
        <f>ROUND(I144*H144,2)</f>
        <v>7626.3400000000001</v>
      </c>
      <c r="BL144" s="17" t="s">
        <v>222</v>
      </c>
      <c r="BM144" s="223" t="s">
        <v>922</v>
      </c>
    </row>
    <row r="145" s="2" customFormat="1">
      <c r="A145" s="32"/>
      <c r="B145" s="33"/>
      <c r="C145" s="34"/>
      <c r="D145" s="227" t="s">
        <v>343</v>
      </c>
      <c r="E145" s="34"/>
      <c r="F145" s="255" t="s">
        <v>923</v>
      </c>
      <c r="G145" s="34"/>
      <c r="H145" s="34"/>
      <c r="I145" s="34"/>
      <c r="J145" s="34"/>
      <c r="K145" s="34"/>
      <c r="L145" s="38"/>
      <c r="M145" s="256"/>
      <c r="N145" s="257"/>
      <c r="O145" s="84"/>
      <c r="P145" s="84"/>
      <c r="Q145" s="84"/>
      <c r="R145" s="84"/>
      <c r="S145" s="84"/>
      <c r="T145" s="85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T145" s="17" t="s">
        <v>343</v>
      </c>
      <c r="AU145" s="17" t="s">
        <v>83</v>
      </c>
    </row>
    <row r="146" s="15" customFormat="1">
      <c r="A146" s="15"/>
      <c r="B146" s="246"/>
      <c r="C146" s="247"/>
      <c r="D146" s="227" t="s">
        <v>149</v>
      </c>
      <c r="E146" s="248" t="s">
        <v>1</v>
      </c>
      <c r="F146" s="249" t="s">
        <v>924</v>
      </c>
      <c r="G146" s="247"/>
      <c r="H146" s="248" t="s">
        <v>1</v>
      </c>
      <c r="I146" s="247"/>
      <c r="J146" s="247"/>
      <c r="K146" s="247"/>
      <c r="L146" s="250"/>
      <c r="M146" s="251"/>
      <c r="N146" s="252"/>
      <c r="O146" s="252"/>
      <c r="P146" s="252"/>
      <c r="Q146" s="252"/>
      <c r="R146" s="252"/>
      <c r="S146" s="252"/>
      <c r="T146" s="253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T146" s="254" t="s">
        <v>149</v>
      </c>
      <c r="AU146" s="254" t="s">
        <v>83</v>
      </c>
      <c r="AV146" s="15" t="s">
        <v>19</v>
      </c>
      <c r="AW146" s="15" t="s">
        <v>32</v>
      </c>
      <c r="AX146" s="15" t="s">
        <v>74</v>
      </c>
      <c r="AY146" s="254" t="s">
        <v>142</v>
      </c>
    </row>
    <row r="147" s="13" customFormat="1">
      <c r="A147" s="13"/>
      <c r="B147" s="225"/>
      <c r="C147" s="226"/>
      <c r="D147" s="227" t="s">
        <v>149</v>
      </c>
      <c r="E147" s="228" t="s">
        <v>1</v>
      </c>
      <c r="F147" s="229" t="s">
        <v>925</v>
      </c>
      <c r="G147" s="226"/>
      <c r="H147" s="230">
        <v>0.45999999999999996</v>
      </c>
      <c r="I147" s="226"/>
      <c r="J147" s="226"/>
      <c r="K147" s="226"/>
      <c r="L147" s="231"/>
      <c r="M147" s="232"/>
      <c r="N147" s="233"/>
      <c r="O147" s="233"/>
      <c r="P147" s="233"/>
      <c r="Q147" s="233"/>
      <c r="R147" s="233"/>
      <c r="S147" s="233"/>
      <c r="T147" s="23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35" t="s">
        <v>149</v>
      </c>
      <c r="AU147" s="235" t="s">
        <v>83</v>
      </c>
      <c r="AV147" s="13" t="s">
        <v>83</v>
      </c>
      <c r="AW147" s="13" t="s">
        <v>32</v>
      </c>
      <c r="AX147" s="13" t="s">
        <v>19</v>
      </c>
      <c r="AY147" s="235" t="s">
        <v>142</v>
      </c>
    </row>
    <row r="148" s="2" customFormat="1" ht="33" customHeight="1">
      <c r="A148" s="32"/>
      <c r="B148" s="33"/>
      <c r="C148" s="212" t="s">
        <v>227</v>
      </c>
      <c r="D148" s="212" t="s">
        <v>144</v>
      </c>
      <c r="E148" s="213" t="s">
        <v>926</v>
      </c>
      <c r="F148" s="214" t="s">
        <v>927</v>
      </c>
      <c r="G148" s="215" t="s">
        <v>326</v>
      </c>
      <c r="H148" s="216">
        <v>660</v>
      </c>
      <c r="I148" s="217">
        <v>46.299999999999997</v>
      </c>
      <c r="J148" s="217">
        <f>ROUND(I148*H148,2)</f>
        <v>30558</v>
      </c>
      <c r="K148" s="218"/>
      <c r="L148" s="38"/>
      <c r="M148" s="219" t="s">
        <v>1</v>
      </c>
      <c r="N148" s="220" t="s">
        <v>39</v>
      </c>
      <c r="O148" s="221">
        <v>0.085999999999999993</v>
      </c>
      <c r="P148" s="221">
        <f>O148*H148</f>
        <v>56.759999999999998</v>
      </c>
      <c r="Q148" s="221">
        <v>0</v>
      </c>
      <c r="R148" s="221">
        <f>Q148*H148</f>
        <v>0</v>
      </c>
      <c r="S148" s="221">
        <v>0</v>
      </c>
      <c r="T148" s="222">
        <f>S148*H148</f>
        <v>0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R148" s="223" t="s">
        <v>222</v>
      </c>
      <c r="AT148" s="223" t="s">
        <v>144</v>
      </c>
      <c r="AU148" s="223" t="s">
        <v>83</v>
      </c>
      <c r="AY148" s="17" t="s">
        <v>142</v>
      </c>
      <c r="BE148" s="224">
        <f>IF(N148="základní",J148,0)</f>
        <v>30558</v>
      </c>
      <c r="BF148" s="224">
        <f>IF(N148="snížená",J148,0)</f>
        <v>0</v>
      </c>
      <c r="BG148" s="224">
        <f>IF(N148="zákl. přenesená",J148,0)</f>
        <v>0</v>
      </c>
      <c r="BH148" s="224">
        <f>IF(N148="sníž. přenesená",J148,0)</f>
        <v>0</v>
      </c>
      <c r="BI148" s="224">
        <f>IF(N148="nulová",J148,0)</f>
        <v>0</v>
      </c>
      <c r="BJ148" s="17" t="s">
        <v>19</v>
      </c>
      <c r="BK148" s="224">
        <f>ROUND(I148*H148,2)</f>
        <v>30558</v>
      </c>
      <c r="BL148" s="17" t="s">
        <v>222</v>
      </c>
      <c r="BM148" s="223" t="s">
        <v>928</v>
      </c>
    </row>
    <row r="149" s="13" customFormat="1">
      <c r="A149" s="13"/>
      <c r="B149" s="225"/>
      <c r="C149" s="226"/>
      <c r="D149" s="227" t="s">
        <v>149</v>
      </c>
      <c r="E149" s="228" t="s">
        <v>1</v>
      </c>
      <c r="F149" s="229" t="s">
        <v>929</v>
      </c>
      <c r="G149" s="226"/>
      <c r="H149" s="230">
        <v>660</v>
      </c>
      <c r="I149" s="226"/>
      <c r="J149" s="226"/>
      <c r="K149" s="226"/>
      <c r="L149" s="231"/>
      <c r="M149" s="232"/>
      <c r="N149" s="233"/>
      <c r="O149" s="233"/>
      <c r="P149" s="233"/>
      <c r="Q149" s="233"/>
      <c r="R149" s="233"/>
      <c r="S149" s="233"/>
      <c r="T149" s="23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35" t="s">
        <v>149</v>
      </c>
      <c r="AU149" s="235" t="s">
        <v>83</v>
      </c>
      <c r="AV149" s="13" t="s">
        <v>83</v>
      </c>
      <c r="AW149" s="13" t="s">
        <v>32</v>
      </c>
      <c r="AX149" s="13" t="s">
        <v>19</v>
      </c>
      <c r="AY149" s="235" t="s">
        <v>142</v>
      </c>
    </row>
    <row r="150" s="2" customFormat="1" ht="16.5" customHeight="1">
      <c r="A150" s="32"/>
      <c r="B150" s="33"/>
      <c r="C150" s="258" t="s">
        <v>233</v>
      </c>
      <c r="D150" s="258" t="s">
        <v>475</v>
      </c>
      <c r="E150" s="259" t="s">
        <v>930</v>
      </c>
      <c r="F150" s="260" t="s">
        <v>931</v>
      </c>
      <c r="G150" s="261" t="s">
        <v>880</v>
      </c>
      <c r="H150" s="262">
        <v>0.64000000000000001</v>
      </c>
      <c r="I150" s="263">
        <v>27011.900000000001</v>
      </c>
      <c r="J150" s="263">
        <f>ROUND(I150*H150,2)</f>
        <v>17287.619999999999</v>
      </c>
      <c r="K150" s="264"/>
      <c r="L150" s="265"/>
      <c r="M150" s="266" t="s">
        <v>1</v>
      </c>
      <c r="N150" s="267" t="s">
        <v>39</v>
      </c>
      <c r="O150" s="221">
        <v>0</v>
      </c>
      <c r="P150" s="221">
        <f>O150*H150</f>
        <v>0</v>
      </c>
      <c r="Q150" s="221">
        <v>0.17000000000000001</v>
      </c>
      <c r="R150" s="221">
        <f>Q150*H150</f>
        <v>0.10880000000000001</v>
      </c>
      <c r="S150" s="221">
        <v>0</v>
      </c>
      <c r="T150" s="222">
        <f>S150*H150</f>
        <v>0</v>
      </c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R150" s="223" t="s">
        <v>241</v>
      </c>
      <c r="AT150" s="223" t="s">
        <v>475</v>
      </c>
      <c r="AU150" s="223" t="s">
        <v>83</v>
      </c>
      <c r="AY150" s="17" t="s">
        <v>142</v>
      </c>
      <c r="BE150" s="224">
        <f>IF(N150="základní",J150,0)</f>
        <v>17287.619999999999</v>
      </c>
      <c r="BF150" s="224">
        <f>IF(N150="snížená",J150,0)</f>
        <v>0</v>
      </c>
      <c r="BG150" s="224">
        <f>IF(N150="zákl. přenesená",J150,0)</f>
        <v>0</v>
      </c>
      <c r="BH150" s="224">
        <f>IF(N150="sníž. přenesená",J150,0)</f>
        <v>0</v>
      </c>
      <c r="BI150" s="224">
        <f>IF(N150="nulová",J150,0)</f>
        <v>0</v>
      </c>
      <c r="BJ150" s="17" t="s">
        <v>19</v>
      </c>
      <c r="BK150" s="224">
        <f>ROUND(I150*H150,2)</f>
        <v>17287.619999999999</v>
      </c>
      <c r="BL150" s="17" t="s">
        <v>222</v>
      </c>
      <c r="BM150" s="223" t="s">
        <v>932</v>
      </c>
    </row>
    <row r="151" s="2" customFormat="1">
      <c r="A151" s="32"/>
      <c r="B151" s="33"/>
      <c r="C151" s="34"/>
      <c r="D151" s="227" t="s">
        <v>343</v>
      </c>
      <c r="E151" s="34"/>
      <c r="F151" s="255" t="s">
        <v>933</v>
      </c>
      <c r="G151" s="34"/>
      <c r="H151" s="34"/>
      <c r="I151" s="34"/>
      <c r="J151" s="34"/>
      <c r="K151" s="34"/>
      <c r="L151" s="38"/>
      <c r="M151" s="256"/>
      <c r="N151" s="257"/>
      <c r="O151" s="84"/>
      <c r="P151" s="84"/>
      <c r="Q151" s="84"/>
      <c r="R151" s="84"/>
      <c r="S151" s="84"/>
      <c r="T151" s="85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T151" s="17" t="s">
        <v>343</v>
      </c>
      <c r="AU151" s="17" t="s">
        <v>83</v>
      </c>
    </row>
    <row r="152" s="13" customFormat="1">
      <c r="A152" s="13"/>
      <c r="B152" s="225"/>
      <c r="C152" s="226"/>
      <c r="D152" s="227" t="s">
        <v>149</v>
      </c>
      <c r="E152" s="228" t="s">
        <v>1</v>
      </c>
      <c r="F152" s="229" t="s">
        <v>934</v>
      </c>
      <c r="G152" s="226"/>
      <c r="H152" s="230">
        <v>0.64000000000000001</v>
      </c>
      <c r="I152" s="226"/>
      <c r="J152" s="226"/>
      <c r="K152" s="226"/>
      <c r="L152" s="231"/>
      <c r="M152" s="232"/>
      <c r="N152" s="233"/>
      <c r="O152" s="233"/>
      <c r="P152" s="233"/>
      <c r="Q152" s="233"/>
      <c r="R152" s="233"/>
      <c r="S152" s="233"/>
      <c r="T152" s="23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35" t="s">
        <v>149</v>
      </c>
      <c r="AU152" s="235" t="s">
        <v>83</v>
      </c>
      <c r="AV152" s="13" t="s">
        <v>83</v>
      </c>
      <c r="AW152" s="13" t="s">
        <v>32</v>
      </c>
      <c r="AX152" s="13" t="s">
        <v>19</v>
      </c>
      <c r="AY152" s="235" t="s">
        <v>142</v>
      </c>
    </row>
    <row r="153" s="2" customFormat="1" ht="16.5" customHeight="1">
      <c r="A153" s="32"/>
      <c r="B153" s="33"/>
      <c r="C153" s="258" t="s">
        <v>238</v>
      </c>
      <c r="D153" s="258" t="s">
        <v>475</v>
      </c>
      <c r="E153" s="259" t="s">
        <v>935</v>
      </c>
      <c r="F153" s="260" t="s">
        <v>936</v>
      </c>
      <c r="G153" s="261" t="s">
        <v>880</v>
      </c>
      <c r="H153" s="262">
        <v>0.02</v>
      </c>
      <c r="I153" s="263">
        <v>66907.199999999997</v>
      </c>
      <c r="J153" s="263">
        <f>ROUND(I153*H153,2)</f>
        <v>1338.1400000000001</v>
      </c>
      <c r="K153" s="264"/>
      <c r="L153" s="265"/>
      <c r="M153" s="266" t="s">
        <v>1</v>
      </c>
      <c r="N153" s="267" t="s">
        <v>39</v>
      </c>
      <c r="O153" s="221">
        <v>0</v>
      </c>
      <c r="P153" s="221">
        <f>O153*H153</f>
        <v>0</v>
      </c>
      <c r="Q153" s="221">
        <v>0.34999999999999998</v>
      </c>
      <c r="R153" s="221">
        <f>Q153*H153</f>
        <v>0.0069999999999999993</v>
      </c>
      <c r="S153" s="221">
        <v>0</v>
      </c>
      <c r="T153" s="222">
        <f>S153*H153</f>
        <v>0</v>
      </c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R153" s="223" t="s">
        <v>241</v>
      </c>
      <c r="AT153" s="223" t="s">
        <v>475</v>
      </c>
      <c r="AU153" s="223" t="s">
        <v>83</v>
      </c>
      <c r="AY153" s="17" t="s">
        <v>142</v>
      </c>
      <c r="BE153" s="224">
        <f>IF(N153="základní",J153,0)</f>
        <v>1338.1400000000001</v>
      </c>
      <c r="BF153" s="224">
        <f>IF(N153="snížená",J153,0)</f>
        <v>0</v>
      </c>
      <c r="BG153" s="224">
        <f>IF(N153="zákl. přenesená",J153,0)</f>
        <v>0</v>
      </c>
      <c r="BH153" s="224">
        <f>IF(N153="sníž. přenesená",J153,0)</f>
        <v>0</v>
      </c>
      <c r="BI153" s="224">
        <f>IF(N153="nulová",J153,0)</f>
        <v>0</v>
      </c>
      <c r="BJ153" s="17" t="s">
        <v>19</v>
      </c>
      <c r="BK153" s="224">
        <f>ROUND(I153*H153,2)</f>
        <v>1338.1400000000001</v>
      </c>
      <c r="BL153" s="17" t="s">
        <v>222</v>
      </c>
      <c r="BM153" s="223" t="s">
        <v>937</v>
      </c>
    </row>
    <row r="154" s="2" customFormat="1">
      <c r="A154" s="32"/>
      <c r="B154" s="33"/>
      <c r="C154" s="34"/>
      <c r="D154" s="227" t="s">
        <v>343</v>
      </c>
      <c r="E154" s="34"/>
      <c r="F154" s="255" t="s">
        <v>938</v>
      </c>
      <c r="G154" s="34"/>
      <c r="H154" s="34"/>
      <c r="I154" s="34"/>
      <c r="J154" s="34"/>
      <c r="K154" s="34"/>
      <c r="L154" s="38"/>
      <c r="M154" s="256"/>
      <c r="N154" s="257"/>
      <c r="O154" s="84"/>
      <c r="P154" s="84"/>
      <c r="Q154" s="84"/>
      <c r="R154" s="84"/>
      <c r="S154" s="84"/>
      <c r="T154" s="85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T154" s="17" t="s">
        <v>343</v>
      </c>
      <c r="AU154" s="17" t="s">
        <v>83</v>
      </c>
    </row>
    <row r="155" s="13" customFormat="1">
      <c r="A155" s="13"/>
      <c r="B155" s="225"/>
      <c r="C155" s="226"/>
      <c r="D155" s="227" t="s">
        <v>149</v>
      </c>
      <c r="E155" s="228" t="s">
        <v>1</v>
      </c>
      <c r="F155" s="229" t="s">
        <v>939</v>
      </c>
      <c r="G155" s="226"/>
      <c r="H155" s="230">
        <v>0.02</v>
      </c>
      <c r="I155" s="226"/>
      <c r="J155" s="226"/>
      <c r="K155" s="226"/>
      <c r="L155" s="231"/>
      <c r="M155" s="232"/>
      <c r="N155" s="233"/>
      <c r="O155" s="233"/>
      <c r="P155" s="233"/>
      <c r="Q155" s="233"/>
      <c r="R155" s="233"/>
      <c r="S155" s="233"/>
      <c r="T155" s="23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35" t="s">
        <v>149</v>
      </c>
      <c r="AU155" s="235" t="s">
        <v>83</v>
      </c>
      <c r="AV155" s="13" t="s">
        <v>83</v>
      </c>
      <c r="AW155" s="13" t="s">
        <v>32</v>
      </c>
      <c r="AX155" s="13" t="s">
        <v>19</v>
      </c>
      <c r="AY155" s="235" t="s">
        <v>142</v>
      </c>
    </row>
    <row r="156" s="2" customFormat="1" ht="24.15" customHeight="1">
      <c r="A156" s="32"/>
      <c r="B156" s="33"/>
      <c r="C156" s="212" t="s">
        <v>243</v>
      </c>
      <c r="D156" s="212" t="s">
        <v>144</v>
      </c>
      <c r="E156" s="213" t="s">
        <v>940</v>
      </c>
      <c r="F156" s="214" t="s">
        <v>941</v>
      </c>
      <c r="G156" s="215" t="s">
        <v>284</v>
      </c>
      <c r="H156" s="216">
        <v>30</v>
      </c>
      <c r="I156" s="217">
        <v>193</v>
      </c>
      <c r="J156" s="217">
        <f>ROUND(I156*H156,2)</f>
        <v>5790</v>
      </c>
      <c r="K156" s="218"/>
      <c r="L156" s="38"/>
      <c r="M156" s="219" t="s">
        <v>1</v>
      </c>
      <c r="N156" s="220" t="s">
        <v>39</v>
      </c>
      <c r="O156" s="221">
        <v>0.38400000000000001</v>
      </c>
      <c r="P156" s="221">
        <f>O156*H156</f>
        <v>11.52</v>
      </c>
      <c r="Q156" s="221">
        <v>0</v>
      </c>
      <c r="R156" s="221">
        <f>Q156*H156</f>
        <v>0</v>
      </c>
      <c r="S156" s="221">
        <v>0</v>
      </c>
      <c r="T156" s="222">
        <f>S156*H156</f>
        <v>0</v>
      </c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R156" s="223" t="s">
        <v>222</v>
      </c>
      <c r="AT156" s="223" t="s">
        <v>144</v>
      </c>
      <c r="AU156" s="223" t="s">
        <v>83</v>
      </c>
      <c r="AY156" s="17" t="s">
        <v>142</v>
      </c>
      <c r="BE156" s="224">
        <f>IF(N156="základní",J156,0)</f>
        <v>5790</v>
      </c>
      <c r="BF156" s="224">
        <f>IF(N156="snížená",J156,0)</f>
        <v>0</v>
      </c>
      <c r="BG156" s="224">
        <f>IF(N156="zákl. přenesená",J156,0)</f>
        <v>0</v>
      </c>
      <c r="BH156" s="224">
        <f>IF(N156="sníž. přenesená",J156,0)</f>
        <v>0</v>
      </c>
      <c r="BI156" s="224">
        <f>IF(N156="nulová",J156,0)</f>
        <v>0</v>
      </c>
      <c r="BJ156" s="17" t="s">
        <v>19</v>
      </c>
      <c r="BK156" s="224">
        <f>ROUND(I156*H156,2)</f>
        <v>5790</v>
      </c>
      <c r="BL156" s="17" t="s">
        <v>222</v>
      </c>
      <c r="BM156" s="223" t="s">
        <v>942</v>
      </c>
    </row>
    <row r="157" s="2" customFormat="1" ht="24.15" customHeight="1">
      <c r="A157" s="32"/>
      <c r="B157" s="33"/>
      <c r="C157" s="258" t="s">
        <v>7</v>
      </c>
      <c r="D157" s="258" t="s">
        <v>475</v>
      </c>
      <c r="E157" s="259" t="s">
        <v>943</v>
      </c>
      <c r="F157" s="260" t="s">
        <v>944</v>
      </c>
      <c r="G157" s="261" t="s">
        <v>284</v>
      </c>
      <c r="H157" s="262">
        <v>8</v>
      </c>
      <c r="I157" s="263">
        <v>69.299999999999997</v>
      </c>
      <c r="J157" s="263">
        <f>ROUND(I157*H157,2)</f>
        <v>554.39999999999998</v>
      </c>
      <c r="K157" s="264"/>
      <c r="L157" s="265"/>
      <c r="M157" s="266" t="s">
        <v>1</v>
      </c>
      <c r="N157" s="267" t="s">
        <v>39</v>
      </c>
      <c r="O157" s="221">
        <v>0</v>
      </c>
      <c r="P157" s="221">
        <f>O157*H157</f>
        <v>0</v>
      </c>
      <c r="Q157" s="221">
        <v>0.00040000000000000002</v>
      </c>
      <c r="R157" s="221">
        <f>Q157*H157</f>
        <v>0.0032000000000000002</v>
      </c>
      <c r="S157" s="221">
        <v>0</v>
      </c>
      <c r="T157" s="222">
        <f>S157*H157</f>
        <v>0</v>
      </c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R157" s="223" t="s">
        <v>241</v>
      </c>
      <c r="AT157" s="223" t="s">
        <v>475</v>
      </c>
      <c r="AU157" s="223" t="s">
        <v>83</v>
      </c>
      <c r="AY157" s="17" t="s">
        <v>142</v>
      </c>
      <c r="BE157" s="224">
        <f>IF(N157="základní",J157,0)</f>
        <v>554.39999999999998</v>
      </c>
      <c r="BF157" s="224">
        <f>IF(N157="snížená",J157,0)</f>
        <v>0</v>
      </c>
      <c r="BG157" s="224">
        <f>IF(N157="zákl. přenesená",J157,0)</f>
        <v>0</v>
      </c>
      <c r="BH157" s="224">
        <f>IF(N157="sníž. přenesená",J157,0)</f>
        <v>0</v>
      </c>
      <c r="BI157" s="224">
        <f>IF(N157="nulová",J157,0)</f>
        <v>0</v>
      </c>
      <c r="BJ157" s="17" t="s">
        <v>19</v>
      </c>
      <c r="BK157" s="224">
        <f>ROUND(I157*H157,2)</f>
        <v>554.39999999999998</v>
      </c>
      <c r="BL157" s="17" t="s">
        <v>222</v>
      </c>
      <c r="BM157" s="223" t="s">
        <v>945</v>
      </c>
    </row>
    <row r="158" s="2" customFormat="1" ht="24.15" customHeight="1">
      <c r="A158" s="32"/>
      <c r="B158" s="33"/>
      <c r="C158" s="258" t="s">
        <v>252</v>
      </c>
      <c r="D158" s="258" t="s">
        <v>475</v>
      </c>
      <c r="E158" s="259" t="s">
        <v>946</v>
      </c>
      <c r="F158" s="260" t="s">
        <v>947</v>
      </c>
      <c r="G158" s="261" t="s">
        <v>284</v>
      </c>
      <c r="H158" s="262">
        <v>12</v>
      </c>
      <c r="I158" s="263">
        <v>112</v>
      </c>
      <c r="J158" s="263">
        <f>ROUND(I158*H158,2)</f>
        <v>1344</v>
      </c>
      <c r="K158" s="264"/>
      <c r="L158" s="265"/>
      <c r="M158" s="266" t="s">
        <v>1</v>
      </c>
      <c r="N158" s="267" t="s">
        <v>39</v>
      </c>
      <c r="O158" s="221">
        <v>0</v>
      </c>
      <c r="P158" s="221">
        <f>O158*H158</f>
        <v>0</v>
      </c>
      <c r="Q158" s="221">
        <v>0.00040000000000000002</v>
      </c>
      <c r="R158" s="221">
        <f>Q158*H158</f>
        <v>0.0048000000000000004</v>
      </c>
      <c r="S158" s="221">
        <v>0</v>
      </c>
      <c r="T158" s="222">
        <f>S158*H158</f>
        <v>0</v>
      </c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R158" s="223" t="s">
        <v>241</v>
      </c>
      <c r="AT158" s="223" t="s">
        <v>475</v>
      </c>
      <c r="AU158" s="223" t="s">
        <v>83</v>
      </c>
      <c r="AY158" s="17" t="s">
        <v>142</v>
      </c>
      <c r="BE158" s="224">
        <f>IF(N158="základní",J158,0)</f>
        <v>1344</v>
      </c>
      <c r="BF158" s="224">
        <f>IF(N158="snížená",J158,0)</f>
        <v>0</v>
      </c>
      <c r="BG158" s="224">
        <f>IF(N158="zákl. přenesená",J158,0)</f>
        <v>0</v>
      </c>
      <c r="BH158" s="224">
        <f>IF(N158="sníž. přenesená",J158,0)</f>
        <v>0</v>
      </c>
      <c r="BI158" s="224">
        <f>IF(N158="nulová",J158,0)</f>
        <v>0</v>
      </c>
      <c r="BJ158" s="17" t="s">
        <v>19</v>
      </c>
      <c r="BK158" s="224">
        <f>ROUND(I158*H158,2)</f>
        <v>1344</v>
      </c>
      <c r="BL158" s="17" t="s">
        <v>222</v>
      </c>
      <c r="BM158" s="223" t="s">
        <v>948</v>
      </c>
    </row>
    <row r="159" s="2" customFormat="1" ht="24.15" customHeight="1">
      <c r="A159" s="32"/>
      <c r="B159" s="33"/>
      <c r="C159" s="258" t="s">
        <v>256</v>
      </c>
      <c r="D159" s="258" t="s">
        <v>475</v>
      </c>
      <c r="E159" s="259" t="s">
        <v>949</v>
      </c>
      <c r="F159" s="260" t="s">
        <v>950</v>
      </c>
      <c r="G159" s="261" t="s">
        <v>284</v>
      </c>
      <c r="H159" s="262">
        <v>6</v>
      </c>
      <c r="I159" s="263">
        <v>128</v>
      </c>
      <c r="J159" s="263">
        <f>ROUND(I159*H159,2)</f>
        <v>768</v>
      </c>
      <c r="K159" s="264"/>
      <c r="L159" s="265"/>
      <c r="M159" s="266" t="s">
        <v>1</v>
      </c>
      <c r="N159" s="267" t="s">
        <v>39</v>
      </c>
      <c r="O159" s="221">
        <v>0</v>
      </c>
      <c r="P159" s="221">
        <f>O159*H159</f>
        <v>0</v>
      </c>
      <c r="Q159" s="221">
        <v>0.00040000000000000002</v>
      </c>
      <c r="R159" s="221">
        <f>Q159*H159</f>
        <v>0.0024000000000000002</v>
      </c>
      <c r="S159" s="221">
        <v>0</v>
      </c>
      <c r="T159" s="222">
        <f>S159*H159</f>
        <v>0</v>
      </c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R159" s="223" t="s">
        <v>241</v>
      </c>
      <c r="AT159" s="223" t="s">
        <v>475</v>
      </c>
      <c r="AU159" s="223" t="s">
        <v>83</v>
      </c>
      <c r="AY159" s="17" t="s">
        <v>142</v>
      </c>
      <c r="BE159" s="224">
        <f>IF(N159="základní",J159,0)</f>
        <v>768</v>
      </c>
      <c r="BF159" s="224">
        <f>IF(N159="snížená",J159,0)</f>
        <v>0</v>
      </c>
      <c r="BG159" s="224">
        <f>IF(N159="zákl. přenesená",J159,0)</f>
        <v>0</v>
      </c>
      <c r="BH159" s="224">
        <f>IF(N159="sníž. přenesená",J159,0)</f>
        <v>0</v>
      </c>
      <c r="BI159" s="224">
        <f>IF(N159="nulová",J159,0)</f>
        <v>0</v>
      </c>
      <c r="BJ159" s="17" t="s">
        <v>19</v>
      </c>
      <c r="BK159" s="224">
        <f>ROUND(I159*H159,2)</f>
        <v>768</v>
      </c>
      <c r="BL159" s="17" t="s">
        <v>222</v>
      </c>
      <c r="BM159" s="223" t="s">
        <v>951</v>
      </c>
    </row>
    <row r="160" s="2" customFormat="1" ht="24.15" customHeight="1">
      <c r="A160" s="32"/>
      <c r="B160" s="33"/>
      <c r="C160" s="258" t="s">
        <v>266</v>
      </c>
      <c r="D160" s="258" t="s">
        <v>475</v>
      </c>
      <c r="E160" s="259" t="s">
        <v>952</v>
      </c>
      <c r="F160" s="260" t="s">
        <v>953</v>
      </c>
      <c r="G160" s="261" t="s">
        <v>284</v>
      </c>
      <c r="H160" s="262">
        <v>2</v>
      </c>
      <c r="I160" s="263">
        <v>116</v>
      </c>
      <c r="J160" s="263">
        <f>ROUND(I160*H160,2)</f>
        <v>232</v>
      </c>
      <c r="K160" s="264"/>
      <c r="L160" s="265"/>
      <c r="M160" s="266" t="s">
        <v>1</v>
      </c>
      <c r="N160" s="267" t="s">
        <v>39</v>
      </c>
      <c r="O160" s="221">
        <v>0</v>
      </c>
      <c r="P160" s="221">
        <f>O160*H160</f>
        <v>0</v>
      </c>
      <c r="Q160" s="221">
        <v>0.00040000000000000002</v>
      </c>
      <c r="R160" s="221">
        <f>Q160*H160</f>
        <v>0.00080000000000000004</v>
      </c>
      <c r="S160" s="221">
        <v>0</v>
      </c>
      <c r="T160" s="222">
        <f>S160*H160</f>
        <v>0</v>
      </c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R160" s="223" t="s">
        <v>241</v>
      </c>
      <c r="AT160" s="223" t="s">
        <v>475</v>
      </c>
      <c r="AU160" s="223" t="s">
        <v>83</v>
      </c>
      <c r="AY160" s="17" t="s">
        <v>142</v>
      </c>
      <c r="BE160" s="224">
        <f>IF(N160="základní",J160,0)</f>
        <v>232</v>
      </c>
      <c r="BF160" s="224">
        <f>IF(N160="snížená",J160,0)</f>
        <v>0</v>
      </c>
      <c r="BG160" s="224">
        <f>IF(N160="zákl. přenesená",J160,0)</f>
        <v>0</v>
      </c>
      <c r="BH160" s="224">
        <f>IF(N160="sníž. přenesená",J160,0)</f>
        <v>0</v>
      </c>
      <c r="BI160" s="224">
        <f>IF(N160="nulová",J160,0)</f>
        <v>0</v>
      </c>
      <c r="BJ160" s="17" t="s">
        <v>19</v>
      </c>
      <c r="BK160" s="224">
        <f>ROUND(I160*H160,2)</f>
        <v>232</v>
      </c>
      <c r="BL160" s="17" t="s">
        <v>222</v>
      </c>
      <c r="BM160" s="223" t="s">
        <v>954</v>
      </c>
    </row>
    <row r="161" s="2" customFormat="1" ht="24.15" customHeight="1">
      <c r="A161" s="32"/>
      <c r="B161" s="33"/>
      <c r="C161" s="258" t="s">
        <v>271</v>
      </c>
      <c r="D161" s="258" t="s">
        <v>475</v>
      </c>
      <c r="E161" s="259" t="s">
        <v>955</v>
      </c>
      <c r="F161" s="260" t="s">
        <v>956</v>
      </c>
      <c r="G161" s="261" t="s">
        <v>284</v>
      </c>
      <c r="H161" s="262">
        <v>1</v>
      </c>
      <c r="I161" s="263">
        <v>114</v>
      </c>
      <c r="J161" s="263">
        <f>ROUND(I161*H161,2)</f>
        <v>114</v>
      </c>
      <c r="K161" s="264"/>
      <c r="L161" s="265"/>
      <c r="M161" s="266" t="s">
        <v>1</v>
      </c>
      <c r="N161" s="267" t="s">
        <v>39</v>
      </c>
      <c r="O161" s="221">
        <v>0</v>
      </c>
      <c r="P161" s="221">
        <f>O161*H161</f>
        <v>0</v>
      </c>
      <c r="Q161" s="221">
        <v>0.00040000000000000002</v>
      </c>
      <c r="R161" s="221">
        <f>Q161*H161</f>
        <v>0.00040000000000000002</v>
      </c>
      <c r="S161" s="221">
        <v>0</v>
      </c>
      <c r="T161" s="222">
        <f>S161*H161</f>
        <v>0</v>
      </c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R161" s="223" t="s">
        <v>241</v>
      </c>
      <c r="AT161" s="223" t="s">
        <v>475</v>
      </c>
      <c r="AU161" s="223" t="s">
        <v>83</v>
      </c>
      <c r="AY161" s="17" t="s">
        <v>142</v>
      </c>
      <c r="BE161" s="224">
        <f>IF(N161="základní",J161,0)</f>
        <v>114</v>
      </c>
      <c r="BF161" s="224">
        <f>IF(N161="snížená",J161,0)</f>
        <v>0</v>
      </c>
      <c r="BG161" s="224">
        <f>IF(N161="zákl. přenesená",J161,0)</f>
        <v>0</v>
      </c>
      <c r="BH161" s="224">
        <f>IF(N161="sníž. přenesená",J161,0)</f>
        <v>0</v>
      </c>
      <c r="BI161" s="224">
        <f>IF(N161="nulová",J161,0)</f>
        <v>0</v>
      </c>
      <c r="BJ161" s="17" t="s">
        <v>19</v>
      </c>
      <c r="BK161" s="224">
        <f>ROUND(I161*H161,2)</f>
        <v>114</v>
      </c>
      <c r="BL161" s="17" t="s">
        <v>222</v>
      </c>
      <c r="BM161" s="223" t="s">
        <v>957</v>
      </c>
    </row>
    <row r="162" s="2" customFormat="1" ht="24.15" customHeight="1">
      <c r="A162" s="32"/>
      <c r="B162" s="33"/>
      <c r="C162" s="258" t="s">
        <v>276</v>
      </c>
      <c r="D162" s="258" t="s">
        <v>475</v>
      </c>
      <c r="E162" s="259" t="s">
        <v>958</v>
      </c>
      <c r="F162" s="260" t="s">
        <v>959</v>
      </c>
      <c r="G162" s="261" t="s">
        <v>284</v>
      </c>
      <c r="H162" s="262">
        <v>1</v>
      </c>
      <c r="I162" s="263">
        <v>414</v>
      </c>
      <c r="J162" s="263">
        <f>ROUND(I162*H162,2)</f>
        <v>414</v>
      </c>
      <c r="K162" s="264"/>
      <c r="L162" s="265"/>
      <c r="M162" s="266" t="s">
        <v>1</v>
      </c>
      <c r="N162" s="267" t="s">
        <v>39</v>
      </c>
      <c r="O162" s="221">
        <v>0</v>
      </c>
      <c r="P162" s="221">
        <f>O162*H162</f>
        <v>0</v>
      </c>
      <c r="Q162" s="221">
        <v>0.0010499999999999999</v>
      </c>
      <c r="R162" s="221">
        <f>Q162*H162</f>
        <v>0.0010499999999999999</v>
      </c>
      <c r="S162" s="221">
        <v>0</v>
      </c>
      <c r="T162" s="222">
        <f>S162*H162</f>
        <v>0</v>
      </c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R162" s="223" t="s">
        <v>241</v>
      </c>
      <c r="AT162" s="223" t="s">
        <v>475</v>
      </c>
      <c r="AU162" s="223" t="s">
        <v>83</v>
      </c>
      <c r="AY162" s="17" t="s">
        <v>142</v>
      </c>
      <c r="BE162" s="224">
        <f>IF(N162="základní",J162,0)</f>
        <v>414</v>
      </c>
      <c r="BF162" s="224">
        <f>IF(N162="snížená",J162,0)</f>
        <v>0</v>
      </c>
      <c r="BG162" s="224">
        <f>IF(N162="zákl. přenesená",J162,0)</f>
        <v>0</v>
      </c>
      <c r="BH162" s="224">
        <f>IF(N162="sníž. přenesená",J162,0)</f>
        <v>0</v>
      </c>
      <c r="BI162" s="224">
        <f>IF(N162="nulová",J162,0)</f>
        <v>0</v>
      </c>
      <c r="BJ162" s="17" t="s">
        <v>19</v>
      </c>
      <c r="BK162" s="224">
        <f>ROUND(I162*H162,2)</f>
        <v>414</v>
      </c>
      <c r="BL162" s="17" t="s">
        <v>222</v>
      </c>
      <c r="BM162" s="223" t="s">
        <v>960</v>
      </c>
    </row>
    <row r="163" s="2" customFormat="1" ht="24.15" customHeight="1">
      <c r="A163" s="32"/>
      <c r="B163" s="33"/>
      <c r="C163" s="212" t="s">
        <v>281</v>
      </c>
      <c r="D163" s="212" t="s">
        <v>144</v>
      </c>
      <c r="E163" s="213" t="s">
        <v>961</v>
      </c>
      <c r="F163" s="214" t="s">
        <v>962</v>
      </c>
      <c r="G163" s="215" t="s">
        <v>284</v>
      </c>
      <c r="H163" s="216">
        <v>3</v>
      </c>
      <c r="I163" s="217">
        <v>315</v>
      </c>
      <c r="J163" s="217">
        <f>ROUND(I163*H163,2)</f>
        <v>945</v>
      </c>
      <c r="K163" s="218"/>
      <c r="L163" s="38"/>
      <c r="M163" s="219" t="s">
        <v>1</v>
      </c>
      <c r="N163" s="220" t="s">
        <v>39</v>
      </c>
      <c r="O163" s="221">
        <v>0.50600000000000001</v>
      </c>
      <c r="P163" s="221">
        <f>O163*H163</f>
        <v>1.518</v>
      </c>
      <c r="Q163" s="221">
        <v>0</v>
      </c>
      <c r="R163" s="221">
        <f>Q163*H163</f>
        <v>0</v>
      </c>
      <c r="S163" s="221">
        <v>0</v>
      </c>
      <c r="T163" s="222">
        <f>S163*H163</f>
        <v>0</v>
      </c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R163" s="223" t="s">
        <v>222</v>
      </c>
      <c r="AT163" s="223" t="s">
        <v>144</v>
      </c>
      <c r="AU163" s="223" t="s">
        <v>83</v>
      </c>
      <c r="AY163" s="17" t="s">
        <v>142</v>
      </c>
      <c r="BE163" s="224">
        <f>IF(N163="základní",J163,0)</f>
        <v>945</v>
      </c>
      <c r="BF163" s="224">
        <f>IF(N163="snížená",J163,0)</f>
        <v>0</v>
      </c>
      <c r="BG163" s="224">
        <f>IF(N163="zákl. přenesená",J163,0)</f>
        <v>0</v>
      </c>
      <c r="BH163" s="224">
        <f>IF(N163="sníž. přenesená",J163,0)</f>
        <v>0</v>
      </c>
      <c r="BI163" s="224">
        <f>IF(N163="nulová",J163,0)</f>
        <v>0</v>
      </c>
      <c r="BJ163" s="17" t="s">
        <v>19</v>
      </c>
      <c r="BK163" s="224">
        <f>ROUND(I163*H163,2)</f>
        <v>945</v>
      </c>
      <c r="BL163" s="17" t="s">
        <v>222</v>
      </c>
      <c r="BM163" s="223" t="s">
        <v>963</v>
      </c>
    </row>
    <row r="164" s="2" customFormat="1" ht="24.15" customHeight="1">
      <c r="A164" s="32"/>
      <c r="B164" s="33"/>
      <c r="C164" s="258" t="s">
        <v>286</v>
      </c>
      <c r="D164" s="258" t="s">
        <v>475</v>
      </c>
      <c r="E164" s="259" t="s">
        <v>964</v>
      </c>
      <c r="F164" s="260" t="s">
        <v>965</v>
      </c>
      <c r="G164" s="261" t="s">
        <v>284</v>
      </c>
      <c r="H164" s="262">
        <v>1</v>
      </c>
      <c r="I164" s="263">
        <v>1370</v>
      </c>
      <c r="J164" s="263">
        <f>ROUND(I164*H164,2)</f>
        <v>1370</v>
      </c>
      <c r="K164" s="264"/>
      <c r="L164" s="265"/>
      <c r="M164" s="266" t="s">
        <v>1</v>
      </c>
      <c r="N164" s="267" t="s">
        <v>39</v>
      </c>
      <c r="O164" s="221">
        <v>0</v>
      </c>
      <c r="P164" s="221">
        <f>O164*H164</f>
        <v>0</v>
      </c>
      <c r="Q164" s="221">
        <v>0.0019</v>
      </c>
      <c r="R164" s="221">
        <f>Q164*H164</f>
        <v>0.0019</v>
      </c>
      <c r="S164" s="221">
        <v>0</v>
      </c>
      <c r="T164" s="222">
        <f>S164*H164</f>
        <v>0</v>
      </c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R164" s="223" t="s">
        <v>241</v>
      </c>
      <c r="AT164" s="223" t="s">
        <v>475</v>
      </c>
      <c r="AU164" s="223" t="s">
        <v>83</v>
      </c>
      <c r="AY164" s="17" t="s">
        <v>142</v>
      </c>
      <c r="BE164" s="224">
        <f>IF(N164="základní",J164,0)</f>
        <v>1370</v>
      </c>
      <c r="BF164" s="224">
        <f>IF(N164="snížená",J164,0)</f>
        <v>0</v>
      </c>
      <c r="BG164" s="224">
        <f>IF(N164="zákl. přenesená",J164,0)</f>
        <v>0</v>
      </c>
      <c r="BH164" s="224">
        <f>IF(N164="sníž. přenesená",J164,0)</f>
        <v>0</v>
      </c>
      <c r="BI164" s="224">
        <f>IF(N164="nulová",J164,0)</f>
        <v>0</v>
      </c>
      <c r="BJ164" s="17" t="s">
        <v>19</v>
      </c>
      <c r="BK164" s="224">
        <f>ROUND(I164*H164,2)</f>
        <v>1370</v>
      </c>
      <c r="BL164" s="17" t="s">
        <v>222</v>
      </c>
      <c r="BM164" s="223" t="s">
        <v>966</v>
      </c>
    </row>
    <row r="165" s="2" customFormat="1" ht="24.15" customHeight="1">
      <c r="A165" s="32"/>
      <c r="B165" s="33"/>
      <c r="C165" s="258" t="s">
        <v>290</v>
      </c>
      <c r="D165" s="258" t="s">
        <v>475</v>
      </c>
      <c r="E165" s="259" t="s">
        <v>967</v>
      </c>
      <c r="F165" s="260" t="s">
        <v>968</v>
      </c>
      <c r="G165" s="261" t="s">
        <v>284</v>
      </c>
      <c r="H165" s="262">
        <v>1</v>
      </c>
      <c r="I165" s="263">
        <v>2610</v>
      </c>
      <c r="J165" s="263">
        <f>ROUND(I165*H165,2)</f>
        <v>2610</v>
      </c>
      <c r="K165" s="264"/>
      <c r="L165" s="265"/>
      <c r="M165" s="266" t="s">
        <v>1</v>
      </c>
      <c r="N165" s="267" t="s">
        <v>39</v>
      </c>
      <c r="O165" s="221">
        <v>0</v>
      </c>
      <c r="P165" s="221">
        <f>O165*H165</f>
        <v>0</v>
      </c>
      <c r="Q165" s="221">
        <v>0.0033700000000000002</v>
      </c>
      <c r="R165" s="221">
        <f>Q165*H165</f>
        <v>0.0033700000000000002</v>
      </c>
      <c r="S165" s="221">
        <v>0</v>
      </c>
      <c r="T165" s="222">
        <f>S165*H165</f>
        <v>0</v>
      </c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R165" s="223" t="s">
        <v>241</v>
      </c>
      <c r="AT165" s="223" t="s">
        <v>475</v>
      </c>
      <c r="AU165" s="223" t="s">
        <v>83</v>
      </c>
      <c r="AY165" s="17" t="s">
        <v>142</v>
      </c>
      <c r="BE165" s="224">
        <f>IF(N165="základní",J165,0)</f>
        <v>2610</v>
      </c>
      <c r="BF165" s="224">
        <f>IF(N165="snížená",J165,0)</f>
        <v>0</v>
      </c>
      <c r="BG165" s="224">
        <f>IF(N165="zákl. přenesená",J165,0)</f>
        <v>0</v>
      </c>
      <c r="BH165" s="224">
        <f>IF(N165="sníž. přenesená",J165,0)</f>
        <v>0</v>
      </c>
      <c r="BI165" s="224">
        <f>IF(N165="nulová",J165,0)</f>
        <v>0</v>
      </c>
      <c r="BJ165" s="17" t="s">
        <v>19</v>
      </c>
      <c r="BK165" s="224">
        <f>ROUND(I165*H165,2)</f>
        <v>2610</v>
      </c>
      <c r="BL165" s="17" t="s">
        <v>222</v>
      </c>
      <c r="BM165" s="223" t="s">
        <v>969</v>
      </c>
    </row>
    <row r="166" s="2" customFormat="1" ht="24.15" customHeight="1">
      <c r="A166" s="32"/>
      <c r="B166" s="33"/>
      <c r="C166" s="258" t="s">
        <v>236</v>
      </c>
      <c r="D166" s="258" t="s">
        <v>475</v>
      </c>
      <c r="E166" s="259" t="s">
        <v>970</v>
      </c>
      <c r="F166" s="260" t="s">
        <v>971</v>
      </c>
      <c r="G166" s="261" t="s">
        <v>284</v>
      </c>
      <c r="H166" s="262">
        <v>1</v>
      </c>
      <c r="I166" s="263">
        <v>2730</v>
      </c>
      <c r="J166" s="263">
        <f>ROUND(I166*H166,2)</f>
        <v>2730</v>
      </c>
      <c r="K166" s="264"/>
      <c r="L166" s="265"/>
      <c r="M166" s="266" t="s">
        <v>1</v>
      </c>
      <c r="N166" s="267" t="s">
        <v>39</v>
      </c>
      <c r="O166" s="221">
        <v>0</v>
      </c>
      <c r="P166" s="221">
        <f>O166*H166</f>
        <v>0</v>
      </c>
      <c r="Q166" s="221">
        <v>0.0058700000000000002</v>
      </c>
      <c r="R166" s="221">
        <f>Q166*H166</f>
        <v>0.0058700000000000002</v>
      </c>
      <c r="S166" s="221">
        <v>0</v>
      </c>
      <c r="T166" s="222">
        <f>S166*H166</f>
        <v>0</v>
      </c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R166" s="223" t="s">
        <v>241</v>
      </c>
      <c r="AT166" s="223" t="s">
        <v>475</v>
      </c>
      <c r="AU166" s="223" t="s">
        <v>83</v>
      </c>
      <c r="AY166" s="17" t="s">
        <v>142</v>
      </c>
      <c r="BE166" s="224">
        <f>IF(N166="základní",J166,0)</f>
        <v>2730</v>
      </c>
      <c r="BF166" s="224">
        <f>IF(N166="snížená",J166,0)</f>
        <v>0</v>
      </c>
      <c r="BG166" s="224">
        <f>IF(N166="zákl. přenesená",J166,0)</f>
        <v>0</v>
      </c>
      <c r="BH166" s="224">
        <f>IF(N166="sníž. přenesená",J166,0)</f>
        <v>0</v>
      </c>
      <c r="BI166" s="224">
        <f>IF(N166="nulová",J166,0)</f>
        <v>0</v>
      </c>
      <c r="BJ166" s="17" t="s">
        <v>19</v>
      </c>
      <c r="BK166" s="224">
        <f>ROUND(I166*H166,2)</f>
        <v>2730</v>
      </c>
      <c r="BL166" s="17" t="s">
        <v>222</v>
      </c>
      <c r="BM166" s="223" t="s">
        <v>972</v>
      </c>
    </row>
    <row r="167" s="2" customFormat="1" ht="24.15" customHeight="1">
      <c r="A167" s="32"/>
      <c r="B167" s="33"/>
      <c r="C167" s="212" t="s">
        <v>297</v>
      </c>
      <c r="D167" s="212" t="s">
        <v>144</v>
      </c>
      <c r="E167" s="213" t="s">
        <v>973</v>
      </c>
      <c r="F167" s="214" t="s">
        <v>974</v>
      </c>
      <c r="G167" s="215" t="s">
        <v>284</v>
      </c>
      <c r="H167" s="216">
        <v>3</v>
      </c>
      <c r="I167" s="217">
        <v>798</v>
      </c>
      <c r="J167" s="217">
        <f>ROUND(I167*H167,2)</f>
        <v>2394</v>
      </c>
      <c r="K167" s="218"/>
      <c r="L167" s="38"/>
      <c r="M167" s="219" t="s">
        <v>1</v>
      </c>
      <c r="N167" s="220" t="s">
        <v>39</v>
      </c>
      <c r="O167" s="221">
        <v>1.585</v>
      </c>
      <c r="P167" s="221">
        <f>O167*H167</f>
        <v>4.7549999999999999</v>
      </c>
      <c r="Q167" s="221">
        <v>0</v>
      </c>
      <c r="R167" s="221">
        <f>Q167*H167</f>
        <v>0</v>
      </c>
      <c r="S167" s="221">
        <v>0</v>
      </c>
      <c r="T167" s="222">
        <f>S167*H167</f>
        <v>0</v>
      </c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R167" s="223" t="s">
        <v>222</v>
      </c>
      <c r="AT167" s="223" t="s">
        <v>144</v>
      </c>
      <c r="AU167" s="223" t="s">
        <v>83</v>
      </c>
      <c r="AY167" s="17" t="s">
        <v>142</v>
      </c>
      <c r="BE167" s="224">
        <f>IF(N167="základní",J167,0)</f>
        <v>2394</v>
      </c>
      <c r="BF167" s="224">
        <f>IF(N167="snížená",J167,0)</f>
        <v>0</v>
      </c>
      <c r="BG167" s="224">
        <f>IF(N167="zákl. přenesená",J167,0)</f>
        <v>0</v>
      </c>
      <c r="BH167" s="224">
        <f>IF(N167="sníž. přenesená",J167,0)</f>
        <v>0</v>
      </c>
      <c r="BI167" s="224">
        <f>IF(N167="nulová",J167,0)</f>
        <v>0</v>
      </c>
      <c r="BJ167" s="17" t="s">
        <v>19</v>
      </c>
      <c r="BK167" s="224">
        <f>ROUND(I167*H167,2)</f>
        <v>2394</v>
      </c>
      <c r="BL167" s="17" t="s">
        <v>222</v>
      </c>
      <c r="BM167" s="223" t="s">
        <v>975</v>
      </c>
    </row>
    <row r="168" s="2" customFormat="1" ht="16.5" customHeight="1">
      <c r="A168" s="32"/>
      <c r="B168" s="33"/>
      <c r="C168" s="258" t="s">
        <v>241</v>
      </c>
      <c r="D168" s="258" t="s">
        <v>475</v>
      </c>
      <c r="E168" s="259" t="s">
        <v>976</v>
      </c>
      <c r="F168" s="260" t="s">
        <v>977</v>
      </c>
      <c r="G168" s="261" t="s">
        <v>284</v>
      </c>
      <c r="H168" s="262">
        <v>3</v>
      </c>
      <c r="I168" s="263">
        <v>402</v>
      </c>
      <c r="J168" s="263">
        <f>ROUND(I168*H168,2)</f>
        <v>1206</v>
      </c>
      <c r="K168" s="264"/>
      <c r="L168" s="265"/>
      <c r="M168" s="266" t="s">
        <v>1</v>
      </c>
      <c r="N168" s="267" t="s">
        <v>39</v>
      </c>
      <c r="O168" s="221">
        <v>0</v>
      </c>
      <c r="P168" s="221">
        <f>O168*H168</f>
        <v>0</v>
      </c>
      <c r="Q168" s="221">
        <v>0</v>
      </c>
      <c r="R168" s="221">
        <f>Q168*H168</f>
        <v>0</v>
      </c>
      <c r="S168" s="221">
        <v>0</v>
      </c>
      <c r="T168" s="222">
        <f>S168*H168</f>
        <v>0</v>
      </c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R168" s="223" t="s">
        <v>241</v>
      </c>
      <c r="AT168" s="223" t="s">
        <v>475</v>
      </c>
      <c r="AU168" s="223" t="s">
        <v>83</v>
      </c>
      <c r="AY168" s="17" t="s">
        <v>142</v>
      </c>
      <c r="BE168" s="224">
        <f>IF(N168="základní",J168,0)</f>
        <v>1206</v>
      </c>
      <c r="BF168" s="224">
        <f>IF(N168="snížená",J168,0)</f>
        <v>0</v>
      </c>
      <c r="BG168" s="224">
        <f>IF(N168="zákl. přenesená",J168,0)</f>
        <v>0</v>
      </c>
      <c r="BH168" s="224">
        <f>IF(N168="sníž. přenesená",J168,0)</f>
        <v>0</v>
      </c>
      <c r="BI168" s="224">
        <f>IF(N168="nulová",J168,0)</f>
        <v>0</v>
      </c>
      <c r="BJ168" s="17" t="s">
        <v>19</v>
      </c>
      <c r="BK168" s="224">
        <f>ROUND(I168*H168,2)</f>
        <v>1206</v>
      </c>
      <c r="BL168" s="17" t="s">
        <v>222</v>
      </c>
      <c r="BM168" s="223" t="s">
        <v>978</v>
      </c>
    </row>
    <row r="169" s="2" customFormat="1" ht="24.15" customHeight="1">
      <c r="A169" s="32"/>
      <c r="B169" s="33"/>
      <c r="C169" s="212" t="s">
        <v>304</v>
      </c>
      <c r="D169" s="212" t="s">
        <v>144</v>
      </c>
      <c r="E169" s="213" t="s">
        <v>979</v>
      </c>
      <c r="F169" s="214" t="s">
        <v>980</v>
      </c>
      <c r="G169" s="215" t="s">
        <v>284</v>
      </c>
      <c r="H169" s="216">
        <v>1</v>
      </c>
      <c r="I169" s="217">
        <v>244</v>
      </c>
      <c r="J169" s="217">
        <f>ROUND(I169*H169,2)</f>
        <v>244</v>
      </c>
      <c r="K169" s="218"/>
      <c r="L169" s="38"/>
      <c r="M169" s="219" t="s">
        <v>1</v>
      </c>
      <c r="N169" s="220" t="s">
        <v>39</v>
      </c>
      <c r="O169" s="221">
        <v>0.48399999999999999</v>
      </c>
      <c r="P169" s="221">
        <f>O169*H169</f>
        <v>0.48399999999999999</v>
      </c>
      <c r="Q169" s="221">
        <v>0</v>
      </c>
      <c r="R169" s="221">
        <f>Q169*H169</f>
        <v>0</v>
      </c>
      <c r="S169" s="221">
        <v>0</v>
      </c>
      <c r="T169" s="222">
        <f>S169*H169</f>
        <v>0</v>
      </c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R169" s="223" t="s">
        <v>222</v>
      </c>
      <c r="AT169" s="223" t="s">
        <v>144</v>
      </c>
      <c r="AU169" s="223" t="s">
        <v>83</v>
      </c>
      <c r="AY169" s="17" t="s">
        <v>142</v>
      </c>
      <c r="BE169" s="224">
        <f>IF(N169="základní",J169,0)</f>
        <v>244</v>
      </c>
      <c r="BF169" s="224">
        <f>IF(N169="snížená",J169,0)</f>
        <v>0</v>
      </c>
      <c r="BG169" s="224">
        <f>IF(N169="zákl. přenesená",J169,0)</f>
        <v>0</v>
      </c>
      <c r="BH169" s="224">
        <f>IF(N169="sníž. přenesená",J169,0)</f>
        <v>0</v>
      </c>
      <c r="BI169" s="224">
        <f>IF(N169="nulová",J169,0)</f>
        <v>0</v>
      </c>
      <c r="BJ169" s="17" t="s">
        <v>19</v>
      </c>
      <c r="BK169" s="224">
        <f>ROUND(I169*H169,2)</f>
        <v>244</v>
      </c>
      <c r="BL169" s="17" t="s">
        <v>222</v>
      </c>
      <c r="BM169" s="223" t="s">
        <v>981</v>
      </c>
    </row>
    <row r="170" s="2" customFormat="1" ht="24.15" customHeight="1">
      <c r="A170" s="32"/>
      <c r="B170" s="33"/>
      <c r="C170" s="258" t="s">
        <v>269</v>
      </c>
      <c r="D170" s="258" t="s">
        <v>475</v>
      </c>
      <c r="E170" s="259" t="s">
        <v>982</v>
      </c>
      <c r="F170" s="260" t="s">
        <v>983</v>
      </c>
      <c r="G170" s="261" t="s">
        <v>284</v>
      </c>
      <c r="H170" s="262">
        <v>1</v>
      </c>
      <c r="I170" s="263">
        <v>524</v>
      </c>
      <c r="J170" s="263">
        <f>ROUND(I170*H170,2)</f>
        <v>524</v>
      </c>
      <c r="K170" s="264"/>
      <c r="L170" s="265"/>
      <c r="M170" s="266" t="s">
        <v>1</v>
      </c>
      <c r="N170" s="267" t="s">
        <v>39</v>
      </c>
      <c r="O170" s="221">
        <v>0</v>
      </c>
      <c r="P170" s="221">
        <f>O170*H170</f>
        <v>0</v>
      </c>
      <c r="Q170" s="221">
        <v>0.0010499999999999999</v>
      </c>
      <c r="R170" s="221">
        <f>Q170*H170</f>
        <v>0.0010499999999999999</v>
      </c>
      <c r="S170" s="221">
        <v>0</v>
      </c>
      <c r="T170" s="222">
        <f>S170*H170</f>
        <v>0</v>
      </c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R170" s="223" t="s">
        <v>241</v>
      </c>
      <c r="AT170" s="223" t="s">
        <v>475</v>
      </c>
      <c r="AU170" s="223" t="s">
        <v>83</v>
      </c>
      <c r="AY170" s="17" t="s">
        <v>142</v>
      </c>
      <c r="BE170" s="224">
        <f>IF(N170="základní",J170,0)</f>
        <v>524</v>
      </c>
      <c r="BF170" s="224">
        <f>IF(N170="snížená",J170,0)</f>
        <v>0</v>
      </c>
      <c r="BG170" s="224">
        <f>IF(N170="zákl. přenesená",J170,0)</f>
        <v>0</v>
      </c>
      <c r="BH170" s="224">
        <f>IF(N170="sníž. přenesená",J170,0)</f>
        <v>0</v>
      </c>
      <c r="BI170" s="224">
        <f>IF(N170="nulová",J170,0)</f>
        <v>0</v>
      </c>
      <c r="BJ170" s="17" t="s">
        <v>19</v>
      </c>
      <c r="BK170" s="224">
        <f>ROUND(I170*H170,2)</f>
        <v>524</v>
      </c>
      <c r="BL170" s="17" t="s">
        <v>222</v>
      </c>
      <c r="BM170" s="223" t="s">
        <v>984</v>
      </c>
    </row>
    <row r="171" s="2" customFormat="1" ht="24.15" customHeight="1">
      <c r="A171" s="32"/>
      <c r="B171" s="33"/>
      <c r="C171" s="212" t="s">
        <v>311</v>
      </c>
      <c r="D171" s="212" t="s">
        <v>144</v>
      </c>
      <c r="E171" s="213" t="s">
        <v>985</v>
      </c>
      <c r="F171" s="214" t="s">
        <v>986</v>
      </c>
      <c r="G171" s="215" t="s">
        <v>284</v>
      </c>
      <c r="H171" s="216">
        <v>2</v>
      </c>
      <c r="I171" s="217">
        <v>244</v>
      </c>
      <c r="J171" s="217">
        <f>ROUND(I171*H171,2)</f>
        <v>488</v>
      </c>
      <c r="K171" s="218"/>
      <c r="L171" s="38"/>
      <c r="M171" s="219" t="s">
        <v>1</v>
      </c>
      <c r="N171" s="220" t="s">
        <v>39</v>
      </c>
      <c r="O171" s="221">
        <v>0.48499999999999999</v>
      </c>
      <c r="P171" s="221">
        <f>O171*H171</f>
        <v>0.96999999999999997</v>
      </c>
      <c r="Q171" s="221">
        <v>0</v>
      </c>
      <c r="R171" s="221">
        <f>Q171*H171</f>
        <v>0</v>
      </c>
      <c r="S171" s="221">
        <v>0</v>
      </c>
      <c r="T171" s="222">
        <f>S171*H171</f>
        <v>0</v>
      </c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R171" s="223" t="s">
        <v>222</v>
      </c>
      <c r="AT171" s="223" t="s">
        <v>144</v>
      </c>
      <c r="AU171" s="223" t="s">
        <v>83</v>
      </c>
      <c r="AY171" s="17" t="s">
        <v>142</v>
      </c>
      <c r="BE171" s="224">
        <f>IF(N171="základní",J171,0)</f>
        <v>488</v>
      </c>
      <c r="BF171" s="224">
        <f>IF(N171="snížená",J171,0)</f>
        <v>0</v>
      </c>
      <c r="BG171" s="224">
        <f>IF(N171="zákl. přenesená",J171,0)</f>
        <v>0</v>
      </c>
      <c r="BH171" s="224">
        <f>IF(N171="sníž. přenesená",J171,0)</f>
        <v>0</v>
      </c>
      <c r="BI171" s="224">
        <f>IF(N171="nulová",J171,0)</f>
        <v>0</v>
      </c>
      <c r="BJ171" s="17" t="s">
        <v>19</v>
      </c>
      <c r="BK171" s="224">
        <f>ROUND(I171*H171,2)</f>
        <v>488</v>
      </c>
      <c r="BL171" s="17" t="s">
        <v>222</v>
      </c>
      <c r="BM171" s="223" t="s">
        <v>987</v>
      </c>
    </row>
    <row r="172" s="2" customFormat="1" ht="16.5" customHeight="1">
      <c r="A172" s="32"/>
      <c r="B172" s="33"/>
      <c r="C172" s="258" t="s">
        <v>274</v>
      </c>
      <c r="D172" s="258" t="s">
        <v>475</v>
      </c>
      <c r="E172" s="259" t="s">
        <v>988</v>
      </c>
      <c r="F172" s="260" t="s">
        <v>989</v>
      </c>
      <c r="G172" s="261" t="s">
        <v>284</v>
      </c>
      <c r="H172" s="262">
        <v>2</v>
      </c>
      <c r="I172" s="263">
        <v>1000</v>
      </c>
      <c r="J172" s="263">
        <f>ROUND(I172*H172,2)</f>
        <v>2000</v>
      </c>
      <c r="K172" s="264"/>
      <c r="L172" s="265"/>
      <c r="M172" s="266" t="s">
        <v>1</v>
      </c>
      <c r="N172" s="267" t="s">
        <v>39</v>
      </c>
      <c r="O172" s="221">
        <v>0</v>
      </c>
      <c r="P172" s="221">
        <f>O172*H172</f>
        <v>0</v>
      </c>
      <c r="Q172" s="221">
        <v>0</v>
      </c>
      <c r="R172" s="221">
        <f>Q172*H172</f>
        <v>0</v>
      </c>
      <c r="S172" s="221">
        <v>0</v>
      </c>
      <c r="T172" s="222">
        <f>S172*H172</f>
        <v>0</v>
      </c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R172" s="223" t="s">
        <v>241</v>
      </c>
      <c r="AT172" s="223" t="s">
        <v>475</v>
      </c>
      <c r="AU172" s="223" t="s">
        <v>83</v>
      </c>
      <c r="AY172" s="17" t="s">
        <v>142</v>
      </c>
      <c r="BE172" s="224">
        <f>IF(N172="základní",J172,0)</f>
        <v>2000</v>
      </c>
      <c r="BF172" s="224">
        <f>IF(N172="snížená",J172,0)</f>
        <v>0</v>
      </c>
      <c r="BG172" s="224">
        <f>IF(N172="zákl. přenesená",J172,0)</f>
        <v>0</v>
      </c>
      <c r="BH172" s="224">
        <f>IF(N172="sníž. přenesená",J172,0)</f>
        <v>0</v>
      </c>
      <c r="BI172" s="224">
        <f>IF(N172="nulová",J172,0)</f>
        <v>0</v>
      </c>
      <c r="BJ172" s="17" t="s">
        <v>19</v>
      </c>
      <c r="BK172" s="224">
        <f>ROUND(I172*H172,2)</f>
        <v>2000</v>
      </c>
      <c r="BL172" s="17" t="s">
        <v>222</v>
      </c>
      <c r="BM172" s="223" t="s">
        <v>990</v>
      </c>
    </row>
    <row r="173" s="2" customFormat="1" ht="24.15" customHeight="1">
      <c r="A173" s="32"/>
      <c r="B173" s="33"/>
      <c r="C173" s="212" t="s">
        <v>318</v>
      </c>
      <c r="D173" s="212" t="s">
        <v>144</v>
      </c>
      <c r="E173" s="213" t="s">
        <v>991</v>
      </c>
      <c r="F173" s="214" t="s">
        <v>992</v>
      </c>
      <c r="G173" s="215" t="s">
        <v>284</v>
      </c>
      <c r="H173" s="216">
        <v>6</v>
      </c>
      <c r="I173" s="217">
        <v>294</v>
      </c>
      <c r="J173" s="217">
        <f>ROUND(I173*H173,2)</f>
        <v>1764</v>
      </c>
      <c r="K173" s="218"/>
      <c r="L173" s="38"/>
      <c r="M173" s="219" t="s">
        <v>1</v>
      </c>
      <c r="N173" s="220" t="s">
        <v>39</v>
      </c>
      <c r="O173" s="221">
        <v>0.58499999999999996</v>
      </c>
      <c r="P173" s="221">
        <f>O173*H173</f>
        <v>3.5099999999999998</v>
      </c>
      <c r="Q173" s="221">
        <v>0</v>
      </c>
      <c r="R173" s="221">
        <f>Q173*H173</f>
        <v>0</v>
      </c>
      <c r="S173" s="221">
        <v>0</v>
      </c>
      <c r="T173" s="222">
        <f>S173*H173</f>
        <v>0</v>
      </c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R173" s="223" t="s">
        <v>222</v>
      </c>
      <c r="AT173" s="223" t="s">
        <v>144</v>
      </c>
      <c r="AU173" s="223" t="s">
        <v>83</v>
      </c>
      <c r="AY173" s="17" t="s">
        <v>142</v>
      </c>
      <c r="BE173" s="224">
        <f>IF(N173="základní",J173,0)</f>
        <v>1764</v>
      </c>
      <c r="BF173" s="224">
        <f>IF(N173="snížená",J173,0)</f>
        <v>0</v>
      </c>
      <c r="BG173" s="224">
        <f>IF(N173="zákl. přenesená",J173,0)</f>
        <v>0</v>
      </c>
      <c r="BH173" s="224">
        <f>IF(N173="sníž. přenesená",J173,0)</f>
        <v>0</v>
      </c>
      <c r="BI173" s="224">
        <f>IF(N173="nulová",J173,0)</f>
        <v>0</v>
      </c>
      <c r="BJ173" s="17" t="s">
        <v>19</v>
      </c>
      <c r="BK173" s="224">
        <f>ROUND(I173*H173,2)</f>
        <v>1764</v>
      </c>
      <c r="BL173" s="17" t="s">
        <v>222</v>
      </c>
      <c r="BM173" s="223" t="s">
        <v>993</v>
      </c>
    </row>
    <row r="174" s="2" customFormat="1" ht="16.5" customHeight="1">
      <c r="A174" s="32"/>
      <c r="B174" s="33"/>
      <c r="C174" s="258" t="s">
        <v>323</v>
      </c>
      <c r="D174" s="258" t="s">
        <v>475</v>
      </c>
      <c r="E174" s="259" t="s">
        <v>994</v>
      </c>
      <c r="F174" s="260" t="s">
        <v>995</v>
      </c>
      <c r="G174" s="261" t="s">
        <v>284</v>
      </c>
      <c r="H174" s="262">
        <v>6</v>
      </c>
      <c r="I174" s="263">
        <v>2850</v>
      </c>
      <c r="J174" s="263">
        <f>ROUND(I174*H174,2)</f>
        <v>17100</v>
      </c>
      <c r="K174" s="264"/>
      <c r="L174" s="265"/>
      <c r="M174" s="266" t="s">
        <v>1</v>
      </c>
      <c r="N174" s="267" t="s">
        <v>39</v>
      </c>
      <c r="O174" s="221">
        <v>0</v>
      </c>
      <c r="P174" s="221">
        <f>O174*H174</f>
        <v>0</v>
      </c>
      <c r="Q174" s="221">
        <v>0.00046999999999999999</v>
      </c>
      <c r="R174" s="221">
        <f>Q174*H174</f>
        <v>0.00282</v>
      </c>
      <c r="S174" s="221">
        <v>0</v>
      </c>
      <c r="T174" s="222">
        <f>S174*H174</f>
        <v>0</v>
      </c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R174" s="223" t="s">
        <v>241</v>
      </c>
      <c r="AT174" s="223" t="s">
        <v>475</v>
      </c>
      <c r="AU174" s="223" t="s">
        <v>83</v>
      </c>
      <c r="AY174" s="17" t="s">
        <v>142</v>
      </c>
      <c r="BE174" s="224">
        <f>IF(N174="základní",J174,0)</f>
        <v>17100</v>
      </c>
      <c r="BF174" s="224">
        <f>IF(N174="snížená",J174,0)</f>
        <v>0</v>
      </c>
      <c r="BG174" s="224">
        <f>IF(N174="zákl. přenesená",J174,0)</f>
        <v>0</v>
      </c>
      <c r="BH174" s="224">
        <f>IF(N174="sníž. přenesená",J174,0)</f>
        <v>0</v>
      </c>
      <c r="BI174" s="224">
        <f>IF(N174="nulová",J174,0)</f>
        <v>0</v>
      </c>
      <c r="BJ174" s="17" t="s">
        <v>19</v>
      </c>
      <c r="BK174" s="224">
        <f>ROUND(I174*H174,2)</f>
        <v>17100</v>
      </c>
      <c r="BL174" s="17" t="s">
        <v>222</v>
      </c>
      <c r="BM174" s="223" t="s">
        <v>996</v>
      </c>
    </row>
    <row r="175" s="2" customFormat="1" ht="33" customHeight="1">
      <c r="A175" s="32"/>
      <c r="B175" s="33"/>
      <c r="C175" s="212" t="s">
        <v>329</v>
      </c>
      <c r="D175" s="212" t="s">
        <v>144</v>
      </c>
      <c r="E175" s="213" t="s">
        <v>997</v>
      </c>
      <c r="F175" s="214" t="s">
        <v>998</v>
      </c>
      <c r="G175" s="215" t="s">
        <v>284</v>
      </c>
      <c r="H175" s="216">
        <v>3</v>
      </c>
      <c r="I175" s="217">
        <v>355</v>
      </c>
      <c r="J175" s="217">
        <f>ROUND(I175*H175,2)</f>
        <v>1065</v>
      </c>
      <c r="K175" s="218"/>
      <c r="L175" s="38"/>
      <c r="M175" s="219" t="s">
        <v>1</v>
      </c>
      <c r="N175" s="220" t="s">
        <v>39</v>
      </c>
      <c r="O175" s="221">
        <v>0.70499999999999996</v>
      </c>
      <c r="P175" s="221">
        <f>O175*H175</f>
        <v>2.1149999999999998</v>
      </c>
      <c r="Q175" s="221">
        <v>0</v>
      </c>
      <c r="R175" s="221">
        <f>Q175*H175</f>
        <v>0</v>
      </c>
      <c r="S175" s="221">
        <v>0</v>
      </c>
      <c r="T175" s="222">
        <f>S175*H175</f>
        <v>0</v>
      </c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R175" s="223" t="s">
        <v>222</v>
      </c>
      <c r="AT175" s="223" t="s">
        <v>144</v>
      </c>
      <c r="AU175" s="223" t="s">
        <v>83</v>
      </c>
      <c r="AY175" s="17" t="s">
        <v>142</v>
      </c>
      <c r="BE175" s="224">
        <f>IF(N175="základní",J175,0)</f>
        <v>1065</v>
      </c>
      <c r="BF175" s="224">
        <f>IF(N175="snížená",J175,0)</f>
        <v>0</v>
      </c>
      <c r="BG175" s="224">
        <f>IF(N175="zákl. přenesená",J175,0)</f>
        <v>0</v>
      </c>
      <c r="BH175" s="224">
        <f>IF(N175="sníž. přenesená",J175,0)</f>
        <v>0</v>
      </c>
      <c r="BI175" s="224">
        <f>IF(N175="nulová",J175,0)</f>
        <v>0</v>
      </c>
      <c r="BJ175" s="17" t="s">
        <v>19</v>
      </c>
      <c r="BK175" s="224">
        <f>ROUND(I175*H175,2)</f>
        <v>1065</v>
      </c>
      <c r="BL175" s="17" t="s">
        <v>222</v>
      </c>
      <c r="BM175" s="223" t="s">
        <v>999</v>
      </c>
    </row>
    <row r="176" s="2" customFormat="1" ht="16.5" customHeight="1">
      <c r="A176" s="32"/>
      <c r="B176" s="33"/>
      <c r="C176" s="258" t="s">
        <v>334</v>
      </c>
      <c r="D176" s="258" t="s">
        <v>475</v>
      </c>
      <c r="E176" s="259" t="s">
        <v>1000</v>
      </c>
      <c r="F176" s="260" t="s">
        <v>1001</v>
      </c>
      <c r="G176" s="261" t="s">
        <v>1002</v>
      </c>
      <c r="H176" s="262">
        <v>3</v>
      </c>
      <c r="I176" s="263">
        <v>1075</v>
      </c>
      <c r="J176" s="263">
        <f>ROUND(I176*H176,2)</f>
        <v>3225</v>
      </c>
      <c r="K176" s="264"/>
      <c r="L176" s="265"/>
      <c r="M176" s="266" t="s">
        <v>1</v>
      </c>
      <c r="N176" s="267" t="s">
        <v>39</v>
      </c>
      <c r="O176" s="221">
        <v>0</v>
      </c>
      <c r="P176" s="221">
        <f>O176*H176</f>
        <v>0</v>
      </c>
      <c r="Q176" s="221">
        <v>0</v>
      </c>
      <c r="R176" s="221">
        <f>Q176*H176</f>
        <v>0</v>
      </c>
      <c r="S176" s="221">
        <v>0</v>
      </c>
      <c r="T176" s="222">
        <f>S176*H176</f>
        <v>0</v>
      </c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R176" s="223" t="s">
        <v>241</v>
      </c>
      <c r="AT176" s="223" t="s">
        <v>475</v>
      </c>
      <c r="AU176" s="223" t="s">
        <v>83</v>
      </c>
      <c r="AY176" s="17" t="s">
        <v>142</v>
      </c>
      <c r="BE176" s="224">
        <f>IF(N176="základní",J176,0)</f>
        <v>3225</v>
      </c>
      <c r="BF176" s="224">
        <f>IF(N176="snížená",J176,0)</f>
        <v>0</v>
      </c>
      <c r="BG176" s="224">
        <f>IF(N176="zákl. přenesená",J176,0)</f>
        <v>0</v>
      </c>
      <c r="BH176" s="224">
        <f>IF(N176="sníž. přenesená",J176,0)</f>
        <v>0</v>
      </c>
      <c r="BI176" s="224">
        <f>IF(N176="nulová",J176,0)</f>
        <v>0</v>
      </c>
      <c r="BJ176" s="17" t="s">
        <v>19</v>
      </c>
      <c r="BK176" s="224">
        <f>ROUND(I176*H176,2)</f>
        <v>3225</v>
      </c>
      <c r="BL176" s="17" t="s">
        <v>222</v>
      </c>
      <c r="BM176" s="223" t="s">
        <v>1003</v>
      </c>
    </row>
    <row r="177" s="2" customFormat="1" ht="16.5" customHeight="1">
      <c r="A177" s="32"/>
      <c r="B177" s="33"/>
      <c r="C177" s="258" t="s">
        <v>339</v>
      </c>
      <c r="D177" s="258" t="s">
        <v>475</v>
      </c>
      <c r="E177" s="259" t="s">
        <v>1004</v>
      </c>
      <c r="F177" s="260" t="s">
        <v>1005</v>
      </c>
      <c r="G177" s="261" t="s">
        <v>284</v>
      </c>
      <c r="H177" s="262">
        <v>1</v>
      </c>
      <c r="I177" s="263">
        <v>7150</v>
      </c>
      <c r="J177" s="263">
        <f>ROUND(I177*H177,2)</f>
        <v>7150</v>
      </c>
      <c r="K177" s="264"/>
      <c r="L177" s="265"/>
      <c r="M177" s="266" t="s">
        <v>1</v>
      </c>
      <c r="N177" s="267" t="s">
        <v>39</v>
      </c>
      <c r="O177" s="221">
        <v>0</v>
      </c>
      <c r="P177" s="221">
        <f>O177*H177</f>
        <v>0</v>
      </c>
      <c r="Q177" s="221">
        <v>0.00025000000000000001</v>
      </c>
      <c r="R177" s="221">
        <f>Q177*H177</f>
        <v>0.00025000000000000001</v>
      </c>
      <c r="S177" s="221">
        <v>0</v>
      </c>
      <c r="T177" s="222">
        <f>S177*H177</f>
        <v>0</v>
      </c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R177" s="223" t="s">
        <v>241</v>
      </c>
      <c r="AT177" s="223" t="s">
        <v>475</v>
      </c>
      <c r="AU177" s="223" t="s">
        <v>83</v>
      </c>
      <c r="AY177" s="17" t="s">
        <v>142</v>
      </c>
      <c r="BE177" s="224">
        <f>IF(N177="základní",J177,0)</f>
        <v>7150</v>
      </c>
      <c r="BF177" s="224">
        <f>IF(N177="snížená",J177,0)</f>
        <v>0</v>
      </c>
      <c r="BG177" s="224">
        <f>IF(N177="zákl. přenesená",J177,0)</f>
        <v>0</v>
      </c>
      <c r="BH177" s="224">
        <f>IF(N177="sníž. přenesená",J177,0)</f>
        <v>0</v>
      </c>
      <c r="BI177" s="224">
        <f>IF(N177="nulová",J177,0)</f>
        <v>0</v>
      </c>
      <c r="BJ177" s="17" t="s">
        <v>19</v>
      </c>
      <c r="BK177" s="224">
        <f>ROUND(I177*H177,2)</f>
        <v>7150</v>
      </c>
      <c r="BL177" s="17" t="s">
        <v>222</v>
      </c>
      <c r="BM177" s="223" t="s">
        <v>1006</v>
      </c>
    </row>
    <row r="178" s="2" customFormat="1" ht="16.5" customHeight="1">
      <c r="A178" s="32"/>
      <c r="B178" s="33"/>
      <c r="C178" s="258" t="s">
        <v>346</v>
      </c>
      <c r="D178" s="258" t="s">
        <v>475</v>
      </c>
      <c r="E178" s="259" t="s">
        <v>1007</v>
      </c>
      <c r="F178" s="260" t="s">
        <v>1008</v>
      </c>
      <c r="G178" s="261" t="s">
        <v>284</v>
      </c>
      <c r="H178" s="262">
        <v>2</v>
      </c>
      <c r="I178" s="263">
        <v>1100</v>
      </c>
      <c r="J178" s="263">
        <f>ROUND(I178*H178,2)</f>
        <v>2200</v>
      </c>
      <c r="K178" s="264"/>
      <c r="L178" s="265"/>
      <c r="M178" s="266" t="s">
        <v>1</v>
      </c>
      <c r="N178" s="267" t="s">
        <v>39</v>
      </c>
      <c r="O178" s="221">
        <v>0</v>
      </c>
      <c r="P178" s="221">
        <f>O178*H178</f>
        <v>0</v>
      </c>
      <c r="Q178" s="221">
        <v>0.00025000000000000001</v>
      </c>
      <c r="R178" s="221">
        <f>Q178*H178</f>
        <v>0.00050000000000000001</v>
      </c>
      <c r="S178" s="221">
        <v>0</v>
      </c>
      <c r="T178" s="222">
        <f>S178*H178</f>
        <v>0</v>
      </c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R178" s="223" t="s">
        <v>241</v>
      </c>
      <c r="AT178" s="223" t="s">
        <v>475</v>
      </c>
      <c r="AU178" s="223" t="s">
        <v>83</v>
      </c>
      <c r="AY178" s="17" t="s">
        <v>142</v>
      </c>
      <c r="BE178" s="224">
        <f>IF(N178="základní",J178,0)</f>
        <v>2200</v>
      </c>
      <c r="BF178" s="224">
        <f>IF(N178="snížená",J178,0)</f>
        <v>0</v>
      </c>
      <c r="BG178" s="224">
        <f>IF(N178="zákl. přenesená",J178,0)</f>
        <v>0</v>
      </c>
      <c r="BH178" s="224">
        <f>IF(N178="sníž. přenesená",J178,0)</f>
        <v>0</v>
      </c>
      <c r="BI178" s="224">
        <f>IF(N178="nulová",J178,0)</f>
        <v>0</v>
      </c>
      <c r="BJ178" s="17" t="s">
        <v>19</v>
      </c>
      <c r="BK178" s="224">
        <f>ROUND(I178*H178,2)</f>
        <v>2200</v>
      </c>
      <c r="BL178" s="17" t="s">
        <v>222</v>
      </c>
      <c r="BM178" s="223" t="s">
        <v>1009</v>
      </c>
    </row>
    <row r="179" s="2" customFormat="1" ht="16.5" customHeight="1">
      <c r="A179" s="32"/>
      <c r="B179" s="33"/>
      <c r="C179" s="258" t="s">
        <v>351</v>
      </c>
      <c r="D179" s="258" t="s">
        <v>475</v>
      </c>
      <c r="E179" s="259" t="s">
        <v>1010</v>
      </c>
      <c r="F179" s="260" t="s">
        <v>1011</v>
      </c>
      <c r="G179" s="261" t="s">
        <v>284</v>
      </c>
      <c r="H179" s="262">
        <v>4</v>
      </c>
      <c r="I179" s="263">
        <v>12100</v>
      </c>
      <c r="J179" s="263">
        <f>ROUND(I179*H179,2)</f>
        <v>48400</v>
      </c>
      <c r="K179" s="264"/>
      <c r="L179" s="265"/>
      <c r="M179" s="266" t="s">
        <v>1</v>
      </c>
      <c r="N179" s="267" t="s">
        <v>39</v>
      </c>
      <c r="O179" s="221">
        <v>0</v>
      </c>
      <c r="P179" s="221">
        <f>O179*H179</f>
        <v>0</v>
      </c>
      <c r="Q179" s="221">
        <v>0.00025000000000000001</v>
      </c>
      <c r="R179" s="221">
        <f>Q179*H179</f>
        <v>0.001</v>
      </c>
      <c r="S179" s="221">
        <v>0</v>
      </c>
      <c r="T179" s="222">
        <f>S179*H179</f>
        <v>0</v>
      </c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R179" s="223" t="s">
        <v>241</v>
      </c>
      <c r="AT179" s="223" t="s">
        <v>475</v>
      </c>
      <c r="AU179" s="223" t="s">
        <v>83</v>
      </c>
      <c r="AY179" s="17" t="s">
        <v>142</v>
      </c>
      <c r="BE179" s="224">
        <f>IF(N179="základní",J179,0)</f>
        <v>48400</v>
      </c>
      <c r="BF179" s="224">
        <f>IF(N179="snížená",J179,0)</f>
        <v>0</v>
      </c>
      <c r="BG179" s="224">
        <f>IF(N179="zákl. přenesená",J179,0)</f>
        <v>0</v>
      </c>
      <c r="BH179" s="224">
        <f>IF(N179="sníž. přenesená",J179,0)</f>
        <v>0</v>
      </c>
      <c r="BI179" s="224">
        <f>IF(N179="nulová",J179,0)</f>
        <v>0</v>
      </c>
      <c r="BJ179" s="17" t="s">
        <v>19</v>
      </c>
      <c r="BK179" s="224">
        <f>ROUND(I179*H179,2)</f>
        <v>48400</v>
      </c>
      <c r="BL179" s="17" t="s">
        <v>222</v>
      </c>
      <c r="BM179" s="223" t="s">
        <v>1012</v>
      </c>
    </row>
    <row r="180" s="2" customFormat="1" ht="16.5" customHeight="1">
      <c r="A180" s="32"/>
      <c r="B180" s="33"/>
      <c r="C180" s="258" t="s">
        <v>356</v>
      </c>
      <c r="D180" s="258" t="s">
        <v>475</v>
      </c>
      <c r="E180" s="259" t="s">
        <v>1013</v>
      </c>
      <c r="F180" s="260" t="s">
        <v>1014</v>
      </c>
      <c r="G180" s="261" t="s">
        <v>284</v>
      </c>
      <c r="H180" s="262">
        <v>1</v>
      </c>
      <c r="I180" s="263">
        <v>1450</v>
      </c>
      <c r="J180" s="263">
        <f>ROUND(I180*H180,2)</f>
        <v>1450</v>
      </c>
      <c r="K180" s="264"/>
      <c r="L180" s="265"/>
      <c r="M180" s="266" t="s">
        <v>1</v>
      </c>
      <c r="N180" s="267" t="s">
        <v>39</v>
      </c>
      <c r="O180" s="221">
        <v>0</v>
      </c>
      <c r="P180" s="221">
        <f>O180*H180</f>
        <v>0</v>
      </c>
      <c r="Q180" s="221">
        <v>0.00020000000000000001</v>
      </c>
      <c r="R180" s="221">
        <f>Q180*H180</f>
        <v>0.00020000000000000001</v>
      </c>
      <c r="S180" s="221">
        <v>0</v>
      </c>
      <c r="T180" s="222">
        <f>S180*H180</f>
        <v>0</v>
      </c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R180" s="223" t="s">
        <v>241</v>
      </c>
      <c r="AT180" s="223" t="s">
        <v>475</v>
      </c>
      <c r="AU180" s="223" t="s">
        <v>83</v>
      </c>
      <c r="AY180" s="17" t="s">
        <v>142</v>
      </c>
      <c r="BE180" s="224">
        <f>IF(N180="základní",J180,0)</f>
        <v>1450</v>
      </c>
      <c r="BF180" s="224">
        <f>IF(N180="snížená",J180,0)</f>
        <v>0</v>
      </c>
      <c r="BG180" s="224">
        <f>IF(N180="zákl. přenesená",J180,0)</f>
        <v>0</v>
      </c>
      <c r="BH180" s="224">
        <f>IF(N180="sníž. přenesená",J180,0)</f>
        <v>0</v>
      </c>
      <c r="BI180" s="224">
        <f>IF(N180="nulová",J180,0)</f>
        <v>0</v>
      </c>
      <c r="BJ180" s="17" t="s">
        <v>19</v>
      </c>
      <c r="BK180" s="224">
        <f>ROUND(I180*H180,2)</f>
        <v>1450</v>
      </c>
      <c r="BL180" s="17" t="s">
        <v>222</v>
      </c>
      <c r="BM180" s="223" t="s">
        <v>1015</v>
      </c>
    </row>
    <row r="181" s="12" customFormat="1" ht="25.92" customHeight="1">
      <c r="A181" s="12"/>
      <c r="B181" s="197"/>
      <c r="C181" s="198"/>
      <c r="D181" s="199" t="s">
        <v>73</v>
      </c>
      <c r="E181" s="200" t="s">
        <v>475</v>
      </c>
      <c r="F181" s="200" t="s">
        <v>1016</v>
      </c>
      <c r="G181" s="198"/>
      <c r="H181" s="198"/>
      <c r="I181" s="198"/>
      <c r="J181" s="201">
        <f>BK181</f>
        <v>20480</v>
      </c>
      <c r="K181" s="198"/>
      <c r="L181" s="202"/>
      <c r="M181" s="203"/>
      <c r="N181" s="204"/>
      <c r="O181" s="204"/>
      <c r="P181" s="205">
        <f>P182</f>
        <v>2.3999999999999999</v>
      </c>
      <c r="Q181" s="204"/>
      <c r="R181" s="205">
        <f>R182</f>
        <v>0.1205</v>
      </c>
      <c r="S181" s="204"/>
      <c r="T181" s="206">
        <f>T182</f>
        <v>0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R181" s="207" t="s">
        <v>98</v>
      </c>
      <c r="AT181" s="208" t="s">
        <v>73</v>
      </c>
      <c r="AU181" s="208" t="s">
        <v>74</v>
      </c>
      <c r="AY181" s="207" t="s">
        <v>142</v>
      </c>
      <c r="BK181" s="209">
        <f>BK182</f>
        <v>20480</v>
      </c>
    </row>
    <row r="182" s="12" customFormat="1" ht="22.8" customHeight="1">
      <c r="A182" s="12"/>
      <c r="B182" s="197"/>
      <c r="C182" s="198"/>
      <c r="D182" s="199" t="s">
        <v>73</v>
      </c>
      <c r="E182" s="210" t="s">
        <v>1017</v>
      </c>
      <c r="F182" s="210" t="s">
        <v>1018</v>
      </c>
      <c r="G182" s="198"/>
      <c r="H182" s="198"/>
      <c r="I182" s="198"/>
      <c r="J182" s="211">
        <f>BK182</f>
        <v>20480</v>
      </c>
      <c r="K182" s="198"/>
      <c r="L182" s="202"/>
      <c r="M182" s="203"/>
      <c r="N182" s="204"/>
      <c r="O182" s="204"/>
      <c r="P182" s="205">
        <f>SUM(P183:P185)</f>
        <v>2.3999999999999999</v>
      </c>
      <c r="Q182" s="204"/>
      <c r="R182" s="205">
        <f>SUM(R183:R185)</f>
        <v>0.1205</v>
      </c>
      <c r="S182" s="204"/>
      <c r="T182" s="206">
        <f>SUM(T183:T185)</f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R182" s="207" t="s">
        <v>98</v>
      </c>
      <c r="AT182" s="208" t="s">
        <v>73</v>
      </c>
      <c r="AU182" s="208" t="s">
        <v>19</v>
      </c>
      <c r="AY182" s="207" t="s">
        <v>142</v>
      </c>
      <c r="BK182" s="209">
        <f>SUM(BK183:BK185)</f>
        <v>20480</v>
      </c>
    </row>
    <row r="183" s="2" customFormat="1" ht="24.15" customHeight="1">
      <c r="A183" s="32"/>
      <c r="B183" s="33"/>
      <c r="C183" s="212" t="s">
        <v>362</v>
      </c>
      <c r="D183" s="212" t="s">
        <v>144</v>
      </c>
      <c r="E183" s="213" t="s">
        <v>1019</v>
      </c>
      <c r="F183" s="214" t="s">
        <v>1020</v>
      </c>
      <c r="G183" s="215" t="s">
        <v>284</v>
      </c>
      <c r="H183" s="216">
        <v>1</v>
      </c>
      <c r="I183" s="217">
        <v>2990</v>
      </c>
      <c r="J183" s="217">
        <f>ROUND(I183*H183,2)</f>
        <v>2990</v>
      </c>
      <c r="K183" s="218"/>
      <c r="L183" s="38"/>
      <c r="M183" s="219" t="s">
        <v>1</v>
      </c>
      <c r="N183" s="220" t="s">
        <v>39</v>
      </c>
      <c r="O183" s="221">
        <v>2.3999999999999999</v>
      </c>
      <c r="P183" s="221">
        <f>O183*H183</f>
        <v>2.3999999999999999</v>
      </c>
      <c r="Q183" s="221">
        <v>0</v>
      </c>
      <c r="R183" s="221">
        <f>Q183*H183</f>
        <v>0</v>
      </c>
      <c r="S183" s="221">
        <v>0</v>
      </c>
      <c r="T183" s="222">
        <f>S183*H183</f>
        <v>0</v>
      </c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R183" s="223" t="s">
        <v>454</v>
      </c>
      <c r="AT183" s="223" t="s">
        <v>144</v>
      </c>
      <c r="AU183" s="223" t="s">
        <v>83</v>
      </c>
      <c r="AY183" s="17" t="s">
        <v>142</v>
      </c>
      <c r="BE183" s="224">
        <f>IF(N183="základní",J183,0)</f>
        <v>2990</v>
      </c>
      <c r="BF183" s="224">
        <f>IF(N183="snížená",J183,0)</f>
        <v>0</v>
      </c>
      <c r="BG183" s="224">
        <f>IF(N183="zákl. přenesená",J183,0)</f>
        <v>0</v>
      </c>
      <c r="BH183" s="224">
        <f>IF(N183="sníž. přenesená",J183,0)</f>
        <v>0</v>
      </c>
      <c r="BI183" s="224">
        <f>IF(N183="nulová",J183,0)</f>
        <v>0</v>
      </c>
      <c r="BJ183" s="17" t="s">
        <v>19</v>
      </c>
      <c r="BK183" s="224">
        <f>ROUND(I183*H183,2)</f>
        <v>2990</v>
      </c>
      <c r="BL183" s="17" t="s">
        <v>454</v>
      </c>
      <c r="BM183" s="223" t="s">
        <v>1021</v>
      </c>
    </row>
    <row r="184" s="2" customFormat="1" ht="33" customHeight="1">
      <c r="A184" s="32"/>
      <c r="B184" s="33"/>
      <c r="C184" s="258" t="s">
        <v>367</v>
      </c>
      <c r="D184" s="258" t="s">
        <v>475</v>
      </c>
      <c r="E184" s="259" t="s">
        <v>1022</v>
      </c>
      <c r="F184" s="260" t="s">
        <v>1023</v>
      </c>
      <c r="G184" s="261" t="s">
        <v>284</v>
      </c>
      <c r="H184" s="262">
        <v>1</v>
      </c>
      <c r="I184" s="263">
        <v>11000</v>
      </c>
      <c r="J184" s="263">
        <f>ROUND(I184*H184,2)</f>
        <v>11000</v>
      </c>
      <c r="K184" s="264"/>
      <c r="L184" s="265"/>
      <c r="M184" s="266" t="s">
        <v>1</v>
      </c>
      <c r="N184" s="267" t="s">
        <v>39</v>
      </c>
      <c r="O184" s="221">
        <v>0</v>
      </c>
      <c r="P184" s="221">
        <f>O184*H184</f>
        <v>0</v>
      </c>
      <c r="Q184" s="221">
        <v>0.11</v>
      </c>
      <c r="R184" s="221">
        <f>Q184*H184</f>
        <v>0.11</v>
      </c>
      <c r="S184" s="221">
        <v>0</v>
      </c>
      <c r="T184" s="222">
        <f>S184*H184</f>
        <v>0</v>
      </c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R184" s="223" t="s">
        <v>895</v>
      </c>
      <c r="AT184" s="223" t="s">
        <v>475</v>
      </c>
      <c r="AU184" s="223" t="s">
        <v>83</v>
      </c>
      <c r="AY184" s="17" t="s">
        <v>142</v>
      </c>
      <c r="BE184" s="224">
        <f>IF(N184="základní",J184,0)</f>
        <v>11000</v>
      </c>
      <c r="BF184" s="224">
        <f>IF(N184="snížená",J184,0)</f>
        <v>0</v>
      </c>
      <c r="BG184" s="224">
        <f>IF(N184="zákl. přenesená",J184,0)</f>
        <v>0</v>
      </c>
      <c r="BH184" s="224">
        <f>IF(N184="sníž. přenesená",J184,0)</f>
        <v>0</v>
      </c>
      <c r="BI184" s="224">
        <f>IF(N184="nulová",J184,0)</f>
        <v>0</v>
      </c>
      <c r="BJ184" s="17" t="s">
        <v>19</v>
      </c>
      <c r="BK184" s="224">
        <f>ROUND(I184*H184,2)</f>
        <v>11000</v>
      </c>
      <c r="BL184" s="17" t="s">
        <v>895</v>
      </c>
      <c r="BM184" s="223" t="s">
        <v>1024</v>
      </c>
    </row>
    <row r="185" s="2" customFormat="1" ht="16.5" customHeight="1">
      <c r="A185" s="32"/>
      <c r="B185" s="33"/>
      <c r="C185" s="258" t="s">
        <v>371</v>
      </c>
      <c r="D185" s="258" t="s">
        <v>475</v>
      </c>
      <c r="E185" s="259" t="s">
        <v>1025</v>
      </c>
      <c r="F185" s="260" t="s">
        <v>1026</v>
      </c>
      <c r="G185" s="261" t="s">
        <v>284</v>
      </c>
      <c r="H185" s="262">
        <v>1</v>
      </c>
      <c r="I185" s="263">
        <v>6490</v>
      </c>
      <c r="J185" s="263">
        <f>ROUND(I185*H185,2)</f>
        <v>6490</v>
      </c>
      <c r="K185" s="264"/>
      <c r="L185" s="265"/>
      <c r="M185" s="271" t="s">
        <v>1</v>
      </c>
      <c r="N185" s="272" t="s">
        <v>39</v>
      </c>
      <c r="O185" s="273">
        <v>0</v>
      </c>
      <c r="P185" s="273">
        <f>O185*H185</f>
        <v>0</v>
      </c>
      <c r="Q185" s="273">
        <v>0.010500000000000001</v>
      </c>
      <c r="R185" s="273">
        <f>Q185*H185</f>
        <v>0.010500000000000001</v>
      </c>
      <c r="S185" s="273">
        <v>0</v>
      </c>
      <c r="T185" s="274">
        <f>S185*H185</f>
        <v>0</v>
      </c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R185" s="223" t="s">
        <v>1027</v>
      </c>
      <c r="AT185" s="223" t="s">
        <v>475</v>
      </c>
      <c r="AU185" s="223" t="s">
        <v>83</v>
      </c>
      <c r="AY185" s="17" t="s">
        <v>142</v>
      </c>
      <c r="BE185" s="224">
        <f>IF(N185="základní",J185,0)</f>
        <v>6490</v>
      </c>
      <c r="BF185" s="224">
        <f>IF(N185="snížená",J185,0)</f>
        <v>0</v>
      </c>
      <c r="BG185" s="224">
        <f>IF(N185="zákl. přenesená",J185,0)</f>
        <v>0</v>
      </c>
      <c r="BH185" s="224">
        <f>IF(N185="sníž. přenesená",J185,0)</f>
        <v>0</v>
      </c>
      <c r="BI185" s="224">
        <f>IF(N185="nulová",J185,0)</f>
        <v>0</v>
      </c>
      <c r="BJ185" s="17" t="s">
        <v>19</v>
      </c>
      <c r="BK185" s="224">
        <f>ROUND(I185*H185,2)</f>
        <v>6490</v>
      </c>
      <c r="BL185" s="17" t="s">
        <v>454</v>
      </c>
      <c r="BM185" s="223" t="s">
        <v>1028</v>
      </c>
    </row>
    <row r="186" s="2" customFormat="1" ht="6.96" customHeight="1">
      <c r="A186" s="32"/>
      <c r="B186" s="59"/>
      <c r="C186" s="60"/>
      <c r="D186" s="60"/>
      <c r="E186" s="60"/>
      <c r="F186" s="60"/>
      <c r="G186" s="60"/>
      <c r="H186" s="60"/>
      <c r="I186" s="60"/>
      <c r="J186" s="60"/>
      <c r="K186" s="60"/>
      <c r="L186" s="38"/>
      <c r="M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</sheetData>
  <sheetProtection sheet="1" autoFilter="0" formatColumns="0" formatRows="0" objects="1" scenarios="1" spinCount="100000" saltValue="3C9OLIiU+bqjBhZ0QWkr5X52xfMIZAeHrOTYnsQIhaYaLcvDdoo8AWSD9mpb6IYGbVme2xkqzhYhGJIQprmkTg==" hashValue="D+xgGh2waIIwPQn10YMtI+geZbylFMb8c2liHkt71iB4FhPMWVV4Pfqu7R3h3yleCE3VZaXvwu6wit5/uGv1sA==" algorithmName="SHA-512" password="CC35"/>
  <autoFilter ref="C119:K185"/>
  <mergeCells count="9">
    <mergeCell ref="E7:H7"/>
    <mergeCell ref="E9:H9"/>
    <mergeCell ref="E18:H18"/>
    <mergeCell ref="E27:H27"/>
    <mergeCell ref="E85:H85"/>
    <mergeCell ref="E87:H87"/>
    <mergeCell ref="E110:H110"/>
    <mergeCell ref="E112:H112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2"/>
    </row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7" t="s">
        <v>91</v>
      </c>
    </row>
    <row r="3" s="1" customFormat="1" ht="6.96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"/>
      <c r="AT3" s="17" t="s">
        <v>83</v>
      </c>
    </row>
    <row r="4" s="1" customFormat="1" ht="24.96" customHeight="1">
      <c r="B4" s="20"/>
      <c r="D4" s="132" t="s">
        <v>102</v>
      </c>
      <c r="L4" s="20"/>
      <c r="M4" s="133" t="s">
        <v>10</v>
      </c>
      <c r="AT4" s="17" t="s">
        <v>4</v>
      </c>
    </row>
    <row r="5" s="1" customFormat="1" ht="6.96" customHeight="1">
      <c r="B5" s="20"/>
      <c r="L5" s="20"/>
    </row>
    <row r="6" s="1" customFormat="1" ht="12" customHeight="1">
      <c r="B6" s="20"/>
      <c r="D6" s="134" t="s">
        <v>14</v>
      </c>
      <c r="L6" s="20"/>
    </row>
    <row r="7" s="1" customFormat="1" ht="16.5" customHeight="1">
      <c r="B7" s="20"/>
      <c r="E7" s="135" t="str">
        <f>'Rekapitulace stavby'!K6</f>
        <v>RD Valcha SO1+ SO2</v>
      </c>
      <c r="F7" s="134"/>
      <c r="G7" s="134"/>
      <c r="H7" s="134"/>
      <c r="L7" s="20"/>
    </row>
    <row r="8" s="2" customFormat="1" ht="12" customHeight="1">
      <c r="A8" s="32"/>
      <c r="B8" s="38"/>
      <c r="C8" s="32"/>
      <c r="D8" s="134" t="s">
        <v>103</v>
      </c>
      <c r="E8" s="32"/>
      <c r="F8" s="32"/>
      <c r="G8" s="32"/>
      <c r="H8" s="32"/>
      <c r="I8" s="32"/>
      <c r="J8" s="32"/>
      <c r="K8" s="32"/>
      <c r="L8" s="56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="2" customFormat="1" ht="16.5" customHeight="1">
      <c r="A9" s="32"/>
      <c r="B9" s="38"/>
      <c r="C9" s="32"/>
      <c r="D9" s="32"/>
      <c r="E9" s="136" t="s">
        <v>1029</v>
      </c>
      <c r="F9" s="32"/>
      <c r="G9" s="32"/>
      <c r="H9" s="32"/>
      <c r="I9" s="32"/>
      <c r="J9" s="32"/>
      <c r="K9" s="32"/>
      <c r="L9" s="5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="2" customFormat="1">
      <c r="A10" s="32"/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5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="2" customFormat="1" ht="12" customHeight="1">
      <c r="A11" s="32"/>
      <c r="B11" s="38"/>
      <c r="C11" s="32"/>
      <c r="D11" s="134" t="s">
        <v>17</v>
      </c>
      <c r="E11" s="32"/>
      <c r="F11" s="137" t="s">
        <v>1</v>
      </c>
      <c r="G11" s="32"/>
      <c r="H11" s="32"/>
      <c r="I11" s="134" t="s">
        <v>18</v>
      </c>
      <c r="J11" s="137" t="s">
        <v>1</v>
      </c>
      <c r="K11" s="32"/>
      <c r="L11" s="5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="2" customFormat="1" ht="12" customHeight="1">
      <c r="A12" s="32"/>
      <c r="B12" s="38"/>
      <c r="C12" s="32"/>
      <c r="D12" s="134" t="s">
        <v>20</v>
      </c>
      <c r="E12" s="32"/>
      <c r="F12" s="137" t="s">
        <v>21</v>
      </c>
      <c r="G12" s="32"/>
      <c r="H12" s="32"/>
      <c r="I12" s="134" t="s">
        <v>22</v>
      </c>
      <c r="J12" s="138" t="str">
        <f>'Rekapitulace stavby'!AN8</f>
        <v>8. 9. 2025</v>
      </c>
      <c r="K12" s="32"/>
      <c r="L12" s="5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="2" customFormat="1" ht="10.8" customHeight="1">
      <c r="A13" s="32"/>
      <c r="B13" s="38"/>
      <c r="C13" s="32"/>
      <c r="D13" s="32"/>
      <c r="E13" s="32"/>
      <c r="F13" s="32"/>
      <c r="G13" s="32"/>
      <c r="H13" s="32"/>
      <c r="I13" s="32"/>
      <c r="J13" s="32"/>
      <c r="K13" s="32"/>
      <c r="L13" s="5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="2" customFormat="1" ht="12" customHeight="1">
      <c r="A14" s="32"/>
      <c r="B14" s="38"/>
      <c r="C14" s="32"/>
      <c r="D14" s="134" t="s">
        <v>26</v>
      </c>
      <c r="E14" s="32"/>
      <c r="F14" s="32"/>
      <c r="G14" s="32"/>
      <c r="H14" s="32"/>
      <c r="I14" s="134" t="s">
        <v>27</v>
      </c>
      <c r="J14" s="137" t="str">
        <f>IF('Rekapitulace stavby'!AN10="","",'Rekapitulace stavby'!AN10)</f>
        <v/>
      </c>
      <c r="K14" s="32"/>
      <c r="L14" s="5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="2" customFormat="1" ht="18" customHeight="1">
      <c r="A15" s="32"/>
      <c r="B15" s="38"/>
      <c r="C15" s="32"/>
      <c r="D15" s="32"/>
      <c r="E15" s="137" t="str">
        <f>IF('Rekapitulace stavby'!E11="","",'Rekapitulace stavby'!E11)</f>
        <v xml:space="preserve"> </v>
      </c>
      <c r="F15" s="32"/>
      <c r="G15" s="32"/>
      <c r="H15" s="32"/>
      <c r="I15" s="134" t="s">
        <v>28</v>
      </c>
      <c r="J15" s="137" t="str">
        <f>IF('Rekapitulace stavby'!AN11="","",'Rekapitulace stavby'!AN11)</f>
        <v/>
      </c>
      <c r="K15" s="32"/>
      <c r="L15" s="5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="2" customFormat="1" ht="6.96" customHeight="1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5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="2" customFormat="1" ht="12" customHeight="1">
      <c r="A17" s="32"/>
      <c r="B17" s="38"/>
      <c r="C17" s="32"/>
      <c r="D17" s="134" t="s">
        <v>29</v>
      </c>
      <c r="E17" s="32"/>
      <c r="F17" s="32"/>
      <c r="G17" s="32"/>
      <c r="H17" s="32"/>
      <c r="I17" s="134" t="s">
        <v>27</v>
      </c>
      <c r="J17" s="137" t="str">
        <f>'Rekapitulace stavby'!AN13</f>
        <v/>
      </c>
      <c r="K17" s="32"/>
      <c r="L17" s="5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="2" customFormat="1" ht="18" customHeight="1">
      <c r="A18" s="32"/>
      <c r="B18" s="38"/>
      <c r="C18" s="32"/>
      <c r="D18" s="32"/>
      <c r="E18" s="137" t="str">
        <f>'Rekapitulace stavby'!E14</f>
        <v xml:space="preserve"> </v>
      </c>
      <c r="F18" s="137"/>
      <c r="G18" s="137"/>
      <c r="H18" s="137"/>
      <c r="I18" s="134" t="s">
        <v>28</v>
      </c>
      <c r="J18" s="137" t="str">
        <f>'Rekapitulace stavby'!AN14</f>
        <v/>
      </c>
      <c r="K18" s="32"/>
      <c r="L18" s="5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="2" customFormat="1" ht="6.96" customHeight="1">
      <c r="A19" s="32"/>
      <c r="B19" s="38"/>
      <c r="C19" s="32"/>
      <c r="D19" s="32"/>
      <c r="E19" s="32"/>
      <c r="F19" s="32"/>
      <c r="G19" s="32"/>
      <c r="H19" s="32"/>
      <c r="I19" s="32"/>
      <c r="J19" s="32"/>
      <c r="K19" s="32"/>
      <c r="L19" s="5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="2" customFormat="1" ht="12" customHeight="1">
      <c r="A20" s="32"/>
      <c r="B20" s="38"/>
      <c r="C20" s="32"/>
      <c r="D20" s="134" t="s">
        <v>30</v>
      </c>
      <c r="E20" s="32"/>
      <c r="F20" s="32"/>
      <c r="G20" s="32"/>
      <c r="H20" s="32"/>
      <c r="I20" s="134" t="s">
        <v>27</v>
      </c>
      <c r="J20" s="137" t="str">
        <f>IF('Rekapitulace stavby'!AN16="","",'Rekapitulace stavby'!AN16)</f>
        <v/>
      </c>
      <c r="K20" s="32"/>
      <c r="L20" s="5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="2" customFormat="1" ht="18" customHeight="1">
      <c r="A21" s="32"/>
      <c r="B21" s="38"/>
      <c r="C21" s="32"/>
      <c r="D21" s="32"/>
      <c r="E21" s="137" t="str">
        <f>IF('Rekapitulace stavby'!E17="","",'Rekapitulace stavby'!E17)</f>
        <v xml:space="preserve"> </v>
      </c>
      <c r="F21" s="32"/>
      <c r="G21" s="32"/>
      <c r="H21" s="32"/>
      <c r="I21" s="134" t="s">
        <v>28</v>
      </c>
      <c r="J21" s="137" t="str">
        <f>IF('Rekapitulace stavby'!AN17="","",'Rekapitulace stavby'!AN17)</f>
        <v/>
      </c>
      <c r="K21" s="32"/>
      <c r="L21" s="5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="2" customFormat="1" ht="6.96" customHeight="1">
      <c r="A22" s="32"/>
      <c r="B22" s="38"/>
      <c r="C22" s="32"/>
      <c r="D22" s="32"/>
      <c r="E22" s="32"/>
      <c r="F22" s="32"/>
      <c r="G22" s="32"/>
      <c r="H22" s="32"/>
      <c r="I22" s="32"/>
      <c r="J22" s="32"/>
      <c r="K22" s="32"/>
      <c r="L22" s="5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="2" customFormat="1" ht="12" customHeight="1">
      <c r="A23" s="32"/>
      <c r="B23" s="38"/>
      <c r="C23" s="32"/>
      <c r="D23" s="134" t="s">
        <v>31</v>
      </c>
      <c r="E23" s="32"/>
      <c r="F23" s="32"/>
      <c r="G23" s="32"/>
      <c r="H23" s="32"/>
      <c r="I23" s="134" t="s">
        <v>27</v>
      </c>
      <c r="J23" s="137" t="str">
        <f>IF('Rekapitulace stavby'!AN19="","",'Rekapitulace stavby'!AN19)</f>
        <v/>
      </c>
      <c r="K23" s="32"/>
      <c r="L23" s="5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="2" customFormat="1" ht="18" customHeight="1">
      <c r="A24" s="32"/>
      <c r="B24" s="38"/>
      <c r="C24" s="32"/>
      <c r="D24" s="32"/>
      <c r="E24" s="137" t="str">
        <f>IF('Rekapitulace stavby'!E20="","",'Rekapitulace stavby'!E20)</f>
        <v xml:space="preserve"> </v>
      </c>
      <c r="F24" s="32"/>
      <c r="G24" s="32"/>
      <c r="H24" s="32"/>
      <c r="I24" s="134" t="s">
        <v>28</v>
      </c>
      <c r="J24" s="137" t="str">
        <f>IF('Rekapitulace stavby'!AN20="","",'Rekapitulace stavby'!AN20)</f>
        <v/>
      </c>
      <c r="K24" s="32"/>
      <c r="L24" s="5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="2" customFormat="1" ht="6.96" customHeight="1">
      <c r="A25" s="32"/>
      <c r="B25" s="38"/>
      <c r="C25" s="32"/>
      <c r="D25" s="32"/>
      <c r="E25" s="32"/>
      <c r="F25" s="32"/>
      <c r="G25" s="32"/>
      <c r="H25" s="32"/>
      <c r="I25" s="32"/>
      <c r="J25" s="32"/>
      <c r="K25" s="32"/>
      <c r="L25" s="5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="2" customFormat="1" ht="12" customHeight="1">
      <c r="A26" s="32"/>
      <c r="B26" s="38"/>
      <c r="C26" s="32"/>
      <c r="D26" s="134" t="s">
        <v>33</v>
      </c>
      <c r="E26" s="32"/>
      <c r="F26" s="32"/>
      <c r="G26" s="32"/>
      <c r="H26" s="32"/>
      <c r="I26" s="32"/>
      <c r="J26" s="32"/>
      <c r="K26" s="32"/>
      <c r="L26" s="5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="8" customFormat="1" ht="16.5" customHeight="1">
      <c r="A27" s="139"/>
      <c r="B27" s="140"/>
      <c r="C27" s="139"/>
      <c r="D27" s="139"/>
      <c r="E27" s="141" t="s">
        <v>1</v>
      </c>
      <c r="F27" s="141"/>
      <c r="G27" s="141"/>
      <c r="H27" s="141"/>
      <c r="I27" s="139"/>
      <c r="J27" s="139"/>
      <c r="K27" s="139"/>
      <c r="L27" s="142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s="2" customFormat="1" ht="6.96" customHeight="1">
      <c r="A28" s="32"/>
      <c r="B28" s="38"/>
      <c r="C28" s="32"/>
      <c r="D28" s="32"/>
      <c r="E28" s="32"/>
      <c r="F28" s="32"/>
      <c r="G28" s="32"/>
      <c r="H28" s="32"/>
      <c r="I28" s="32"/>
      <c r="J28" s="32"/>
      <c r="K28" s="32"/>
      <c r="L28" s="5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="2" customFormat="1" ht="6.96" customHeight="1">
      <c r="A29" s="32"/>
      <c r="B29" s="38"/>
      <c r="C29" s="32"/>
      <c r="D29" s="143"/>
      <c r="E29" s="143"/>
      <c r="F29" s="143"/>
      <c r="G29" s="143"/>
      <c r="H29" s="143"/>
      <c r="I29" s="143"/>
      <c r="J29" s="143"/>
      <c r="K29" s="143"/>
      <c r="L29" s="5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="2" customFormat="1" ht="25.44" customHeight="1">
      <c r="A30" s="32"/>
      <c r="B30" s="38"/>
      <c r="C30" s="32"/>
      <c r="D30" s="144" t="s">
        <v>34</v>
      </c>
      <c r="E30" s="32"/>
      <c r="F30" s="32"/>
      <c r="G30" s="32"/>
      <c r="H30" s="32"/>
      <c r="I30" s="32"/>
      <c r="J30" s="145">
        <f>ROUND(J130, 2)</f>
        <v>433994.48999999999</v>
      </c>
      <c r="K30" s="32"/>
      <c r="L30" s="5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="2" customFormat="1" ht="6.96" customHeight="1">
      <c r="A31" s="32"/>
      <c r="B31" s="38"/>
      <c r="C31" s="32"/>
      <c r="D31" s="143"/>
      <c r="E31" s="143"/>
      <c r="F31" s="143"/>
      <c r="G31" s="143"/>
      <c r="H31" s="143"/>
      <c r="I31" s="143"/>
      <c r="J31" s="143"/>
      <c r="K31" s="143"/>
      <c r="L31" s="5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="2" customFormat="1" ht="14.4" customHeight="1">
      <c r="A32" s="32"/>
      <c r="B32" s="38"/>
      <c r="C32" s="32"/>
      <c r="D32" s="32"/>
      <c r="E32" s="32"/>
      <c r="F32" s="146" t="s">
        <v>36</v>
      </c>
      <c r="G32" s="32"/>
      <c r="H32" s="32"/>
      <c r="I32" s="146" t="s">
        <v>35</v>
      </c>
      <c r="J32" s="146" t="s">
        <v>37</v>
      </c>
      <c r="K32" s="32"/>
      <c r="L32" s="5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="2" customFormat="1" ht="14.4" customHeight="1">
      <c r="A33" s="32"/>
      <c r="B33" s="38"/>
      <c r="C33" s="32"/>
      <c r="D33" s="147" t="s">
        <v>38</v>
      </c>
      <c r="E33" s="134" t="s">
        <v>39</v>
      </c>
      <c r="F33" s="148">
        <f>ROUND((SUM(BE130:BE219)),  2)</f>
        <v>433994.48999999999</v>
      </c>
      <c r="G33" s="32"/>
      <c r="H33" s="32"/>
      <c r="I33" s="149">
        <v>0.20999999999999999</v>
      </c>
      <c r="J33" s="148">
        <f>ROUND(((SUM(BE130:BE219))*I33),  2)</f>
        <v>91138.839999999997</v>
      </c>
      <c r="K33" s="32"/>
      <c r="L33" s="5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="2" customFormat="1" ht="14.4" customHeight="1">
      <c r="A34" s="32"/>
      <c r="B34" s="38"/>
      <c r="C34" s="32"/>
      <c r="D34" s="32"/>
      <c r="E34" s="134" t="s">
        <v>40</v>
      </c>
      <c r="F34" s="148">
        <f>ROUND((SUM(BF130:BF219)),  2)</f>
        <v>0</v>
      </c>
      <c r="G34" s="32"/>
      <c r="H34" s="32"/>
      <c r="I34" s="149">
        <v>0.12</v>
      </c>
      <c r="J34" s="148">
        <f>ROUND(((SUM(BF130:BF219))*I34),  2)</f>
        <v>0</v>
      </c>
      <c r="K34" s="32"/>
      <c r="L34" s="5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idden="1" s="2" customFormat="1" ht="14.4" customHeight="1">
      <c r="A35" s="32"/>
      <c r="B35" s="38"/>
      <c r="C35" s="32"/>
      <c r="D35" s="32"/>
      <c r="E35" s="134" t="s">
        <v>41</v>
      </c>
      <c r="F35" s="148">
        <f>ROUND((SUM(BG130:BG219)),  2)</f>
        <v>0</v>
      </c>
      <c r="G35" s="32"/>
      <c r="H35" s="32"/>
      <c r="I35" s="149">
        <v>0.20999999999999999</v>
      </c>
      <c r="J35" s="148">
        <f>0</f>
        <v>0</v>
      </c>
      <c r="K35" s="32"/>
      <c r="L35" s="5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idden="1" s="2" customFormat="1" ht="14.4" customHeight="1">
      <c r="A36" s="32"/>
      <c r="B36" s="38"/>
      <c r="C36" s="32"/>
      <c r="D36" s="32"/>
      <c r="E36" s="134" t="s">
        <v>42</v>
      </c>
      <c r="F36" s="148">
        <f>ROUND((SUM(BH130:BH219)),  2)</f>
        <v>0</v>
      </c>
      <c r="G36" s="32"/>
      <c r="H36" s="32"/>
      <c r="I36" s="149">
        <v>0.12</v>
      </c>
      <c r="J36" s="148">
        <f>0</f>
        <v>0</v>
      </c>
      <c r="K36" s="32"/>
      <c r="L36" s="5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idden="1" s="2" customFormat="1" ht="14.4" customHeight="1">
      <c r="A37" s="32"/>
      <c r="B37" s="38"/>
      <c r="C37" s="32"/>
      <c r="D37" s="32"/>
      <c r="E37" s="134" t="s">
        <v>43</v>
      </c>
      <c r="F37" s="148">
        <f>ROUND((SUM(BI130:BI219)),  2)</f>
        <v>0</v>
      </c>
      <c r="G37" s="32"/>
      <c r="H37" s="32"/>
      <c r="I37" s="149">
        <v>0</v>
      </c>
      <c r="J37" s="148">
        <f>0</f>
        <v>0</v>
      </c>
      <c r="K37" s="32"/>
      <c r="L37" s="5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="2" customFormat="1" ht="6.96" customHeight="1">
      <c r="A38" s="32"/>
      <c r="B38" s="38"/>
      <c r="C38" s="32"/>
      <c r="D38" s="32"/>
      <c r="E38" s="32"/>
      <c r="F38" s="32"/>
      <c r="G38" s="32"/>
      <c r="H38" s="32"/>
      <c r="I38" s="32"/>
      <c r="J38" s="32"/>
      <c r="K38" s="32"/>
      <c r="L38" s="5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="2" customFormat="1" ht="25.44" customHeight="1">
      <c r="A39" s="32"/>
      <c r="B39" s="38"/>
      <c r="C39" s="150"/>
      <c r="D39" s="151" t="s">
        <v>44</v>
      </c>
      <c r="E39" s="152"/>
      <c r="F39" s="152"/>
      <c r="G39" s="153" t="s">
        <v>45</v>
      </c>
      <c r="H39" s="154" t="s">
        <v>46</v>
      </c>
      <c r="I39" s="152"/>
      <c r="J39" s="155">
        <f>SUM(J30:J37)</f>
        <v>525133.32999999996</v>
      </c>
      <c r="K39" s="156"/>
      <c r="L39" s="5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="2" customFormat="1" ht="14.4" customHeight="1">
      <c r="A40" s="32"/>
      <c r="B40" s="38"/>
      <c r="C40" s="32"/>
      <c r="D40" s="32"/>
      <c r="E40" s="32"/>
      <c r="F40" s="32"/>
      <c r="G40" s="32"/>
      <c r="H40" s="32"/>
      <c r="I40" s="32"/>
      <c r="J40" s="32"/>
      <c r="K40" s="32"/>
      <c r="L40" s="5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="1" customFormat="1" ht="14.4" customHeight="1">
      <c r="B41" s="20"/>
      <c r="L41" s="20"/>
    </row>
    <row r="42" s="1" customFormat="1" ht="14.4" customHeight="1">
      <c r="B42" s="20"/>
      <c r="L42" s="20"/>
    </row>
    <row r="43" s="1" customFormat="1" ht="14.4" customHeight="1">
      <c r="B43" s="20"/>
      <c r="L43" s="20"/>
    </row>
    <row r="44" s="1" customFormat="1" ht="14.4" customHeight="1">
      <c r="B44" s="20"/>
      <c r="L44" s="20"/>
    </row>
    <row r="45" s="1" customFormat="1" ht="14.4" customHeight="1">
      <c r="B45" s="20"/>
      <c r="L45" s="20"/>
    </row>
    <row r="46" s="1" customFormat="1" ht="14.4" customHeight="1">
      <c r="B46" s="20"/>
      <c r="L46" s="20"/>
    </row>
    <row r="47" s="1" customFormat="1" ht="14.4" customHeight="1">
      <c r="B47" s="20"/>
      <c r="L47" s="20"/>
    </row>
    <row r="48" s="1" customFormat="1" ht="14.4" customHeight="1">
      <c r="B48" s="20"/>
      <c r="L48" s="20"/>
    </row>
    <row r="49" s="1" customFormat="1" ht="14.4" customHeight="1">
      <c r="B49" s="20"/>
      <c r="L49" s="20"/>
    </row>
    <row r="50" s="2" customFormat="1" ht="14.4" customHeight="1">
      <c r="B50" s="56"/>
      <c r="D50" s="157" t="s">
        <v>47</v>
      </c>
      <c r="E50" s="158"/>
      <c r="F50" s="158"/>
      <c r="G50" s="157" t="s">
        <v>48</v>
      </c>
      <c r="H50" s="158"/>
      <c r="I50" s="158"/>
      <c r="J50" s="158"/>
      <c r="K50" s="158"/>
      <c r="L50" s="56"/>
    </row>
    <row r="51">
      <c r="B51" s="20"/>
      <c r="L51" s="20"/>
    </row>
    <row r="52">
      <c r="B52" s="20"/>
      <c r="L52" s="20"/>
    </row>
    <row r="53">
      <c r="B53" s="20"/>
      <c r="L53" s="20"/>
    </row>
    <row r="54">
      <c r="B54" s="20"/>
      <c r="L54" s="20"/>
    </row>
    <row r="55">
      <c r="B55" s="20"/>
      <c r="L55" s="20"/>
    </row>
    <row r="56">
      <c r="B56" s="20"/>
      <c r="L56" s="20"/>
    </row>
    <row r="57">
      <c r="B57" s="20"/>
      <c r="L57" s="20"/>
    </row>
    <row r="58">
      <c r="B58" s="20"/>
      <c r="L58" s="20"/>
    </row>
    <row r="59">
      <c r="B59" s="20"/>
      <c r="L59" s="20"/>
    </row>
    <row r="60">
      <c r="B60" s="20"/>
      <c r="L60" s="20"/>
    </row>
    <row r="61" s="2" customFormat="1">
      <c r="A61" s="32"/>
      <c r="B61" s="38"/>
      <c r="C61" s="32"/>
      <c r="D61" s="159" t="s">
        <v>49</v>
      </c>
      <c r="E61" s="160"/>
      <c r="F61" s="161" t="s">
        <v>50</v>
      </c>
      <c r="G61" s="159" t="s">
        <v>49</v>
      </c>
      <c r="H61" s="160"/>
      <c r="I61" s="160"/>
      <c r="J61" s="162" t="s">
        <v>50</v>
      </c>
      <c r="K61" s="160"/>
      <c r="L61" s="5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B62" s="20"/>
      <c r="L62" s="20"/>
    </row>
    <row r="63">
      <c r="B63" s="20"/>
      <c r="L63" s="20"/>
    </row>
    <row r="64">
      <c r="B64" s="20"/>
      <c r="L64" s="20"/>
    </row>
    <row r="65" s="2" customFormat="1">
      <c r="A65" s="32"/>
      <c r="B65" s="38"/>
      <c r="C65" s="32"/>
      <c r="D65" s="157" t="s">
        <v>51</v>
      </c>
      <c r="E65" s="163"/>
      <c r="F65" s="163"/>
      <c r="G65" s="157" t="s">
        <v>52</v>
      </c>
      <c r="H65" s="163"/>
      <c r="I65" s="163"/>
      <c r="J65" s="163"/>
      <c r="K65" s="163"/>
      <c r="L65" s="5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B66" s="20"/>
      <c r="L66" s="20"/>
    </row>
    <row r="67">
      <c r="B67" s="20"/>
      <c r="L67" s="20"/>
    </row>
    <row r="68">
      <c r="B68" s="20"/>
      <c r="L68" s="20"/>
    </row>
    <row r="69">
      <c r="B69" s="20"/>
      <c r="L69" s="20"/>
    </row>
    <row r="70">
      <c r="B70" s="20"/>
      <c r="L70" s="20"/>
    </row>
    <row r="71">
      <c r="B71" s="20"/>
      <c r="L71" s="20"/>
    </row>
    <row r="72">
      <c r="B72" s="20"/>
      <c r="L72" s="20"/>
    </row>
    <row r="73">
      <c r="B73" s="20"/>
      <c r="L73" s="20"/>
    </row>
    <row r="74">
      <c r="B74" s="20"/>
      <c r="L74" s="20"/>
    </row>
    <row r="75">
      <c r="B75" s="20"/>
      <c r="L75" s="20"/>
    </row>
    <row r="76" s="2" customFormat="1">
      <c r="A76" s="32"/>
      <c r="B76" s="38"/>
      <c r="C76" s="32"/>
      <c r="D76" s="159" t="s">
        <v>49</v>
      </c>
      <c r="E76" s="160"/>
      <c r="F76" s="161" t="s">
        <v>50</v>
      </c>
      <c r="G76" s="159" t="s">
        <v>49</v>
      </c>
      <c r="H76" s="160"/>
      <c r="I76" s="160"/>
      <c r="J76" s="162" t="s">
        <v>50</v>
      </c>
      <c r="K76" s="160"/>
      <c r="L76" s="5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="2" customFormat="1" ht="14.4" customHeight="1">
      <c r="A77" s="32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5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81" s="2" customFormat="1" ht="6.96" customHeight="1">
      <c r="A81" s="32"/>
      <c r="B81" s="166"/>
      <c r="C81" s="167"/>
      <c r="D81" s="167"/>
      <c r="E81" s="167"/>
      <c r="F81" s="167"/>
      <c r="G81" s="167"/>
      <c r="H81" s="167"/>
      <c r="I81" s="167"/>
      <c r="J81" s="167"/>
      <c r="K81" s="167"/>
      <c r="L81" s="5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="2" customFormat="1" ht="24.96" customHeight="1">
      <c r="A82" s="32"/>
      <c r="B82" s="33"/>
      <c r="C82" s="23" t="s">
        <v>105</v>
      </c>
      <c r="D82" s="34"/>
      <c r="E82" s="34"/>
      <c r="F82" s="34"/>
      <c r="G82" s="34"/>
      <c r="H82" s="34"/>
      <c r="I82" s="34"/>
      <c r="J82" s="34"/>
      <c r="K82" s="34"/>
      <c r="L82" s="5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5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="2" customFormat="1" ht="12" customHeight="1">
      <c r="A84" s="32"/>
      <c r="B84" s="33"/>
      <c r="C84" s="29" t="s">
        <v>14</v>
      </c>
      <c r="D84" s="34"/>
      <c r="E84" s="34"/>
      <c r="F84" s="34"/>
      <c r="G84" s="34"/>
      <c r="H84" s="34"/>
      <c r="I84" s="34"/>
      <c r="J84" s="34"/>
      <c r="K84" s="34"/>
      <c r="L84" s="5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="2" customFormat="1" ht="16.5" customHeight="1">
      <c r="A85" s="32"/>
      <c r="B85" s="33"/>
      <c r="C85" s="34"/>
      <c r="D85" s="34"/>
      <c r="E85" s="168" t="str">
        <f>E7</f>
        <v>RD Valcha SO1+ SO2</v>
      </c>
      <c r="F85" s="29"/>
      <c r="G85" s="29"/>
      <c r="H85" s="29"/>
      <c r="I85" s="34"/>
      <c r="J85" s="34"/>
      <c r="K85" s="34"/>
      <c r="L85" s="5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="2" customFormat="1" ht="12" customHeight="1">
      <c r="A86" s="32"/>
      <c r="B86" s="33"/>
      <c r="C86" s="29" t="s">
        <v>103</v>
      </c>
      <c r="D86" s="34"/>
      <c r="E86" s="34"/>
      <c r="F86" s="34"/>
      <c r="G86" s="34"/>
      <c r="H86" s="34"/>
      <c r="I86" s="34"/>
      <c r="J86" s="34"/>
      <c r="K86" s="34"/>
      <c r="L86" s="5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="2" customFormat="1" ht="16.5" customHeight="1">
      <c r="A87" s="32"/>
      <c r="B87" s="33"/>
      <c r="C87" s="34"/>
      <c r="D87" s="34"/>
      <c r="E87" s="69" t="str">
        <f>E9</f>
        <v>ZTI - RD Valcha</v>
      </c>
      <c r="F87" s="34"/>
      <c r="G87" s="34"/>
      <c r="H87" s="34"/>
      <c r="I87" s="34"/>
      <c r="J87" s="34"/>
      <c r="K87" s="34"/>
      <c r="L87" s="5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5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="2" customFormat="1" ht="12" customHeight="1">
      <c r="A89" s="32"/>
      <c r="B89" s="33"/>
      <c r="C89" s="29" t="s">
        <v>20</v>
      </c>
      <c r="D89" s="34"/>
      <c r="E89" s="34"/>
      <c r="F89" s="26" t="str">
        <f>F12</f>
        <v xml:space="preserve"> </v>
      </c>
      <c r="G89" s="34"/>
      <c r="H89" s="34"/>
      <c r="I89" s="29" t="s">
        <v>22</v>
      </c>
      <c r="J89" s="72" t="str">
        <f>IF(J12="","",J12)</f>
        <v>8. 9. 2025</v>
      </c>
      <c r="K89" s="34"/>
      <c r="L89" s="5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="2" customFormat="1" ht="6.96" customHeight="1">
      <c r="A90" s="3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5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="2" customFormat="1" ht="15.15" customHeight="1">
      <c r="A91" s="32"/>
      <c r="B91" s="33"/>
      <c r="C91" s="29" t="s">
        <v>26</v>
      </c>
      <c r="D91" s="34"/>
      <c r="E91" s="34"/>
      <c r="F91" s="26" t="str">
        <f>E15</f>
        <v xml:space="preserve"> </v>
      </c>
      <c r="G91" s="34"/>
      <c r="H91" s="34"/>
      <c r="I91" s="29" t="s">
        <v>30</v>
      </c>
      <c r="J91" s="30" t="str">
        <f>E21</f>
        <v xml:space="preserve"> </v>
      </c>
      <c r="K91" s="34"/>
      <c r="L91" s="5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="2" customFormat="1" ht="15.15" customHeight="1">
      <c r="A92" s="32"/>
      <c r="B92" s="33"/>
      <c r="C92" s="29" t="s">
        <v>29</v>
      </c>
      <c r="D92" s="34"/>
      <c r="E92" s="34"/>
      <c r="F92" s="26" t="str">
        <f>IF(E18="","",E18)</f>
        <v xml:space="preserve"> </v>
      </c>
      <c r="G92" s="34"/>
      <c r="H92" s="34"/>
      <c r="I92" s="29" t="s">
        <v>31</v>
      </c>
      <c r="J92" s="30" t="str">
        <f>E24</f>
        <v xml:space="preserve"> </v>
      </c>
      <c r="K92" s="34"/>
      <c r="L92" s="5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="2" customFormat="1" ht="10.32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5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="2" customFormat="1" ht="29.28" customHeight="1">
      <c r="A94" s="32"/>
      <c r="B94" s="33"/>
      <c r="C94" s="169" t="s">
        <v>106</v>
      </c>
      <c r="D94" s="170"/>
      <c r="E94" s="170"/>
      <c r="F94" s="170"/>
      <c r="G94" s="170"/>
      <c r="H94" s="170"/>
      <c r="I94" s="170"/>
      <c r="J94" s="171" t="s">
        <v>107</v>
      </c>
      <c r="K94" s="170"/>
      <c r="L94" s="5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="2" customFormat="1" ht="10.32" customHeight="1">
      <c r="A95" s="32"/>
      <c r="B95" s="33"/>
      <c r="C95" s="34"/>
      <c r="D95" s="34"/>
      <c r="E95" s="34"/>
      <c r="F95" s="34"/>
      <c r="G95" s="34"/>
      <c r="H95" s="34"/>
      <c r="I95" s="34"/>
      <c r="J95" s="34"/>
      <c r="K95" s="34"/>
      <c r="L95" s="5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="2" customFormat="1" ht="22.8" customHeight="1">
      <c r="A96" s="32"/>
      <c r="B96" s="33"/>
      <c r="C96" s="172" t="s">
        <v>108</v>
      </c>
      <c r="D96" s="34"/>
      <c r="E96" s="34"/>
      <c r="F96" s="34"/>
      <c r="G96" s="34"/>
      <c r="H96" s="34"/>
      <c r="I96" s="34"/>
      <c r="J96" s="103">
        <f>J130</f>
        <v>433994.48999999999</v>
      </c>
      <c r="K96" s="34"/>
      <c r="L96" s="5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U96" s="17" t="s">
        <v>109</v>
      </c>
    </row>
    <row r="97" s="9" customFormat="1" ht="24.96" customHeight="1">
      <c r="A97" s="9"/>
      <c r="B97" s="173"/>
      <c r="C97" s="174"/>
      <c r="D97" s="175" t="s">
        <v>110</v>
      </c>
      <c r="E97" s="176"/>
      <c r="F97" s="176"/>
      <c r="G97" s="176"/>
      <c r="H97" s="176"/>
      <c r="I97" s="176"/>
      <c r="J97" s="177">
        <f>J131</f>
        <v>178448.44</v>
      </c>
      <c r="K97" s="174"/>
      <c r="L97" s="178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79"/>
      <c r="C98" s="180"/>
      <c r="D98" s="181" t="s">
        <v>111</v>
      </c>
      <c r="E98" s="182"/>
      <c r="F98" s="182"/>
      <c r="G98" s="182"/>
      <c r="H98" s="182"/>
      <c r="I98" s="182"/>
      <c r="J98" s="183">
        <f>J132</f>
        <v>43269.589999999997</v>
      </c>
      <c r="K98" s="180"/>
      <c r="L98" s="184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79"/>
      <c r="C99" s="180"/>
      <c r="D99" s="181" t="s">
        <v>112</v>
      </c>
      <c r="E99" s="182"/>
      <c r="F99" s="182"/>
      <c r="G99" s="182"/>
      <c r="H99" s="182"/>
      <c r="I99" s="182"/>
      <c r="J99" s="183">
        <f>J147</f>
        <v>8303.7399999999998</v>
      </c>
      <c r="K99" s="180"/>
      <c r="L99" s="184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79"/>
      <c r="C100" s="180"/>
      <c r="D100" s="181" t="s">
        <v>113</v>
      </c>
      <c r="E100" s="182"/>
      <c r="F100" s="182"/>
      <c r="G100" s="182"/>
      <c r="H100" s="182"/>
      <c r="I100" s="182"/>
      <c r="J100" s="183">
        <f>J154</f>
        <v>65620</v>
      </c>
      <c r="K100" s="180"/>
      <c r="L100" s="184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79"/>
      <c r="C101" s="180"/>
      <c r="D101" s="181" t="s">
        <v>114</v>
      </c>
      <c r="E101" s="182"/>
      <c r="F101" s="182"/>
      <c r="G101" s="182"/>
      <c r="H101" s="182"/>
      <c r="I101" s="182"/>
      <c r="J101" s="183">
        <f>J157</f>
        <v>2409.7199999999998</v>
      </c>
      <c r="K101" s="180"/>
      <c r="L101" s="184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79"/>
      <c r="C102" s="180"/>
      <c r="D102" s="181" t="s">
        <v>1030</v>
      </c>
      <c r="E102" s="182"/>
      <c r="F102" s="182"/>
      <c r="G102" s="182"/>
      <c r="H102" s="182"/>
      <c r="I102" s="182"/>
      <c r="J102" s="183">
        <f>J163</f>
        <v>58845.389999999999</v>
      </c>
      <c r="K102" s="180"/>
      <c r="L102" s="184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9" customFormat="1" ht="24.96" customHeight="1">
      <c r="A103" s="9"/>
      <c r="B103" s="173"/>
      <c r="C103" s="174"/>
      <c r="D103" s="175" t="s">
        <v>116</v>
      </c>
      <c r="E103" s="176"/>
      <c r="F103" s="176"/>
      <c r="G103" s="176"/>
      <c r="H103" s="176"/>
      <c r="I103" s="176"/>
      <c r="J103" s="177">
        <f>J181</f>
        <v>234667.64999999999</v>
      </c>
      <c r="K103" s="174"/>
      <c r="L103" s="178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="10" customFormat="1" ht="19.92" customHeight="1">
      <c r="A104" s="10"/>
      <c r="B104" s="179"/>
      <c r="C104" s="180"/>
      <c r="D104" s="181" t="s">
        <v>1031</v>
      </c>
      <c r="E104" s="182"/>
      <c r="F104" s="182"/>
      <c r="G104" s="182"/>
      <c r="H104" s="182"/>
      <c r="I104" s="182"/>
      <c r="J104" s="183">
        <f>J182</f>
        <v>2332</v>
      </c>
      <c r="K104" s="180"/>
      <c r="L104" s="184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="10" customFormat="1" ht="19.92" customHeight="1">
      <c r="A105" s="10"/>
      <c r="B105" s="179"/>
      <c r="C105" s="180"/>
      <c r="D105" s="181" t="s">
        <v>1032</v>
      </c>
      <c r="E105" s="182"/>
      <c r="F105" s="182"/>
      <c r="G105" s="182"/>
      <c r="H105" s="182"/>
      <c r="I105" s="182"/>
      <c r="J105" s="183">
        <f>J185</f>
        <v>95550</v>
      </c>
      <c r="K105" s="180"/>
      <c r="L105" s="184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="10" customFormat="1" ht="19.92" customHeight="1">
      <c r="A106" s="10"/>
      <c r="B106" s="179"/>
      <c r="C106" s="180"/>
      <c r="D106" s="181" t="s">
        <v>1033</v>
      </c>
      <c r="E106" s="182"/>
      <c r="F106" s="182"/>
      <c r="G106" s="182"/>
      <c r="H106" s="182"/>
      <c r="I106" s="182"/>
      <c r="J106" s="183">
        <f>J187</f>
        <v>44303.25</v>
      </c>
      <c r="K106" s="180"/>
      <c r="L106" s="184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="10" customFormat="1" ht="19.92" customHeight="1">
      <c r="A107" s="10"/>
      <c r="B107" s="179"/>
      <c r="C107" s="180"/>
      <c r="D107" s="181" t="s">
        <v>1034</v>
      </c>
      <c r="E107" s="182"/>
      <c r="F107" s="182"/>
      <c r="G107" s="182"/>
      <c r="H107" s="182"/>
      <c r="I107" s="182"/>
      <c r="J107" s="183">
        <f>J196</f>
        <v>88399</v>
      </c>
      <c r="K107" s="180"/>
      <c r="L107" s="184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="10" customFormat="1" ht="19.92" customHeight="1">
      <c r="A108" s="10"/>
      <c r="B108" s="179"/>
      <c r="C108" s="180"/>
      <c r="D108" s="181" t="s">
        <v>125</v>
      </c>
      <c r="E108" s="182"/>
      <c r="F108" s="182"/>
      <c r="G108" s="182"/>
      <c r="H108" s="182"/>
      <c r="I108" s="182"/>
      <c r="J108" s="183">
        <f>J211</f>
        <v>4083.4000000000001</v>
      </c>
      <c r="K108" s="180"/>
      <c r="L108" s="184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="9" customFormat="1" ht="24.96" customHeight="1">
      <c r="A109" s="9"/>
      <c r="B109" s="173"/>
      <c r="C109" s="174"/>
      <c r="D109" s="175" t="s">
        <v>863</v>
      </c>
      <c r="E109" s="176"/>
      <c r="F109" s="176"/>
      <c r="G109" s="176"/>
      <c r="H109" s="176"/>
      <c r="I109" s="176"/>
      <c r="J109" s="177">
        <f>J214</f>
        <v>20878.400000000001</v>
      </c>
      <c r="K109" s="174"/>
      <c r="L109" s="178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="10" customFormat="1" ht="19.92" customHeight="1">
      <c r="A110" s="10"/>
      <c r="B110" s="179"/>
      <c r="C110" s="180"/>
      <c r="D110" s="181" t="s">
        <v>1035</v>
      </c>
      <c r="E110" s="182"/>
      <c r="F110" s="182"/>
      <c r="G110" s="182"/>
      <c r="H110" s="182"/>
      <c r="I110" s="182"/>
      <c r="J110" s="183">
        <f>J215</f>
        <v>20878.400000000001</v>
      </c>
      <c r="K110" s="180"/>
      <c r="L110" s="184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="2" customFormat="1" ht="21.84" customHeight="1">
      <c r="A111" s="32"/>
      <c r="B111" s="33"/>
      <c r="C111" s="34"/>
      <c r="D111" s="34"/>
      <c r="E111" s="34"/>
      <c r="F111" s="34"/>
      <c r="G111" s="34"/>
      <c r="H111" s="34"/>
      <c r="I111" s="34"/>
      <c r="J111" s="34"/>
      <c r="K111" s="34"/>
      <c r="L111" s="5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s="2" customFormat="1" ht="6.96" customHeight="1">
      <c r="A112" s="32"/>
      <c r="B112" s="59"/>
      <c r="C112" s="60"/>
      <c r="D112" s="60"/>
      <c r="E112" s="60"/>
      <c r="F112" s="60"/>
      <c r="G112" s="60"/>
      <c r="H112" s="60"/>
      <c r="I112" s="60"/>
      <c r="J112" s="60"/>
      <c r="K112" s="60"/>
      <c r="L112" s="5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6" s="2" customFormat="1" ht="6.96" customHeight="1">
      <c r="A116" s="32"/>
      <c r="B116" s="61"/>
      <c r="C116" s="62"/>
      <c r="D116" s="62"/>
      <c r="E116" s="62"/>
      <c r="F116" s="62"/>
      <c r="G116" s="62"/>
      <c r="H116" s="62"/>
      <c r="I116" s="62"/>
      <c r="J116" s="62"/>
      <c r="K116" s="62"/>
      <c r="L116" s="5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="2" customFormat="1" ht="24.96" customHeight="1">
      <c r="A117" s="32"/>
      <c r="B117" s="33"/>
      <c r="C117" s="23" t="s">
        <v>127</v>
      </c>
      <c r="D117" s="34"/>
      <c r="E117" s="34"/>
      <c r="F117" s="34"/>
      <c r="G117" s="34"/>
      <c r="H117" s="34"/>
      <c r="I117" s="34"/>
      <c r="J117" s="34"/>
      <c r="K117" s="34"/>
      <c r="L117" s="5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="2" customFormat="1" ht="6.96" customHeight="1">
      <c r="A118" s="32"/>
      <c r="B118" s="33"/>
      <c r="C118" s="34"/>
      <c r="D118" s="34"/>
      <c r="E118" s="34"/>
      <c r="F118" s="34"/>
      <c r="G118" s="34"/>
      <c r="H118" s="34"/>
      <c r="I118" s="34"/>
      <c r="J118" s="34"/>
      <c r="K118" s="34"/>
      <c r="L118" s="5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="2" customFormat="1" ht="12" customHeight="1">
      <c r="A119" s="32"/>
      <c r="B119" s="33"/>
      <c r="C119" s="29" t="s">
        <v>14</v>
      </c>
      <c r="D119" s="34"/>
      <c r="E119" s="34"/>
      <c r="F119" s="34"/>
      <c r="G119" s="34"/>
      <c r="H119" s="34"/>
      <c r="I119" s="34"/>
      <c r="J119" s="34"/>
      <c r="K119" s="34"/>
      <c r="L119" s="5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s="2" customFormat="1" ht="16.5" customHeight="1">
      <c r="A120" s="32"/>
      <c r="B120" s="33"/>
      <c r="C120" s="34"/>
      <c r="D120" s="34"/>
      <c r="E120" s="168" t="str">
        <f>E7</f>
        <v>RD Valcha SO1+ SO2</v>
      </c>
      <c r="F120" s="29"/>
      <c r="G120" s="29"/>
      <c r="H120" s="29"/>
      <c r="I120" s="34"/>
      <c r="J120" s="34"/>
      <c r="K120" s="34"/>
      <c r="L120" s="5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s="2" customFormat="1" ht="12" customHeight="1">
      <c r="A121" s="32"/>
      <c r="B121" s="33"/>
      <c r="C121" s="29" t="s">
        <v>103</v>
      </c>
      <c r="D121" s="34"/>
      <c r="E121" s="34"/>
      <c r="F121" s="34"/>
      <c r="G121" s="34"/>
      <c r="H121" s="34"/>
      <c r="I121" s="34"/>
      <c r="J121" s="34"/>
      <c r="K121" s="34"/>
      <c r="L121" s="5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s="2" customFormat="1" ht="16.5" customHeight="1">
      <c r="A122" s="32"/>
      <c r="B122" s="33"/>
      <c r="C122" s="34"/>
      <c r="D122" s="34"/>
      <c r="E122" s="69" t="str">
        <f>E9</f>
        <v>ZTI - RD Valcha</v>
      </c>
      <c r="F122" s="34"/>
      <c r="G122" s="34"/>
      <c r="H122" s="34"/>
      <c r="I122" s="34"/>
      <c r="J122" s="34"/>
      <c r="K122" s="34"/>
      <c r="L122" s="5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s="2" customFormat="1" ht="6.96" customHeight="1">
      <c r="A123" s="32"/>
      <c r="B123" s="33"/>
      <c r="C123" s="34"/>
      <c r="D123" s="34"/>
      <c r="E123" s="34"/>
      <c r="F123" s="34"/>
      <c r="G123" s="34"/>
      <c r="H123" s="34"/>
      <c r="I123" s="34"/>
      <c r="J123" s="34"/>
      <c r="K123" s="34"/>
      <c r="L123" s="5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s="2" customFormat="1" ht="12" customHeight="1">
      <c r="A124" s="32"/>
      <c r="B124" s="33"/>
      <c r="C124" s="29" t="s">
        <v>20</v>
      </c>
      <c r="D124" s="34"/>
      <c r="E124" s="34"/>
      <c r="F124" s="26" t="str">
        <f>F12</f>
        <v xml:space="preserve"> </v>
      </c>
      <c r="G124" s="34"/>
      <c r="H124" s="34"/>
      <c r="I124" s="29" t="s">
        <v>22</v>
      </c>
      <c r="J124" s="72" t="str">
        <f>IF(J12="","",J12)</f>
        <v>8. 9. 2025</v>
      </c>
      <c r="K124" s="34"/>
      <c r="L124" s="5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s="2" customFormat="1" ht="6.96" customHeight="1">
      <c r="A125" s="32"/>
      <c r="B125" s="33"/>
      <c r="C125" s="34"/>
      <c r="D125" s="34"/>
      <c r="E125" s="34"/>
      <c r="F125" s="34"/>
      <c r="G125" s="34"/>
      <c r="H125" s="34"/>
      <c r="I125" s="34"/>
      <c r="J125" s="34"/>
      <c r="K125" s="34"/>
      <c r="L125" s="5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s="2" customFormat="1" ht="15.15" customHeight="1">
      <c r="A126" s="32"/>
      <c r="B126" s="33"/>
      <c r="C126" s="29" t="s">
        <v>26</v>
      </c>
      <c r="D126" s="34"/>
      <c r="E126" s="34"/>
      <c r="F126" s="26" t="str">
        <f>E15</f>
        <v xml:space="preserve"> </v>
      </c>
      <c r="G126" s="34"/>
      <c r="H126" s="34"/>
      <c r="I126" s="29" t="s">
        <v>30</v>
      </c>
      <c r="J126" s="30" t="str">
        <f>E21</f>
        <v xml:space="preserve"> </v>
      </c>
      <c r="K126" s="34"/>
      <c r="L126" s="5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s="2" customFormat="1" ht="15.15" customHeight="1">
      <c r="A127" s="32"/>
      <c r="B127" s="33"/>
      <c r="C127" s="29" t="s">
        <v>29</v>
      </c>
      <c r="D127" s="34"/>
      <c r="E127" s="34"/>
      <c r="F127" s="26" t="str">
        <f>IF(E18="","",E18)</f>
        <v xml:space="preserve"> </v>
      </c>
      <c r="G127" s="34"/>
      <c r="H127" s="34"/>
      <c r="I127" s="29" t="s">
        <v>31</v>
      </c>
      <c r="J127" s="30" t="str">
        <f>E24</f>
        <v xml:space="preserve"> </v>
      </c>
      <c r="K127" s="34"/>
      <c r="L127" s="5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s="2" customFormat="1" ht="10.32" customHeight="1">
      <c r="A128" s="32"/>
      <c r="B128" s="33"/>
      <c r="C128" s="34"/>
      <c r="D128" s="34"/>
      <c r="E128" s="34"/>
      <c r="F128" s="34"/>
      <c r="G128" s="34"/>
      <c r="H128" s="34"/>
      <c r="I128" s="34"/>
      <c r="J128" s="34"/>
      <c r="K128" s="34"/>
      <c r="L128" s="5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s="11" customFormat="1" ht="29.28" customHeight="1">
      <c r="A129" s="185"/>
      <c r="B129" s="186"/>
      <c r="C129" s="187" t="s">
        <v>128</v>
      </c>
      <c r="D129" s="188" t="s">
        <v>59</v>
      </c>
      <c r="E129" s="188" t="s">
        <v>55</v>
      </c>
      <c r="F129" s="188" t="s">
        <v>56</v>
      </c>
      <c r="G129" s="188" t="s">
        <v>129</v>
      </c>
      <c r="H129" s="188" t="s">
        <v>130</v>
      </c>
      <c r="I129" s="188" t="s">
        <v>131</v>
      </c>
      <c r="J129" s="189" t="s">
        <v>107</v>
      </c>
      <c r="K129" s="190" t="s">
        <v>132</v>
      </c>
      <c r="L129" s="191"/>
      <c r="M129" s="93" t="s">
        <v>1</v>
      </c>
      <c r="N129" s="94" t="s">
        <v>38</v>
      </c>
      <c r="O129" s="94" t="s">
        <v>133</v>
      </c>
      <c r="P129" s="94" t="s">
        <v>134</v>
      </c>
      <c r="Q129" s="94" t="s">
        <v>135</v>
      </c>
      <c r="R129" s="94" t="s">
        <v>136</v>
      </c>
      <c r="S129" s="94" t="s">
        <v>137</v>
      </c>
      <c r="T129" s="95" t="s">
        <v>138</v>
      </c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</row>
    <row r="130" s="2" customFormat="1" ht="22.8" customHeight="1">
      <c r="A130" s="32"/>
      <c r="B130" s="33"/>
      <c r="C130" s="100" t="s">
        <v>139</v>
      </c>
      <c r="D130" s="34"/>
      <c r="E130" s="34"/>
      <c r="F130" s="34"/>
      <c r="G130" s="34"/>
      <c r="H130" s="34"/>
      <c r="I130" s="34"/>
      <c r="J130" s="192">
        <f>BK130</f>
        <v>433994.48999999999</v>
      </c>
      <c r="K130" s="34"/>
      <c r="L130" s="38"/>
      <c r="M130" s="96"/>
      <c r="N130" s="193"/>
      <c r="O130" s="97"/>
      <c r="P130" s="194">
        <f>P131+P181+P214</f>
        <v>215.43896599999999</v>
      </c>
      <c r="Q130" s="97"/>
      <c r="R130" s="194">
        <f>R131+R181+R214</f>
        <v>6.2168243199999997</v>
      </c>
      <c r="S130" s="97"/>
      <c r="T130" s="195">
        <f>T131+T181+T214</f>
        <v>0</v>
      </c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T130" s="17" t="s">
        <v>73</v>
      </c>
      <c r="AU130" s="17" t="s">
        <v>109</v>
      </c>
      <c r="BK130" s="196">
        <f>BK131+BK181+BK214</f>
        <v>433994.48999999999</v>
      </c>
    </row>
    <row r="131" s="12" customFormat="1" ht="25.92" customHeight="1">
      <c r="A131" s="12"/>
      <c r="B131" s="197"/>
      <c r="C131" s="198"/>
      <c r="D131" s="199" t="s">
        <v>73</v>
      </c>
      <c r="E131" s="200" t="s">
        <v>140</v>
      </c>
      <c r="F131" s="200" t="s">
        <v>141</v>
      </c>
      <c r="G131" s="198"/>
      <c r="H131" s="198"/>
      <c r="I131" s="198"/>
      <c r="J131" s="201">
        <f>BK131</f>
        <v>178448.44</v>
      </c>
      <c r="K131" s="198"/>
      <c r="L131" s="202"/>
      <c r="M131" s="203"/>
      <c r="N131" s="204"/>
      <c r="O131" s="204"/>
      <c r="P131" s="205">
        <f>P132+P147+P154+P157+P163</f>
        <v>138.54496599999999</v>
      </c>
      <c r="Q131" s="204"/>
      <c r="R131" s="205">
        <f>R132+R147+R154+R157+R163</f>
        <v>5.7630743200000003</v>
      </c>
      <c r="S131" s="204"/>
      <c r="T131" s="206">
        <f>T132+T147+T154+T157+T163</f>
        <v>0</v>
      </c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07" t="s">
        <v>19</v>
      </c>
      <c r="AT131" s="208" t="s">
        <v>73</v>
      </c>
      <c r="AU131" s="208" t="s">
        <v>74</v>
      </c>
      <c r="AY131" s="207" t="s">
        <v>142</v>
      </c>
      <c r="BK131" s="209">
        <f>BK132+BK147+BK154+BK157+BK163</f>
        <v>178448.44</v>
      </c>
    </row>
    <row r="132" s="12" customFormat="1" ht="22.8" customHeight="1">
      <c r="A132" s="12"/>
      <c r="B132" s="197"/>
      <c r="C132" s="198"/>
      <c r="D132" s="199" t="s">
        <v>73</v>
      </c>
      <c r="E132" s="210" t="s">
        <v>19</v>
      </c>
      <c r="F132" s="210" t="s">
        <v>143</v>
      </c>
      <c r="G132" s="198"/>
      <c r="H132" s="198"/>
      <c r="I132" s="198"/>
      <c r="J132" s="211">
        <f>BK132</f>
        <v>43269.589999999997</v>
      </c>
      <c r="K132" s="198"/>
      <c r="L132" s="202"/>
      <c r="M132" s="203"/>
      <c r="N132" s="204"/>
      <c r="O132" s="204"/>
      <c r="P132" s="205">
        <f>SUM(P133:P146)</f>
        <v>108.983482</v>
      </c>
      <c r="Q132" s="204"/>
      <c r="R132" s="205">
        <f>SUM(R133:R146)</f>
        <v>0</v>
      </c>
      <c r="S132" s="204"/>
      <c r="T132" s="206">
        <f>SUM(T133:T146)</f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R132" s="207" t="s">
        <v>19</v>
      </c>
      <c r="AT132" s="208" t="s">
        <v>73</v>
      </c>
      <c r="AU132" s="208" t="s">
        <v>19</v>
      </c>
      <c r="AY132" s="207" t="s">
        <v>142</v>
      </c>
      <c r="BK132" s="209">
        <f>SUM(BK133:BK146)</f>
        <v>43269.589999999997</v>
      </c>
    </row>
    <row r="133" s="2" customFormat="1" ht="37.8" customHeight="1">
      <c r="A133" s="32"/>
      <c r="B133" s="33"/>
      <c r="C133" s="212" t="s">
        <v>19</v>
      </c>
      <c r="D133" s="212" t="s">
        <v>144</v>
      </c>
      <c r="E133" s="213" t="s">
        <v>1036</v>
      </c>
      <c r="F133" s="214" t="s">
        <v>1037</v>
      </c>
      <c r="G133" s="215" t="s">
        <v>154</v>
      </c>
      <c r="H133" s="216">
        <v>20.370000000000001</v>
      </c>
      <c r="I133" s="217">
        <v>918</v>
      </c>
      <c r="J133" s="217">
        <f>ROUND(I133*H133,2)</f>
        <v>18699.66</v>
      </c>
      <c r="K133" s="218"/>
      <c r="L133" s="38"/>
      <c r="M133" s="219" t="s">
        <v>1</v>
      </c>
      <c r="N133" s="220" t="s">
        <v>39</v>
      </c>
      <c r="O133" s="221">
        <v>2.702</v>
      </c>
      <c r="P133" s="221">
        <f>O133*H133</f>
        <v>55.039740000000002</v>
      </c>
      <c r="Q133" s="221">
        <v>0</v>
      </c>
      <c r="R133" s="221">
        <f>Q133*H133</f>
        <v>0</v>
      </c>
      <c r="S133" s="221">
        <v>0</v>
      </c>
      <c r="T133" s="222">
        <f>S133*H133</f>
        <v>0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R133" s="223" t="s">
        <v>147</v>
      </c>
      <c r="AT133" s="223" t="s">
        <v>144</v>
      </c>
      <c r="AU133" s="223" t="s">
        <v>83</v>
      </c>
      <c r="AY133" s="17" t="s">
        <v>142</v>
      </c>
      <c r="BE133" s="224">
        <f>IF(N133="základní",J133,0)</f>
        <v>18699.66</v>
      </c>
      <c r="BF133" s="224">
        <f>IF(N133="snížená",J133,0)</f>
        <v>0</v>
      </c>
      <c r="BG133" s="224">
        <f>IF(N133="zákl. přenesená",J133,0)</f>
        <v>0</v>
      </c>
      <c r="BH133" s="224">
        <f>IF(N133="sníž. přenesená",J133,0)</f>
        <v>0</v>
      </c>
      <c r="BI133" s="224">
        <f>IF(N133="nulová",J133,0)</f>
        <v>0</v>
      </c>
      <c r="BJ133" s="17" t="s">
        <v>19</v>
      </c>
      <c r="BK133" s="224">
        <f>ROUND(I133*H133,2)</f>
        <v>18699.66</v>
      </c>
      <c r="BL133" s="17" t="s">
        <v>147</v>
      </c>
      <c r="BM133" s="223" t="s">
        <v>1038</v>
      </c>
    </row>
    <row r="134" s="13" customFormat="1">
      <c r="A134" s="13"/>
      <c r="B134" s="225"/>
      <c r="C134" s="226"/>
      <c r="D134" s="227" t="s">
        <v>149</v>
      </c>
      <c r="E134" s="228" t="s">
        <v>1</v>
      </c>
      <c r="F134" s="229" t="s">
        <v>1039</v>
      </c>
      <c r="G134" s="226"/>
      <c r="H134" s="230">
        <v>2.3100000000000001</v>
      </c>
      <c r="I134" s="226"/>
      <c r="J134" s="226"/>
      <c r="K134" s="226"/>
      <c r="L134" s="231"/>
      <c r="M134" s="232"/>
      <c r="N134" s="233"/>
      <c r="O134" s="233"/>
      <c r="P134" s="233"/>
      <c r="Q134" s="233"/>
      <c r="R134" s="233"/>
      <c r="S134" s="233"/>
      <c r="T134" s="23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35" t="s">
        <v>149</v>
      </c>
      <c r="AU134" s="235" t="s">
        <v>83</v>
      </c>
      <c r="AV134" s="13" t="s">
        <v>83</v>
      </c>
      <c r="AW134" s="13" t="s">
        <v>32</v>
      </c>
      <c r="AX134" s="13" t="s">
        <v>74</v>
      </c>
      <c r="AY134" s="235" t="s">
        <v>142</v>
      </c>
    </row>
    <row r="135" s="13" customFormat="1">
      <c r="A135" s="13"/>
      <c r="B135" s="225"/>
      <c r="C135" s="226"/>
      <c r="D135" s="227" t="s">
        <v>149</v>
      </c>
      <c r="E135" s="228" t="s">
        <v>1</v>
      </c>
      <c r="F135" s="229" t="s">
        <v>1040</v>
      </c>
      <c r="G135" s="226"/>
      <c r="H135" s="230">
        <v>8.1479999999999979</v>
      </c>
      <c r="I135" s="226"/>
      <c r="J135" s="226"/>
      <c r="K135" s="226"/>
      <c r="L135" s="231"/>
      <c r="M135" s="232"/>
      <c r="N135" s="233"/>
      <c r="O135" s="233"/>
      <c r="P135" s="233"/>
      <c r="Q135" s="233"/>
      <c r="R135" s="233"/>
      <c r="S135" s="233"/>
      <c r="T135" s="23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35" t="s">
        <v>149</v>
      </c>
      <c r="AU135" s="235" t="s">
        <v>83</v>
      </c>
      <c r="AV135" s="13" t="s">
        <v>83</v>
      </c>
      <c r="AW135" s="13" t="s">
        <v>32</v>
      </c>
      <c r="AX135" s="13" t="s">
        <v>74</v>
      </c>
      <c r="AY135" s="235" t="s">
        <v>142</v>
      </c>
    </row>
    <row r="136" s="13" customFormat="1">
      <c r="A136" s="13"/>
      <c r="B136" s="225"/>
      <c r="C136" s="226"/>
      <c r="D136" s="227" t="s">
        <v>149</v>
      </c>
      <c r="E136" s="228" t="s">
        <v>1</v>
      </c>
      <c r="F136" s="229" t="s">
        <v>1041</v>
      </c>
      <c r="G136" s="226"/>
      <c r="H136" s="230">
        <v>9.911999999999999</v>
      </c>
      <c r="I136" s="226"/>
      <c r="J136" s="226"/>
      <c r="K136" s="226"/>
      <c r="L136" s="231"/>
      <c r="M136" s="232"/>
      <c r="N136" s="233"/>
      <c r="O136" s="233"/>
      <c r="P136" s="233"/>
      <c r="Q136" s="233"/>
      <c r="R136" s="233"/>
      <c r="S136" s="233"/>
      <c r="T136" s="23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35" t="s">
        <v>149</v>
      </c>
      <c r="AU136" s="235" t="s">
        <v>83</v>
      </c>
      <c r="AV136" s="13" t="s">
        <v>83</v>
      </c>
      <c r="AW136" s="13" t="s">
        <v>32</v>
      </c>
      <c r="AX136" s="13" t="s">
        <v>74</v>
      </c>
      <c r="AY136" s="235" t="s">
        <v>142</v>
      </c>
    </row>
    <row r="137" s="14" customFormat="1">
      <c r="A137" s="14"/>
      <c r="B137" s="236"/>
      <c r="C137" s="237"/>
      <c r="D137" s="227" t="s">
        <v>149</v>
      </c>
      <c r="E137" s="238" t="s">
        <v>1</v>
      </c>
      <c r="F137" s="239" t="s">
        <v>151</v>
      </c>
      <c r="G137" s="237"/>
      <c r="H137" s="240">
        <v>20.369999999999997</v>
      </c>
      <c r="I137" s="237"/>
      <c r="J137" s="237"/>
      <c r="K137" s="237"/>
      <c r="L137" s="241"/>
      <c r="M137" s="242"/>
      <c r="N137" s="243"/>
      <c r="O137" s="243"/>
      <c r="P137" s="243"/>
      <c r="Q137" s="243"/>
      <c r="R137" s="243"/>
      <c r="S137" s="243"/>
      <c r="T137" s="24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T137" s="245" t="s">
        <v>149</v>
      </c>
      <c r="AU137" s="245" t="s">
        <v>83</v>
      </c>
      <c r="AV137" s="14" t="s">
        <v>147</v>
      </c>
      <c r="AW137" s="14" t="s">
        <v>32</v>
      </c>
      <c r="AX137" s="14" t="s">
        <v>19</v>
      </c>
      <c r="AY137" s="245" t="s">
        <v>142</v>
      </c>
    </row>
    <row r="138" s="2" customFormat="1" ht="24.15" customHeight="1">
      <c r="A138" s="32"/>
      <c r="B138" s="33"/>
      <c r="C138" s="212" t="s">
        <v>83</v>
      </c>
      <c r="D138" s="212" t="s">
        <v>144</v>
      </c>
      <c r="E138" s="213" t="s">
        <v>1042</v>
      </c>
      <c r="F138" s="214" t="s">
        <v>1043</v>
      </c>
      <c r="G138" s="215" t="s">
        <v>154</v>
      </c>
      <c r="H138" s="216">
        <v>15.674</v>
      </c>
      <c r="I138" s="217">
        <v>717</v>
      </c>
      <c r="J138" s="217">
        <f>ROUND(I138*H138,2)</f>
        <v>11238.26</v>
      </c>
      <c r="K138" s="218"/>
      <c r="L138" s="38"/>
      <c r="M138" s="219" t="s">
        <v>1</v>
      </c>
      <c r="N138" s="220" t="s">
        <v>39</v>
      </c>
      <c r="O138" s="221">
        <v>1.101</v>
      </c>
      <c r="P138" s="221">
        <f>O138*H138</f>
        <v>17.257073999999999</v>
      </c>
      <c r="Q138" s="221">
        <v>0</v>
      </c>
      <c r="R138" s="221">
        <f>Q138*H138</f>
        <v>0</v>
      </c>
      <c r="S138" s="221">
        <v>0</v>
      </c>
      <c r="T138" s="222">
        <f>S138*H138</f>
        <v>0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R138" s="223" t="s">
        <v>147</v>
      </c>
      <c r="AT138" s="223" t="s">
        <v>144</v>
      </c>
      <c r="AU138" s="223" t="s">
        <v>83</v>
      </c>
      <c r="AY138" s="17" t="s">
        <v>142</v>
      </c>
      <c r="BE138" s="224">
        <f>IF(N138="základní",J138,0)</f>
        <v>11238.26</v>
      </c>
      <c r="BF138" s="224">
        <f>IF(N138="snížená",J138,0)</f>
        <v>0</v>
      </c>
      <c r="BG138" s="224">
        <f>IF(N138="zákl. přenesená",J138,0)</f>
        <v>0</v>
      </c>
      <c r="BH138" s="224">
        <f>IF(N138="sníž. přenesená",J138,0)</f>
        <v>0</v>
      </c>
      <c r="BI138" s="224">
        <f>IF(N138="nulová",J138,0)</f>
        <v>0</v>
      </c>
      <c r="BJ138" s="17" t="s">
        <v>19</v>
      </c>
      <c r="BK138" s="224">
        <f>ROUND(I138*H138,2)</f>
        <v>11238.26</v>
      </c>
      <c r="BL138" s="17" t="s">
        <v>147</v>
      </c>
      <c r="BM138" s="223" t="s">
        <v>1044</v>
      </c>
    </row>
    <row r="139" s="13" customFormat="1">
      <c r="A139" s="13"/>
      <c r="B139" s="225"/>
      <c r="C139" s="226"/>
      <c r="D139" s="227" t="s">
        <v>149</v>
      </c>
      <c r="E139" s="228" t="s">
        <v>1</v>
      </c>
      <c r="F139" s="229" t="s">
        <v>1045</v>
      </c>
      <c r="G139" s="226"/>
      <c r="H139" s="230">
        <v>15.673500000000001</v>
      </c>
      <c r="I139" s="226"/>
      <c r="J139" s="226"/>
      <c r="K139" s="226"/>
      <c r="L139" s="231"/>
      <c r="M139" s="232"/>
      <c r="N139" s="233"/>
      <c r="O139" s="233"/>
      <c r="P139" s="233"/>
      <c r="Q139" s="233"/>
      <c r="R139" s="233"/>
      <c r="S139" s="233"/>
      <c r="T139" s="23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35" t="s">
        <v>149</v>
      </c>
      <c r="AU139" s="235" t="s">
        <v>83</v>
      </c>
      <c r="AV139" s="13" t="s">
        <v>83</v>
      </c>
      <c r="AW139" s="13" t="s">
        <v>32</v>
      </c>
      <c r="AX139" s="13" t="s">
        <v>19</v>
      </c>
      <c r="AY139" s="235" t="s">
        <v>142</v>
      </c>
    </row>
    <row r="140" s="2" customFormat="1" ht="33" customHeight="1">
      <c r="A140" s="32"/>
      <c r="B140" s="33"/>
      <c r="C140" s="212" t="s">
        <v>98</v>
      </c>
      <c r="D140" s="212" t="s">
        <v>144</v>
      </c>
      <c r="E140" s="213" t="s">
        <v>1046</v>
      </c>
      <c r="F140" s="214" t="s">
        <v>1047</v>
      </c>
      <c r="G140" s="215" t="s">
        <v>154</v>
      </c>
      <c r="H140" s="216">
        <v>36.043999999999997</v>
      </c>
      <c r="I140" s="217">
        <v>289</v>
      </c>
      <c r="J140" s="217">
        <f>ROUND(I140*H140,2)</f>
        <v>10416.719999999999</v>
      </c>
      <c r="K140" s="218"/>
      <c r="L140" s="38"/>
      <c r="M140" s="219" t="s">
        <v>1</v>
      </c>
      <c r="N140" s="220" t="s">
        <v>39</v>
      </c>
      <c r="O140" s="221">
        <v>0.85099999999999998</v>
      </c>
      <c r="P140" s="221">
        <f>O140*H140</f>
        <v>30.673443999999996</v>
      </c>
      <c r="Q140" s="221">
        <v>0</v>
      </c>
      <c r="R140" s="221">
        <f>Q140*H140</f>
        <v>0</v>
      </c>
      <c r="S140" s="221">
        <v>0</v>
      </c>
      <c r="T140" s="222">
        <f>S140*H140</f>
        <v>0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R140" s="223" t="s">
        <v>147</v>
      </c>
      <c r="AT140" s="223" t="s">
        <v>144</v>
      </c>
      <c r="AU140" s="223" t="s">
        <v>83</v>
      </c>
      <c r="AY140" s="17" t="s">
        <v>142</v>
      </c>
      <c r="BE140" s="224">
        <f>IF(N140="základní",J140,0)</f>
        <v>10416.719999999999</v>
      </c>
      <c r="BF140" s="224">
        <f>IF(N140="snížená",J140,0)</f>
        <v>0</v>
      </c>
      <c r="BG140" s="224">
        <f>IF(N140="zákl. přenesená",J140,0)</f>
        <v>0</v>
      </c>
      <c r="BH140" s="224">
        <f>IF(N140="sníž. přenesená",J140,0)</f>
        <v>0</v>
      </c>
      <c r="BI140" s="224">
        <f>IF(N140="nulová",J140,0)</f>
        <v>0</v>
      </c>
      <c r="BJ140" s="17" t="s">
        <v>19</v>
      </c>
      <c r="BK140" s="224">
        <f>ROUND(I140*H140,2)</f>
        <v>10416.719999999999</v>
      </c>
      <c r="BL140" s="17" t="s">
        <v>147</v>
      </c>
      <c r="BM140" s="223" t="s">
        <v>1048</v>
      </c>
    </row>
    <row r="141" s="13" customFormat="1">
      <c r="A141" s="13"/>
      <c r="B141" s="225"/>
      <c r="C141" s="226"/>
      <c r="D141" s="227" t="s">
        <v>149</v>
      </c>
      <c r="E141" s="228" t="s">
        <v>1</v>
      </c>
      <c r="F141" s="229" t="s">
        <v>1049</v>
      </c>
      <c r="G141" s="226"/>
      <c r="H141" s="230">
        <v>36.043999999999997</v>
      </c>
      <c r="I141" s="226"/>
      <c r="J141" s="226"/>
      <c r="K141" s="226"/>
      <c r="L141" s="231"/>
      <c r="M141" s="232"/>
      <c r="N141" s="233"/>
      <c r="O141" s="233"/>
      <c r="P141" s="233"/>
      <c r="Q141" s="233"/>
      <c r="R141" s="233"/>
      <c r="S141" s="233"/>
      <c r="T141" s="23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35" t="s">
        <v>149</v>
      </c>
      <c r="AU141" s="235" t="s">
        <v>83</v>
      </c>
      <c r="AV141" s="13" t="s">
        <v>83</v>
      </c>
      <c r="AW141" s="13" t="s">
        <v>32</v>
      </c>
      <c r="AX141" s="13" t="s">
        <v>19</v>
      </c>
      <c r="AY141" s="235" t="s">
        <v>142</v>
      </c>
    </row>
    <row r="142" s="2" customFormat="1" ht="24.15" customHeight="1">
      <c r="A142" s="32"/>
      <c r="B142" s="33"/>
      <c r="C142" s="212" t="s">
        <v>147</v>
      </c>
      <c r="D142" s="212" t="s">
        <v>144</v>
      </c>
      <c r="E142" s="213" t="s">
        <v>180</v>
      </c>
      <c r="F142" s="214" t="s">
        <v>181</v>
      </c>
      <c r="G142" s="215" t="s">
        <v>154</v>
      </c>
      <c r="H142" s="216">
        <v>18.332999999999998</v>
      </c>
      <c r="I142" s="217">
        <v>159</v>
      </c>
      <c r="J142" s="217">
        <f>ROUND(I142*H142,2)</f>
        <v>2914.9499999999998</v>
      </c>
      <c r="K142" s="218"/>
      <c r="L142" s="38"/>
      <c r="M142" s="219" t="s">
        <v>1</v>
      </c>
      <c r="N142" s="220" t="s">
        <v>39</v>
      </c>
      <c r="O142" s="221">
        <v>0.32800000000000001</v>
      </c>
      <c r="P142" s="221">
        <f>O142*H142</f>
        <v>6.0132240000000001</v>
      </c>
      <c r="Q142" s="221">
        <v>0</v>
      </c>
      <c r="R142" s="221">
        <f>Q142*H142</f>
        <v>0</v>
      </c>
      <c r="S142" s="221">
        <v>0</v>
      </c>
      <c r="T142" s="222">
        <f>S142*H142</f>
        <v>0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R142" s="223" t="s">
        <v>147</v>
      </c>
      <c r="AT142" s="223" t="s">
        <v>144</v>
      </c>
      <c r="AU142" s="223" t="s">
        <v>83</v>
      </c>
      <c r="AY142" s="17" t="s">
        <v>142</v>
      </c>
      <c r="BE142" s="224">
        <f>IF(N142="základní",J142,0)</f>
        <v>2914.9499999999998</v>
      </c>
      <c r="BF142" s="224">
        <f>IF(N142="snížená",J142,0)</f>
        <v>0</v>
      </c>
      <c r="BG142" s="224">
        <f>IF(N142="zákl. přenesená",J142,0)</f>
        <v>0</v>
      </c>
      <c r="BH142" s="224">
        <f>IF(N142="sníž. přenesená",J142,0)</f>
        <v>0</v>
      </c>
      <c r="BI142" s="224">
        <f>IF(N142="nulová",J142,0)</f>
        <v>0</v>
      </c>
      <c r="BJ142" s="17" t="s">
        <v>19</v>
      </c>
      <c r="BK142" s="224">
        <f>ROUND(I142*H142,2)</f>
        <v>2914.9499999999998</v>
      </c>
      <c r="BL142" s="17" t="s">
        <v>147</v>
      </c>
      <c r="BM142" s="223" t="s">
        <v>1050</v>
      </c>
    </row>
    <row r="143" s="13" customFormat="1">
      <c r="A143" s="13"/>
      <c r="B143" s="225"/>
      <c r="C143" s="226"/>
      <c r="D143" s="227" t="s">
        <v>149</v>
      </c>
      <c r="E143" s="228" t="s">
        <v>1</v>
      </c>
      <c r="F143" s="229" t="s">
        <v>1051</v>
      </c>
      <c r="G143" s="226"/>
      <c r="H143" s="230">
        <v>8.9190000000000005</v>
      </c>
      <c r="I143" s="226"/>
      <c r="J143" s="226"/>
      <c r="K143" s="226"/>
      <c r="L143" s="231"/>
      <c r="M143" s="232"/>
      <c r="N143" s="233"/>
      <c r="O143" s="233"/>
      <c r="P143" s="233"/>
      <c r="Q143" s="233"/>
      <c r="R143" s="233"/>
      <c r="S143" s="233"/>
      <c r="T143" s="23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35" t="s">
        <v>149</v>
      </c>
      <c r="AU143" s="235" t="s">
        <v>83</v>
      </c>
      <c r="AV143" s="13" t="s">
        <v>83</v>
      </c>
      <c r="AW143" s="13" t="s">
        <v>32</v>
      </c>
      <c r="AX143" s="13" t="s">
        <v>74</v>
      </c>
      <c r="AY143" s="235" t="s">
        <v>142</v>
      </c>
    </row>
    <row r="144" s="13" customFormat="1">
      <c r="A144" s="13"/>
      <c r="B144" s="225"/>
      <c r="C144" s="226"/>
      <c r="D144" s="227" t="s">
        <v>149</v>
      </c>
      <c r="E144" s="228" t="s">
        <v>1</v>
      </c>
      <c r="F144" s="229" t="s">
        <v>1052</v>
      </c>
      <c r="G144" s="226"/>
      <c r="H144" s="230">
        <v>7.3350000000000009</v>
      </c>
      <c r="I144" s="226"/>
      <c r="J144" s="226"/>
      <c r="K144" s="226"/>
      <c r="L144" s="231"/>
      <c r="M144" s="232"/>
      <c r="N144" s="233"/>
      <c r="O144" s="233"/>
      <c r="P144" s="233"/>
      <c r="Q144" s="233"/>
      <c r="R144" s="233"/>
      <c r="S144" s="233"/>
      <c r="T144" s="23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5" t="s">
        <v>149</v>
      </c>
      <c r="AU144" s="235" t="s">
        <v>83</v>
      </c>
      <c r="AV144" s="13" t="s">
        <v>83</v>
      </c>
      <c r="AW144" s="13" t="s">
        <v>32</v>
      </c>
      <c r="AX144" s="13" t="s">
        <v>74</v>
      </c>
      <c r="AY144" s="235" t="s">
        <v>142</v>
      </c>
    </row>
    <row r="145" s="13" customFormat="1">
      <c r="A145" s="13"/>
      <c r="B145" s="225"/>
      <c r="C145" s="226"/>
      <c r="D145" s="227" t="s">
        <v>149</v>
      </c>
      <c r="E145" s="228" t="s">
        <v>1</v>
      </c>
      <c r="F145" s="229" t="s">
        <v>1053</v>
      </c>
      <c r="G145" s="226"/>
      <c r="H145" s="230">
        <v>2.0790000000000002</v>
      </c>
      <c r="I145" s="226"/>
      <c r="J145" s="226"/>
      <c r="K145" s="226"/>
      <c r="L145" s="231"/>
      <c r="M145" s="232"/>
      <c r="N145" s="233"/>
      <c r="O145" s="233"/>
      <c r="P145" s="233"/>
      <c r="Q145" s="233"/>
      <c r="R145" s="233"/>
      <c r="S145" s="233"/>
      <c r="T145" s="23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35" t="s">
        <v>149</v>
      </c>
      <c r="AU145" s="235" t="s">
        <v>83</v>
      </c>
      <c r="AV145" s="13" t="s">
        <v>83</v>
      </c>
      <c r="AW145" s="13" t="s">
        <v>32</v>
      </c>
      <c r="AX145" s="13" t="s">
        <v>74</v>
      </c>
      <c r="AY145" s="235" t="s">
        <v>142</v>
      </c>
    </row>
    <row r="146" s="14" customFormat="1">
      <c r="A146" s="14"/>
      <c r="B146" s="236"/>
      <c r="C146" s="237"/>
      <c r="D146" s="227" t="s">
        <v>149</v>
      </c>
      <c r="E146" s="238" t="s">
        <v>1</v>
      </c>
      <c r="F146" s="239" t="s">
        <v>151</v>
      </c>
      <c r="G146" s="237"/>
      <c r="H146" s="240">
        <v>18.333000000000002</v>
      </c>
      <c r="I146" s="237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45" t="s">
        <v>149</v>
      </c>
      <c r="AU146" s="245" t="s">
        <v>83</v>
      </c>
      <c r="AV146" s="14" t="s">
        <v>147</v>
      </c>
      <c r="AW146" s="14" t="s">
        <v>32</v>
      </c>
      <c r="AX146" s="14" t="s">
        <v>19</v>
      </c>
      <c r="AY146" s="245" t="s">
        <v>142</v>
      </c>
    </row>
    <row r="147" s="12" customFormat="1" ht="22.8" customHeight="1">
      <c r="A147" s="12"/>
      <c r="B147" s="197"/>
      <c r="C147" s="198"/>
      <c r="D147" s="199" t="s">
        <v>73</v>
      </c>
      <c r="E147" s="210" t="s">
        <v>83</v>
      </c>
      <c r="F147" s="210" t="s">
        <v>185</v>
      </c>
      <c r="G147" s="198"/>
      <c r="H147" s="198"/>
      <c r="I147" s="198"/>
      <c r="J147" s="211">
        <f>BK147</f>
        <v>8303.7399999999998</v>
      </c>
      <c r="K147" s="198"/>
      <c r="L147" s="202"/>
      <c r="M147" s="203"/>
      <c r="N147" s="204"/>
      <c r="O147" s="204"/>
      <c r="P147" s="205">
        <f>SUM(P148:P153)</f>
        <v>2.0953279999999999</v>
      </c>
      <c r="Q147" s="204"/>
      <c r="R147" s="205">
        <f>SUM(R148:R153)</f>
        <v>5.1234667200000006</v>
      </c>
      <c r="S147" s="204"/>
      <c r="T147" s="206">
        <f>SUM(T148:T153)</f>
        <v>0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R147" s="207" t="s">
        <v>19</v>
      </c>
      <c r="AT147" s="208" t="s">
        <v>73</v>
      </c>
      <c r="AU147" s="208" t="s">
        <v>19</v>
      </c>
      <c r="AY147" s="207" t="s">
        <v>142</v>
      </c>
      <c r="BK147" s="209">
        <f>SUM(BK148:BK153)</f>
        <v>8303.7399999999998</v>
      </c>
    </row>
    <row r="148" s="2" customFormat="1" ht="24.15" customHeight="1">
      <c r="A148" s="32"/>
      <c r="B148" s="33"/>
      <c r="C148" s="212" t="s">
        <v>163</v>
      </c>
      <c r="D148" s="212" t="s">
        <v>144</v>
      </c>
      <c r="E148" s="213" t="s">
        <v>1054</v>
      </c>
      <c r="F148" s="214" t="s">
        <v>1055</v>
      </c>
      <c r="G148" s="215" t="s">
        <v>154</v>
      </c>
      <c r="H148" s="216">
        <v>1.0940000000000001</v>
      </c>
      <c r="I148" s="217">
        <v>2470</v>
      </c>
      <c r="J148" s="217">
        <f>ROUND(I148*H148,2)</f>
        <v>2702.1799999999998</v>
      </c>
      <c r="K148" s="218"/>
      <c r="L148" s="38"/>
      <c r="M148" s="219" t="s">
        <v>1</v>
      </c>
      <c r="N148" s="220" t="s">
        <v>39</v>
      </c>
      <c r="O148" s="221">
        <v>1.0249999999999999</v>
      </c>
      <c r="P148" s="221">
        <f>O148*H148</f>
        <v>1.1213500000000001</v>
      </c>
      <c r="Q148" s="221">
        <v>2.1600000000000001</v>
      </c>
      <c r="R148" s="221">
        <f>Q148*H148</f>
        <v>2.3630400000000003</v>
      </c>
      <c r="S148" s="221">
        <v>0</v>
      </c>
      <c r="T148" s="222">
        <f>S148*H148</f>
        <v>0</v>
      </c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R148" s="223" t="s">
        <v>147</v>
      </c>
      <c r="AT148" s="223" t="s">
        <v>144</v>
      </c>
      <c r="AU148" s="223" t="s">
        <v>83</v>
      </c>
      <c r="AY148" s="17" t="s">
        <v>142</v>
      </c>
      <c r="BE148" s="224">
        <f>IF(N148="základní",J148,0)</f>
        <v>2702.1799999999998</v>
      </c>
      <c r="BF148" s="224">
        <f>IF(N148="snížená",J148,0)</f>
        <v>0</v>
      </c>
      <c r="BG148" s="224">
        <f>IF(N148="zákl. přenesená",J148,0)</f>
        <v>0</v>
      </c>
      <c r="BH148" s="224">
        <f>IF(N148="sníž. přenesená",J148,0)</f>
        <v>0</v>
      </c>
      <c r="BI148" s="224">
        <f>IF(N148="nulová",J148,0)</f>
        <v>0</v>
      </c>
      <c r="BJ148" s="17" t="s">
        <v>19</v>
      </c>
      <c r="BK148" s="224">
        <f>ROUND(I148*H148,2)</f>
        <v>2702.1799999999998</v>
      </c>
      <c r="BL148" s="17" t="s">
        <v>147</v>
      </c>
      <c r="BM148" s="223" t="s">
        <v>1056</v>
      </c>
    </row>
    <row r="149" s="13" customFormat="1">
      <c r="A149" s="13"/>
      <c r="B149" s="225"/>
      <c r="C149" s="226"/>
      <c r="D149" s="227" t="s">
        <v>149</v>
      </c>
      <c r="E149" s="228" t="s">
        <v>1</v>
      </c>
      <c r="F149" s="229" t="s">
        <v>1057</v>
      </c>
      <c r="G149" s="226"/>
      <c r="H149" s="230">
        <v>1.0935000000000001</v>
      </c>
      <c r="I149" s="226"/>
      <c r="J149" s="226"/>
      <c r="K149" s="226"/>
      <c r="L149" s="231"/>
      <c r="M149" s="232"/>
      <c r="N149" s="233"/>
      <c r="O149" s="233"/>
      <c r="P149" s="233"/>
      <c r="Q149" s="233"/>
      <c r="R149" s="233"/>
      <c r="S149" s="233"/>
      <c r="T149" s="23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35" t="s">
        <v>149</v>
      </c>
      <c r="AU149" s="235" t="s">
        <v>83</v>
      </c>
      <c r="AV149" s="13" t="s">
        <v>83</v>
      </c>
      <c r="AW149" s="13" t="s">
        <v>32</v>
      </c>
      <c r="AX149" s="13" t="s">
        <v>19</v>
      </c>
      <c r="AY149" s="235" t="s">
        <v>142</v>
      </c>
    </row>
    <row r="150" s="2" customFormat="1" ht="16.5" customHeight="1">
      <c r="A150" s="32"/>
      <c r="B150" s="33"/>
      <c r="C150" s="212" t="s">
        <v>168</v>
      </c>
      <c r="D150" s="212" t="s">
        <v>144</v>
      </c>
      <c r="E150" s="213" t="s">
        <v>1058</v>
      </c>
      <c r="F150" s="214" t="s">
        <v>1059</v>
      </c>
      <c r="G150" s="215" t="s">
        <v>154</v>
      </c>
      <c r="H150" s="216">
        <v>1.0940000000000001</v>
      </c>
      <c r="I150" s="217">
        <v>4340</v>
      </c>
      <c r="J150" s="217">
        <f>ROUND(I150*H150,2)</f>
        <v>4747.96</v>
      </c>
      <c r="K150" s="218"/>
      <c r="L150" s="38"/>
      <c r="M150" s="219" t="s">
        <v>1</v>
      </c>
      <c r="N150" s="220" t="s">
        <v>39</v>
      </c>
      <c r="O150" s="221">
        <v>0.58399999999999996</v>
      </c>
      <c r="P150" s="221">
        <f>O150*H150</f>
        <v>0.63889600000000002</v>
      </c>
      <c r="Q150" s="221">
        <v>2.5018699999999998</v>
      </c>
      <c r="R150" s="221">
        <f>Q150*H150</f>
        <v>2.7370457799999999</v>
      </c>
      <c r="S150" s="221">
        <v>0</v>
      </c>
      <c r="T150" s="222">
        <f>S150*H150</f>
        <v>0</v>
      </c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R150" s="223" t="s">
        <v>147</v>
      </c>
      <c r="AT150" s="223" t="s">
        <v>144</v>
      </c>
      <c r="AU150" s="223" t="s">
        <v>83</v>
      </c>
      <c r="AY150" s="17" t="s">
        <v>142</v>
      </c>
      <c r="BE150" s="224">
        <f>IF(N150="základní",J150,0)</f>
        <v>4747.96</v>
      </c>
      <c r="BF150" s="224">
        <f>IF(N150="snížená",J150,0)</f>
        <v>0</v>
      </c>
      <c r="BG150" s="224">
        <f>IF(N150="zákl. přenesená",J150,0)</f>
        <v>0</v>
      </c>
      <c r="BH150" s="224">
        <f>IF(N150="sníž. přenesená",J150,0)</f>
        <v>0</v>
      </c>
      <c r="BI150" s="224">
        <f>IF(N150="nulová",J150,0)</f>
        <v>0</v>
      </c>
      <c r="BJ150" s="17" t="s">
        <v>19</v>
      </c>
      <c r="BK150" s="224">
        <f>ROUND(I150*H150,2)</f>
        <v>4747.96</v>
      </c>
      <c r="BL150" s="17" t="s">
        <v>147</v>
      </c>
      <c r="BM150" s="223" t="s">
        <v>1060</v>
      </c>
    </row>
    <row r="151" s="13" customFormat="1">
      <c r="A151" s="13"/>
      <c r="B151" s="225"/>
      <c r="C151" s="226"/>
      <c r="D151" s="227" t="s">
        <v>149</v>
      </c>
      <c r="E151" s="228" t="s">
        <v>1</v>
      </c>
      <c r="F151" s="229" t="s">
        <v>1057</v>
      </c>
      <c r="G151" s="226"/>
      <c r="H151" s="230">
        <v>1.0935000000000001</v>
      </c>
      <c r="I151" s="226"/>
      <c r="J151" s="226"/>
      <c r="K151" s="226"/>
      <c r="L151" s="231"/>
      <c r="M151" s="232"/>
      <c r="N151" s="233"/>
      <c r="O151" s="233"/>
      <c r="P151" s="233"/>
      <c r="Q151" s="233"/>
      <c r="R151" s="233"/>
      <c r="S151" s="233"/>
      <c r="T151" s="23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35" t="s">
        <v>149</v>
      </c>
      <c r="AU151" s="235" t="s">
        <v>83</v>
      </c>
      <c r="AV151" s="13" t="s">
        <v>83</v>
      </c>
      <c r="AW151" s="13" t="s">
        <v>32</v>
      </c>
      <c r="AX151" s="13" t="s">
        <v>19</v>
      </c>
      <c r="AY151" s="235" t="s">
        <v>142</v>
      </c>
    </row>
    <row r="152" s="2" customFormat="1" ht="16.5" customHeight="1">
      <c r="A152" s="32"/>
      <c r="B152" s="33"/>
      <c r="C152" s="212" t="s">
        <v>174</v>
      </c>
      <c r="D152" s="212" t="s">
        <v>144</v>
      </c>
      <c r="E152" s="213" t="s">
        <v>1061</v>
      </c>
      <c r="F152" s="214" t="s">
        <v>1062</v>
      </c>
      <c r="G152" s="215" t="s">
        <v>171</v>
      </c>
      <c r="H152" s="216">
        <v>0.021999999999999999</v>
      </c>
      <c r="I152" s="217">
        <v>38800</v>
      </c>
      <c r="J152" s="217">
        <f>ROUND(I152*H152,2)</f>
        <v>853.60000000000002</v>
      </c>
      <c r="K152" s="218"/>
      <c r="L152" s="38"/>
      <c r="M152" s="219" t="s">
        <v>1</v>
      </c>
      <c r="N152" s="220" t="s">
        <v>39</v>
      </c>
      <c r="O152" s="221">
        <v>15.231</v>
      </c>
      <c r="P152" s="221">
        <f>O152*H152</f>
        <v>0.33508199999999999</v>
      </c>
      <c r="Q152" s="221">
        <v>1.06277</v>
      </c>
      <c r="R152" s="221">
        <f>Q152*H152</f>
        <v>0.023380939999999999</v>
      </c>
      <c r="S152" s="221">
        <v>0</v>
      </c>
      <c r="T152" s="222">
        <f>S152*H152</f>
        <v>0</v>
      </c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R152" s="223" t="s">
        <v>147</v>
      </c>
      <c r="AT152" s="223" t="s">
        <v>144</v>
      </c>
      <c r="AU152" s="223" t="s">
        <v>83</v>
      </c>
      <c r="AY152" s="17" t="s">
        <v>142</v>
      </c>
      <c r="BE152" s="224">
        <f>IF(N152="základní",J152,0)</f>
        <v>853.60000000000002</v>
      </c>
      <c r="BF152" s="224">
        <f>IF(N152="snížená",J152,0)</f>
        <v>0</v>
      </c>
      <c r="BG152" s="224">
        <f>IF(N152="zákl. přenesená",J152,0)</f>
        <v>0</v>
      </c>
      <c r="BH152" s="224">
        <f>IF(N152="sníž. přenesená",J152,0)</f>
        <v>0</v>
      </c>
      <c r="BI152" s="224">
        <f>IF(N152="nulová",J152,0)</f>
        <v>0</v>
      </c>
      <c r="BJ152" s="17" t="s">
        <v>19</v>
      </c>
      <c r="BK152" s="224">
        <f>ROUND(I152*H152,2)</f>
        <v>853.60000000000002</v>
      </c>
      <c r="BL152" s="17" t="s">
        <v>147</v>
      </c>
      <c r="BM152" s="223" t="s">
        <v>1063</v>
      </c>
    </row>
    <row r="153" s="13" customFormat="1">
      <c r="A153" s="13"/>
      <c r="B153" s="225"/>
      <c r="C153" s="226"/>
      <c r="D153" s="227" t="s">
        <v>149</v>
      </c>
      <c r="E153" s="228" t="s">
        <v>1</v>
      </c>
      <c r="F153" s="229" t="s">
        <v>1064</v>
      </c>
      <c r="G153" s="226"/>
      <c r="H153" s="230">
        <v>0.022110570000000003</v>
      </c>
      <c r="I153" s="226"/>
      <c r="J153" s="226"/>
      <c r="K153" s="226"/>
      <c r="L153" s="231"/>
      <c r="M153" s="232"/>
      <c r="N153" s="233"/>
      <c r="O153" s="233"/>
      <c r="P153" s="233"/>
      <c r="Q153" s="233"/>
      <c r="R153" s="233"/>
      <c r="S153" s="233"/>
      <c r="T153" s="23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35" t="s">
        <v>149</v>
      </c>
      <c r="AU153" s="235" t="s">
        <v>83</v>
      </c>
      <c r="AV153" s="13" t="s">
        <v>83</v>
      </c>
      <c r="AW153" s="13" t="s">
        <v>32</v>
      </c>
      <c r="AX153" s="13" t="s">
        <v>19</v>
      </c>
      <c r="AY153" s="235" t="s">
        <v>142</v>
      </c>
    </row>
    <row r="154" s="12" customFormat="1" ht="22.8" customHeight="1">
      <c r="A154" s="12"/>
      <c r="B154" s="197"/>
      <c r="C154" s="198"/>
      <c r="D154" s="199" t="s">
        <v>73</v>
      </c>
      <c r="E154" s="210" t="s">
        <v>98</v>
      </c>
      <c r="F154" s="210" t="s">
        <v>232</v>
      </c>
      <c r="G154" s="198"/>
      <c r="H154" s="198"/>
      <c r="I154" s="198"/>
      <c r="J154" s="211">
        <f>BK154</f>
        <v>65620</v>
      </c>
      <c r="K154" s="198"/>
      <c r="L154" s="202"/>
      <c r="M154" s="203"/>
      <c r="N154" s="204"/>
      <c r="O154" s="204"/>
      <c r="P154" s="205">
        <f>SUM(P155:P156)</f>
        <v>3.282</v>
      </c>
      <c r="Q154" s="204"/>
      <c r="R154" s="205">
        <f>SUM(R155:R156)</f>
        <v>0</v>
      </c>
      <c r="S154" s="204"/>
      <c r="T154" s="206">
        <f>SUM(T155:T156)</f>
        <v>0</v>
      </c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R154" s="207" t="s">
        <v>19</v>
      </c>
      <c r="AT154" s="208" t="s">
        <v>73</v>
      </c>
      <c r="AU154" s="208" t="s">
        <v>19</v>
      </c>
      <c r="AY154" s="207" t="s">
        <v>142</v>
      </c>
      <c r="BK154" s="209">
        <f>SUM(BK155:BK156)</f>
        <v>65620</v>
      </c>
    </row>
    <row r="155" s="2" customFormat="1" ht="24.15" customHeight="1">
      <c r="A155" s="32"/>
      <c r="B155" s="33"/>
      <c r="C155" s="212" t="s">
        <v>179</v>
      </c>
      <c r="D155" s="212" t="s">
        <v>144</v>
      </c>
      <c r="E155" s="213" t="s">
        <v>1065</v>
      </c>
      <c r="F155" s="214" t="s">
        <v>1066</v>
      </c>
      <c r="G155" s="215" t="s">
        <v>284</v>
      </c>
      <c r="H155" s="216">
        <v>1</v>
      </c>
      <c r="I155" s="217">
        <v>2120</v>
      </c>
      <c r="J155" s="217">
        <f>ROUND(I155*H155,2)</f>
        <v>2120</v>
      </c>
      <c r="K155" s="218"/>
      <c r="L155" s="38"/>
      <c r="M155" s="219" t="s">
        <v>1</v>
      </c>
      <c r="N155" s="220" t="s">
        <v>39</v>
      </c>
      <c r="O155" s="221">
        <v>3.282</v>
      </c>
      <c r="P155" s="221">
        <f>O155*H155</f>
        <v>3.282</v>
      </c>
      <c r="Q155" s="221">
        <v>0</v>
      </c>
      <c r="R155" s="221">
        <f>Q155*H155</f>
        <v>0</v>
      </c>
      <c r="S155" s="221">
        <v>0</v>
      </c>
      <c r="T155" s="222">
        <f>S155*H155</f>
        <v>0</v>
      </c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R155" s="223" t="s">
        <v>147</v>
      </c>
      <c r="AT155" s="223" t="s">
        <v>144</v>
      </c>
      <c r="AU155" s="223" t="s">
        <v>83</v>
      </c>
      <c r="AY155" s="17" t="s">
        <v>142</v>
      </c>
      <c r="BE155" s="224">
        <f>IF(N155="základní",J155,0)</f>
        <v>2120</v>
      </c>
      <c r="BF155" s="224">
        <f>IF(N155="snížená",J155,0)</f>
        <v>0</v>
      </c>
      <c r="BG155" s="224">
        <f>IF(N155="zákl. přenesená",J155,0)</f>
        <v>0</v>
      </c>
      <c r="BH155" s="224">
        <f>IF(N155="sníž. přenesená",J155,0)</f>
        <v>0</v>
      </c>
      <c r="BI155" s="224">
        <f>IF(N155="nulová",J155,0)</f>
        <v>0</v>
      </c>
      <c r="BJ155" s="17" t="s">
        <v>19</v>
      </c>
      <c r="BK155" s="224">
        <f>ROUND(I155*H155,2)</f>
        <v>2120</v>
      </c>
      <c r="BL155" s="17" t="s">
        <v>147</v>
      </c>
      <c r="BM155" s="223" t="s">
        <v>1067</v>
      </c>
    </row>
    <row r="156" s="2" customFormat="1" ht="16.5" customHeight="1">
      <c r="A156" s="32"/>
      <c r="B156" s="33"/>
      <c r="C156" s="258" t="s">
        <v>186</v>
      </c>
      <c r="D156" s="258" t="s">
        <v>475</v>
      </c>
      <c r="E156" s="259" t="s">
        <v>1068</v>
      </c>
      <c r="F156" s="260" t="s">
        <v>1069</v>
      </c>
      <c r="G156" s="261" t="s">
        <v>284</v>
      </c>
      <c r="H156" s="262">
        <v>1</v>
      </c>
      <c r="I156" s="263">
        <v>63500</v>
      </c>
      <c r="J156" s="263">
        <f>ROUND(I156*H156,2)</f>
        <v>63500</v>
      </c>
      <c r="K156" s="264"/>
      <c r="L156" s="265"/>
      <c r="M156" s="266" t="s">
        <v>1</v>
      </c>
      <c r="N156" s="267" t="s">
        <v>39</v>
      </c>
      <c r="O156" s="221">
        <v>0</v>
      </c>
      <c r="P156" s="221">
        <f>O156*H156</f>
        <v>0</v>
      </c>
      <c r="Q156" s="221">
        <v>0</v>
      </c>
      <c r="R156" s="221">
        <f>Q156*H156</f>
        <v>0</v>
      </c>
      <c r="S156" s="221">
        <v>0</v>
      </c>
      <c r="T156" s="222">
        <f>S156*H156</f>
        <v>0</v>
      </c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R156" s="223" t="s">
        <v>179</v>
      </c>
      <c r="AT156" s="223" t="s">
        <v>475</v>
      </c>
      <c r="AU156" s="223" t="s">
        <v>83</v>
      </c>
      <c r="AY156" s="17" t="s">
        <v>142</v>
      </c>
      <c r="BE156" s="224">
        <f>IF(N156="základní",J156,0)</f>
        <v>63500</v>
      </c>
      <c r="BF156" s="224">
        <f>IF(N156="snížená",J156,0)</f>
        <v>0</v>
      </c>
      <c r="BG156" s="224">
        <f>IF(N156="zákl. přenesená",J156,0)</f>
        <v>0</v>
      </c>
      <c r="BH156" s="224">
        <f>IF(N156="sníž. přenesená",J156,0)</f>
        <v>0</v>
      </c>
      <c r="BI156" s="224">
        <f>IF(N156="nulová",J156,0)</f>
        <v>0</v>
      </c>
      <c r="BJ156" s="17" t="s">
        <v>19</v>
      </c>
      <c r="BK156" s="224">
        <f>ROUND(I156*H156,2)</f>
        <v>63500</v>
      </c>
      <c r="BL156" s="17" t="s">
        <v>147</v>
      </c>
      <c r="BM156" s="223" t="s">
        <v>1070</v>
      </c>
    </row>
    <row r="157" s="12" customFormat="1" ht="22.8" customHeight="1">
      <c r="A157" s="12"/>
      <c r="B157" s="197"/>
      <c r="C157" s="198"/>
      <c r="D157" s="199" t="s">
        <v>73</v>
      </c>
      <c r="E157" s="210" t="s">
        <v>147</v>
      </c>
      <c r="F157" s="210" t="s">
        <v>338</v>
      </c>
      <c r="G157" s="198"/>
      <c r="H157" s="198"/>
      <c r="I157" s="198"/>
      <c r="J157" s="211">
        <f>BK157</f>
        <v>2409.7199999999998</v>
      </c>
      <c r="K157" s="198"/>
      <c r="L157" s="202"/>
      <c r="M157" s="203"/>
      <c r="N157" s="204"/>
      <c r="O157" s="204"/>
      <c r="P157" s="205">
        <f>SUM(P158:P162)</f>
        <v>2.460156</v>
      </c>
      <c r="Q157" s="204"/>
      <c r="R157" s="205">
        <f>SUM(R158:R162)</f>
        <v>0</v>
      </c>
      <c r="S157" s="204"/>
      <c r="T157" s="206">
        <f>SUM(T158:T162)</f>
        <v>0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07" t="s">
        <v>19</v>
      </c>
      <c r="AT157" s="208" t="s">
        <v>73</v>
      </c>
      <c r="AU157" s="208" t="s">
        <v>19</v>
      </c>
      <c r="AY157" s="207" t="s">
        <v>142</v>
      </c>
      <c r="BK157" s="209">
        <f>SUM(BK158:BK162)</f>
        <v>2409.7199999999998</v>
      </c>
    </row>
    <row r="158" s="2" customFormat="1" ht="16.5" customHeight="1">
      <c r="A158" s="32"/>
      <c r="B158" s="33"/>
      <c r="C158" s="212" t="s">
        <v>24</v>
      </c>
      <c r="D158" s="212" t="s">
        <v>144</v>
      </c>
      <c r="E158" s="213" t="s">
        <v>1071</v>
      </c>
      <c r="F158" s="214" t="s">
        <v>1072</v>
      </c>
      <c r="G158" s="215" t="s">
        <v>154</v>
      </c>
      <c r="H158" s="216">
        <v>1.8680000000000001</v>
      </c>
      <c r="I158" s="217">
        <v>1290</v>
      </c>
      <c r="J158" s="217">
        <f>ROUND(I158*H158,2)</f>
        <v>2409.7199999999998</v>
      </c>
      <c r="K158" s="218"/>
      <c r="L158" s="38"/>
      <c r="M158" s="219" t="s">
        <v>1</v>
      </c>
      <c r="N158" s="220" t="s">
        <v>39</v>
      </c>
      <c r="O158" s="221">
        <v>1.317</v>
      </c>
      <c r="P158" s="221">
        <f>O158*H158</f>
        <v>2.460156</v>
      </c>
      <c r="Q158" s="221">
        <v>0</v>
      </c>
      <c r="R158" s="221">
        <f>Q158*H158</f>
        <v>0</v>
      </c>
      <c r="S158" s="221">
        <v>0</v>
      </c>
      <c r="T158" s="222">
        <f>S158*H158</f>
        <v>0</v>
      </c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R158" s="223" t="s">
        <v>147</v>
      </c>
      <c r="AT158" s="223" t="s">
        <v>144</v>
      </c>
      <c r="AU158" s="223" t="s">
        <v>83</v>
      </c>
      <c r="AY158" s="17" t="s">
        <v>142</v>
      </c>
      <c r="BE158" s="224">
        <f>IF(N158="základní",J158,0)</f>
        <v>2409.7199999999998</v>
      </c>
      <c r="BF158" s="224">
        <f>IF(N158="snížená",J158,0)</f>
        <v>0</v>
      </c>
      <c r="BG158" s="224">
        <f>IF(N158="zákl. přenesená",J158,0)</f>
        <v>0</v>
      </c>
      <c r="BH158" s="224">
        <f>IF(N158="sníž. přenesená",J158,0)</f>
        <v>0</v>
      </c>
      <c r="BI158" s="224">
        <f>IF(N158="nulová",J158,0)</f>
        <v>0</v>
      </c>
      <c r="BJ158" s="17" t="s">
        <v>19</v>
      </c>
      <c r="BK158" s="224">
        <f>ROUND(I158*H158,2)</f>
        <v>2409.7199999999998</v>
      </c>
      <c r="BL158" s="17" t="s">
        <v>147</v>
      </c>
      <c r="BM158" s="223" t="s">
        <v>1073</v>
      </c>
    </row>
    <row r="159" s="13" customFormat="1">
      <c r="A159" s="13"/>
      <c r="B159" s="225"/>
      <c r="C159" s="226"/>
      <c r="D159" s="227" t="s">
        <v>149</v>
      </c>
      <c r="E159" s="228" t="s">
        <v>1</v>
      </c>
      <c r="F159" s="229" t="s">
        <v>1074</v>
      </c>
      <c r="G159" s="226"/>
      <c r="H159" s="230">
        <v>0.57750000000000001</v>
      </c>
      <c r="I159" s="226"/>
      <c r="J159" s="226"/>
      <c r="K159" s="226"/>
      <c r="L159" s="231"/>
      <c r="M159" s="232"/>
      <c r="N159" s="233"/>
      <c r="O159" s="233"/>
      <c r="P159" s="233"/>
      <c r="Q159" s="233"/>
      <c r="R159" s="233"/>
      <c r="S159" s="233"/>
      <c r="T159" s="23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T159" s="235" t="s">
        <v>149</v>
      </c>
      <c r="AU159" s="235" t="s">
        <v>83</v>
      </c>
      <c r="AV159" s="13" t="s">
        <v>83</v>
      </c>
      <c r="AW159" s="13" t="s">
        <v>32</v>
      </c>
      <c r="AX159" s="13" t="s">
        <v>74</v>
      </c>
      <c r="AY159" s="235" t="s">
        <v>142</v>
      </c>
    </row>
    <row r="160" s="13" customFormat="1">
      <c r="A160" s="13"/>
      <c r="B160" s="225"/>
      <c r="C160" s="226"/>
      <c r="D160" s="227" t="s">
        <v>149</v>
      </c>
      <c r="E160" s="228" t="s">
        <v>1</v>
      </c>
      <c r="F160" s="229" t="s">
        <v>1075</v>
      </c>
      <c r="G160" s="226"/>
      <c r="H160" s="230">
        <v>0.58199999999999996</v>
      </c>
      <c r="I160" s="226"/>
      <c r="J160" s="226"/>
      <c r="K160" s="226"/>
      <c r="L160" s="231"/>
      <c r="M160" s="232"/>
      <c r="N160" s="233"/>
      <c r="O160" s="233"/>
      <c r="P160" s="233"/>
      <c r="Q160" s="233"/>
      <c r="R160" s="233"/>
      <c r="S160" s="233"/>
      <c r="T160" s="234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T160" s="235" t="s">
        <v>149</v>
      </c>
      <c r="AU160" s="235" t="s">
        <v>83</v>
      </c>
      <c r="AV160" s="13" t="s">
        <v>83</v>
      </c>
      <c r="AW160" s="13" t="s">
        <v>32</v>
      </c>
      <c r="AX160" s="13" t="s">
        <v>74</v>
      </c>
      <c r="AY160" s="235" t="s">
        <v>142</v>
      </c>
    </row>
    <row r="161" s="13" customFormat="1">
      <c r="A161" s="13"/>
      <c r="B161" s="225"/>
      <c r="C161" s="226"/>
      <c r="D161" s="227" t="s">
        <v>149</v>
      </c>
      <c r="E161" s="228" t="s">
        <v>1</v>
      </c>
      <c r="F161" s="229" t="s">
        <v>1076</v>
      </c>
      <c r="G161" s="226"/>
      <c r="H161" s="230">
        <v>0.70800000000000007</v>
      </c>
      <c r="I161" s="226"/>
      <c r="J161" s="226"/>
      <c r="K161" s="226"/>
      <c r="L161" s="231"/>
      <c r="M161" s="232"/>
      <c r="N161" s="233"/>
      <c r="O161" s="233"/>
      <c r="P161" s="233"/>
      <c r="Q161" s="233"/>
      <c r="R161" s="233"/>
      <c r="S161" s="233"/>
      <c r="T161" s="23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35" t="s">
        <v>149</v>
      </c>
      <c r="AU161" s="235" t="s">
        <v>83</v>
      </c>
      <c r="AV161" s="13" t="s">
        <v>83</v>
      </c>
      <c r="AW161" s="13" t="s">
        <v>32</v>
      </c>
      <c r="AX161" s="13" t="s">
        <v>74</v>
      </c>
      <c r="AY161" s="235" t="s">
        <v>142</v>
      </c>
    </row>
    <row r="162" s="14" customFormat="1">
      <c r="A162" s="14"/>
      <c r="B162" s="236"/>
      <c r="C162" s="237"/>
      <c r="D162" s="227" t="s">
        <v>149</v>
      </c>
      <c r="E162" s="238" t="s">
        <v>1</v>
      </c>
      <c r="F162" s="239" t="s">
        <v>151</v>
      </c>
      <c r="G162" s="237"/>
      <c r="H162" s="240">
        <v>1.8675000000000002</v>
      </c>
      <c r="I162" s="237"/>
      <c r="J162" s="237"/>
      <c r="K162" s="237"/>
      <c r="L162" s="241"/>
      <c r="M162" s="242"/>
      <c r="N162" s="243"/>
      <c r="O162" s="243"/>
      <c r="P162" s="243"/>
      <c r="Q162" s="243"/>
      <c r="R162" s="243"/>
      <c r="S162" s="243"/>
      <c r="T162" s="24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45" t="s">
        <v>149</v>
      </c>
      <c r="AU162" s="245" t="s">
        <v>83</v>
      </c>
      <c r="AV162" s="14" t="s">
        <v>147</v>
      </c>
      <c r="AW162" s="14" t="s">
        <v>32</v>
      </c>
      <c r="AX162" s="14" t="s">
        <v>19</v>
      </c>
      <c r="AY162" s="245" t="s">
        <v>142</v>
      </c>
    </row>
    <row r="163" s="12" customFormat="1" ht="22.8" customHeight="1">
      <c r="A163" s="12"/>
      <c r="B163" s="197"/>
      <c r="C163" s="198"/>
      <c r="D163" s="199" t="s">
        <v>73</v>
      </c>
      <c r="E163" s="210" t="s">
        <v>179</v>
      </c>
      <c r="F163" s="210" t="s">
        <v>1077</v>
      </c>
      <c r="G163" s="198"/>
      <c r="H163" s="198"/>
      <c r="I163" s="198"/>
      <c r="J163" s="211">
        <f>BK163</f>
        <v>58845.389999999999</v>
      </c>
      <c r="K163" s="198"/>
      <c r="L163" s="202"/>
      <c r="M163" s="203"/>
      <c r="N163" s="204"/>
      <c r="O163" s="204"/>
      <c r="P163" s="205">
        <f>SUM(P164:P180)</f>
        <v>21.723999999999997</v>
      </c>
      <c r="Q163" s="204"/>
      <c r="R163" s="205">
        <f>SUM(R164:R180)</f>
        <v>0.63960759999999994</v>
      </c>
      <c r="S163" s="204"/>
      <c r="T163" s="206">
        <f>SUM(T164:T180)</f>
        <v>0</v>
      </c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R163" s="207" t="s">
        <v>19</v>
      </c>
      <c r="AT163" s="208" t="s">
        <v>73</v>
      </c>
      <c r="AU163" s="208" t="s">
        <v>19</v>
      </c>
      <c r="AY163" s="207" t="s">
        <v>142</v>
      </c>
      <c r="BK163" s="209">
        <f>SUM(BK164:BK180)</f>
        <v>58845.389999999999</v>
      </c>
    </row>
    <row r="164" s="2" customFormat="1" ht="24.15" customHeight="1">
      <c r="A164" s="32"/>
      <c r="B164" s="33"/>
      <c r="C164" s="212" t="s">
        <v>196</v>
      </c>
      <c r="D164" s="212" t="s">
        <v>144</v>
      </c>
      <c r="E164" s="213" t="s">
        <v>1078</v>
      </c>
      <c r="F164" s="214" t="s">
        <v>1079</v>
      </c>
      <c r="G164" s="215" t="s">
        <v>326</v>
      </c>
      <c r="H164" s="216">
        <v>6</v>
      </c>
      <c r="I164" s="217">
        <v>104</v>
      </c>
      <c r="J164" s="217">
        <f>ROUND(I164*H164,2)</f>
        <v>624</v>
      </c>
      <c r="K164" s="218"/>
      <c r="L164" s="38"/>
      <c r="M164" s="219" t="s">
        <v>1</v>
      </c>
      <c r="N164" s="220" t="s">
        <v>39</v>
      </c>
      <c r="O164" s="221">
        <v>0.20000000000000001</v>
      </c>
      <c r="P164" s="221">
        <f>O164*H164</f>
        <v>1.2000000000000002</v>
      </c>
      <c r="Q164" s="221">
        <v>1.0000000000000001E-05</v>
      </c>
      <c r="R164" s="221">
        <f>Q164*H164</f>
        <v>6.0000000000000008E-05</v>
      </c>
      <c r="S164" s="221">
        <v>0</v>
      </c>
      <c r="T164" s="222">
        <f>S164*H164</f>
        <v>0</v>
      </c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R164" s="223" t="s">
        <v>147</v>
      </c>
      <c r="AT164" s="223" t="s">
        <v>144</v>
      </c>
      <c r="AU164" s="223" t="s">
        <v>83</v>
      </c>
      <c r="AY164" s="17" t="s">
        <v>142</v>
      </c>
      <c r="BE164" s="224">
        <f>IF(N164="základní",J164,0)</f>
        <v>624</v>
      </c>
      <c r="BF164" s="224">
        <f>IF(N164="snížená",J164,0)</f>
        <v>0</v>
      </c>
      <c r="BG164" s="224">
        <f>IF(N164="zákl. přenesená",J164,0)</f>
        <v>0</v>
      </c>
      <c r="BH164" s="224">
        <f>IF(N164="sníž. přenesená",J164,0)</f>
        <v>0</v>
      </c>
      <c r="BI164" s="224">
        <f>IF(N164="nulová",J164,0)</f>
        <v>0</v>
      </c>
      <c r="BJ164" s="17" t="s">
        <v>19</v>
      </c>
      <c r="BK164" s="224">
        <f>ROUND(I164*H164,2)</f>
        <v>624</v>
      </c>
      <c r="BL164" s="17" t="s">
        <v>147</v>
      </c>
      <c r="BM164" s="223" t="s">
        <v>1080</v>
      </c>
    </row>
    <row r="165" s="2" customFormat="1" ht="16.5" customHeight="1">
      <c r="A165" s="32"/>
      <c r="B165" s="33"/>
      <c r="C165" s="258" t="s">
        <v>8</v>
      </c>
      <c r="D165" s="258" t="s">
        <v>475</v>
      </c>
      <c r="E165" s="259" t="s">
        <v>1081</v>
      </c>
      <c r="F165" s="260" t="s">
        <v>1082</v>
      </c>
      <c r="G165" s="261" t="s">
        <v>326</v>
      </c>
      <c r="H165" s="262">
        <v>6.1799999999999997</v>
      </c>
      <c r="I165" s="263">
        <v>188</v>
      </c>
      <c r="J165" s="263">
        <f>ROUND(I165*H165,2)</f>
        <v>1161.8399999999999</v>
      </c>
      <c r="K165" s="264"/>
      <c r="L165" s="265"/>
      <c r="M165" s="266" t="s">
        <v>1</v>
      </c>
      <c r="N165" s="267" t="s">
        <v>39</v>
      </c>
      <c r="O165" s="221">
        <v>0</v>
      </c>
      <c r="P165" s="221">
        <f>O165*H165</f>
        <v>0</v>
      </c>
      <c r="Q165" s="221">
        <v>0.00172</v>
      </c>
      <c r="R165" s="221">
        <f>Q165*H165</f>
        <v>0.0106296</v>
      </c>
      <c r="S165" s="221">
        <v>0</v>
      </c>
      <c r="T165" s="222">
        <f>S165*H165</f>
        <v>0</v>
      </c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R165" s="223" t="s">
        <v>179</v>
      </c>
      <c r="AT165" s="223" t="s">
        <v>475</v>
      </c>
      <c r="AU165" s="223" t="s">
        <v>83</v>
      </c>
      <c r="AY165" s="17" t="s">
        <v>142</v>
      </c>
      <c r="BE165" s="224">
        <f>IF(N165="základní",J165,0)</f>
        <v>1161.8399999999999</v>
      </c>
      <c r="BF165" s="224">
        <f>IF(N165="snížená",J165,0)</f>
        <v>0</v>
      </c>
      <c r="BG165" s="224">
        <f>IF(N165="zákl. přenesená",J165,0)</f>
        <v>0</v>
      </c>
      <c r="BH165" s="224">
        <f>IF(N165="sníž. přenesená",J165,0)</f>
        <v>0</v>
      </c>
      <c r="BI165" s="224">
        <f>IF(N165="nulová",J165,0)</f>
        <v>0</v>
      </c>
      <c r="BJ165" s="17" t="s">
        <v>19</v>
      </c>
      <c r="BK165" s="224">
        <f>ROUND(I165*H165,2)</f>
        <v>1161.8399999999999</v>
      </c>
      <c r="BL165" s="17" t="s">
        <v>147</v>
      </c>
      <c r="BM165" s="223" t="s">
        <v>1083</v>
      </c>
    </row>
    <row r="166" s="13" customFormat="1">
      <c r="A166" s="13"/>
      <c r="B166" s="225"/>
      <c r="C166" s="226"/>
      <c r="D166" s="227" t="s">
        <v>149</v>
      </c>
      <c r="E166" s="226"/>
      <c r="F166" s="229" t="s">
        <v>1084</v>
      </c>
      <c r="G166" s="226"/>
      <c r="H166" s="230">
        <v>6.1799999999999997</v>
      </c>
      <c r="I166" s="226"/>
      <c r="J166" s="226"/>
      <c r="K166" s="226"/>
      <c r="L166" s="231"/>
      <c r="M166" s="232"/>
      <c r="N166" s="233"/>
      <c r="O166" s="233"/>
      <c r="P166" s="233"/>
      <c r="Q166" s="233"/>
      <c r="R166" s="233"/>
      <c r="S166" s="233"/>
      <c r="T166" s="23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35" t="s">
        <v>149</v>
      </c>
      <c r="AU166" s="235" t="s">
        <v>83</v>
      </c>
      <c r="AV166" s="13" t="s">
        <v>83</v>
      </c>
      <c r="AW166" s="13" t="s">
        <v>4</v>
      </c>
      <c r="AX166" s="13" t="s">
        <v>19</v>
      </c>
      <c r="AY166" s="235" t="s">
        <v>142</v>
      </c>
    </row>
    <row r="167" s="2" customFormat="1" ht="24.15" customHeight="1">
      <c r="A167" s="32"/>
      <c r="B167" s="33"/>
      <c r="C167" s="212" t="s">
        <v>205</v>
      </c>
      <c r="D167" s="212" t="s">
        <v>144</v>
      </c>
      <c r="E167" s="213" t="s">
        <v>1085</v>
      </c>
      <c r="F167" s="214" t="s">
        <v>1086</v>
      </c>
      <c r="G167" s="215" t="s">
        <v>326</v>
      </c>
      <c r="H167" s="216">
        <v>21.5</v>
      </c>
      <c r="I167" s="217">
        <v>178</v>
      </c>
      <c r="J167" s="217">
        <f>ROUND(I167*H167,2)</f>
        <v>3827</v>
      </c>
      <c r="K167" s="218"/>
      <c r="L167" s="38"/>
      <c r="M167" s="219" t="s">
        <v>1</v>
      </c>
      <c r="N167" s="220" t="s">
        <v>39</v>
      </c>
      <c r="O167" s="221">
        <v>0.28399999999999997</v>
      </c>
      <c r="P167" s="221">
        <f>O167*H167</f>
        <v>6.1059999999999999</v>
      </c>
      <c r="Q167" s="221">
        <v>1.0000000000000001E-05</v>
      </c>
      <c r="R167" s="221">
        <f>Q167*H167</f>
        <v>0.00021500000000000002</v>
      </c>
      <c r="S167" s="221">
        <v>0</v>
      </c>
      <c r="T167" s="222">
        <f>S167*H167</f>
        <v>0</v>
      </c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R167" s="223" t="s">
        <v>147</v>
      </c>
      <c r="AT167" s="223" t="s">
        <v>144</v>
      </c>
      <c r="AU167" s="223" t="s">
        <v>83</v>
      </c>
      <c r="AY167" s="17" t="s">
        <v>142</v>
      </c>
      <c r="BE167" s="224">
        <f>IF(N167="základní",J167,0)</f>
        <v>3827</v>
      </c>
      <c r="BF167" s="224">
        <f>IF(N167="snížená",J167,0)</f>
        <v>0</v>
      </c>
      <c r="BG167" s="224">
        <f>IF(N167="zákl. přenesená",J167,0)</f>
        <v>0</v>
      </c>
      <c r="BH167" s="224">
        <f>IF(N167="sníž. přenesená",J167,0)</f>
        <v>0</v>
      </c>
      <c r="BI167" s="224">
        <f>IF(N167="nulová",J167,0)</f>
        <v>0</v>
      </c>
      <c r="BJ167" s="17" t="s">
        <v>19</v>
      </c>
      <c r="BK167" s="224">
        <f>ROUND(I167*H167,2)</f>
        <v>3827</v>
      </c>
      <c r="BL167" s="17" t="s">
        <v>147</v>
      </c>
      <c r="BM167" s="223" t="s">
        <v>1087</v>
      </c>
    </row>
    <row r="168" s="13" customFormat="1">
      <c r="A168" s="13"/>
      <c r="B168" s="225"/>
      <c r="C168" s="226"/>
      <c r="D168" s="227" t="s">
        <v>149</v>
      </c>
      <c r="E168" s="228" t="s">
        <v>1</v>
      </c>
      <c r="F168" s="229" t="s">
        <v>1088</v>
      </c>
      <c r="G168" s="226"/>
      <c r="H168" s="230">
        <v>21.5</v>
      </c>
      <c r="I168" s="226"/>
      <c r="J168" s="226"/>
      <c r="K168" s="226"/>
      <c r="L168" s="231"/>
      <c r="M168" s="232"/>
      <c r="N168" s="233"/>
      <c r="O168" s="233"/>
      <c r="P168" s="233"/>
      <c r="Q168" s="233"/>
      <c r="R168" s="233"/>
      <c r="S168" s="233"/>
      <c r="T168" s="23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35" t="s">
        <v>149</v>
      </c>
      <c r="AU168" s="235" t="s">
        <v>83</v>
      </c>
      <c r="AV168" s="13" t="s">
        <v>83</v>
      </c>
      <c r="AW168" s="13" t="s">
        <v>32</v>
      </c>
      <c r="AX168" s="13" t="s">
        <v>19</v>
      </c>
      <c r="AY168" s="235" t="s">
        <v>142</v>
      </c>
    </row>
    <row r="169" s="2" customFormat="1" ht="21.75" customHeight="1">
      <c r="A169" s="32"/>
      <c r="B169" s="33"/>
      <c r="C169" s="258" t="s">
        <v>211</v>
      </c>
      <c r="D169" s="258" t="s">
        <v>475</v>
      </c>
      <c r="E169" s="259" t="s">
        <v>1089</v>
      </c>
      <c r="F169" s="260" t="s">
        <v>1090</v>
      </c>
      <c r="G169" s="261" t="s">
        <v>284</v>
      </c>
      <c r="H169" s="262">
        <v>21.5</v>
      </c>
      <c r="I169" s="263">
        <v>323.69999999999999</v>
      </c>
      <c r="J169" s="263">
        <f>ROUND(I169*H169,2)</f>
        <v>6959.5500000000002</v>
      </c>
      <c r="K169" s="264"/>
      <c r="L169" s="265"/>
      <c r="M169" s="266" t="s">
        <v>1</v>
      </c>
      <c r="N169" s="267" t="s">
        <v>39</v>
      </c>
      <c r="O169" s="221">
        <v>0</v>
      </c>
      <c r="P169" s="221">
        <f>O169*H169</f>
        <v>0</v>
      </c>
      <c r="Q169" s="221">
        <v>0.0016000000000000001</v>
      </c>
      <c r="R169" s="221">
        <f>Q169*H169</f>
        <v>0.0344</v>
      </c>
      <c r="S169" s="221">
        <v>0</v>
      </c>
      <c r="T169" s="222">
        <f>S169*H169</f>
        <v>0</v>
      </c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R169" s="223" t="s">
        <v>179</v>
      </c>
      <c r="AT169" s="223" t="s">
        <v>475</v>
      </c>
      <c r="AU169" s="223" t="s">
        <v>83</v>
      </c>
      <c r="AY169" s="17" t="s">
        <v>142</v>
      </c>
      <c r="BE169" s="224">
        <f>IF(N169="základní",J169,0)</f>
        <v>6959.5500000000002</v>
      </c>
      <c r="BF169" s="224">
        <f>IF(N169="snížená",J169,0)</f>
        <v>0</v>
      </c>
      <c r="BG169" s="224">
        <f>IF(N169="zákl. přenesená",J169,0)</f>
        <v>0</v>
      </c>
      <c r="BH169" s="224">
        <f>IF(N169="sníž. přenesená",J169,0)</f>
        <v>0</v>
      </c>
      <c r="BI169" s="224">
        <f>IF(N169="nulová",J169,0)</f>
        <v>0</v>
      </c>
      <c r="BJ169" s="17" t="s">
        <v>19</v>
      </c>
      <c r="BK169" s="224">
        <f>ROUND(I169*H169,2)</f>
        <v>6959.5500000000002</v>
      </c>
      <c r="BL169" s="17" t="s">
        <v>147</v>
      </c>
      <c r="BM169" s="223" t="s">
        <v>1091</v>
      </c>
    </row>
    <row r="170" s="13" customFormat="1">
      <c r="A170" s="13"/>
      <c r="B170" s="225"/>
      <c r="C170" s="226"/>
      <c r="D170" s="227" t="s">
        <v>149</v>
      </c>
      <c r="E170" s="228" t="s">
        <v>1</v>
      </c>
      <c r="F170" s="229" t="s">
        <v>1088</v>
      </c>
      <c r="G170" s="226"/>
      <c r="H170" s="230">
        <v>21.5</v>
      </c>
      <c r="I170" s="226"/>
      <c r="J170" s="226"/>
      <c r="K170" s="226"/>
      <c r="L170" s="231"/>
      <c r="M170" s="232"/>
      <c r="N170" s="233"/>
      <c r="O170" s="233"/>
      <c r="P170" s="233"/>
      <c r="Q170" s="233"/>
      <c r="R170" s="233"/>
      <c r="S170" s="233"/>
      <c r="T170" s="23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35" t="s">
        <v>149</v>
      </c>
      <c r="AU170" s="235" t="s">
        <v>83</v>
      </c>
      <c r="AV170" s="13" t="s">
        <v>83</v>
      </c>
      <c r="AW170" s="13" t="s">
        <v>32</v>
      </c>
      <c r="AX170" s="13" t="s">
        <v>19</v>
      </c>
      <c r="AY170" s="235" t="s">
        <v>142</v>
      </c>
    </row>
    <row r="171" s="2" customFormat="1" ht="16.5" customHeight="1">
      <c r="A171" s="32"/>
      <c r="B171" s="33"/>
      <c r="C171" s="212" t="s">
        <v>216</v>
      </c>
      <c r="D171" s="212" t="s">
        <v>144</v>
      </c>
      <c r="E171" s="213" t="s">
        <v>1092</v>
      </c>
      <c r="F171" s="214" t="s">
        <v>1093</v>
      </c>
      <c r="G171" s="215" t="s">
        <v>284</v>
      </c>
      <c r="H171" s="216">
        <v>1</v>
      </c>
      <c r="I171" s="217">
        <v>1870</v>
      </c>
      <c r="J171" s="217">
        <f>ROUND(I171*H171,2)</f>
        <v>1870</v>
      </c>
      <c r="K171" s="218"/>
      <c r="L171" s="38"/>
      <c r="M171" s="219" t="s">
        <v>1</v>
      </c>
      <c r="N171" s="220" t="s">
        <v>39</v>
      </c>
      <c r="O171" s="221">
        <v>0.48999999999999999</v>
      </c>
      <c r="P171" s="221">
        <f>O171*H171</f>
        <v>0.48999999999999999</v>
      </c>
      <c r="Q171" s="221">
        <v>0.0026129999999999999</v>
      </c>
      <c r="R171" s="221">
        <f>Q171*H171</f>
        <v>0.0026129999999999999</v>
      </c>
      <c r="S171" s="221">
        <v>0</v>
      </c>
      <c r="T171" s="222">
        <f>S171*H171</f>
        <v>0</v>
      </c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R171" s="223" t="s">
        <v>147</v>
      </c>
      <c r="AT171" s="223" t="s">
        <v>144</v>
      </c>
      <c r="AU171" s="223" t="s">
        <v>83</v>
      </c>
      <c r="AY171" s="17" t="s">
        <v>142</v>
      </c>
      <c r="BE171" s="224">
        <f>IF(N171="základní",J171,0)</f>
        <v>1870</v>
      </c>
      <c r="BF171" s="224">
        <f>IF(N171="snížená",J171,0)</f>
        <v>0</v>
      </c>
      <c r="BG171" s="224">
        <f>IF(N171="zákl. přenesená",J171,0)</f>
        <v>0</v>
      </c>
      <c r="BH171" s="224">
        <f>IF(N171="sníž. přenesená",J171,0)</f>
        <v>0</v>
      </c>
      <c r="BI171" s="224">
        <f>IF(N171="nulová",J171,0)</f>
        <v>0</v>
      </c>
      <c r="BJ171" s="17" t="s">
        <v>19</v>
      </c>
      <c r="BK171" s="224">
        <f>ROUND(I171*H171,2)</f>
        <v>1870</v>
      </c>
      <c r="BL171" s="17" t="s">
        <v>147</v>
      </c>
      <c r="BM171" s="223" t="s">
        <v>1094</v>
      </c>
    </row>
    <row r="172" s="2" customFormat="1" ht="16.5" customHeight="1">
      <c r="A172" s="32"/>
      <c r="B172" s="33"/>
      <c r="C172" s="212" t="s">
        <v>222</v>
      </c>
      <c r="D172" s="212" t="s">
        <v>144</v>
      </c>
      <c r="E172" s="213" t="s">
        <v>1095</v>
      </c>
      <c r="F172" s="214" t="s">
        <v>1096</v>
      </c>
      <c r="G172" s="215" t="s">
        <v>284</v>
      </c>
      <c r="H172" s="216">
        <v>1</v>
      </c>
      <c r="I172" s="217">
        <v>571</v>
      </c>
      <c r="J172" s="217">
        <f>ROUND(I172*H172,2)</f>
        <v>571</v>
      </c>
      <c r="K172" s="218"/>
      <c r="L172" s="38"/>
      <c r="M172" s="219" t="s">
        <v>1</v>
      </c>
      <c r="N172" s="220" t="s">
        <v>39</v>
      </c>
      <c r="O172" s="221">
        <v>0.54200000000000004</v>
      </c>
      <c r="P172" s="221">
        <f>O172*H172</f>
        <v>0.54200000000000004</v>
      </c>
      <c r="Q172" s="221">
        <v>0.00069999999999999999</v>
      </c>
      <c r="R172" s="221">
        <f>Q172*H172</f>
        <v>0.00069999999999999999</v>
      </c>
      <c r="S172" s="221">
        <v>0</v>
      </c>
      <c r="T172" s="222">
        <f>S172*H172</f>
        <v>0</v>
      </c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R172" s="223" t="s">
        <v>147</v>
      </c>
      <c r="AT172" s="223" t="s">
        <v>144</v>
      </c>
      <c r="AU172" s="223" t="s">
        <v>83</v>
      </c>
      <c r="AY172" s="17" t="s">
        <v>142</v>
      </c>
      <c r="BE172" s="224">
        <f>IF(N172="základní",J172,0)</f>
        <v>571</v>
      </c>
      <c r="BF172" s="224">
        <f>IF(N172="snížená",J172,0)</f>
        <v>0</v>
      </c>
      <c r="BG172" s="224">
        <f>IF(N172="zákl. přenesená",J172,0)</f>
        <v>0</v>
      </c>
      <c r="BH172" s="224">
        <f>IF(N172="sníž. přenesená",J172,0)</f>
        <v>0</v>
      </c>
      <c r="BI172" s="224">
        <f>IF(N172="nulová",J172,0)</f>
        <v>0</v>
      </c>
      <c r="BJ172" s="17" t="s">
        <v>19</v>
      </c>
      <c r="BK172" s="224">
        <f>ROUND(I172*H172,2)</f>
        <v>571</v>
      </c>
      <c r="BL172" s="17" t="s">
        <v>147</v>
      </c>
      <c r="BM172" s="223" t="s">
        <v>1097</v>
      </c>
    </row>
    <row r="173" s="2" customFormat="1" ht="21.75" customHeight="1">
      <c r="A173" s="32"/>
      <c r="B173" s="33"/>
      <c r="C173" s="258" t="s">
        <v>227</v>
      </c>
      <c r="D173" s="258" t="s">
        <v>475</v>
      </c>
      <c r="E173" s="259" t="s">
        <v>1098</v>
      </c>
      <c r="F173" s="260" t="s">
        <v>1099</v>
      </c>
      <c r="G173" s="261" t="s">
        <v>284</v>
      </c>
      <c r="H173" s="262">
        <v>1</v>
      </c>
      <c r="I173" s="263">
        <v>7570</v>
      </c>
      <c r="J173" s="263">
        <f>ROUND(I173*H173,2)</f>
        <v>7570</v>
      </c>
      <c r="K173" s="264"/>
      <c r="L173" s="265"/>
      <c r="M173" s="266" t="s">
        <v>1</v>
      </c>
      <c r="N173" s="267" t="s">
        <v>39</v>
      </c>
      <c r="O173" s="221">
        <v>0</v>
      </c>
      <c r="P173" s="221">
        <f>O173*H173</f>
        <v>0</v>
      </c>
      <c r="Q173" s="221">
        <v>0.0035000000000000001</v>
      </c>
      <c r="R173" s="221">
        <f>Q173*H173</f>
        <v>0.0035000000000000001</v>
      </c>
      <c r="S173" s="221">
        <v>0</v>
      </c>
      <c r="T173" s="222">
        <f>S173*H173</f>
        <v>0</v>
      </c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R173" s="223" t="s">
        <v>179</v>
      </c>
      <c r="AT173" s="223" t="s">
        <v>475</v>
      </c>
      <c r="AU173" s="223" t="s">
        <v>83</v>
      </c>
      <c r="AY173" s="17" t="s">
        <v>142</v>
      </c>
      <c r="BE173" s="224">
        <f>IF(N173="základní",J173,0)</f>
        <v>7570</v>
      </c>
      <c r="BF173" s="224">
        <f>IF(N173="snížená",J173,0)</f>
        <v>0</v>
      </c>
      <c r="BG173" s="224">
        <f>IF(N173="zákl. přenesená",J173,0)</f>
        <v>0</v>
      </c>
      <c r="BH173" s="224">
        <f>IF(N173="sníž. přenesená",J173,0)</f>
        <v>0</v>
      </c>
      <c r="BI173" s="224">
        <f>IF(N173="nulová",J173,0)</f>
        <v>0</v>
      </c>
      <c r="BJ173" s="17" t="s">
        <v>19</v>
      </c>
      <c r="BK173" s="224">
        <f>ROUND(I173*H173,2)</f>
        <v>7570</v>
      </c>
      <c r="BL173" s="17" t="s">
        <v>147</v>
      </c>
      <c r="BM173" s="223" t="s">
        <v>1100</v>
      </c>
    </row>
    <row r="174" s="2" customFormat="1" ht="24.15" customHeight="1">
      <c r="A174" s="32"/>
      <c r="B174" s="33"/>
      <c r="C174" s="212" t="s">
        <v>233</v>
      </c>
      <c r="D174" s="212" t="s">
        <v>144</v>
      </c>
      <c r="E174" s="213" t="s">
        <v>1101</v>
      </c>
      <c r="F174" s="214" t="s">
        <v>1102</v>
      </c>
      <c r="G174" s="215" t="s">
        <v>326</v>
      </c>
      <c r="H174" s="216">
        <v>75</v>
      </c>
      <c r="I174" s="217">
        <v>32.799999999999997</v>
      </c>
      <c r="J174" s="217">
        <f>ROUND(I174*H174,2)</f>
        <v>2460</v>
      </c>
      <c r="K174" s="218"/>
      <c r="L174" s="38"/>
      <c r="M174" s="219" t="s">
        <v>1</v>
      </c>
      <c r="N174" s="220" t="s">
        <v>39</v>
      </c>
      <c r="O174" s="221">
        <v>0.062</v>
      </c>
      <c r="P174" s="221">
        <f>O174*H174</f>
        <v>4.6500000000000004</v>
      </c>
      <c r="Q174" s="221">
        <v>0</v>
      </c>
      <c r="R174" s="221">
        <f>Q174*H174</f>
        <v>0</v>
      </c>
      <c r="S174" s="221">
        <v>0</v>
      </c>
      <c r="T174" s="222">
        <f>S174*H174</f>
        <v>0</v>
      </c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R174" s="223" t="s">
        <v>147</v>
      </c>
      <c r="AT174" s="223" t="s">
        <v>144</v>
      </c>
      <c r="AU174" s="223" t="s">
        <v>83</v>
      </c>
      <c r="AY174" s="17" t="s">
        <v>142</v>
      </c>
      <c r="BE174" s="224">
        <f>IF(N174="základní",J174,0)</f>
        <v>2460</v>
      </c>
      <c r="BF174" s="224">
        <f>IF(N174="snížená",J174,0)</f>
        <v>0</v>
      </c>
      <c r="BG174" s="224">
        <f>IF(N174="zákl. přenesená",J174,0)</f>
        <v>0</v>
      </c>
      <c r="BH174" s="224">
        <f>IF(N174="sníž. přenesená",J174,0)</f>
        <v>0</v>
      </c>
      <c r="BI174" s="224">
        <f>IF(N174="nulová",J174,0)</f>
        <v>0</v>
      </c>
      <c r="BJ174" s="17" t="s">
        <v>19</v>
      </c>
      <c r="BK174" s="224">
        <f>ROUND(I174*H174,2)</f>
        <v>2460</v>
      </c>
      <c r="BL174" s="17" t="s">
        <v>147</v>
      </c>
      <c r="BM174" s="223" t="s">
        <v>1103</v>
      </c>
    </row>
    <row r="175" s="13" customFormat="1">
      <c r="A175" s="13"/>
      <c r="B175" s="225"/>
      <c r="C175" s="226"/>
      <c r="D175" s="227" t="s">
        <v>149</v>
      </c>
      <c r="E175" s="228" t="s">
        <v>1</v>
      </c>
      <c r="F175" s="229" t="s">
        <v>1104</v>
      </c>
      <c r="G175" s="226"/>
      <c r="H175" s="230">
        <v>75</v>
      </c>
      <c r="I175" s="226"/>
      <c r="J175" s="226"/>
      <c r="K175" s="226"/>
      <c r="L175" s="231"/>
      <c r="M175" s="232"/>
      <c r="N175" s="233"/>
      <c r="O175" s="233"/>
      <c r="P175" s="233"/>
      <c r="Q175" s="233"/>
      <c r="R175" s="233"/>
      <c r="S175" s="233"/>
      <c r="T175" s="23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35" t="s">
        <v>149</v>
      </c>
      <c r="AU175" s="235" t="s">
        <v>83</v>
      </c>
      <c r="AV175" s="13" t="s">
        <v>83</v>
      </c>
      <c r="AW175" s="13" t="s">
        <v>32</v>
      </c>
      <c r="AX175" s="13" t="s">
        <v>19</v>
      </c>
      <c r="AY175" s="235" t="s">
        <v>142</v>
      </c>
    </row>
    <row r="176" s="2" customFormat="1" ht="21.75" customHeight="1">
      <c r="A176" s="32"/>
      <c r="B176" s="33"/>
      <c r="C176" s="212" t="s">
        <v>238</v>
      </c>
      <c r="D176" s="212" t="s">
        <v>144</v>
      </c>
      <c r="E176" s="213" t="s">
        <v>1105</v>
      </c>
      <c r="F176" s="214" t="s">
        <v>1106</v>
      </c>
      <c r="G176" s="215" t="s">
        <v>326</v>
      </c>
      <c r="H176" s="216">
        <v>35</v>
      </c>
      <c r="I176" s="217">
        <v>23.199999999999999</v>
      </c>
      <c r="J176" s="217">
        <f>ROUND(I176*H176,2)</f>
        <v>812</v>
      </c>
      <c r="K176" s="218"/>
      <c r="L176" s="38"/>
      <c r="M176" s="219" t="s">
        <v>1</v>
      </c>
      <c r="N176" s="220" t="s">
        <v>39</v>
      </c>
      <c r="O176" s="221">
        <v>0.043999999999999997</v>
      </c>
      <c r="P176" s="221">
        <f>O176*H176</f>
        <v>1.5399999999999998</v>
      </c>
      <c r="Q176" s="221">
        <v>0</v>
      </c>
      <c r="R176" s="221">
        <f>Q176*H176</f>
        <v>0</v>
      </c>
      <c r="S176" s="221">
        <v>0</v>
      </c>
      <c r="T176" s="222">
        <f>S176*H176</f>
        <v>0</v>
      </c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R176" s="223" t="s">
        <v>147</v>
      </c>
      <c r="AT176" s="223" t="s">
        <v>144</v>
      </c>
      <c r="AU176" s="223" t="s">
        <v>83</v>
      </c>
      <c r="AY176" s="17" t="s">
        <v>142</v>
      </c>
      <c r="BE176" s="224">
        <f>IF(N176="základní",J176,0)</f>
        <v>812</v>
      </c>
      <c r="BF176" s="224">
        <f>IF(N176="snížená",J176,0)</f>
        <v>0</v>
      </c>
      <c r="BG176" s="224">
        <f>IF(N176="zákl. přenesená",J176,0)</f>
        <v>0</v>
      </c>
      <c r="BH176" s="224">
        <f>IF(N176="sníž. přenesená",J176,0)</f>
        <v>0</v>
      </c>
      <c r="BI176" s="224">
        <f>IF(N176="nulová",J176,0)</f>
        <v>0</v>
      </c>
      <c r="BJ176" s="17" t="s">
        <v>19</v>
      </c>
      <c r="BK176" s="224">
        <f>ROUND(I176*H176,2)</f>
        <v>812</v>
      </c>
      <c r="BL176" s="17" t="s">
        <v>147</v>
      </c>
      <c r="BM176" s="223" t="s">
        <v>1107</v>
      </c>
    </row>
    <row r="177" s="2" customFormat="1" ht="33" customHeight="1">
      <c r="A177" s="32"/>
      <c r="B177" s="33"/>
      <c r="C177" s="212" t="s">
        <v>243</v>
      </c>
      <c r="D177" s="212" t="s">
        <v>144</v>
      </c>
      <c r="E177" s="213" t="s">
        <v>1108</v>
      </c>
      <c r="F177" s="214" t="s">
        <v>1109</v>
      </c>
      <c r="G177" s="215" t="s">
        <v>284</v>
      </c>
      <c r="H177" s="216">
        <v>1</v>
      </c>
      <c r="I177" s="217">
        <v>1350</v>
      </c>
      <c r="J177" s="217">
        <f>ROUND(I177*H177,2)</f>
        <v>1350</v>
      </c>
      <c r="K177" s="218"/>
      <c r="L177" s="38"/>
      <c r="M177" s="219" t="s">
        <v>1</v>
      </c>
      <c r="N177" s="220" t="s">
        <v>39</v>
      </c>
      <c r="O177" s="221">
        <v>1.5</v>
      </c>
      <c r="P177" s="221">
        <f>O177*H177</f>
        <v>1.5</v>
      </c>
      <c r="Q177" s="221">
        <v>0.43786000000000003</v>
      </c>
      <c r="R177" s="221">
        <f>Q177*H177</f>
        <v>0.43786000000000003</v>
      </c>
      <c r="S177" s="221">
        <v>0</v>
      </c>
      <c r="T177" s="222">
        <f>S177*H177</f>
        <v>0</v>
      </c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R177" s="223" t="s">
        <v>147</v>
      </c>
      <c r="AT177" s="223" t="s">
        <v>144</v>
      </c>
      <c r="AU177" s="223" t="s">
        <v>83</v>
      </c>
      <c r="AY177" s="17" t="s">
        <v>142</v>
      </c>
      <c r="BE177" s="224">
        <f>IF(N177="základní",J177,0)</f>
        <v>1350</v>
      </c>
      <c r="BF177" s="224">
        <f>IF(N177="snížená",J177,0)</f>
        <v>0</v>
      </c>
      <c r="BG177" s="224">
        <f>IF(N177="zákl. přenesená",J177,0)</f>
        <v>0</v>
      </c>
      <c r="BH177" s="224">
        <f>IF(N177="sníž. přenesená",J177,0)</f>
        <v>0</v>
      </c>
      <c r="BI177" s="224">
        <f>IF(N177="nulová",J177,0)</f>
        <v>0</v>
      </c>
      <c r="BJ177" s="17" t="s">
        <v>19</v>
      </c>
      <c r="BK177" s="224">
        <f>ROUND(I177*H177,2)</f>
        <v>1350</v>
      </c>
      <c r="BL177" s="17" t="s">
        <v>147</v>
      </c>
      <c r="BM177" s="223" t="s">
        <v>1110</v>
      </c>
    </row>
    <row r="178" s="2" customFormat="1" ht="24.15" customHeight="1">
      <c r="A178" s="32"/>
      <c r="B178" s="33"/>
      <c r="C178" s="258" t="s">
        <v>7</v>
      </c>
      <c r="D178" s="258" t="s">
        <v>475</v>
      </c>
      <c r="E178" s="259" t="s">
        <v>1111</v>
      </c>
      <c r="F178" s="260" t="s">
        <v>1112</v>
      </c>
      <c r="G178" s="261" t="s">
        <v>284</v>
      </c>
      <c r="H178" s="262">
        <v>1</v>
      </c>
      <c r="I178" s="263">
        <v>13800</v>
      </c>
      <c r="J178" s="263">
        <f>ROUND(I178*H178,2)</f>
        <v>13800</v>
      </c>
      <c r="K178" s="264"/>
      <c r="L178" s="265"/>
      <c r="M178" s="266" t="s">
        <v>1</v>
      </c>
      <c r="N178" s="267" t="s">
        <v>39</v>
      </c>
      <c r="O178" s="221">
        <v>0</v>
      </c>
      <c r="P178" s="221">
        <f>O178*H178</f>
        <v>0</v>
      </c>
      <c r="Q178" s="221">
        <v>0.086999999999999994</v>
      </c>
      <c r="R178" s="221">
        <f>Q178*H178</f>
        <v>0.086999999999999994</v>
      </c>
      <c r="S178" s="221">
        <v>0</v>
      </c>
      <c r="T178" s="222">
        <f>S178*H178</f>
        <v>0</v>
      </c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R178" s="223" t="s">
        <v>179</v>
      </c>
      <c r="AT178" s="223" t="s">
        <v>475</v>
      </c>
      <c r="AU178" s="223" t="s">
        <v>83</v>
      </c>
      <c r="AY178" s="17" t="s">
        <v>142</v>
      </c>
      <c r="BE178" s="224">
        <f>IF(N178="základní",J178,0)</f>
        <v>13800</v>
      </c>
      <c r="BF178" s="224">
        <f>IF(N178="snížená",J178,0)</f>
        <v>0</v>
      </c>
      <c r="BG178" s="224">
        <f>IF(N178="zákl. přenesená",J178,0)</f>
        <v>0</v>
      </c>
      <c r="BH178" s="224">
        <f>IF(N178="sníž. přenesená",J178,0)</f>
        <v>0</v>
      </c>
      <c r="BI178" s="224">
        <f>IF(N178="nulová",J178,0)</f>
        <v>0</v>
      </c>
      <c r="BJ178" s="17" t="s">
        <v>19</v>
      </c>
      <c r="BK178" s="224">
        <f>ROUND(I178*H178,2)</f>
        <v>13800</v>
      </c>
      <c r="BL178" s="17" t="s">
        <v>147</v>
      </c>
      <c r="BM178" s="223" t="s">
        <v>1113</v>
      </c>
    </row>
    <row r="179" s="2" customFormat="1" ht="24.15" customHeight="1">
      <c r="A179" s="32"/>
      <c r="B179" s="33"/>
      <c r="C179" s="212" t="s">
        <v>252</v>
      </c>
      <c r="D179" s="212" t="s">
        <v>144</v>
      </c>
      <c r="E179" s="213" t="s">
        <v>1114</v>
      </c>
      <c r="F179" s="214" t="s">
        <v>1115</v>
      </c>
      <c r="G179" s="215" t="s">
        <v>284</v>
      </c>
      <c r="H179" s="216">
        <v>2</v>
      </c>
      <c r="I179" s="217">
        <v>8090</v>
      </c>
      <c r="J179" s="217">
        <f>ROUND(I179*H179,2)</f>
        <v>16180</v>
      </c>
      <c r="K179" s="218"/>
      <c r="L179" s="38"/>
      <c r="M179" s="219" t="s">
        <v>1</v>
      </c>
      <c r="N179" s="220" t="s">
        <v>39</v>
      </c>
      <c r="O179" s="221">
        <v>2.8479999999999999</v>
      </c>
      <c r="P179" s="221">
        <f>O179*H179</f>
        <v>5.6959999999999997</v>
      </c>
      <c r="Q179" s="221">
        <v>0.030120000000000001</v>
      </c>
      <c r="R179" s="221">
        <f>Q179*H179</f>
        <v>0.060240000000000002</v>
      </c>
      <c r="S179" s="221">
        <v>0</v>
      </c>
      <c r="T179" s="222">
        <f>S179*H179</f>
        <v>0</v>
      </c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R179" s="223" t="s">
        <v>147</v>
      </c>
      <c r="AT179" s="223" t="s">
        <v>144</v>
      </c>
      <c r="AU179" s="223" t="s">
        <v>83</v>
      </c>
      <c r="AY179" s="17" t="s">
        <v>142</v>
      </c>
      <c r="BE179" s="224">
        <f>IF(N179="základní",J179,0)</f>
        <v>16180</v>
      </c>
      <c r="BF179" s="224">
        <f>IF(N179="snížená",J179,0)</f>
        <v>0</v>
      </c>
      <c r="BG179" s="224">
        <f>IF(N179="zákl. přenesená",J179,0)</f>
        <v>0</v>
      </c>
      <c r="BH179" s="224">
        <f>IF(N179="sníž. přenesená",J179,0)</f>
        <v>0</v>
      </c>
      <c r="BI179" s="224">
        <f>IF(N179="nulová",J179,0)</f>
        <v>0</v>
      </c>
      <c r="BJ179" s="17" t="s">
        <v>19</v>
      </c>
      <c r="BK179" s="224">
        <f>ROUND(I179*H179,2)</f>
        <v>16180</v>
      </c>
      <c r="BL179" s="17" t="s">
        <v>147</v>
      </c>
      <c r="BM179" s="223" t="s">
        <v>1116</v>
      </c>
    </row>
    <row r="180" s="2" customFormat="1" ht="33" customHeight="1">
      <c r="A180" s="32"/>
      <c r="B180" s="33"/>
      <c r="C180" s="258" t="s">
        <v>256</v>
      </c>
      <c r="D180" s="258" t="s">
        <v>475</v>
      </c>
      <c r="E180" s="259" t="s">
        <v>1117</v>
      </c>
      <c r="F180" s="260" t="s">
        <v>1118</v>
      </c>
      <c r="G180" s="261" t="s">
        <v>284</v>
      </c>
      <c r="H180" s="262">
        <v>1</v>
      </c>
      <c r="I180" s="263">
        <v>1660</v>
      </c>
      <c r="J180" s="263">
        <f>ROUND(I180*H180,2)</f>
        <v>1660</v>
      </c>
      <c r="K180" s="264"/>
      <c r="L180" s="265"/>
      <c r="M180" s="266" t="s">
        <v>1</v>
      </c>
      <c r="N180" s="267" t="s">
        <v>39</v>
      </c>
      <c r="O180" s="221">
        <v>0</v>
      </c>
      <c r="P180" s="221">
        <f>O180*H180</f>
        <v>0</v>
      </c>
      <c r="Q180" s="221">
        <v>0.0023900000000000002</v>
      </c>
      <c r="R180" s="221">
        <f>Q180*H180</f>
        <v>0.0023900000000000002</v>
      </c>
      <c r="S180" s="221">
        <v>0</v>
      </c>
      <c r="T180" s="222">
        <f>S180*H180</f>
        <v>0</v>
      </c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R180" s="223" t="s">
        <v>179</v>
      </c>
      <c r="AT180" s="223" t="s">
        <v>475</v>
      </c>
      <c r="AU180" s="223" t="s">
        <v>83</v>
      </c>
      <c r="AY180" s="17" t="s">
        <v>142</v>
      </c>
      <c r="BE180" s="224">
        <f>IF(N180="základní",J180,0)</f>
        <v>1660</v>
      </c>
      <c r="BF180" s="224">
        <f>IF(N180="snížená",J180,0)</f>
        <v>0</v>
      </c>
      <c r="BG180" s="224">
        <f>IF(N180="zákl. přenesená",J180,0)</f>
        <v>0</v>
      </c>
      <c r="BH180" s="224">
        <f>IF(N180="sníž. přenesená",J180,0)</f>
        <v>0</v>
      </c>
      <c r="BI180" s="224">
        <f>IF(N180="nulová",J180,0)</f>
        <v>0</v>
      </c>
      <c r="BJ180" s="17" t="s">
        <v>19</v>
      </c>
      <c r="BK180" s="224">
        <f>ROUND(I180*H180,2)</f>
        <v>1660</v>
      </c>
      <c r="BL180" s="17" t="s">
        <v>147</v>
      </c>
      <c r="BM180" s="223" t="s">
        <v>1119</v>
      </c>
    </row>
    <row r="181" s="12" customFormat="1" ht="25.92" customHeight="1">
      <c r="A181" s="12"/>
      <c r="B181" s="197"/>
      <c r="C181" s="198"/>
      <c r="D181" s="199" t="s">
        <v>73</v>
      </c>
      <c r="E181" s="200" t="s">
        <v>425</v>
      </c>
      <c r="F181" s="200" t="s">
        <v>426</v>
      </c>
      <c r="G181" s="198"/>
      <c r="H181" s="198"/>
      <c r="I181" s="198"/>
      <c r="J181" s="201">
        <f>BK181</f>
        <v>234667.64999999999</v>
      </c>
      <c r="K181" s="198"/>
      <c r="L181" s="202"/>
      <c r="M181" s="203"/>
      <c r="N181" s="204"/>
      <c r="O181" s="204"/>
      <c r="P181" s="205">
        <f>P182+P185+P187+P196+P211</f>
        <v>66.665999999999997</v>
      </c>
      <c r="Q181" s="204"/>
      <c r="R181" s="205">
        <f>R182+R185+R187+R196+R211</f>
        <v>0.44499</v>
      </c>
      <c r="S181" s="204"/>
      <c r="T181" s="206">
        <f>T182+T185+T187+T196+T211</f>
        <v>0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R181" s="207" t="s">
        <v>83</v>
      </c>
      <c r="AT181" s="208" t="s">
        <v>73</v>
      </c>
      <c r="AU181" s="208" t="s">
        <v>74</v>
      </c>
      <c r="AY181" s="207" t="s">
        <v>142</v>
      </c>
      <c r="BK181" s="209">
        <f>BK182+BK185+BK187+BK196+BK211</f>
        <v>234667.64999999999</v>
      </c>
    </row>
    <row r="182" s="12" customFormat="1" ht="22.8" customHeight="1">
      <c r="A182" s="12"/>
      <c r="B182" s="197"/>
      <c r="C182" s="198"/>
      <c r="D182" s="199" t="s">
        <v>73</v>
      </c>
      <c r="E182" s="210" t="s">
        <v>1120</v>
      </c>
      <c r="F182" s="210" t="s">
        <v>1121</v>
      </c>
      <c r="G182" s="198"/>
      <c r="H182" s="198"/>
      <c r="I182" s="198"/>
      <c r="J182" s="211">
        <f>BK182</f>
        <v>2332</v>
      </c>
      <c r="K182" s="198"/>
      <c r="L182" s="202"/>
      <c r="M182" s="203"/>
      <c r="N182" s="204"/>
      <c r="O182" s="204"/>
      <c r="P182" s="205">
        <f>SUM(P183:P184)</f>
        <v>0.85999999999999999</v>
      </c>
      <c r="Q182" s="204"/>
      <c r="R182" s="205">
        <f>SUM(R183:R184)</f>
        <v>0.0040800000000000003</v>
      </c>
      <c r="S182" s="204"/>
      <c r="T182" s="206">
        <f>SUM(T183:T184)</f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R182" s="207" t="s">
        <v>83</v>
      </c>
      <c r="AT182" s="208" t="s">
        <v>73</v>
      </c>
      <c r="AU182" s="208" t="s">
        <v>19</v>
      </c>
      <c r="AY182" s="207" t="s">
        <v>142</v>
      </c>
      <c r="BK182" s="209">
        <f>SUM(BK183:BK184)</f>
        <v>2332</v>
      </c>
    </row>
    <row r="183" s="2" customFormat="1" ht="37.8" customHeight="1">
      <c r="A183" s="32"/>
      <c r="B183" s="33"/>
      <c r="C183" s="212" t="s">
        <v>266</v>
      </c>
      <c r="D183" s="212" t="s">
        <v>144</v>
      </c>
      <c r="E183" s="213" t="s">
        <v>1122</v>
      </c>
      <c r="F183" s="214" t="s">
        <v>1123</v>
      </c>
      <c r="G183" s="215" t="s">
        <v>284</v>
      </c>
      <c r="H183" s="216">
        <v>1</v>
      </c>
      <c r="I183" s="217">
        <v>642</v>
      </c>
      <c r="J183" s="217">
        <f>ROUND(I183*H183,2)</f>
        <v>642</v>
      </c>
      <c r="K183" s="218"/>
      <c r="L183" s="38"/>
      <c r="M183" s="219" t="s">
        <v>1</v>
      </c>
      <c r="N183" s="220" t="s">
        <v>39</v>
      </c>
      <c r="O183" s="221">
        <v>0.85999999999999999</v>
      </c>
      <c r="P183" s="221">
        <f>O183*H183</f>
        <v>0.85999999999999999</v>
      </c>
      <c r="Q183" s="221">
        <v>0.00108</v>
      </c>
      <c r="R183" s="221">
        <f>Q183*H183</f>
        <v>0.00108</v>
      </c>
      <c r="S183" s="221">
        <v>0</v>
      </c>
      <c r="T183" s="222">
        <f>S183*H183</f>
        <v>0</v>
      </c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R183" s="223" t="s">
        <v>222</v>
      </c>
      <c r="AT183" s="223" t="s">
        <v>144</v>
      </c>
      <c r="AU183" s="223" t="s">
        <v>83</v>
      </c>
      <c r="AY183" s="17" t="s">
        <v>142</v>
      </c>
      <c r="BE183" s="224">
        <f>IF(N183="základní",J183,0)</f>
        <v>642</v>
      </c>
      <c r="BF183" s="224">
        <f>IF(N183="snížená",J183,0)</f>
        <v>0</v>
      </c>
      <c r="BG183" s="224">
        <f>IF(N183="zákl. přenesená",J183,0)</f>
        <v>0</v>
      </c>
      <c r="BH183" s="224">
        <f>IF(N183="sníž. přenesená",J183,0)</f>
        <v>0</v>
      </c>
      <c r="BI183" s="224">
        <f>IF(N183="nulová",J183,0)</f>
        <v>0</v>
      </c>
      <c r="BJ183" s="17" t="s">
        <v>19</v>
      </c>
      <c r="BK183" s="224">
        <f>ROUND(I183*H183,2)</f>
        <v>642</v>
      </c>
      <c r="BL183" s="17" t="s">
        <v>222</v>
      </c>
      <c r="BM183" s="223" t="s">
        <v>1124</v>
      </c>
    </row>
    <row r="184" s="2" customFormat="1" ht="24.15" customHeight="1">
      <c r="A184" s="32"/>
      <c r="B184" s="33"/>
      <c r="C184" s="258" t="s">
        <v>271</v>
      </c>
      <c r="D184" s="258" t="s">
        <v>475</v>
      </c>
      <c r="E184" s="259" t="s">
        <v>1125</v>
      </c>
      <c r="F184" s="260" t="s">
        <v>1126</v>
      </c>
      <c r="G184" s="261" t="s">
        <v>284</v>
      </c>
      <c r="H184" s="262">
        <v>1</v>
      </c>
      <c r="I184" s="263">
        <v>1690</v>
      </c>
      <c r="J184" s="263">
        <f>ROUND(I184*H184,2)</f>
        <v>1690</v>
      </c>
      <c r="K184" s="264"/>
      <c r="L184" s="265"/>
      <c r="M184" s="266" t="s">
        <v>1</v>
      </c>
      <c r="N184" s="267" t="s">
        <v>39</v>
      </c>
      <c r="O184" s="221">
        <v>0</v>
      </c>
      <c r="P184" s="221">
        <f>O184*H184</f>
        <v>0</v>
      </c>
      <c r="Q184" s="221">
        <v>0.0030000000000000001</v>
      </c>
      <c r="R184" s="221">
        <f>Q184*H184</f>
        <v>0.0030000000000000001</v>
      </c>
      <c r="S184" s="221">
        <v>0</v>
      </c>
      <c r="T184" s="222">
        <f>S184*H184</f>
        <v>0</v>
      </c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R184" s="223" t="s">
        <v>241</v>
      </c>
      <c r="AT184" s="223" t="s">
        <v>475</v>
      </c>
      <c r="AU184" s="223" t="s">
        <v>83</v>
      </c>
      <c r="AY184" s="17" t="s">
        <v>142</v>
      </c>
      <c r="BE184" s="224">
        <f>IF(N184="základní",J184,0)</f>
        <v>1690</v>
      </c>
      <c r="BF184" s="224">
        <f>IF(N184="snížená",J184,0)</f>
        <v>0</v>
      </c>
      <c r="BG184" s="224">
        <f>IF(N184="zákl. přenesená",J184,0)</f>
        <v>0</v>
      </c>
      <c r="BH184" s="224">
        <f>IF(N184="sníž. přenesená",J184,0)</f>
        <v>0</v>
      </c>
      <c r="BI184" s="224">
        <f>IF(N184="nulová",J184,0)</f>
        <v>0</v>
      </c>
      <c r="BJ184" s="17" t="s">
        <v>19</v>
      </c>
      <c r="BK184" s="224">
        <f>ROUND(I184*H184,2)</f>
        <v>1690</v>
      </c>
      <c r="BL184" s="17" t="s">
        <v>222</v>
      </c>
      <c r="BM184" s="223" t="s">
        <v>1127</v>
      </c>
    </row>
    <row r="185" s="12" customFormat="1" ht="22.8" customHeight="1">
      <c r="A185" s="12"/>
      <c r="B185" s="197"/>
      <c r="C185" s="198"/>
      <c r="D185" s="199" t="s">
        <v>73</v>
      </c>
      <c r="E185" s="210" t="s">
        <v>1128</v>
      </c>
      <c r="F185" s="210" t="s">
        <v>1129</v>
      </c>
      <c r="G185" s="198"/>
      <c r="H185" s="198"/>
      <c r="I185" s="198"/>
      <c r="J185" s="211">
        <f>BK185</f>
        <v>95550</v>
      </c>
      <c r="K185" s="198"/>
      <c r="L185" s="202"/>
      <c r="M185" s="203"/>
      <c r="N185" s="204"/>
      <c r="O185" s="204"/>
      <c r="P185" s="205">
        <f>P186</f>
        <v>11.060000000000001</v>
      </c>
      <c r="Q185" s="204"/>
      <c r="R185" s="205">
        <f>R186</f>
        <v>0.22785</v>
      </c>
      <c r="S185" s="204"/>
      <c r="T185" s="206">
        <f>T186</f>
        <v>0</v>
      </c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R185" s="207" t="s">
        <v>83</v>
      </c>
      <c r="AT185" s="208" t="s">
        <v>73</v>
      </c>
      <c r="AU185" s="208" t="s">
        <v>19</v>
      </c>
      <c r="AY185" s="207" t="s">
        <v>142</v>
      </c>
      <c r="BK185" s="209">
        <f>BK186</f>
        <v>95550</v>
      </c>
    </row>
    <row r="186" s="2" customFormat="1" ht="24.15" customHeight="1">
      <c r="A186" s="32"/>
      <c r="B186" s="33"/>
      <c r="C186" s="212" t="s">
        <v>276</v>
      </c>
      <c r="D186" s="212" t="s">
        <v>144</v>
      </c>
      <c r="E186" s="213" t="s">
        <v>1130</v>
      </c>
      <c r="F186" s="214" t="s">
        <v>1131</v>
      </c>
      <c r="G186" s="215" t="s">
        <v>326</v>
      </c>
      <c r="H186" s="216">
        <v>35</v>
      </c>
      <c r="I186" s="217">
        <v>2730</v>
      </c>
      <c r="J186" s="217">
        <f>ROUND(I186*H186,2)</f>
        <v>95550</v>
      </c>
      <c r="K186" s="218"/>
      <c r="L186" s="38"/>
      <c r="M186" s="219" t="s">
        <v>1</v>
      </c>
      <c r="N186" s="220" t="s">
        <v>39</v>
      </c>
      <c r="O186" s="221">
        <v>0.316</v>
      </c>
      <c r="P186" s="221">
        <f>O186*H186</f>
        <v>11.060000000000001</v>
      </c>
      <c r="Q186" s="221">
        <v>0.0065100000000000002</v>
      </c>
      <c r="R186" s="221">
        <f>Q186*H186</f>
        <v>0.22785</v>
      </c>
      <c r="S186" s="221">
        <v>0</v>
      </c>
      <c r="T186" s="222">
        <f>S186*H186</f>
        <v>0</v>
      </c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R186" s="223" t="s">
        <v>222</v>
      </c>
      <c r="AT186" s="223" t="s">
        <v>144</v>
      </c>
      <c r="AU186" s="223" t="s">
        <v>83</v>
      </c>
      <c r="AY186" s="17" t="s">
        <v>142</v>
      </c>
      <c r="BE186" s="224">
        <f>IF(N186="základní",J186,0)</f>
        <v>95550</v>
      </c>
      <c r="BF186" s="224">
        <f>IF(N186="snížená",J186,0)</f>
        <v>0</v>
      </c>
      <c r="BG186" s="224">
        <f>IF(N186="zákl. přenesená",J186,0)</f>
        <v>0</v>
      </c>
      <c r="BH186" s="224">
        <f>IF(N186="sníž. přenesená",J186,0)</f>
        <v>0</v>
      </c>
      <c r="BI186" s="224">
        <f>IF(N186="nulová",J186,0)</f>
        <v>0</v>
      </c>
      <c r="BJ186" s="17" t="s">
        <v>19</v>
      </c>
      <c r="BK186" s="224">
        <f>ROUND(I186*H186,2)</f>
        <v>95550</v>
      </c>
      <c r="BL186" s="17" t="s">
        <v>222</v>
      </c>
      <c r="BM186" s="223" t="s">
        <v>1132</v>
      </c>
    </row>
    <row r="187" s="12" customFormat="1" ht="22.8" customHeight="1">
      <c r="A187" s="12"/>
      <c r="B187" s="197"/>
      <c r="C187" s="198"/>
      <c r="D187" s="199" t="s">
        <v>73</v>
      </c>
      <c r="E187" s="210" t="s">
        <v>1133</v>
      </c>
      <c r="F187" s="210" t="s">
        <v>1134</v>
      </c>
      <c r="G187" s="198"/>
      <c r="H187" s="198"/>
      <c r="I187" s="198"/>
      <c r="J187" s="211">
        <f>BK187</f>
        <v>44303.25</v>
      </c>
      <c r="K187" s="198"/>
      <c r="L187" s="202"/>
      <c r="M187" s="203"/>
      <c r="N187" s="204"/>
      <c r="O187" s="204"/>
      <c r="P187" s="205">
        <f>SUM(P188:P195)</f>
        <v>41.399999999999999</v>
      </c>
      <c r="Q187" s="204"/>
      <c r="R187" s="205">
        <f>SUM(R188:R195)</f>
        <v>0.065310000000000007</v>
      </c>
      <c r="S187" s="204"/>
      <c r="T187" s="206">
        <f>SUM(T188:T195)</f>
        <v>0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R187" s="207" t="s">
        <v>83</v>
      </c>
      <c r="AT187" s="208" t="s">
        <v>73</v>
      </c>
      <c r="AU187" s="208" t="s">
        <v>19</v>
      </c>
      <c r="AY187" s="207" t="s">
        <v>142</v>
      </c>
      <c r="BK187" s="209">
        <f>SUM(BK188:BK195)</f>
        <v>44303.25</v>
      </c>
    </row>
    <row r="188" s="2" customFormat="1" ht="24.15" customHeight="1">
      <c r="A188" s="32"/>
      <c r="B188" s="33"/>
      <c r="C188" s="212" t="s">
        <v>281</v>
      </c>
      <c r="D188" s="212" t="s">
        <v>144</v>
      </c>
      <c r="E188" s="213" t="s">
        <v>1135</v>
      </c>
      <c r="F188" s="214" t="s">
        <v>1136</v>
      </c>
      <c r="G188" s="215" t="s">
        <v>326</v>
      </c>
      <c r="H188" s="216">
        <v>75</v>
      </c>
      <c r="I188" s="217">
        <v>311</v>
      </c>
      <c r="J188" s="217">
        <f>ROUND(I188*H188,2)</f>
        <v>23325</v>
      </c>
      <c r="K188" s="218"/>
      <c r="L188" s="38"/>
      <c r="M188" s="219" t="s">
        <v>1</v>
      </c>
      <c r="N188" s="220" t="s">
        <v>39</v>
      </c>
      <c r="O188" s="221">
        <v>0.46999999999999997</v>
      </c>
      <c r="P188" s="221">
        <f>O188*H188</f>
        <v>35.25</v>
      </c>
      <c r="Q188" s="221">
        <v>0.00048999999999999998</v>
      </c>
      <c r="R188" s="221">
        <f>Q188*H188</f>
        <v>0.036749999999999998</v>
      </c>
      <c r="S188" s="221">
        <v>0</v>
      </c>
      <c r="T188" s="222">
        <f>S188*H188</f>
        <v>0</v>
      </c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R188" s="223" t="s">
        <v>222</v>
      </c>
      <c r="AT188" s="223" t="s">
        <v>144</v>
      </c>
      <c r="AU188" s="223" t="s">
        <v>83</v>
      </c>
      <c r="AY188" s="17" t="s">
        <v>142</v>
      </c>
      <c r="BE188" s="224">
        <f>IF(N188="základní",J188,0)</f>
        <v>23325</v>
      </c>
      <c r="BF188" s="224">
        <f>IF(N188="snížená",J188,0)</f>
        <v>0</v>
      </c>
      <c r="BG188" s="224">
        <f>IF(N188="zákl. přenesená",J188,0)</f>
        <v>0</v>
      </c>
      <c r="BH188" s="224">
        <f>IF(N188="sníž. přenesená",J188,0)</f>
        <v>0</v>
      </c>
      <c r="BI188" s="224">
        <f>IF(N188="nulová",J188,0)</f>
        <v>0</v>
      </c>
      <c r="BJ188" s="17" t="s">
        <v>19</v>
      </c>
      <c r="BK188" s="224">
        <f>ROUND(I188*H188,2)</f>
        <v>23325</v>
      </c>
      <c r="BL188" s="17" t="s">
        <v>222</v>
      </c>
      <c r="BM188" s="223" t="s">
        <v>1137</v>
      </c>
    </row>
    <row r="189" s="13" customFormat="1">
      <c r="A189" s="13"/>
      <c r="B189" s="225"/>
      <c r="C189" s="226"/>
      <c r="D189" s="227" t="s">
        <v>149</v>
      </c>
      <c r="E189" s="228" t="s">
        <v>1</v>
      </c>
      <c r="F189" s="229" t="s">
        <v>1138</v>
      </c>
      <c r="G189" s="226"/>
      <c r="H189" s="230">
        <v>40</v>
      </c>
      <c r="I189" s="226"/>
      <c r="J189" s="226"/>
      <c r="K189" s="226"/>
      <c r="L189" s="231"/>
      <c r="M189" s="232"/>
      <c r="N189" s="233"/>
      <c r="O189" s="233"/>
      <c r="P189" s="233"/>
      <c r="Q189" s="233"/>
      <c r="R189" s="233"/>
      <c r="S189" s="233"/>
      <c r="T189" s="23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T189" s="235" t="s">
        <v>149</v>
      </c>
      <c r="AU189" s="235" t="s">
        <v>83</v>
      </c>
      <c r="AV189" s="13" t="s">
        <v>83</v>
      </c>
      <c r="AW189" s="13" t="s">
        <v>32</v>
      </c>
      <c r="AX189" s="13" t="s">
        <v>74</v>
      </c>
      <c r="AY189" s="235" t="s">
        <v>142</v>
      </c>
    </row>
    <row r="190" s="13" customFormat="1">
      <c r="A190" s="13"/>
      <c r="B190" s="225"/>
      <c r="C190" s="226"/>
      <c r="D190" s="227" t="s">
        <v>149</v>
      </c>
      <c r="E190" s="228" t="s">
        <v>1</v>
      </c>
      <c r="F190" s="229" t="s">
        <v>1139</v>
      </c>
      <c r="G190" s="226"/>
      <c r="H190" s="230">
        <v>35</v>
      </c>
      <c r="I190" s="226"/>
      <c r="J190" s="226"/>
      <c r="K190" s="226"/>
      <c r="L190" s="231"/>
      <c r="M190" s="232"/>
      <c r="N190" s="233"/>
      <c r="O190" s="233"/>
      <c r="P190" s="233"/>
      <c r="Q190" s="233"/>
      <c r="R190" s="233"/>
      <c r="S190" s="233"/>
      <c r="T190" s="23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35" t="s">
        <v>149</v>
      </c>
      <c r="AU190" s="235" t="s">
        <v>83</v>
      </c>
      <c r="AV190" s="13" t="s">
        <v>83</v>
      </c>
      <c r="AW190" s="13" t="s">
        <v>32</v>
      </c>
      <c r="AX190" s="13" t="s">
        <v>74</v>
      </c>
      <c r="AY190" s="235" t="s">
        <v>142</v>
      </c>
    </row>
    <row r="191" s="14" customFormat="1">
      <c r="A191" s="14"/>
      <c r="B191" s="236"/>
      <c r="C191" s="237"/>
      <c r="D191" s="227" t="s">
        <v>149</v>
      </c>
      <c r="E191" s="238" t="s">
        <v>1</v>
      </c>
      <c r="F191" s="239" t="s">
        <v>151</v>
      </c>
      <c r="G191" s="237"/>
      <c r="H191" s="240">
        <v>75</v>
      </c>
      <c r="I191" s="237"/>
      <c r="J191" s="237"/>
      <c r="K191" s="237"/>
      <c r="L191" s="241"/>
      <c r="M191" s="242"/>
      <c r="N191" s="243"/>
      <c r="O191" s="243"/>
      <c r="P191" s="243"/>
      <c r="Q191" s="243"/>
      <c r="R191" s="243"/>
      <c r="S191" s="243"/>
      <c r="T191" s="24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T191" s="245" t="s">
        <v>149</v>
      </c>
      <c r="AU191" s="245" t="s">
        <v>83</v>
      </c>
      <c r="AV191" s="14" t="s">
        <v>147</v>
      </c>
      <c r="AW191" s="14" t="s">
        <v>32</v>
      </c>
      <c r="AX191" s="14" t="s">
        <v>19</v>
      </c>
      <c r="AY191" s="245" t="s">
        <v>142</v>
      </c>
    </row>
    <row r="192" s="2" customFormat="1" ht="33" customHeight="1">
      <c r="A192" s="32"/>
      <c r="B192" s="33"/>
      <c r="C192" s="258" t="s">
        <v>286</v>
      </c>
      <c r="D192" s="258" t="s">
        <v>475</v>
      </c>
      <c r="E192" s="259" t="s">
        <v>1140</v>
      </c>
      <c r="F192" s="260" t="s">
        <v>1141</v>
      </c>
      <c r="G192" s="261" t="s">
        <v>326</v>
      </c>
      <c r="H192" s="262">
        <v>77.25</v>
      </c>
      <c r="I192" s="263">
        <v>217</v>
      </c>
      <c r="J192" s="263">
        <f>ROUND(I192*H192,2)</f>
        <v>16763.25</v>
      </c>
      <c r="K192" s="264"/>
      <c r="L192" s="265"/>
      <c r="M192" s="266" t="s">
        <v>1</v>
      </c>
      <c r="N192" s="267" t="s">
        <v>39</v>
      </c>
      <c r="O192" s="221">
        <v>0</v>
      </c>
      <c r="P192" s="221">
        <f>O192*H192</f>
        <v>0</v>
      </c>
      <c r="Q192" s="221">
        <v>0.00036000000000000002</v>
      </c>
      <c r="R192" s="221">
        <f>Q192*H192</f>
        <v>0.027810000000000001</v>
      </c>
      <c r="S192" s="221">
        <v>0</v>
      </c>
      <c r="T192" s="222">
        <f>S192*H192</f>
        <v>0</v>
      </c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R192" s="223" t="s">
        <v>241</v>
      </c>
      <c r="AT192" s="223" t="s">
        <v>475</v>
      </c>
      <c r="AU192" s="223" t="s">
        <v>83</v>
      </c>
      <c r="AY192" s="17" t="s">
        <v>142</v>
      </c>
      <c r="BE192" s="224">
        <f>IF(N192="základní",J192,0)</f>
        <v>16763.25</v>
      </c>
      <c r="BF192" s="224">
        <f>IF(N192="snížená",J192,0)</f>
        <v>0</v>
      </c>
      <c r="BG192" s="224">
        <f>IF(N192="zákl. přenesená",J192,0)</f>
        <v>0</v>
      </c>
      <c r="BH192" s="224">
        <f>IF(N192="sníž. přenesená",J192,0)</f>
        <v>0</v>
      </c>
      <c r="BI192" s="224">
        <f>IF(N192="nulová",J192,0)</f>
        <v>0</v>
      </c>
      <c r="BJ192" s="17" t="s">
        <v>19</v>
      </c>
      <c r="BK192" s="224">
        <f>ROUND(I192*H192,2)</f>
        <v>16763.25</v>
      </c>
      <c r="BL192" s="17" t="s">
        <v>222</v>
      </c>
      <c r="BM192" s="223" t="s">
        <v>1142</v>
      </c>
    </row>
    <row r="193" s="13" customFormat="1">
      <c r="A193" s="13"/>
      <c r="B193" s="225"/>
      <c r="C193" s="226"/>
      <c r="D193" s="227" t="s">
        <v>149</v>
      </c>
      <c r="E193" s="228" t="s">
        <v>1</v>
      </c>
      <c r="F193" s="229" t="s">
        <v>1104</v>
      </c>
      <c r="G193" s="226"/>
      <c r="H193" s="230">
        <v>75</v>
      </c>
      <c r="I193" s="226"/>
      <c r="J193" s="226"/>
      <c r="K193" s="226"/>
      <c r="L193" s="231"/>
      <c r="M193" s="232"/>
      <c r="N193" s="233"/>
      <c r="O193" s="233"/>
      <c r="P193" s="233"/>
      <c r="Q193" s="233"/>
      <c r="R193" s="233"/>
      <c r="S193" s="233"/>
      <c r="T193" s="23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35" t="s">
        <v>149</v>
      </c>
      <c r="AU193" s="235" t="s">
        <v>83</v>
      </c>
      <c r="AV193" s="13" t="s">
        <v>83</v>
      </c>
      <c r="AW193" s="13" t="s">
        <v>32</v>
      </c>
      <c r="AX193" s="13" t="s">
        <v>19</v>
      </c>
      <c r="AY193" s="235" t="s">
        <v>142</v>
      </c>
    </row>
    <row r="194" s="13" customFormat="1">
      <c r="A194" s="13"/>
      <c r="B194" s="225"/>
      <c r="C194" s="226"/>
      <c r="D194" s="227" t="s">
        <v>149</v>
      </c>
      <c r="E194" s="226"/>
      <c r="F194" s="229" t="s">
        <v>1143</v>
      </c>
      <c r="G194" s="226"/>
      <c r="H194" s="230">
        <v>77.25</v>
      </c>
      <c r="I194" s="226"/>
      <c r="J194" s="226"/>
      <c r="K194" s="226"/>
      <c r="L194" s="231"/>
      <c r="M194" s="232"/>
      <c r="N194" s="233"/>
      <c r="O194" s="233"/>
      <c r="P194" s="233"/>
      <c r="Q194" s="233"/>
      <c r="R194" s="233"/>
      <c r="S194" s="233"/>
      <c r="T194" s="23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35" t="s">
        <v>149</v>
      </c>
      <c r="AU194" s="235" t="s">
        <v>83</v>
      </c>
      <c r="AV194" s="13" t="s">
        <v>83</v>
      </c>
      <c r="AW194" s="13" t="s">
        <v>4</v>
      </c>
      <c r="AX194" s="13" t="s">
        <v>19</v>
      </c>
      <c r="AY194" s="235" t="s">
        <v>142</v>
      </c>
    </row>
    <row r="195" s="2" customFormat="1" ht="21.75" customHeight="1">
      <c r="A195" s="32"/>
      <c r="B195" s="33"/>
      <c r="C195" s="212" t="s">
        <v>290</v>
      </c>
      <c r="D195" s="212" t="s">
        <v>144</v>
      </c>
      <c r="E195" s="213" t="s">
        <v>1144</v>
      </c>
      <c r="F195" s="214" t="s">
        <v>1145</v>
      </c>
      <c r="G195" s="215" t="s">
        <v>326</v>
      </c>
      <c r="H195" s="216">
        <v>75</v>
      </c>
      <c r="I195" s="217">
        <v>56.200000000000003</v>
      </c>
      <c r="J195" s="217">
        <f>ROUND(I195*H195,2)</f>
        <v>4215</v>
      </c>
      <c r="K195" s="218"/>
      <c r="L195" s="38"/>
      <c r="M195" s="219" t="s">
        <v>1</v>
      </c>
      <c r="N195" s="220" t="s">
        <v>39</v>
      </c>
      <c r="O195" s="221">
        <v>0.082000000000000003</v>
      </c>
      <c r="P195" s="221">
        <f>O195*H195</f>
        <v>6.1500000000000004</v>
      </c>
      <c r="Q195" s="221">
        <v>1.0000000000000001E-05</v>
      </c>
      <c r="R195" s="221">
        <f>Q195*H195</f>
        <v>0.00075000000000000002</v>
      </c>
      <c r="S195" s="221">
        <v>0</v>
      </c>
      <c r="T195" s="222">
        <f>S195*H195</f>
        <v>0</v>
      </c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R195" s="223" t="s">
        <v>222</v>
      </c>
      <c r="AT195" s="223" t="s">
        <v>144</v>
      </c>
      <c r="AU195" s="223" t="s">
        <v>83</v>
      </c>
      <c r="AY195" s="17" t="s">
        <v>142</v>
      </c>
      <c r="BE195" s="224">
        <f>IF(N195="základní",J195,0)</f>
        <v>4215</v>
      </c>
      <c r="BF195" s="224">
        <f>IF(N195="snížená",J195,0)</f>
        <v>0</v>
      </c>
      <c r="BG195" s="224">
        <f>IF(N195="zákl. přenesená",J195,0)</f>
        <v>0</v>
      </c>
      <c r="BH195" s="224">
        <f>IF(N195="sníž. přenesená",J195,0)</f>
        <v>0</v>
      </c>
      <c r="BI195" s="224">
        <f>IF(N195="nulová",J195,0)</f>
        <v>0</v>
      </c>
      <c r="BJ195" s="17" t="s">
        <v>19</v>
      </c>
      <c r="BK195" s="224">
        <f>ROUND(I195*H195,2)</f>
        <v>4215</v>
      </c>
      <c r="BL195" s="17" t="s">
        <v>222</v>
      </c>
      <c r="BM195" s="223" t="s">
        <v>1146</v>
      </c>
    </row>
    <row r="196" s="12" customFormat="1" ht="22.8" customHeight="1">
      <c r="A196" s="12"/>
      <c r="B196" s="197"/>
      <c r="C196" s="198"/>
      <c r="D196" s="199" t="s">
        <v>73</v>
      </c>
      <c r="E196" s="210" t="s">
        <v>1147</v>
      </c>
      <c r="F196" s="210" t="s">
        <v>1148</v>
      </c>
      <c r="G196" s="198"/>
      <c r="H196" s="198"/>
      <c r="I196" s="198"/>
      <c r="J196" s="211">
        <f>BK196</f>
        <v>88399</v>
      </c>
      <c r="K196" s="198"/>
      <c r="L196" s="202"/>
      <c r="M196" s="203"/>
      <c r="N196" s="204"/>
      <c r="O196" s="204"/>
      <c r="P196" s="205">
        <f>SUM(P197:P210)</f>
        <v>13.18</v>
      </c>
      <c r="Q196" s="204"/>
      <c r="R196" s="205">
        <f>SUM(R197:R210)</f>
        <v>0.14575000000000002</v>
      </c>
      <c r="S196" s="204"/>
      <c r="T196" s="206">
        <f>SUM(T197:T210)</f>
        <v>0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R196" s="207" t="s">
        <v>83</v>
      </c>
      <c r="AT196" s="208" t="s">
        <v>73</v>
      </c>
      <c r="AU196" s="208" t="s">
        <v>19</v>
      </c>
      <c r="AY196" s="207" t="s">
        <v>142</v>
      </c>
      <c r="BK196" s="209">
        <f>SUM(BK197:BK210)</f>
        <v>88399</v>
      </c>
    </row>
    <row r="197" s="2" customFormat="1" ht="21.75" customHeight="1">
      <c r="A197" s="32"/>
      <c r="B197" s="33"/>
      <c r="C197" s="212" t="s">
        <v>236</v>
      </c>
      <c r="D197" s="212" t="s">
        <v>144</v>
      </c>
      <c r="E197" s="213" t="s">
        <v>1149</v>
      </c>
      <c r="F197" s="214" t="s">
        <v>1150</v>
      </c>
      <c r="G197" s="215" t="s">
        <v>284</v>
      </c>
      <c r="H197" s="216">
        <v>2</v>
      </c>
      <c r="I197" s="217">
        <v>1620</v>
      </c>
      <c r="J197" s="217">
        <f>ROUND(I197*H197,2)</f>
        <v>3240</v>
      </c>
      <c r="K197" s="218"/>
      <c r="L197" s="38"/>
      <c r="M197" s="219" t="s">
        <v>1</v>
      </c>
      <c r="N197" s="220" t="s">
        <v>39</v>
      </c>
      <c r="O197" s="221">
        <v>0.89900000000000002</v>
      </c>
      <c r="P197" s="221">
        <f>O197*H197</f>
        <v>1.798</v>
      </c>
      <c r="Q197" s="221">
        <v>0.0012700000000000001</v>
      </c>
      <c r="R197" s="221">
        <f>Q197*H197</f>
        <v>0.0025400000000000002</v>
      </c>
      <c r="S197" s="221">
        <v>0</v>
      </c>
      <c r="T197" s="222">
        <f>S197*H197</f>
        <v>0</v>
      </c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R197" s="223" t="s">
        <v>222</v>
      </c>
      <c r="AT197" s="223" t="s">
        <v>144</v>
      </c>
      <c r="AU197" s="223" t="s">
        <v>83</v>
      </c>
      <c r="AY197" s="17" t="s">
        <v>142</v>
      </c>
      <c r="BE197" s="224">
        <f>IF(N197="základní",J197,0)</f>
        <v>3240</v>
      </c>
      <c r="BF197" s="224">
        <f>IF(N197="snížená",J197,0)</f>
        <v>0</v>
      </c>
      <c r="BG197" s="224">
        <f>IF(N197="zákl. přenesená",J197,0)</f>
        <v>0</v>
      </c>
      <c r="BH197" s="224">
        <f>IF(N197="sníž. přenesená",J197,0)</f>
        <v>0</v>
      </c>
      <c r="BI197" s="224">
        <f>IF(N197="nulová",J197,0)</f>
        <v>0</v>
      </c>
      <c r="BJ197" s="17" t="s">
        <v>19</v>
      </c>
      <c r="BK197" s="224">
        <f>ROUND(I197*H197,2)</f>
        <v>3240</v>
      </c>
      <c r="BL197" s="17" t="s">
        <v>222</v>
      </c>
      <c r="BM197" s="223" t="s">
        <v>1151</v>
      </c>
    </row>
    <row r="198" s="2" customFormat="1" ht="24.15" customHeight="1">
      <c r="A198" s="32"/>
      <c r="B198" s="33"/>
      <c r="C198" s="258" t="s">
        <v>297</v>
      </c>
      <c r="D198" s="258" t="s">
        <v>475</v>
      </c>
      <c r="E198" s="259" t="s">
        <v>1152</v>
      </c>
      <c r="F198" s="260" t="s">
        <v>1153</v>
      </c>
      <c r="G198" s="261" t="s">
        <v>284</v>
      </c>
      <c r="H198" s="262">
        <v>2</v>
      </c>
      <c r="I198" s="263">
        <v>3220</v>
      </c>
      <c r="J198" s="263">
        <f>ROUND(I198*H198,2)</f>
        <v>6440</v>
      </c>
      <c r="K198" s="264"/>
      <c r="L198" s="265"/>
      <c r="M198" s="266" t="s">
        <v>1</v>
      </c>
      <c r="N198" s="267" t="s">
        <v>39</v>
      </c>
      <c r="O198" s="221">
        <v>0</v>
      </c>
      <c r="P198" s="221">
        <f>O198*H198</f>
        <v>0</v>
      </c>
      <c r="Q198" s="221">
        <v>0.014999999999999999</v>
      </c>
      <c r="R198" s="221">
        <f>Q198*H198</f>
        <v>0.029999999999999999</v>
      </c>
      <c r="S198" s="221">
        <v>0</v>
      </c>
      <c r="T198" s="222">
        <f>S198*H198</f>
        <v>0</v>
      </c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R198" s="223" t="s">
        <v>241</v>
      </c>
      <c r="AT198" s="223" t="s">
        <v>475</v>
      </c>
      <c r="AU198" s="223" t="s">
        <v>83</v>
      </c>
      <c r="AY198" s="17" t="s">
        <v>142</v>
      </c>
      <c r="BE198" s="224">
        <f>IF(N198="základní",J198,0)</f>
        <v>6440</v>
      </c>
      <c r="BF198" s="224">
        <f>IF(N198="snížená",J198,0)</f>
        <v>0</v>
      </c>
      <c r="BG198" s="224">
        <f>IF(N198="zákl. přenesená",J198,0)</f>
        <v>0</v>
      </c>
      <c r="BH198" s="224">
        <f>IF(N198="sníž. přenesená",J198,0)</f>
        <v>0</v>
      </c>
      <c r="BI198" s="224">
        <f>IF(N198="nulová",J198,0)</f>
        <v>0</v>
      </c>
      <c r="BJ198" s="17" t="s">
        <v>19</v>
      </c>
      <c r="BK198" s="224">
        <f>ROUND(I198*H198,2)</f>
        <v>6440</v>
      </c>
      <c r="BL198" s="17" t="s">
        <v>222</v>
      </c>
      <c r="BM198" s="223" t="s">
        <v>1154</v>
      </c>
    </row>
    <row r="199" s="2" customFormat="1" ht="24.15" customHeight="1">
      <c r="A199" s="32"/>
      <c r="B199" s="33"/>
      <c r="C199" s="212" t="s">
        <v>241</v>
      </c>
      <c r="D199" s="212" t="s">
        <v>144</v>
      </c>
      <c r="E199" s="213" t="s">
        <v>1155</v>
      </c>
      <c r="F199" s="214" t="s">
        <v>1156</v>
      </c>
      <c r="G199" s="215" t="s">
        <v>321</v>
      </c>
      <c r="H199" s="216">
        <v>2</v>
      </c>
      <c r="I199" s="217">
        <v>4840</v>
      </c>
      <c r="J199" s="217">
        <f>ROUND(I199*H199,2)</f>
        <v>9680</v>
      </c>
      <c r="K199" s="218"/>
      <c r="L199" s="38"/>
      <c r="M199" s="219" t="s">
        <v>1</v>
      </c>
      <c r="N199" s="220" t="s">
        <v>39</v>
      </c>
      <c r="O199" s="221">
        <v>1.1000000000000001</v>
      </c>
      <c r="P199" s="221">
        <f>O199*H199</f>
        <v>2.2000000000000002</v>
      </c>
      <c r="Q199" s="221">
        <v>0.016570000000000001</v>
      </c>
      <c r="R199" s="221">
        <f>Q199*H199</f>
        <v>0.033140000000000003</v>
      </c>
      <c r="S199" s="221">
        <v>0</v>
      </c>
      <c r="T199" s="222">
        <f>S199*H199</f>
        <v>0</v>
      </c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R199" s="223" t="s">
        <v>222</v>
      </c>
      <c r="AT199" s="223" t="s">
        <v>144</v>
      </c>
      <c r="AU199" s="223" t="s">
        <v>83</v>
      </c>
      <c r="AY199" s="17" t="s">
        <v>142</v>
      </c>
      <c r="BE199" s="224">
        <f>IF(N199="základní",J199,0)</f>
        <v>9680</v>
      </c>
      <c r="BF199" s="224">
        <f>IF(N199="snížená",J199,0)</f>
        <v>0</v>
      </c>
      <c r="BG199" s="224">
        <f>IF(N199="zákl. přenesená",J199,0)</f>
        <v>0</v>
      </c>
      <c r="BH199" s="224">
        <f>IF(N199="sníž. přenesená",J199,0)</f>
        <v>0</v>
      </c>
      <c r="BI199" s="224">
        <f>IF(N199="nulová",J199,0)</f>
        <v>0</v>
      </c>
      <c r="BJ199" s="17" t="s">
        <v>19</v>
      </c>
      <c r="BK199" s="224">
        <f>ROUND(I199*H199,2)</f>
        <v>9680</v>
      </c>
      <c r="BL199" s="17" t="s">
        <v>222</v>
      </c>
      <c r="BM199" s="223" t="s">
        <v>1157</v>
      </c>
    </row>
    <row r="200" s="2" customFormat="1" ht="21.75" customHeight="1">
      <c r="A200" s="32"/>
      <c r="B200" s="33"/>
      <c r="C200" s="212" t="s">
        <v>304</v>
      </c>
      <c r="D200" s="212" t="s">
        <v>144</v>
      </c>
      <c r="E200" s="213" t="s">
        <v>1158</v>
      </c>
      <c r="F200" s="214" t="s">
        <v>1159</v>
      </c>
      <c r="G200" s="215" t="s">
        <v>321</v>
      </c>
      <c r="H200" s="216">
        <v>1</v>
      </c>
      <c r="I200" s="217">
        <v>2570</v>
      </c>
      <c r="J200" s="217">
        <f>ROUND(I200*H200,2)</f>
        <v>2570</v>
      </c>
      <c r="K200" s="218"/>
      <c r="L200" s="38"/>
      <c r="M200" s="219" t="s">
        <v>1</v>
      </c>
      <c r="N200" s="220" t="s">
        <v>39</v>
      </c>
      <c r="O200" s="221">
        <v>2.4620000000000002</v>
      </c>
      <c r="P200" s="221">
        <f>O200*H200</f>
        <v>2.4620000000000002</v>
      </c>
      <c r="Q200" s="221">
        <v>0.0020699999999999998</v>
      </c>
      <c r="R200" s="221">
        <f>Q200*H200</f>
        <v>0.0020699999999999998</v>
      </c>
      <c r="S200" s="221">
        <v>0</v>
      </c>
      <c r="T200" s="222">
        <f>S200*H200</f>
        <v>0</v>
      </c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R200" s="223" t="s">
        <v>222</v>
      </c>
      <c r="AT200" s="223" t="s">
        <v>144</v>
      </c>
      <c r="AU200" s="223" t="s">
        <v>83</v>
      </c>
      <c r="AY200" s="17" t="s">
        <v>142</v>
      </c>
      <c r="BE200" s="224">
        <f>IF(N200="základní",J200,0)</f>
        <v>2570</v>
      </c>
      <c r="BF200" s="224">
        <f>IF(N200="snížená",J200,0)</f>
        <v>0</v>
      </c>
      <c r="BG200" s="224">
        <f>IF(N200="zákl. přenesená",J200,0)</f>
        <v>0</v>
      </c>
      <c r="BH200" s="224">
        <f>IF(N200="sníž. přenesená",J200,0)</f>
        <v>0</v>
      </c>
      <c r="BI200" s="224">
        <f>IF(N200="nulová",J200,0)</f>
        <v>0</v>
      </c>
      <c r="BJ200" s="17" t="s">
        <v>19</v>
      </c>
      <c r="BK200" s="224">
        <f>ROUND(I200*H200,2)</f>
        <v>2570</v>
      </c>
      <c r="BL200" s="17" t="s">
        <v>222</v>
      </c>
      <c r="BM200" s="223" t="s">
        <v>1160</v>
      </c>
    </row>
    <row r="201" s="2" customFormat="1" ht="21.75" customHeight="1">
      <c r="A201" s="32"/>
      <c r="B201" s="33"/>
      <c r="C201" s="258" t="s">
        <v>269</v>
      </c>
      <c r="D201" s="258" t="s">
        <v>475</v>
      </c>
      <c r="E201" s="259" t="s">
        <v>1161</v>
      </c>
      <c r="F201" s="260" t="s">
        <v>1162</v>
      </c>
      <c r="G201" s="261" t="s">
        <v>284</v>
      </c>
      <c r="H201" s="262">
        <v>1</v>
      </c>
      <c r="I201" s="263">
        <v>9030</v>
      </c>
      <c r="J201" s="263">
        <f>ROUND(I201*H201,2)</f>
        <v>9030</v>
      </c>
      <c r="K201" s="264"/>
      <c r="L201" s="265"/>
      <c r="M201" s="266" t="s">
        <v>1</v>
      </c>
      <c r="N201" s="267" t="s">
        <v>39</v>
      </c>
      <c r="O201" s="221">
        <v>0</v>
      </c>
      <c r="P201" s="221">
        <f>O201*H201</f>
        <v>0</v>
      </c>
      <c r="Q201" s="221">
        <v>0.017999999999999999</v>
      </c>
      <c r="R201" s="221">
        <f>Q201*H201</f>
        <v>0.017999999999999999</v>
      </c>
      <c r="S201" s="221">
        <v>0</v>
      </c>
      <c r="T201" s="222">
        <f>S201*H201</f>
        <v>0</v>
      </c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R201" s="223" t="s">
        <v>241</v>
      </c>
      <c r="AT201" s="223" t="s">
        <v>475</v>
      </c>
      <c r="AU201" s="223" t="s">
        <v>83</v>
      </c>
      <c r="AY201" s="17" t="s">
        <v>142</v>
      </c>
      <c r="BE201" s="224">
        <f>IF(N201="základní",J201,0)</f>
        <v>9030</v>
      </c>
      <c r="BF201" s="224">
        <f>IF(N201="snížená",J201,0)</f>
        <v>0</v>
      </c>
      <c r="BG201" s="224">
        <f>IF(N201="zákl. přenesená",J201,0)</f>
        <v>0</v>
      </c>
      <c r="BH201" s="224">
        <f>IF(N201="sníž. přenesená",J201,0)</f>
        <v>0</v>
      </c>
      <c r="BI201" s="224">
        <f>IF(N201="nulová",J201,0)</f>
        <v>0</v>
      </c>
      <c r="BJ201" s="17" t="s">
        <v>19</v>
      </c>
      <c r="BK201" s="224">
        <f>ROUND(I201*H201,2)</f>
        <v>9030</v>
      </c>
      <c r="BL201" s="17" t="s">
        <v>222</v>
      </c>
      <c r="BM201" s="223" t="s">
        <v>1163</v>
      </c>
    </row>
    <row r="202" s="2" customFormat="1" ht="16.5" customHeight="1">
      <c r="A202" s="32"/>
      <c r="B202" s="33"/>
      <c r="C202" s="258" t="s">
        <v>311</v>
      </c>
      <c r="D202" s="258" t="s">
        <v>475</v>
      </c>
      <c r="E202" s="259" t="s">
        <v>1164</v>
      </c>
      <c r="F202" s="260" t="s">
        <v>1165</v>
      </c>
      <c r="G202" s="261" t="s">
        <v>284</v>
      </c>
      <c r="H202" s="262">
        <v>1</v>
      </c>
      <c r="I202" s="263">
        <v>15500</v>
      </c>
      <c r="J202" s="263">
        <f>ROUND(I202*H202,2)</f>
        <v>15500</v>
      </c>
      <c r="K202" s="264"/>
      <c r="L202" s="265"/>
      <c r="M202" s="266" t="s">
        <v>1</v>
      </c>
      <c r="N202" s="267" t="s">
        <v>39</v>
      </c>
      <c r="O202" s="221">
        <v>0</v>
      </c>
      <c r="P202" s="221">
        <f>O202*H202</f>
        <v>0</v>
      </c>
      <c r="Q202" s="221">
        <v>0.014999999999999999</v>
      </c>
      <c r="R202" s="221">
        <f>Q202*H202</f>
        <v>0.014999999999999999</v>
      </c>
      <c r="S202" s="221">
        <v>0</v>
      </c>
      <c r="T202" s="222">
        <f>S202*H202</f>
        <v>0</v>
      </c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R202" s="223" t="s">
        <v>241</v>
      </c>
      <c r="AT202" s="223" t="s">
        <v>475</v>
      </c>
      <c r="AU202" s="223" t="s">
        <v>83</v>
      </c>
      <c r="AY202" s="17" t="s">
        <v>142</v>
      </c>
      <c r="BE202" s="224">
        <f>IF(N202="základní",J202,0)</f>
        <v>15500</v>
      </c>
      <c r="BF202" s="224">
        <f>IF(N202="snížená",J202,0)</f>
        <v>0</v>
      </c>
      <c r="BG202" s="224">
        <f>IF(N202="zákl. přenesená",J202,0)</f>
        <v>0</v>
      </c>
      <c r="BH202" s="224">
        <f>IF(N202="sníž. přenesená",J202,0)</f>
        <v>0</v>
      </c>
      <c r="BI202" s="224">
        <f>IF(N202="nulová",J202,0)</f>
        <v>0</v>
      </c>
      <c r="BJ202" s="17" t="s">
        <v>19</v>
      </c>
      <c r="BK202" s="224">
        <f>ROUND(I202*H202,2)</f>
        <v>15500</v>
      </c>
      <c r="BL202" s="17" t="s">
        <v>222</v>
      </c>
      <c r="BM202" s="223" t="s">
        <v>1166</v>
      </c>
    </row>
    <row r="203" s="2" customFormat="1" ht="16.5" customHeight="1">
      <c r="A203" s="32"/>
      <c r="B203" s="33"/>
      <c r="C203" s="212" t="s">
        <v>274</v>
      </c>
      <c r="D203" s="212" t="s">
        <v>144</v>
      </c>
      <c r="E203" s="213" t="s">
        <v>1167</v>
      </c>
      <c r="F203" s="214" t="s">
        <v>1168</v>
      </c>
      <c r="G203" s="215" t="s">
        <v>321</v>
      </c>
      <c r="H203" s="216">
        <v>1</v>
      </c>
      <c r="I203" s="217">
        <v>3040</v>
      </c>
      <c r="J203" s="217">
        <f>ROUND(I203*H203,2)</f>
        <v>3040</v>
      </c>
      <c r="K203" s="218"/>
      <c r="L203" s="38"/>
      <c r="M203" s="219" t="s">
        <v>1</v>
      </c>
      <c r="N203" s="220" t="s">
        <v>39</v>
      </c>
      <c r="O203" s="221">
        <v>4.3700000000000001</v>
      </c>
      <c r="P203" s="221">
        <f>O203*H203</f>
        <v>4.3700000000000001</v>
      </c>
      <c r="Q203" s="221">
        <v>0.00042000000000000002</v>
      </c>
      <c r="R203" s="221">
        <f>Q203*H203</f>
        <v>0.00042000000000000002</v>
      </c>
      <c r="S203" s="221">
        <v>0</v>
      </c>
      <c r="T203" s="222">
        <f>S203*H203</f>
        <v>0</v>
      </c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R203" s="223" t="s">
        <v>222</v>
      </c>
      <c r="AT203" s="223" t="s">
        <v>144</v>
      </c>
      <c r="AU203" s="223" t="s">
        <v>83</v>
      </c>
      <c r="AY203" s="17" t="s">
        <v>142</v>
      </c>
      <c r="BE203" s="224">
        <f>IF(N203="základní",J203,0)</f>
        <v>3040</v>
      </c>
      <c r="BF203" s="224">
        <f>IF(N203="snížená",J203,0)</f>
        <v>0</v>
      </c>
      <c r="BG203" s="224">
        <f>IF(N203="zákl. přenesená",J203,0)</f>
        <v>0</v>
      </c>
      <c r="BH203" s="224">
        <f>IF(N203="sníž. přenesená",J203,0)</f>
        <v>0</v>
      </c>
      <c r="BI203" s="224">
        <f>IF(N203="nulová",J203,0)</f>
        <v>0</v>
      </c>
      <c r="BJ203" s="17" t="s">
        <v>19</v>
      </c>
      <c r="BK203" s="224">
        <f>ROUND(I203*H203,2)</f>
        <v>3040</v>
      </c>
      <c r="BL203" s="17" t="s">
        <v>222</v>
      </c>
      <c r="BM203" s="223" t="s">
        <v>1169</v>
      </c>
    </row>
    <row r="204" s="2" customFormat="1" ht="24.15" customHeight="1">
      <c r="A204" s="32"/>
      <c r="B204" s="33"/>
      <c r="C204" s="258" t="s">
        <v>318</v>
      </c>
      <c r="D204" s="258" t="s">
        <v>475</v>
      </c>
      <c r="E204" s="259" t="s">
        <v>1170</v>
      </c>
      <c r="F204" s="260" t="s">
        <v>1171</v>
      </c>
      <c r="G204" s="261" t="s">
        <v>284</v>
      </c>
      <c r="H204" s="262">
        <v>1</v>
      </c>
      <c r="I204" s="263">
        <v>11600</v>
      </c>
      <c r="J204" s="263">
        <f>ROUND(I204*H204,2)</f>
        <v>11600</v>
      </c>
      <c r="K204" s="264"/>
      <c r="L204" s="265"/>
      <c r="M204" s="266" t="s">
        <v>1</v>
      </c>
      <c r="N204" s="267" t="s">
        <v>39</v>
      </c>
      <c r="O204" s="221">
        <v>0</v>
      </c>
      <c r="P204" s="221">
        <f>O204*H204</f>
        <v>0</v>
      </c>
      <c r="Q204" s="221">
        <v>0.029000000000000001</v>
      </c>
      <c r="R204" s="221">
        <f>Q204*H204</f>
        <v>0.029000000000000001</v>
      </c>
      <c r="S204" s="221">
        <v>0</v>
      </c>
      <c r="T204" s="222">
        <f>S204*H204</f>
        <v>0</v>
      </c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R204" s="223" t="s">
        <v>241</v>
      </c>
      <c r="AT204" s="223" t="s">
        <v>475</v>
      </c>
      <c r="AU204" s="223" t="s">
        <v>83</v>
      </c>
      <c r="AY204" s="17" t="s">
        <v>142</v>
      </c>
      <c r="BE204" s="224">
        <f>IF(N204="základní",J204,0)</f>
        <v>11600</v>
      </c>
      <c r="BF204" s="224">
        <f>IF(N204="snížená",J204,0)</f>
        <v>0</v>
      </c>
      <c r="BG204" s="224">
        <f>IF(N204="zákl. přenesená",J204,0)</f>
        <v>0</v>
      </c>
      <c r="BH204" s="224">
        <f>IF(N204="sníž. přenesená",J204,0)</f>
        <v>0</v>
      </c>
      <c r="BI204" s="224">
        <f>IF(N204="nulová",J204,0)</f>
        <v>0</v>
      </c>
      <c r="BJ204" s="17" t="s">
        <v>19</v>
      </c>
      <c r="BK204" s="224">
        <f>ROUND(I204*H204,2)</f>
        <v>11600</v>
      </c>
      <c r="BL204" s="17" t="s">
        <v>222</v>
      </c>
      <c r="BM204" s="223" t="s">
        <v>1172</v>
      </c>
    </row>
    <row r="205" s="2" customFormat="1" ht="16.5" customHeight="1">
      <c r="A205" s="32"/>
      <c r="B205" s="33"/>
      <c r="C205" s="212" t="s">
        <v>323</v>
      </c>
      <c r="D205" s="212" t="s">
        <v>144</v>
      </c>
      <c r="E205" s="213" t="s">
        <v>1173</v>
      </c>
      <c r="F205" s="214" t="s">
        <v>1174</v>
      </c>
      <c r="G205" s="215" t="s">
        <v>321</v>
      </c>
      <c r="H205" s="216">
        <v>1</v>
      </c>
      <c r="I205" s="217">
        <v>1090</v>
      </c>
      <c r="J205" s="217">
        <f>ROUND(I205*H205,2)</f>
        <v>1090</v>
      </c>
      <c r="K205" s="218"/>
      <c r="L205" s="38"/>
      <c r="M205" s="219" t="s">
        <v>1</v>
      </c>
      <c r="N205" s="220" t="s">
        <v>39</v>
      </c>
      <c r="O205" s="221">
        <v>0.84999999999999998</v>
      </c>
      <c r="P205" s="221">
        <f>O205*H205</f>
        <v>0.84999999999999998</v>
      </c>
      <c r="Q205" s="221">
        <v>0.00055999999999999995</v>
      </c>
      <c r="R205" s="221">
        <f>Q205*H205</f>
        <v>0.00055999999999999995</v>
      </c>
      <c r="S205" s="221">
        <v>0</v>
      </c>
      <c r="T205" s="222">
        <f>S205*H205</f>
        <v>0</v>
      </c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R205" s="223" t="s">
        <v>222</v>
      </c>
      <c r="AT205" s="223" t="s">
        <v>144</v>
      </c>
      <c r="AU205" s="223" t="s">
        <v>83</v>
      </c>
      <c r="AY205" s="17" t="s">
        <v>142</v>
      </c>
      <c r="BE205" s="224">
        <f>IF(N205="základní",J205,0)</f>
        <v>1090</v>
      </c>
      <c r="BF205" s="224">
        <f>IF(N205="snížená",J205,0)</f>
        <v>0</v>
      </c>
      <c r="BG205" s="224">
        <f>IF(N205="zákl. přenesená",J205,0)</f>
        <v>0</v>
      </c>
      <c r="BH205" s="224">
        <f>IF(N205="sníž. přenesená",J205,0)</f>
        <v>0</v>
      </c>
      <c r="BI205" s="224">
        <f>IF(N205="nulová",J205,0)</f>
        <v>0</v>
      </c>
      <c r="BJ205" s="17" t="s">
        <v>19</v>
      </c>
      <c r="BK205" s="224">
        <f>ROUND(I205*H205,2)</f>
        <v>1090</v>
      </c>
      <c r="BL205" s="17" t="s">
        <v>222</v>
      </c>
      <c r="BM205" s="223" t="s">
        <v>1175</v>
      </c>
    </row>
    <row r="206" s="2" customFormat="1" ht="24.15" customHeight="1">
      <c r="A206" s="32"/>
      <c r="B206" s="33"/>
      <c r="C206" s="258" t="s">
        <v>329</v>
      </c>
      <c r="D206" s="258" t="s">
        <v>475</v>
      </c>
      <c r="E206" s="259" t="s">
        <v>1176</v>
      </c>
      <c r="F206" s="260" t="s">
        <v>1177</v>
      </c>
      <c r="G206" s="261" t="s">
        <v>284</v>
      </c>
      <c r="H206" s="262">
        <v>1</v>
      </c>
      <c r="I206" s="263">
        <v>719</v>
      </c>
      <c r="J206" s="263">
        <f>ROUND(I206*H206,2)</f>
        <v>719</v>
      </c>
      <c r="K206" s="264"/>
      <c r="L206" s="265"/>
      <c r="M206" s="266" t="s">
        <v>1</v>
      </c>
      <c r="N206" s="267" t="s">
        <v>39</v>
      </c>
      <c r="O206" s="221">
        <v>0</v>
      </c>
      <c r="P206" s="221">
        <f>O206*H206</f>
        <v>0</v>
      </c>
      <c r="Q206" s="221">
        <v>0.0032000000000000002</v>
      </c>
      <c r="R206" s="221">
        <f>Q206*H206</f>
        <v>0.0032000000000000002</v>
      </c>
      <c r="S206" s="221">
        <v>0</v>
      </c>
      <c r="T206" s="222">
        <f>S206*H206</f>
        <v>0</v>
      </c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R206" s="223" t="s">
        <v>241</v>
      </c>
      <c r="AT206" s="223" t="s">
        <v>475</v>
      </c>
      <c r="AU206" s="223" t="s">
        <v>83</v>
      </c>
      <c r="AY206" s="17" t="s">
        <v>142</v>
      </c>
      <c r="BE206" s="224">
        <f>IF(N206="základní",J206,0)</f>
        <v>719</v>
      </c>
      <c r="BF206" s="224">
        <f>IF(N206="snížená",J206,0)</f>
        <v>0</v>
      </c>
      <c r="BG206" s="224">
        <f>IF(N206="zákl. přenesená",J206,0)</f>
        <v>0</v>
      </c>
      <c r="BH206" s="224">
        <f>IF(N206="sníž. přenesená",J206,0)</f>
        <v>0</v>
      </c>
      <c r="BI206" s="224">
        <f>IF(N206="nulová",J206,0)</f>
        <v>0</v>
      </c>
      <c r="BJ206" s="17" t="s">
        <v>19</v>
      </c>
      <c r="BK206" s="224">
        <f>ROUND(I206*H206,2)</f>
        <v>719</v>
      </c>
      <c r="BL206" s="17" t="s">
        <v>222</v>
      </c>
      <c r="BM206" s="223" t="s">
        <v>1178</v>
      </c>
    </row>
    <row r="207" s="2" customFormat="1" ht="24.15" customHeight="1">
      <c r="A207" s="32"/>
      <c r="B207" s="33"/>
      <c r="C207" s="212" t="s">
        <v>334</v>
      </c>
      <c r="D207" s="212" t="s">
        <v>144</v>
      </c>
      <c r="E207" s="213" t="s">
        <v>1179</v>
      </c>
      <c r="F207" s="214" t="s">
        <v>1180</v>
      </c>
      <c r="G207" s="215" t="s">
        <v>321</v>
      </c>
      <c r="H207" s="216">
        <v>1</v>
      </c>
      <c r="I207" s="217">
        <v>1300</v>
      </c>
      <c r="J207" s="217">
        <f>ROUND(I207*H207,2)</f>
        <v>1300</v>
      </c>
      <c r="K207" s="218"/>
      <c r="L207" s="38"/>
      <c r="M207" s="219" t="s">
        <v>1</v>
      </c>
      <c r="N207" s="220" t="s">
        <v>39</v>
      </c>
      <c r="O207" s="221">
        <v>0.20000000000000001</v>
      </c>
      <c r="P207" s="221">
        <f>O207*H207</f>
        <v>0.20000000000000001</v>
      </c>
      <c r="Q207" s="221">
        <v>0.0020799999999999998</v>
      </c>
      <c r="R207" s="221">
        <f>Q207*H207</f>
        <v>0.0020799999999999998</v>
      </c>
      <c r="S207" s="221">
        <v>0</v>
      </c>
      <c r="T207" s="222">
        <f>S207*H207</f>
        <v>0</v>
      </c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R207" s="223" t="s">
        <v>222</v>
      </c>
      <c r="AT207" s="223" t="s">
        <v>144</v>
      </c>
      <c r="AU207" s="223" t="s">
        <v>83</v>
      </c>
      <c r="AY207" s="17" t="s">
        <v>142</v>
      </c>
      <c r="BE207" s="224">
        <f>IF(N207="základní",J207,0)</f>
        <v>1300</v>
      </c>
      <c r="BF207" s="224">
        <f>IF(N207="snížená",J207,0)</f>
        <v>0</v>
      </c>
      <c r="BG207" s="224">
        <f>IF(N207="zákl. přenesená",J207,0)</f>
        <v>0</v>
      </c>
      <c r="BH207" s="224">
        <f>IF(N207="sníž. přenesená",J207,0)</f>
        <v>0</v>
      </c>
      <c r="BI207" s="224">
        <f>IF(N207="nulová",J207,0)</f>
        <v>0</v>
      </c>
      <c r="BJ207" s="17" t="s">
        <v>19</v>
      </c>
      <c r="BK207" s="224">
        <f>ROUND(I207*H207,2)</f>
        <v>1300</v>
      </c>
      <c r="BL207" s="17" t="s">
        <v>222</v>
      </c>
      <c r="BM207" s="223" t="s">
        <v>1181</v>
      </c>
    </row>
    <row r="208" s="2" customFormat="1" ht="21.75" customHeight="1">
      <c r="A208" s="32"/>
      <c r="B208" s="33"/>
      <c r="C208" s="212" t="s">
        <v>339</v>
      </c>
      <c r="D208" s="212" t="s">
        <v>144</v>
      </c>
      <c r="E208" s="213" t="s">
        <v>1182</v>
      </c>
      <c r="F208" s="214" t="s">
        <v>1183</v>
      </c>
      <c r="G208" s="215" t="s">
        <v>321</v>
      </c>
      <c r="H208" s="216">
        <v>2</v>
      </c>
      <c r="I208" s="217">
        <v>9610</v>
      </c>
      <c r="J208" s="217">
        <f>ROUND(I208*H208,2)</f>
        <v>19220</v>
      </c>
      <c r="K208" s="218"/>
      <c r="L208" s="38"/>
      <c r="M208" s="219" t="s">
        <v>1</v>
      </c>
      <c r="N208" s="220" t="s">
        <v>39</v>
      </c>
      <c r="O208" s="221">
        <v>0.25</v>
      </c>
      <c r="P208" s="221">
        <f>O208*H208</f>
        <v>0.5</v>
      </c>
      <c r="Q208" s="221">
        <v>0.0018400000000000001</v>
      </c>
      <c r="R208" s="221">
        <f>Q208*H208</f>
        <v>0.0036800000000000001</v>
      </c>
      <c r="S208" s="221">
        <v>0</v>
      </c>
      <c r="T208" s="222">
        <f>S208*H208</f>
        <v>0</v>
      </c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R208" s="223" t="s">
        <v>222</v>
      </c>
      <c r="AT208" s="223" t="s">
        <v>144</v>
      </c>
      <c r="AU208" s="223" t="s">
        <v>83</v>
      </c>
      <c r="AY208" s="17" t="s">
        <v>142</v>
      </c>
      <c r="BE208" s="224">
        <f>IF(N208="základní",J208,0)</f>
        <v>19220</v>
      </c>
      <c r="BF208" s="224">
        <f>IF(N208="snížená",J208,0)</f>
        <v>0</v>
      </c>
      <c r="BG208" s="224">
        <f>IF(N208="zákl. přenesená",J208,0)</f>
        <v>0</v>
      </c>
      <c r="BH208" s="224">
        <f>IF(N208="sníž. přenesená",J208,0)</f>
        <v>0</v>
      </c>
      <c r="BI208" s="224">
        <f>IF(N208="nulová",J208,0)</f>
        <v>0</v>
      </c>
      <c r="BJ208" s="17" t="s">
        <v>19</v>
      </c>
      <c r="BK208" s="224">
        <f>ROUND(I208*H208,2)</f>
        <v>19220</v>
      </c>
      <c r="BL208" s="17" t="s">
        <v>222</v>
      </c>
      <c r="BM208" s="223" t="s">
        <v>1184</v>
      </c>
    </row>
    <row r="209" s="2" customFormat="1" ht="24.15" customHeight="1">
      <c r="A209" s="32"/>
      <c r="B209" s="33"/>
      <c r="C209" s="212" t="s">
        <v>346</v>
      </c>
      <c r="D209" s="212" t="s">
        <v>144</v>
      </c>
      <c r="E209" s="213" t="s">
        <v>1185</v>
      </c>
      <c r="F209" s="214" t="s">
        <v>1186</v>
      </c>
      <c r="G209" s="215" t="s">
        <v>321</v>
      </c>
      <c r="H209" s="216">
        <v>1</v>
      </c>
      <c r="I209" s="217">
        <v>2850</v>
      </c>
      <c r="J209" s="217">
        <f>ROUND(I209*H209,2)</f>
        <v>2850</v>
      </c>
      <c r="K209" s="218"/>
      <c r="L209" s="38"/>
      <c r="M209" s="219" t="s">
        <v>1</v>
      </c>
      <c r="N209" s="220" t="s">
        <v>39</v>
      </c>
      <c r="O209" s="221">
        <v>0.40000000000000002</v>
      </c>
      <c r="P209" s="221">
        <f>O209*H209</f>
        <v>0.40000000000000002</v>
      </c>
      <c r="Q209" s="221">
        <v>0.0018400000000000001</v>
      </c>
      <c r="R209" s="221">
        <f>Q209*H209</f>
        <v>0.0018400000000000001</v>
      </c>
      <c r="S209" s="221">
        <v>0</v>
      </c>
      <c r="T209" s="222">
        <f>S209*H209</f>
        <v>0</v>
      </c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R209" s="223" t="s">
        <v>222</v>
      </c>
      <c r="AT209" s="223" t="s">
        <v>144</v>
      </c>
      <c r="AU209" s="223" t="s">
        <v>83</v>
      </c>
      <c r="AY209" s="17" t="s">
        <v>142</v>
      </c>
      <c r="BE209" s="224">
        <f>IF(N209="základní",J209,0)</f>
        <v>2850</v>
      </c>
      <c r="BF209" s="224">
        <f>IF(N209="snížená",J209,0)</f>
        <v>0</v>
      </c>
      <c r="BG209" s="224">
        <f>IF(N209="zákl. přenesená",J209,0)</f>
        <v>0</v>
      </c>
      <c r="BH209" s="224">
        <f>IF(N209="sníž. přenesená",J209,0)</f>
        <v>0</v>
      </c>
      <c r="BI209" s="224">
        <f>IF(N209="nulová",J209,0)</f>
        <v>0</v>
      </c>
      <c r="BJ209" s="17" t="s">
        <v>19</v>
      </c>
      <c r="BK209" s="224">
        <f>ROUND(I209*H209,2)</f>
        <v>2850</v>
      </c>
      <c r="BL209" s="17" t="s">
        <v>222</v>
      </c>
      <c r="BM209" s="223" t="s">
        <v>1187</v>
      </c>
    </row>
    <row r="210" s="2" customFormat="1" ht="21.75" customHeight="1">
      <c r="A210" s="32"/>
      <c r="B210" s="33"/>
      <c r="C210" s="212" t="s">
        <v>351</v>
      </c>
      <c r="D210" s="212" t="s">
        <v>144</v>
      </c>
      <c r="E210" s="213" t="s">
        <v>1188</v>
      </c>
      <c r="F210" s="214" t="s">
        <v>1189</v>
      </c>
      <c r="G210" s="215" t="s">
        <v>321</v>
      </c>
      <c r="H210" s="216">
        <v>2</v>
      </c>
      <c r="I210" s="217">
        <v>1060</v>
      </c>
      <c r="J210" s="217">
        <f>ROUND(I210*H210,2)</f>
        <v>2120</v>
      </c>
      <c r="K210" s="218"/>
      <c r="L210" s="38"/>
      <c r="M210" s="219" t="s">
        <v>1</v>
      </c>
      <c r="N210" s="220" t="s">
        <v>39</v>
      </c>
      <c r="O210" s="221">
        <v>0.20000000000000001</v>
      </c>
      <c r="P210" s="221">
        <f>O210*H210</f>
        <v>0.40000000000000002</v>
      </c>
      <c r="Q210" s="221">
        <v>0.0021099999999999999</v>
      </c>
      <c r="R210" s="221">
        <f>Q210*H210</f>
        <v>0.0042199999999999998</v>
      </c>
      <c r="S210" s="221">
        <v>0</v>
      </c>
      <c r="T210" s="222">
        <f>S210*H210</f>
        <v>0</v>
      </c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R210" s="223" t="s">
        <v>222</v>
      </c>
      <c r="AT210" s="223" t="s">
        <v>144</v>
      </c>
      <c r="AU210" s="223" t="s">
        <v>83</v>
      </c>
      <c r="AY210" s="17" t="s">
        <v>142</v>
      </c>
      <c r="BE210" s="224">
        <f>IF(N210="základní",J210,0)</f>
        <v>2120</v>
      </c>
      <c r="BF210" s="224">
        <f>IF(N210="snížená",J210,0)</f>
        <v>0</v>
      </c>
      <c r="BG210" s="224">
        <f>IF(N210="zákl. přenesená",J210,0)</f>
        <v>0</v>
      </c>
      <c r="BH210" s="224">
        <f>IF(N210="sníž. přenesená",J210,0)</f>
        <v>0</v>
      </c>
      <c r="BI210" s="224">
        <f>IF(N210="nulová",J210,0)</f>
        <v>0</v>
      </c>
      <c r="BJ210" s="17" t="s">
        <v>19</v>
      </c>
      <c r="BK210" s="224">
        <f>ROUND(I210*H210,2)</f>
        <v>2120</v>
      </c>
      <c r="BL210" s="17" t="s">
        <v>222</v>
      </c>
      <c r="BM210" s="223" t="s">
        <v>1190</v>
      </c>
    </row>
    <row r="211" s="12" customFormat="1" ht="22.8" customHeight="1">
      <c r="A211" s="12"/>
      <c r="B211" s="197"/>
      <c r="C211" s="198"/>
      <c r="D211" s="199" t="s">
        <v>73</v>
      </c>
      <c r="E211" s="210" t="s">
        <v>707</v>
      </c>
      <c r="F211" s="210" t="s">
        <v>708</v>
      </c>
      <c r="G211" s="198"/>
      <c r="H211" s="198"/>
      <c r="I211" s="198"/>
      <c r="J211" s="211">
        <f>BK211</f>
        <v>4083.4000000000001</v>
      </c>
      <c r="K211" s="198"/>
      <c r="L211" s="202"/>
      <c r="M211" s="203"/>
      <c r="N211" s="204"/>
      <c r="O211" s="204"/>
      <c r="P211" s="205">
        <f>SUM(P212:P213)</f>
        <v>0.16600000000000001</v>
      </c>
      <c r="Q211" s="204"/>
      <c r="R211" s="205">
        <f>SUM(R212:R213)</f>
        <v>0.002</v>
      </c>
      <c r="S211" s="204"/>
      <c r="T211" s="206">
        <f>SUM(T212:T213)</f>
        <v>0</v>
      </c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R211" s="207" t="s">
        <v>83</v>
      </c>
      <c r="AT211" s="208" t="s">
        <v>73</v>
      </c>
      <c r="AU211" s="208" t="s">
        <v>19</v>
      </c>
      <c r="AY211" s="207" t="s">
        <v>142</v>
      </c>
      <c r="BK211" s="209">
        <f>SUM(BK212:BK213)</f>
        <v>4083.4000000000001</v>
      </c>
    </row>
    <row r="212" s="2" customFormat="1" ht="16.5" customHeight="1">
      <c r="A212" s="32"/>
      <c r="B212" s="33"/>
      <c r="C212" s="212" t="s">
        <v>356</v>
      </c>
      <c r="D212" s="212" t="s">
        <v>144</v>
      </c>
      <c r="E212" s="213" t="s">
        <v>1191</v>
      </c>
      <c r="F212" s="214" t="s">
        <v>1192</v>
      </c>
      <c r="G212" s="215" t="s">
        <v>284</v>
      </c>
      <c r="H212" s="216">
        <v>2</v>
      </c>
      <c r="I212" s="217">
        <v>51.700000000000003</v>
      </c>
      <c r="J212" s="217">
        <f>ROUND(I212*H212,2)</f>
        <v>103.40000000000001</v>
      </c>
      <c r="K212" s="218"/>
      <c r="L212" s="38"/>
      <c r="M212" s="219" t="s">
        <v>1</v>
      </c>
      <c r="N212" s="220" t="s">
        <v>39</v>
      </c>
      <c r="O212" s="221">
        <v>0.083000000000000004</v>
      </c>
      <c r="P212" s="221">
        <f>O212*H212</f>
        <v>0.16600000000000001</v>
      </c>
      <c r="Q212" s="221">
        <v>0</v>
      </c>
      <c r="R212" s="221">
        <f>Q212*H212</f>
        <v>0</v>
      </c>
      <c r="S212" s="221">
        <v>0</v>
      </c>
      <c r="T212" s="222">
        <f>S212*H212</f>
        <v>0</v>
      </c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R212" s="223" t="s">
        <v>222</v>
      </c>
      <c r="AT212" s="223" t="s">
        <v>144</v>
      </c>
      <c r="AU212" s="223" t="s">
        <v>83</v>
      </c>
      <c r="AY212" s="17" t="s">
        <v>142</v>
      </c>
      <c r="BE212" s="224">
        <f>IF(N212="základní",J212,0)</f>
        <v>103.40000000000001</v>
      </c>
      <c r="BF212" s="224">
        <f>IF(N212="snížená",J212,0)</f>
        <v>0</v>
      </c>
      <c r="BG212" s="224">
        <f>IF(N212="zákl. přenesená",J212,0)</f>
        <v>0</v>
      </c>
      <c r="BH212" s="224">
        <f>IF(N212="sníž. přenesená",J212,0)</f>
        <v>0</v>
      </c>
      <c r="BI212" s="224">
        <f>IF(N212="nulová",J212,0)</f>
        <v>0</v>
      </c>
      <c r="BJ212" s="17" t="s">
        <v>19</v>
      </c>
      <c r="BK212" s="224">
        <f>ROUND(I212*H212,2)</f>
        <v>103.40000000000001</v>
      </c>
      <c r="BL212" s="17" t="s">
        <v>222</v>
      </c>
      <c r="BM212" s="223" t="s">
        <v>1193</v>
      </c>
    </row>
    <row r="213" s="2" customFormat="1" ht="21.75" customHeight="1">
      <c r="A213" s="32"/>
      <c r="B213" s="33"/>
      <c r="C213" s="258" t="s">
        <v>362</v>
      </c>
      <c r="D213" s="258" t="s">
        <v>475</v>
      </c>
      <c r="E213" s="259" t="s">
        <v>1194</v>
      </c>
      <c r="F213" s="260" t="s">
        <v>1195</v>
      </c>
      <c r="G213" s="261" t="s">
        <v>284</v>
      </c>
      <c r="H213" s="262">
        <v>2</v>
      </c>
      <c r="I213" s="263">
        <v>1990</v>
      </c>
      <c r="J213" s="263">
        <f>ROUND(I213*H213,2)</f>
        <v>3980</v>
      </c>
      <c r="K213" s="264"/>
      <c r="L213" s="265"/>
      <c r="M213" s="266" t="s">
        <v>1</v>
      </c>
      <c r="N213" s="267" t="s">
        <v>39</v>
      </c>
      <c r="O213" s="221">
        <v>0</v>
      </c>
      <c r="P213" s="221">
        <f>O213*H213</f>
        <v>0</v>
      </c>
      <c r="Q213" s="221">
        <v>0.001</v>
      </c>
      <c r="R213" s="221">
        <f>Q213*H213</f>
        <v>0.002</v>
      </c>
      <c r="S213" s="221">
        <v>0</v>
      </c>
      <c r="T213" s="222">
        <f>S213*H213</f>
        <v>0</v>
      </c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R213" s="223" t="s">
        <v>241</v>
      </c>
      <c r="AT213" s="223" t="s">
        <v>475</v>
      </c>
      <c r="AU213" s="223" t="s">
        <v>83</v>
      </c>
      <c r="AY213" s="17" t="s">
        <v>142</v>
      </c>
      <c r="BE213" s="224">
        <f>IF(N213="základní",J213,0)</f>
        <v>3980</v>
      </c>
      <c r="BF213" s="224">
        <f>IF(N213="snížená",J213,0)</f>
        <v>0</v>
      </c>
      <c r="BG213" s="224">
        <f>IF(N213="zákl. přenesená",J213,0)</f>
        <v>0</v>
      </c>
      <c r="BH213" s="224">
        <f>IF(N213="sníž. přenesená",J213,0)</f>
        <v>0</v>
      </c>
      <c r="BI213" s="224">
        <f>IF(N213="nulová",J213,0)</f>
        <v>0</v>
      </c>
      <c r="BJ213" s="17" t="s">
        <v>19</v>
      </c>
      <c r="BK213" s="224">
        <f>ROUND(I213*H213,2)</f>
        <v>3980</v>
      </c>
      <c r="BL213" s="17" t="s">
        <v>222</v>
      </c>
      <c r="BM213" s="223" t="s">
        <v>1196</v>
      </c>
    </row>
    <row r="214" s="12" customFormat="1" ht="25.92" customHeight="1">
      <c r="A214" s="12"/>
      <c r="B214" s="197"/>
      <c r="C214" s="198"/>
      <c r="D214" s="199" t="s">
        <v>73</v>
      </c>
      <c r="E214" s="200" t="s">
        <v>475</v>
      </c>
      <c r="F214" s="200" t="s">
        <v>1016</v>
      </c>
      <c r="G214" s="198"/>
      <c r="H214" s="198"/>
      <c r="I214" s="198"/>
      <c r="J214" s="201">
        <f>BK214</f>
        <v>20878.400000000001</v>
      </c>
      <c r="K214" s="198"/>
      <c r="L214" s="202"/>
      <c r="M214" s="203"/>
      <c r="N214" s="204"/>
      <c r="O214" s="204"/>
      <c r="P214" s="205">
        <f>P215</f>
        <v>10.228</v>
      </c>
      <c r="Q214" s="204"/>
      <c r="R214" s="205">
        <f>R215</f>
        <v>0.0087599999999999987</v>
      </c>
      <c r="S214" s="204"/>
      <c r="T214" s="206">
        <f>T215</f>
        <v>0</v>
      </c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R214" s="207" t="s">
        <v>98</v>
      </c>
      <c r="AT214" s="208" t="s">
        <v>73</v>
      </c>
      <c r="AU214" s="208" t="s">
        <v>74</v>
      </c>
      <c r="AY214" s="207" t="s">
        <v>142</v>
      </c>
      <c r="BK214" s="209">
        <f>BK215</f>
        <v>20878.400000000001</v>
      </c>
    </row>
    <row r="215" s="12" customFormat="1" ht="22.8" customHeight="1">
      <c r="A215" s="12"/>
      <c r="B215" s="197"/>
      <c r="C215" s="198"/>
      <c r="D215" s="199" t="s">
        <v>73</v>
      </c>
      <c r="E215" s="210" t="s">
        <v>1197</v>
      </c>
      <c r="F215" s="210" t="s">
        <v>1198</v>
      </c>
      <c r="G215" s="198"/>
      <c r="H215" s="198"/>
      <c r="I215" s="198"/>
      <c r="J215" s="211">
        <f>BK215</f>
        <v>20878.400000000001</v>
      </c>
      <c r="K215" s="198"/>
      <c r="L215" s="202"/>
      <c r="M215" s="203"/>
      <c r="N215" s="204"/>
      <c r="O215" s="204"/>
      <c r="P215" s="205">
        <f>SUM(P216:P219)</f>
        <v>10.228</v>
      </c>
      <c r="Q215" s="204"/>
      <c r="R215" s="205">
        <f>SUM(R216:R219)</f>
        <v>0.0087599999999999987</v>
      </c>
      <c r="S215" s="204"/>
      <c r="T215" s="206">
        <f>SUM(T216:T219)</f>
        <v>0</v>
      </c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R215" s="207" t="s">
        <v>98</v>
      </c>
      <c r="AT215" s="208" t="s">
        <v>73</v>
      </c>
      <c r="AU215" s="208" t="s">
        <v>19</v>
      </c>
      <c r="AY215" s="207" t="s">
        <v>142</v>
      </c>
      <c r="BK215" s="209">
        <f>SUM(BK216:BK219)</f>
        <v>20878.400000000001</v>
      </c>
    </row>
    <row r="216" s="2" customFormat="1" ht="21.75" customHeight="1">
      <c r="A216" s="32"/>
      <c r="B216" s="33"/>
      <c r="C216" s="212" t="s">
        <v>367</v>
      </c>
      <c r="D216" s="212" t="s">
        <v>144</v>
      </c>
      <c r="E216" s="213" t="s">
        <v>1199</v>
      </c>
      <c r="F216" s="214" t="s">
        <v>1200</v>
      </c>
      <c r="G216" s="215" t="s">
        <v>1201</v>
      </c>
      <c r="H216" s="216">
        <v>1</v>
      </c>
      <c r="I216" s="217">
        <v>3770</v>
      </c>
      <c r="J216" s="217">
        <f>ROUND(I216*H216,2)</f>
        <v>3770</v>
      </c>
      <c r="K216" s="218"/>
      <c r="L216" s="38"/>
      <c r="M216" s="219" t="s">
        <v>1</v>
      </c>
      <c r="N216" s="220" t="s">
        <v>39</v>
      </c>
      <c r="O216" s="221">
        <v>6.1600000000000001</v>
      </c>
      <c r="P216" s="221">
        <f>O216*H216</f>
        <v>6.1600000000000001</v>
      </c>
      <c r="Q216" s="221">
        <v>0</v>
      </c>
      <c r="R216" s="221">
        <f>Q216*H216</f>
        <v>0</v>
      </c>
      <c r="S216" s="221">
        <v>0</v>
      </c>
      <c r="T216" s="222">
        <f>S216*H216</f>
        <v>0</v>
      </c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R216" s="223" t="s">
        <v>454</v>
      </c>
      <c r="AT216" s="223" t="s">
        <v>144</v>
      </c>
      <c r="AU216" s="223" t="s">
        <v>83</v>
      </c>
      <c r="AY216" s="17" t="s">
        <v>142</v>
      </c>
      <c r="BE216" s="224">
        <f>IF(N216="základní",J216,0)</f>
        <v>3770</v>
      </c>
      <c r="BF216" s="224">
        <f>IF(N216="snížená",J216,0)</f>
        <v>0</v>
      </c>
      <c r="BG216" s="224">
        <f>IF(N216="zákl. přenesená",J216,0)</f>
        <v>0</v>
      </c>
      <c r="BH216" s="224">
        <f>IF(N216="sníž. přenesená",J216,0)</f>
        <v>0</v>
      </c>
      <c r="BI216" s="224">
        <f>IF(N216="nulová",J216,0)</f>
        <v>0</v>
      </c>
      <c r="BJ216" s="17" t="s">
        <v>19</v>
      </c>
      <c r="BK216" s="224">
        <f>ROUND(I216*H216,2)</f>
        <v>3770</v>
      </c>
      <c r="BL216" s="17" t="s">
        <v>454</v>
      </c>
      <c r="BM216" s="223" t="s">
        <v>1202</v>
      </c>
    </row>
    <row r="217" s="2" customFormat="1" ht="21.75" customHeight="1">
      <c r="A217" s="32"/>
      <c r="B217" s="33"/>
      <c r="C217" s="212" t="s">
        <v>371</v>
      </c>
      <c r="D217" s="212" t="s">
        <v>144</v>
      </c>
      <c r="E217" s="213" t="s">
        <v>1203</v>
      </c>
      <c r="F217" s="214" t="s">
        <v>1204</v>
      </c>
      <c r="G217" s="215" t="s">
        <v>326</v>
      </c>
      <c r="H217" s="216">
        <v>12</v>
      </c>
      <c r="I217" s="217">
        <v>572</v>
      </c>
      <c r="J217" s="217">
        <f>ROUND(I217*H217,2)</f>
        <v>6864</v>
      </c>
      <c r="K217" s="218"/>
      <c r="L217" s="38"/>
      <c r="M217" s="219" t="s">
        <v>1</v>
      </c>
      <c r="N217" s="220" t="s">
        <v>39</v>
      </c>
      <c r="O217" s="221">
        <v>0.32100000000000001</v>
      </c>
      <c r="P217" s="221">
        <f>O217*H217</f>
        <v>3.8520000000000003</v>
      </c>
      <c r="Q217" s="221">
        <v>3.0000000000000001E-05</v>
      </c>
      <c r="R217" s="221">
        <f>Q217*H217</f>
        <v>0.00036000000000000002</v>
      </c>
      <c r="S217" s="221">
        <v>0</v>
      </c>
      <c r="T217" s="222">
        <f>S217*H217</f>
        <v>0</v>
      </c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R217" s="223" t="s">
        <v>454</v>
      </c>
      <c r="AT217" s="223" t="s">
        <v>144</v>
      </c>
      <c r="AU217" s="223" t="s">
        <v>83</v>
      </c>
      <c r="AY217" s="17" t="s">
        <v>142</v>
      </c>
      <c r="BE217" s="224">
        <f>IF(N217="základní",J217,0)</f>
        <v>6864</v>
      </c>
      <c r="BF217" s="224">
        <f>IF(N217="snížená",J217,0)</f>
        <v>0</v>
      </c>
      <c r="BG217" s="224">
        <f>IF(N217="zákl. přenesená",J217,0)</f>
        <v>0</v>
      </c>
      <c r="BH217" s="224">
        <f>IF(N217="sníž. přenesená",J217,0)</f>
        <v>0</v>
      </c>
      <c r="BI217" s="224">
        <f>IF(N217="nulová",J217,0)</f>
        <v>0</v>
      </c>
      <c r="BJ217" s="17" t="s">
        <v>19</v>
      </c>
      <c r="BK217" s="224">
        <f>ROUND(I217*H217,2)</f>
        <v>6864</v>
      </c>
      <c r="BL217" s="17" t="s">
        <v>454</v>
      </c>
      <c r="BM217" s="223" t="s">
        <v>1205</v>
      </c>
    </row>
    <row r="218" s="2" customFormat="1" ht="21.75" customHeight="1">
      <c r="A218" s="32"/>
      <c r="B218" s="33"/>
      <c r="C218" s="258" t="s">
        <v>375</v>
      </c>
      <c r="D218" s="258" t="s">
        <v>475</v>
      </c>
      <c r="E218" s="259" t="s">
        <v>1206</v>
      </c>
      <c r="F218" s="260" t="s">
        <v>1207</v>
      </c>
      <c r="G218" s="261" t="s">
        <v>326</v>
      </c>
      <c r="H218" s="262">
        <v>12</v>
      </c>
      <c r="I218" s="263">
        <v>838</v>
      </c>
      <c r="J218" s="263">
        <f>ROUND(I218*H218,2)</f>
        <v>10056</v>
      </c>
      <c r="K218" s="264"/>
      <c r="L218" s="265"/>
      <c r="M218" s="266" t="s">
        <v>1</v>
      </c>
      <c r="N218" s="267" t="s">
        <v>39</v>
      </c>
      <c r="O218" s="221">
        <v>0</v>
      </c>
      <c r="P218" s="221">
        <f>O218*H218</f>
        <v>0</v>
      </c>
      <c r="Q218" s="221">
        <v>0.00069999999999999999</v>
      </c>
      <c r="R218" s="221">
        <f>Q218*H218</f>
        <v>0.0083999999999999995</v>
      </c>
      <c r="S218" s="221">
        <v>0</v>
      </c>
      <c r="T218" s="222">
        <f>S218*H218</f>
        <v>0</v>
      </c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R218" s="223" t="s">
        <v>895</v>
      </c>
      <c r="AT218" s="223" t="s">
        <v>475</v>
      </c>
      <c r="AU218" s="223" t="s">
        <v>83</v>
      </c>
      <c r="AY218" s="17" t="s">
        <v>142</v>
      </c>
      <c r="BE218" s="224">
        <f>IF(N218="základní",J218,0)</f>
        <v>10056</v>
      </c>
      <c r="BF218" s="224">
        <f>IF(N218="snížená",J218,0)</f>
        <v>0</v>
      </c>
      <c r="BG218" s="224">
        <f>IF(N218="zákl. přenesená",J218,0)</f>
        <v>0</v>
      </c>
      <c r="BH218" s="224">
        <f>IF(N218="sníž. přenesená",J218,0)</f>
        <v>0</v>
      </c>
      <c r="BI218" s="224">
        <f>IF(N218="nulová",J218,0)</f>
        <v>0</v>
      </c>
      <c r="BJ218" s="17" t="s">
        <v>19</v>
      </c>
      <c r="BK218" s="224">
        <f>ROUND(I218*H218,2)</f>
        <v>10056</v>
      </c>
      <c r="BL218" s="17" t="s">
        <v>895</v>
      </c>
      <c r="BM218" s="223" t="s">
        <v>1208</v>
      </c>
    </row>
    <row r="219" s="2" customFormat="1" ht="21.75" customHeight="1">
      <c r="A219" s="32"/>
      <c r="B219" s="33"/>
      <c r="C219" s="212" t="s">
        <v>379</v>
      </c>
      <c r="D219" s="212" t="s">
        <v>144</v>
      </c>
      <c r="E219" s="213" t="s">
        <v>1209</v>
      </c>
      <c r="F219" s="214" t="s">
        <v>1210</v>
      </c>
      <c r="G219" s="215" t="s">
        <v>326</v>
      </c>
      <c r="H219" s="216">
        <v>12</v>
      </c>
      <c r="I219" s="217">
        <v>15.699999999999999</v>
      </c>
      <c r="J219" s="217">
        <f>ROUND(I219*H219,2)</f>
        <v>188.40000000000001</v>
      </c>
      <c r="K219" s="218"/>
      <c r="L219" s="38"/>
      <c r="M219" s="275" t="s">
        <v>1</v>
      </c>
      <c r="N219" s="276" t="s">
        <v>39</v>
      </c>
      <c r="O219" s="273">
        <v>0.017999999999999999</v>
      </c>
      <c r="P219" s="273">
        <f>O219*H219</f>
        <v>0.21599999999999997</v>
      </c>
      <c r="Q219" s="273">
        <v>0</v>
      </c>
      <c r="R219" s="273">
        <f>Q219*H219</f>
        <v>0</v>
      </c>
      <c r="S219" s="273">
        <v>0</v>
      </c>
      <c r="T219" s="274">
        <f>S219*H219</f>
        <v>0</v>
      </c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R219" s="223" t="s">
        <v>454</v>
      </c>
      <c r="AT219" s="223" t="s">
        <v>144</v>
      </c>
      <c r="AU219" s="223" t="s">
        <v>83</v>
      </c>
      <c r="AY219" s="17" t="s">
        <v>142</v>
      </c>
      <c r="BE219" s="224">
        <f>IF(N219="základní",J219,0)</f>
        <v>188.40000000000001</v>
      </c>
      <c r="BF219" s="224">
        <f>IF(N219="snížená",J219,0)</f>
        <v>0</v>
      </c>
      <c r="BG219" s="224">
        <f>IF(N219="zákl. přenesená",J219,0)</f>
        <v>0</v>
      </c>
      <c r="BH219" s="224">
        <f>IF(N219="sníž. přenesená",J219,0)</f>
        <v>0</v>
      </c>
      <c r="BI219" s="224">
        <f>IF(N219="nulová",J219,0)</f>
        <v>0</v>
      </c>
      <c r="BJ219" s="17" t="s">
        <v>19</v>
      </c>
      <c r="BK219" s="224">
        <f>ROUND(I219*H219,2)</f>
        <v>188.40000000000001</v>
      </c>
      <c r="BL219" s="17" t="s">
        <v>454</v>
      </c>
      <c r="BM219" s="223" t="s">
        <v>1211</v>
      </c>
    </row>
    <row r="220" s="2" customFormat="1" ht="6.96" customHeight="1">
      <c r="A220" s="32"/>
      <c r="B220" s="59"/>
      <c r="C220" s="60"/>
      <c r="D220" s="60"/>
      <c r="E220" s="60"/>
      <c r="F220" s="60"/>
      <c r="G220" s="60"/>
      <c r="H220" s="60"/>
      <c r="I220" s="60"/>
      <c r="J220" s="60"/>
      <c r="K220" s="60"/>
      <c r="L220" s="38"/>
      <c r="M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</sheetData>
  <sheetProtection sheet="1" autoFilter="0" formatColumns="0" formatRows="0" objects="1" scenarios="1" spinCount="100000" saltValue="QBYMXvbruvCv1B9tXqugskJkJPgJnqvXsHVCqcpKUW6fXcezivsiocFw2UW1x7kg5bwqHry6zdHF+Jpw+Ub+SA==" hashValue="lh5H/TofmY/fjlpzQQ2G1sXFk/yX9GXOhV7Lj3e9hD57jeurLLtdpLScyLdzVeakhJKN3snsCrvRgt6qCg/+5A==" algorithmName="SHA-512" password="CC35"/>
  <autoFilter ref="C129:K219"/>
  <mergeCells count="9">
    <mergeCell ref="E7:H7"/>
    <mergeCell ref="E9:H9"/>
    <mergeCell ref="E18:H18"/>
    <mergeCell ref="E27:H27"/>
    <mergeCell ref="E85:H85"/>
    <mergeCell ref="E87:H87"/>
    <mergeCell ref="E120:H120"/>
    <mergeCell ref="E122:H122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1">
      <c r="A1" s="22"/>
    </row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7" t="s">
        <v>93</v>
      </c>
    </row>
    <row r="3" s="1" customFormat="1" ht="6.96" customHeight="1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20"/>
      <c r="AT3" s="17" t="s">
        <v>83</v>
      </c>
    </row>
    <row r="4" s="1" customFormat="1" ht="24.96" customHeight="1">
      <c r="B4" s="20"/>
      <c r="D4" s="132" t="s">
        <v>102</v>
      </c>
      <c r="L4" s="20"/>
      <c r="M4" s="133" t="s">
        <v>10</v>
      </c>
      <c r="AT4" s="17" t="s">
        <v>4</v>
      </c>
    </row>
    <row r="5" s="1" customFormat="1" ht="6.96" customHeight="1">
      <c r="B5" s="20"/>
      <c r="L5" s="20"/>
    </row>
    <row r="6" s="1" customFormat="1" ht="12" customHeight="1">
      <c r="B6" s="20"/>
      <c r="D6" s="134" t="s">
        <v>14</v>
      </c>
      <c r="L6" s="20"/>
    </row>
    <row r="7" s="1" customFormat="1" ht="16.5" customHeight="1">
      <c r="B7" s="20"/>
      <c r="E7" s="135" t="str">
        <f>'Rekapitulace stavby'!K6</f>
        <v>RD Valcha SO1+ SO2</v>
      </c>
      <c r="F7" s="134"/>
      <c r="G7" s="134"/>
      <c r="H7" s="134"/>
      <c r="L7" s="20"/>
    </row>
    <row r="8" s="2" customFormat="1" ht="12" customHeight="1">
      <c r="A8" s="32"/>
      <c r="B8" s="38"/>
      <c r="C8" s="32"/>
      <c r="D8" s="134" t="s">
        <v>103</v>
      </c>
      <c r="E8" s="32"/>
      <c r="F8" s="32"/>
      <c r="G8" s="32"/>
      <c r="H8" s="32"/>
      <c r="I8" s="32"/>
      <c r="J8" s="32"/>
      <c r="K8" s="32"/>
      <c r="L8" s="56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="2" customFormat="1" ht="16.5" customHeight="1">
      <c r="A9" s="32"/>
      <c r="B9" s="38"/>
      <c r="C9" s="32"/>
      <c r="D9" s="32"/>
      <c r="E9" s="136" t="s">
        <v>1212</v>
      </c>
      <c r="F9" s="32"/>
      <c r="G9" s="32"/>
      <c r="H9" s="32"/>
      <c r="I9" s="32"/>
      <c r="J9" s="32"/>
      <c r="K9" s="32"/>
      <c r="L9" s="56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="2" customFormat="1">
      <c r="A10" s="32"/>
      <c r="B10" s="38"/>
      <c r="C10" s="32"/>
      <c r="D10" s="32"/>
      <c r="E10" s="32"/>
      <c r="F10" s="32"/>
      <c r="G10" s="32"/>
      <c r="H10" s="32"/>
      <c r="I10" s="32"/>
      <c r="J10" s="32"/>
      <c r="K10" s="32"/>
      <c r="L10" s="56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="2" customFormat="1" ht="12" customHeight="1">
      <c r="A11" s="32"/>
      <c r="B11" s="38"/>
      <c r="C11" s="32"/>
      <c r="D11" s="134" t="s">
        <v>17</v>
      </c>
      <c r="E11" s="32"/>
      <c r="F11" s="137" t="s">
        <v>1</v>
      </c>
      <c r="G11" s="32"/>
      <c r="H11" s="32"/>
      <c r="I11" s="134" t="s">
        <v>18</v>
      </c>
      <c r="J11" s="137" t="s">
        <v>1</v>
      </c>
      <c r="K11" s="32"/>
      <c r="L11" s="56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="2" customFormat="1" ht="12" customHeight="1">
      <c r="A12" s="32"/>
      <c r="B12" s="38"/>
      <c r="C12" s="32"/>
      <c r="D12" s="134" t="s">
        <v>20</v>
      </c>
      <c r="E12" s="32"/>
      <c r="F12" s="137" t="s">
        <v>21</v>
      </c>
      <c r="G12" s="32"/>
      <c r="H12" s="32"/>
      <c r="I12" s="134" t="s">
        <v>22</v>
      </c>
      <c r="J12" s="138" t="str">
        <f>'Rekapitulace stavby'!AN8</f>
        <v>8. 9. 2025</v>
      </c>
      <c r="K12" s="32"/>
      <c r="L12" s="56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="2" customFormat="1" ht="10.8" customHeight="1">
      <c r="A13" s="32"/>
      <c r="B13" s="38"/>
      <c r="C13" s="32"/>
      <c r="D13" s="32"/>
      <c r="E13" s="32"/>
      <c r="F13" s="32"/>
      <c r="G13" s="32"/>
      <c r="H13" s="32"/>
      <c r="I13" s="32"/>
      <c r="J13" s="32"/>
      <c r="K13" s="32"/>
      <c r="L13" s="56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="2" customFormat="1" ht="12" customHeight="1">
      <c r="A14" s="32"/>
      <c r="B14" s="38"/>
      <c r="C14" s="32"/>
      <c r="D14" s="134" t="s">
        <v>26</v>
      </c>
      <c r="E14" s="32"/>
      <c r="F14" s="32"/>
      <c r="G14" s="32"/>
      <c r="H14" s="32"/>
      <c r="I14" s="134" t="s">
        <v>27</v>
      </c>
      <c r="J14" s="137" t="str">
        <f>IF('Rekapitulace stavby'!AN10="","",'Rekapitulace stavby'!AN10)</f>
        <v/>
      </c>
      <c r="K14" s="32"/>
      <c r="L14" s="5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="2" customFormat="1" ht="18" customHeight="1">
      <c r="A15" s="32"/>
      <c r="B15" s="38"/>
      <c r="C15" s="32"/>
      <c r="D15" s="32"/>
      <c r="E15" s="137" t="str">
        <f>IF('Rekapitulace stavby'!E11="","",'Rekapitulace stavby'!E11)</f>
        <v xml:space="preserve"> </v>
      </c>
      <c r="F15" s="32"/>
      <c r="G15" s="32"/>
      <c r="H15" s="32"/>
      <c r="I15" s="134" t="s">
        <v>28</v>
      </c>
      <c r="J15" s="137" t="str">
        <f>IF('Rekapitulace stavby'!AN11="","",'Rekapitulace stavby'!AN11)</f>
        <v/>
      </c>
      <c r="K15" s="32"/>
      <c r="L15" s="56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="2" customFormat="1" ht="6.96" customHeight="1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56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="2" customFormat="1" ht="12" customHeight="1">
      <c r="A17" s="32"/>
      <c r="B17" s="38"/>
      <c r="C17" s="32"/>
      <c r="D17" s="134" t="s">
        <v>29</v>
      </c>
      <c r="E17" s="32"/>
      <c r="F17" s="32"/>
      <c r="G17" s="32"/>
      <c r="H17" s="32"/>
      <c r="I17" s="134" t="s">
        <v>27</v>
      </c>
      <c r="J17" s="137" t="str">
        <f>'Rekapitulace stavby'!AN13</f>
        <v/>
      </c>
      <c r="K17" s="32"/>
      <c r="L17" s="56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="2" customFormat="1" ht="18" customHeight="1">
      <c r="A18" s="32"/>
      <c r="B18" s="38"/>
      <c r="C18" s="32"/>
      <c r="D18" s="32"/>
      <c r="E18" s="137" t="str">
        <f>'Rekapitulace stavby'!E14</f>
        <v xml:space="preserve"> </v>
      </c>
      <c r="F18" s="137"/>
      <c r="G18" s="137"/>
      <c r="H18" s="137"/>
      <c r="I18" s="134" t="s">
        <v>28</v>
      </c>
      <c r="J18" s="137" t="str">
        <f>'Rekapitulace stavby'!AN14</f>
        <v/>
      </c>
      <c r="K18" s="32"/>
      <c r="L18" s="56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="2" customFormat="1" ht="6.96" customHeight="1">
      <c r="A19" s="32"/>
      <c r="B19" s="38"/>
      <c r="C19" s="32"/>
      <c r="D19" s="32"/>
      <c r="E19" s="32"/>
      <c r="F19" s="32"/>
      <c r="G19" s="32"/>
      <c r="H19" s="32"/>
      <c r="I19" s="32"/>
      <c r="J19" s="32"/>
      <c r="K19" s="32"/>
      <c r="L19" s="56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="2" customFormat="1" ht="12" customHeight="1">
      <c r="A20" s="32"/>
      <c r="B20" s="38"/>
      <c r="C20" s="32"/>
      <c r="D20" s="134" t="s">
        <v>30</v>
      </c>
      <c r="E20" s="32"/>
      <c r="F20" s="32"/>
      <c r="G20" s="32"/>
      <c r="H20" s="32"/>
      <c r="I20" s="134" t="s">
        <v>27</v>
      </c>
      <c r="J20" s="137" t="str">
        <f>IF('Rekapitulace stavby'!AN16="","",'Rekapitulace stavby'!AN16)</f>
        <v/>
      </c>
      <c r="K20" s="32"/>
      <c r="L20" s="56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="2" customFormat="1" ht="18" customHeight="1">
      <c r="A21" s="32"/>
      <c r="B21" s="38"/>
      <c r="C21" s="32"/>
      <c r="D21" s="32"/>
      <c r="E21" s="137" t="str">
        <f>IF('Rekapitulace stavby'!E17="","",'Rekapitulace stavby'!E17)</f>
        <v xml:space="preserve"> </v>
      </c>
      <c r="F21" s="32"/>
      <c r="G21" s="32"/>
      <c r="H21" s="32"/>
      <c r="I21" s="134" t="s">
        <v>28</v>
      </c>
      <c r="J21" s="137" t="str">
        <f>IF('Rekapitulace stavby'!AN17="","",'Rekapitulace stavby'!AN17)</f>
        <v/>
      </c>
      <c r="K21" s="32"/>
      <c r="L21" s="56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="2" customFormat="1" ht="6.96" customHeight="1">
      <c r="A22" s="32"/>
      <c r="B22" s="38"/>
      <c r="C22" s="32"/>
      <c r="D22" s="32"/>
      <c r="E22" s="32"/>
      <c r="F22" s="32"/>
      <c r="G22" s="32"/>
      <c r="H22" s="32"/>
      <c r="I22" s="32"/>
      <c r="J22" s="32"/>
      <c r="K22" s="32"/>
      <c r="L22" s="56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s="2" customFormat="1" ht="12" customHeight="1">
      <c r="A23" s="32"/>
      <c r="B23" s="38"/>
      <c r="C23" s="32"/>
      <c r="D23" s="134" t="s">
        <v>31</v>
      </c>
      <c r="E23" s="32"/>
      <c r="F23" s="32"/>
      <c r="G23" s="32"/>
      <c r="H23" s="32"/>
      <c r="I23" s="134" t="s">
        <v>27</v>
      </c>
      <c r="J23" s="137" t="str">
        <f>IF('Rekapitulace stavby'!AN19="","",'Rekapitulace stavby'!AN19)</f>
        <v/>
      </c>
      <c r="K23" s="32"/>
      <c r="L23" s="56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="2" customFormat="1" ht="18" customHeight="1">
      <c r="A24" s="32"/>
      <c r="B24" s="38"/>
      <c r="C24" s="32"/>
      <c r="D24" s="32"/>
      <c r="E24" s="137" t="str">
        <f>IF('Rekapitulace stavby'!E20="","",'Rekapitulace stavby'!E20)</f>
        <v xml:space="preserve"> </v>
      </c>
      <c r="F24" s="32"/>
      <c r="G24" s="32"/>
      <c r="H24" s="32"/>
      <c r="I24" s="134" t="s">
        <v>28</v>
      </c>
      <c r="J24" s="137" t="str">
        <f>IF('Rekapitulace stavby'!AN20="","",'Rekapitulace stavby'!AN20)</f>
        <v/>
      </c>
      <c r="K24" s="32"/>
      <c r="L24" s="56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="2" customFormat="1" ht="6.96" customHeight="1">
      <c r="A25" s="32"/>
      <c r="B25" s="38"/>
      <c r="C25" s="32"/>
      <c r="D25" s="32"/>
      <c r="E25" s="32"/>
      <c r="F25" s="32"/>
      <c r="G25" s="32"/>
      <c r="H25" s="32"/>
      <c r="I25" s="32"/>
      <c r="J25" s="32"/>
      <c r="K25" s="32"/>
      <c r="L25" s="56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="2" customFormat="1" ht="12" customHeight="1">
      <c r="A26" s="32"/>
      <c r="B26" s="38"/>
      <c r="C26" s="32"/>
      <c r="D26" s="134" t="s">
        <v>33</v>
      </c>
      <c r="E26" s="32"/>
      <c r="F26" s="32"/>
      <c r="G26" s="32"/>
      <c r="H26" s="32"/>
      <c r="I26" s="32"/>
      <c r="J26" s="32"/>
      <c r="K26" s="32"/>
      <c r="L26" s="56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="8" customFormat="1" ht="16.5" customHeight="1">
      <c r="A27" s="139"/>
      <c r="B27" s="140"/>
      <c r="C27" s="139"/>
      <c r="D27" s="139"/>
      <c r="E27" s="141" t="s">
        <v>1</v>
      </c>
      <c r="F27" s="141"/>
      <c r="G27" s="141"/>
      <c r="H27" s="141"/>
      <c r="I27" s="139"/>
      <c r="J27" s="139"/>
      <c r="K27" s="139"/>
      <c r="L27" s="142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 s="2" customFormat="1" ht="6.96" customHeight="1">
      <c r="A28" s="32"/>
      <c r="B28" s="38"/>
      <c r="C28" s="32"/>
      <c r="D28" s="32"/>
      <c r="E28" s="32"/>
      <c r="F28" s="32"/>
      <c r="G28" s="32"/>
      <c r="H28" s="32"/>
      <c r="I28" s="32"/>
      <c r="J28" s="32"/>
      <c r="K28" s="32"/>
      <c r="L28" s="56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="2" customFormat="1" ht="6.96" customHeight="1">
      <c r="A29" s="32"/>
      <c r="B29" s="38"/>
      <c r="C29" s="32"/>
      <c r="D29" s="143"/>
      <c r="E29" s="143"/>
      <c r="F29" s="143"/>
      <c r="G29" s="143"/>
      <c r="H29" s="143"/>
      <c r="I29" s="143"/>
      <c r="J29" s="143"/>
      <c r="K29" s="143"/>
      <c r="L29" s="56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="2" customFormat="1" ht="25.44" customHeight="1">
      <c r="A30" s="32"/>
      <c r="B30" s="38"/>
      <c r="C30" s="32"/>
      <c r="D30" s="144" t="s">
        <v>34</v>
      </c>
      <c r="E30" s="32"/>
      <c r="F30" s="32"/>
      <c r="G30" s="32"/>
      <c r="H30" s="32"/>
      <c r="I30" s="32"/>
      <c r="J30" s="145">
        <f>ROUND(J120, 2)</f>
        <v>99162.779999999999</v>
      </c>
      <c r="K30" s="32"/>
      <c r="L30" s="56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s="2" customFormat="1" ht="6.96" customHeight="1">
      <c r="A31" s="32"/>
      <c r="B31" s="38"/>
      <c r="C31" s="32"/>
      <c r="D31" s="143"/>
      <c r="E31" s="143"/>
      <c r="F31" s="143"/>
      <c r="G31" s="143"/>
      <c r="H31" s="143"/>
      <c r="I31" s="143"/>
      <c r="J31" s="143"/>
      <c r="K31" s="143"/>
      <c r="L31" s="56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s="2" customFormat="1" ht="14.4" customHeight="1">
      <c r="A32" s="32"/>
      <c r="B32" s="38"/>
      <c r="C32" s="32"/>
      <c r="D32" s="32"/>
      <c r="E32" s="32"/>
      <c r="F32" s="146" t="s">
        <v>36</v>
      </c>
      <c r="G32" s="32"/>
      <c r="H32" s="32"/>
      <c r="I32" s="146" t="s">
        <v>35</v>
      </c>
      <c r="J32" s="146" t="s">
        <v>37</v>
      </c>
      <c r="K32" s="32"/>
      <c r="L32" s="56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s="2" customFormat="1" ht="14.4" customHeight="1">
      <c r="A33" s="32"/>
      <c r="B33" s="38"/>
      <c r="C33" s="32"/>
      <c r="D33" s="147" t="s">
        <v>38</v>
      </c>
      <c r="E33" s="134" t="s">
        <v>39</v>
      </c>
      <c r="F33" s="148">
        <f>ROUND((SUM(BE120:BE146)),  2)</f>
        <v>99162.779999999999</v>
      </c>
      <c r="G33" s="32"/>
      <c r="H33" s="32"/>
      <c r="I33" s="149">
        <v>0.20999999999999999</v>
      </c>
      <c r="J33" s="148">
        <f>ROUND(((SUM(BE120:BE146))*I33),  2)</f>
        <v>20824.18</v>
      </c>
      <c r="K33" s="32"/>
      <c r="L33" s="56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="2" customFormat="1" ht="14.4" customHeight="1">
      <c r="A34" s="32"/>
      <c r="B34" s="38"/>
      <c r="C34" s="32"/>
      <c r="D34" s="32"/>
      <c r="E34" s="134" t="s">
        <v>40</v>
      </c>
      <c r="F34" s="148">
        <f>ROUND((SUM(BF120:BF146)),  2)</f>
        <v>0</v>
      </c>
      <c r="G34" s="32"/>
      <c r="H34" s="32"/>
      <c r="I34" s="149">
        <v>0.12</v>
      </c>
      <c r="J34" s="148">
        <f>ROUND(((SUM(BF120:BF146))*I34),  2)</f>
        <v>0</v>
      </c>
      <c r="K34" s="32"/>
      <c r="L34" s="56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idden="1" s="2" customFormat="1" ht="14.4" customHeight="1">
      <c r="A35" s="32"/>
      <c r="B35" s="38"/>
      <c r="C35" s="32"/>
      <c r="D35" s="32"/>
      <c r="E35" s="134" t="s">
        <v>41</v>
      </c>
      <c r="F35" s="148">
        <f>ROUND((SUM(BG120:BG146)),  2)</f>
        <v>0</v>
      </c>
      <c r="G35" s="32"/>
      <c r="H35" s="32"/>
      <c r="I35" s="149">
        <v>0.20999999999999999</v>
      </c>
      <c r="J35" s="148">
        <f>0</f>
        <v>0</v>
      </c>
      <c r="K35" s="32"/>
      <c r="L35" s="56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idden="1" s="2" customFormat="1" ht="14.4" customHeight="1">
      <c r="A36" s="32"/>
      <c r="B36" s="38"/>
      <c r="C36" s="32"/>
      <c r="D36" s="32"/>
      <c r="E36" s="134" t="s">
        <v>42</v>
      </c>
      <c r="F36" s="148">
        <f>ROUND((SUM(BH120:BH146)),  2)</f>
        <v>0</v>
      </c>
      <c r="G36" s="32"/>
      <c r="H36" s="32"/>
      <c r="I36" s="149">
        <v>0.12</v>
      </c>
      <c r="J36" s="148">
        <f>0</f>
        <v>0</v>
      </c>
      <c r="K36" s="32"/>
      <c r="L36" s="56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idden="1" s="2" customFormat="1" ht="14.4" customHeight="1">
      <c r="A37" s="32"/>
      <c r="B37" s="38"/>
      <c r="C37" s="32"/>
      <c r="D37" s="32"/>
      <c r="E37" s="134" t="s">
        <v>43</v>
      </c>
      <c r="F37" s="148">
        <f>ROUND((SUM(BI120:BI146)),  2)</f>
        <v>0</v>
      </c>
      <c r="G37" s="32"/>
      <c r="H37" s="32"/>
      <c r="I37" s="149">
        <v>0</v>
      </c>
      <c r="J37" s="148">
        <f>0</f>
        <v>0</v>
      </c>
      <c r="K37" s="32"/>
      <c r="L37" s="56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="2" customFormat="1" ht="6.96" customHeight="1">
      <c r="A38" s="32"/>
      <c r="B38" s="38"/>
      <c r="C38" s="32"/>
      <c r="D38" s="32"/>
      <c r="E38" s="32"/>
      <c r="F38" s="32"/>
      <c r="G38" s="32"/>
      <c r="H38" s="32"/>
      <c r="I38" s="32"/>
      <c r="J38" s="32"/>
      <c r="K38" s="32"/>
      <c r="L38" s="56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="2" customFormat="1" ht="25.44" customHeight="1">
      <c r="A39" s="32"/>
      <c r="B39" s="38"/>
      <c r="C39" s="150"/>
      <c r="D39" s="151" t="s">
        <v>44</v>
      </c>
      <c r="E39" s="152"/>
      <c r="F39" s="152"/>
      <c r="G39" s="153" t="s">
        <v>45</v>
      </c>
      <c r="H39" s="154" t="s">
        <v>46</v>
      </c>
      <c r="I39" s="152"/>
      <c r="J39" s="155">
        <f>SUM(J30:J37)</f>
        <v>119986.95999999999</v>
      </c>
      <c r="K39" s="156"/>
      <c r="L39" s="56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="2" customFormat="1" ht="14.4" customHeight="1">
      <c r="A40" s="32"/>
      <c r="B40" s="38"/>
      <c r="C40" s="32"/>
      <c r="D40" s="32"/>
      <c r="E40" s="32"/>
      <c r="F40" s="32"/>
      <c r="G40" s="32"/>
      <c r="H40" s="32"/>
      <c r="I40" s="32"/>
      <c r="J40" s="32"/>
      <c r="K40" s="32"/>
      <c r="L40" s="56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="1" customFormat="1" ht="14.4" customHeight="1">
      <c r="B41" s="20"/>
      <c r="L41" s="20"/>
    </row>
    <row r="42" s="1" customFormat="1" ht="14.4" customHeight="1">
      <c r="B42" s="20"/>
      <c r="L42" s="20"/>
    </row>
    <row r="43" s="1" customFormat="1" ht="14.4" customHeight="1">
      <c r="B43" s="20"/>
      <c r="L43" s="20"/>
    </row>
    <row r="44" s="1" customFormat="1" ht="14.4" customHeight="1">
      <c r="B44" s="20"/>
      <c r="L44" s="20"/>
    </row>
    <row r="45" s="1" customFormat="1" ht="14.4" customHeight="1">
      <c r="B45" s="20"/>
      <c r="L45" s="20"/>
    </row>
    <row r="46" s="1" customFormat="1" ht="14.4" customHeight="1">
      <c r="B46" s="20"/>
      <c r="L46" s="20"/>
    </row>
    <row r="47" s="1" customFormat="1" ht="14.4" customHeight="1">
      <c r="B47" s="20"/>
      <c r="L47" s="20"/>
    </row>
    <row r="48" s="1" customFormat="1" ht="14.4" customHeight="1">
      <c r="B48" s="20"/>
      <c r="L48" s="20"/>
    </row>
    <row r="49" s="1" customFormat="1" ht="14.4" customHeight="1">
      <c r="B49" s="20"/>
      <c r="L49" s="20"/>
    </row>
    <row r="50" s="2" customFormat="1" ht="14.4" customHeight="1">
      <c r="B50" s="56"/>
      <c r="D50" s="157" t="s">
        <v>47</v>
      </c>
      <c r="E50" s="158"/>
      <c r="F50" s="158"/>
      <c r="G50" s="157" t="s">
        <v>48</v>
      </c>
      <c r="H50" s="158"/>
      <c r="I50" s="158"/>
      <c r="J50" s="158"/>
      <c r="K50" s="158"/>
      <c r="L50" s="56"/>
    </row>
    <row r="51">
      <c r="B51" s="20"/>
      <c r="L51" s="20"/>
    </row>
    <row r="52">
      <c r="B52" s="20"/>
      <c r="L52" s="20"/>
    </row>
    <row r="53">
      <c r="B53" s="20"/>
      <c r="L53" s="20"/>
    </row>
    <row r="54">
      <c r="B54" s="20"/>
      <c r="L54" s="20"/>
    </row>
    <row r="55">
      <c r="B55" s="20"/>
      <c r="L55" s="20"/>
    </row>
    <row r="56">
      <c r="B56" s="20"/>
      <c r="L56" s="20"/>
    </row>
    <row r="57">
      <c r="B57" s="20"/>
      <c r="L57" s="20"/>
    </row>
    <row r="58">
      <c r="B58" s="20"/>
      <c r="L58" s="20"/>
    </row>
    <row r="59">
      <c r="B59" s="20"/>
      <c r="L59" s="20"/>
    </row>
    <row r="60">
      <c r="B60" s="20"/>
      <c r="L60" s="20"/>
    </row>
    <row r="61" s="2" customFormat="1">
      <c r="A61" s="32"/>
      <c r="B61" s="38"/>
      <c r="C61" s="32"/>
      <c r="D61" s="159" t="s">
        <v>49</v>
      </c>
      <c r="E61" s="160"/>
      <c r="F61" s="161" t="s">
        <v>50</v>
      </c>
      <c r="G61" s="159" t="s">
        <v>49</v>
      </c>
      <c r="H61" s="160"/>
      <c r="I61" s="160"/>
      <c r="J61" s="162" t="s">
        <v>50</v>
      </c>
      <c r="K61" s="160"/>
      <c r="L61" s="5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>
      <c r="B62" s="20"/>
      <c r="L62" s="20"/>
    </row>
    <row r="63">
      <c r="B63" s="20"/>
      <c r="L63" s="20"/>
    </row>
    <row r="64">
      <c r="B64" s="20"/>
      <c r="L64" s="20"/>
    </row>
    <row r="65" s="2" customFormat="1">
      <c r="A65" s="32"/>
      <c r="B65" s="38"/>
      <c r="C65" s="32"/>
      <c r="D65" s="157" t="s">
        <v>51</v>
      </c>
      <c r="E65" s="163"/>
      <c r="F65" s="163"/>
      <c r="G65" s="157" t="s">
        <v>52</v>
      </c>
      <c r="H65" s="163"/>
      <c r="I65" s="163"/>
      <c r="J65" s="163"/>
      <c r="K65" s="163"/>
      <c r="L65" s="5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>
      <c r="B66" s="20"/>
      <c r="L66" s="20"/>
    </row>
    <row r="67">
      <c r="B67" s="20"/>
      <c r="L67" s="20"/>
    </row>
    <row r="68">
      <c r="B68" s="20"/>
      <c r="L68" s="20"/>
    </row>
    <row r="69">
      <c r="B69" s="20"/>
      <c r="L69" s="20"/>
    </row>
    <row r="70">
      <c r="B70" s="20"/>
      <c r="L70" s="20"/>
    </row>
    <row r="71">
      <c r="B71" s="20"/>
      <c r="L71" s="20"/>
    </row>
    <row r="72">
      <c r="B72" s="20"/>
      <c r="L72" s="20"/>
    </row>
    <row r="73">
      <c r="B73" s="20"/>
      <c r="L73" s="20"/>
    </row>
    <row r="74">
      <c r="B74" s="20"/>
      <c r="L74" s="20"/>
    </row>
    <row r="75">
      <c r="B75" s="20"/>
      <c r="L75" s="20"/>
    </row>
    <row r="76" s="2" customFormat="1">
      <c r="A76" s="32"/>
      <c r="B76" s="38"/>
      <c r="C76" s="32"/>
      <c r="D76" s="159" t="s">
        <v>49</v>
      </c>
      <c r="E76" s="160"/>
      <c r="F76" s="161" t="s">
        <v>50</v>
      </c>
      <c r="G76" s="159" t="s">
        <v>49</v>
      </c>
      <c r="H76" s="160"/>
      <c r="I76" s="160"/>
      <c r="J76" s="162" t="s">
        <v>50</v>
      </c>
      <c r="K76" s="160"/>
      <c r="L76" s="5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s="2" customFormat="1" ht="14.4" customHeight="1">
      <c r="A77" s="32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5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81" s="2" customFormat="1" ht="6.96" customHeight="1">
      <c r="A81" s="32"/>
      <c r="B81" s="166"/>
      <c r="C81" s="167"/>
      <c r="D81" s="167"/>
      <c r="E81" s="167"/>
      <c r="F81" s="167"/>
      <c r="G81" s="167"/>
      <c r="H81" s="167"/>
      <c r="I81" s="167"/>
      <c r="J81" s="167"/>
      <c r="K81" s="167"/>
      <c r="L81" s="5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s="2" customFormat="1" ht="24.96" customHeight="1">
      <c r="A82" s="32"/>
      <c r="B82" s="33"/>
      <c r="C82" s="23" t="s">
        <v>105</v>
      </c>
      <c r="D82" s="34"/>
      <c r="E82" s="34"/>
      <c r="F82" s="34"/>
      <c r="G82" s="34"/>
      <c r="H82" s="34"/>
      <c r="I82" s="34"/>
      <c r="J82" s="34"/>
      <c r="K82" s="34"/>
      <c r="L82" s="5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s="2" customFormat="1" ht="6.96" customHeight="1">
      <c r="A83" s="32"/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5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s="2" customFormat="1" ht="12" customHeight="1">
      <c r="A84" s="32"/>
      <c r="B84" s="33"/>
      <c r="C84" s="29" t="s">
        <v>14</v>
      </c>
      <c r="D84" s="34"/>
      <c r="E84" s="34"/>
      <c r="F84" s="34"/>
      <c r="G84" s="34"/>
      <c r="H84" s="34"/>
      <c r="I84" s="34"/>
      <c r="J84" s="34"/>
      <c r="K84" s="34"/>
      <c r="L84" s="5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s="2" customFormat="1" ht="16.5" customHeight="1">
      <c r="A85" s="32"/>
      <c r="B85" s="33"/>
      <c r="C85" s="34"/>
      <c r="D85" s="34"/>
      <c r="E85" s="168" t="str">
        <f>E7</f>
        <v>RD Valcha SO1+ SO2</v>
      </c>
      <c r="F85" s="29"/>
      <c r="G85" s="29"/>
      <c r="H85" s="29"/>
      <c r="I85" s="34"/>
      <c r="J85" s="34"/>
      <c r="K85" s="34"/>
      <c r="L85" s="5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s="2" customFormat="1" ht="12" customHeight="1">
      <c r="A86" s="32"/>
      <c r="B86" s="33"/>
      <c r="C86" s="29" t="s">
        <v>103</v>
      </c>
      <c r="D86" s="34"/>
      <c r="E86" s="34"/>
      <c r="F86" s="34"/>
      <c r="G86" s="34"/>
      <c r="H86" s="34"/>
      <c r="I86" s="34"/>
      <c r="J86" s="34"/>
      <c r="K86" s="34"/>
      <c r="L86" s="5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s="2" customFormat="1" ht="16.5" customHeight="1">
      <c r="A87" s="32"/>
      <c r="B87" s="33"/>
      <c r="C87" s="34"/>
      <c r="D87" s="34"/>
      <c r="E87" s="69" t="str">
        <f>E9</f>
        <v>Zámková dlažba - RD Valcha</v>
      </c>
      <c r="F87" s="34"/>
      <c r="G87" s="34"/>
      <c r="H87" s="34"/>
      <c r="I87" s="34"/>
      <c r="J87" s="34"/>
      <c r="K87" s="34"/>
      <c r="L87" s="5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s="2" customFormat="1" ht="6.96" customHeight="1">
      <c r="A88" s="32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5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s="2" customFormat="1" ht="12" customHeight="1">
      <c r="A89" s="32"/>
      <c r="B89" s="33"/>
      <c r="C89" s="29" t="s">
        <v>20</v>
      </c>
      <c r="D89" s="34"/>
      <c r="E89" s="34"/>
      <c r="F89" s="26" t="str">
        <f>F12</f>
        <v xml:space="preserve"> </v>
      </c>
      <c r="G89" s="34"/>
      <c r="H89" s="34"/>
      <c r="I89" s="29" t="s">
        <v>22</v>
      </c>
      <c r="J89" s="72" t="str">
        <f>IF(J12="","",J12)</f>
        <v>8. 9. 2025</v>
      </c>
      <c r="K89" s="34"/>
      <c r="L89" s="5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="2" customFormat="1" ht="6.96" customHeight="1">
      <c r="A90" s="32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5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s="2" customFormat="1" ht="15.15" customHeight="1">
      <c r="A91" s="32"/>
      <c r="B91" s="33"/>
      <c r="C91" s="29" t="s">
        <v>26</v>
      </c>
      <c r="D91" s="34"/>
      <c r="E91" s="34"/>
      <c r="F91" s="26" t="str">
        <f>E15</f>
        <v xml:space="preserve"> </v>
      </c>
      <c r="G91" s="34"/>
      <c r="H91" s="34"/>
      <c r="I91" s="29" t="s">
        <v>30</v>
      </c>
      <c r="J91" s="30" t="str">
        <f>E21</f>
        <v xml:space="preserve"> </v>
      </c>
      <c r="K91" s="34"/>
      <c r="L91" s="5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s="2" customFormat="1" ht="15.15" customHeight="1">
      <c r="A92" s="32"/>
      <c r="B92" s="33"/>
      <c r="C92" s="29" t="s">
        <v>29</v>
      </c>
      <c r="D92" s="34"/>
      <c r="E92" s="34"/>
      <c r="F92" s="26" t="str">
        <f>IF(E18="","",E18)</f>
        <v xml:space="preserve"> </v>
      </c>
      <c r="G92" s="34"/>
      <c r="H92" s="34"/>
      <c r="I92" s="29" t="s">
        <v>31</v>
      </c>
      <c r="J92" s="30" t="str">
        <f>E24</f>
        <v xml:space="preserve"> </v>
      </c>
      <c r="K92" s="34"/>
      <c r="L92" s="5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s="2" customFormat="1" ht="10.32" customHeight="1">
      <c r="A93" s="32"/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5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s="2" customFormat="1" ht="29.28" customHeight="1">
      <c r="A94" s="32"/>
      <c r="B94" s="33"/>
      <c r="C94" s="169" t="s">
        <v>106</v>
      </c>
      <c r="D94" s="170"/>
      <c r="E94" s="170"/>
      <c r="F94" s="170"/>
      <c r="G94" s="170"/>
      <c r="H94" s="170"/>
      <c r="I94" s="170"/>
      <c r="J94" s="171" t="s">
        <v>107</v>
      </c>
      <c r="K94" s="170"/>
      <c r="L94" s="5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s="2" customFormat="1" ht="10.32" customHeight="1">
      <c r="A95" s="32"/>
      <c r="B95" s="33"/>
      <c r="C95" s="34"/>
      <c r="D95" s="34"/>
      <c r="E95" s="34"/>
      <c r="F95" s="34"/>
      <c r="G95" s="34"/>
      <c r="H95" s="34"/>
      <c r="I95" s="34"/>
      <c r="J95" s="34"/>
      <c r="K95" s="34"/>
      <c r="L95" s="5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s="2" customFormat="1" ht="22.8" customHeight="1">
      <c r="A96" s="32"/>
      <c r="B96" s="33"/>
      <c r="C96" s="172" t="s">
        <v>108</v>
      </c>
      <c r="D96" s="34"/>
      <c r="E96" s="34"/>
      <c r="F96" s="34"/>
      <c r="G96" s="34"/>
      <c r="H96" s="34"/>
      <c r="I96" s="34"/>
      <c r="J96" s="103">
        <f>J120</f>
        <v>99162.779999999999</v>
      </c>
      <c r="K96" s="34"/>
      <c r="L96" s="5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U96" s="17" t="s">
        <v>109</v>
      </c>
    </row>
    <row r="97" s="9" customFormat="1" ht="24.96" customHeight="1">
      <c r="A97" s="9"/>
      <c r="B97" s="173"/>
      <c r="C97" s="174"/>
      <c r="D97" s="175" t="s">
        <v>1213</v>
      </c>
      <c r="E97" s="176"/>
      <c r="F97" s="176"/>
      <c r="G97" s="176"/>
      <c r="H97" s="176"/>
      <c r="I97" s="176"/>
      <c r="J97" s="177">
        <f>J121</f>
        <v>17771.690000000002</v>
      </c>
      <c r="K97" s="174"/>
      <c r="L97" s="178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9" customFormat="1" ht="24.96" customHeight="1">
      <c r="A98" s="9"/>
      <c r="B98" s="173"/>
      <c r="C98" s="174"/>
      <c r="D98" s="175" t="s">
        <v>110</v>
      </c>
      <c r="E98" s="176"/>
      <c r="F98" s="176"/>
      <c r="G98" s="176"/>
      <c r="H98" s="176"/>
      <c r="I98" s="176"/>
      <c r="J98" s="177">
        <f>J129</f>
        <v>81391.089999999997</v>
      </c>
      <c r="K98" s="174"/>
      <c r="L98" s="178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="10" customFormat="1" ht="19.92" customHeight="1">
      <c r="A99" s="10"/>
      <c r="B99" s="179"/>
      <c r="C99" s="180"/>
      <c r="D99" s="181" t="s">
        <v>1214</v>
      </c>
      <c r="E99" s="182"/>
      <c r="F99" s="182"/>
      <c r="G99" s="182"/>
      <c r="H99" s="182"/>
      <c r="I99" s="182"/>
      <c r="J99" s="183">
        <f>J130</f>
        <v>76183.080000000002</v>
      </c>
      <c r="K99" s="180"/>
      <c r="L99" s="184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79"/>
      <c r="C100" s="180"/>
      <c r="D100" s="181" t="s">
        <v>1215</v>
      </c>
      <c r="E100" s="182"/>
      <c r="F100" s="182"/>
      <c r="G100" s="182"/>
      <c r="H100" s="182"/>
      <c r="I100" s="182"/>
      <c r="J100" s="183">
        <f>J137</f>
        <v>5208.0100000000002</v>
      </c>
      <c r="K100" s="180"/>
      <c r="L100" s="184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2" customFormat="1" ht="21.84" customHeight="1">
      <c r="A101" s="32"/>
      <c r="B101" s="33"/>
      <c r="C101" s="34"/>
      <c r="D101" s="34"/>
      <c r="E101" s="34"/>
      <c r="F101" s="34"/>
      <c r="G101" s="34"/>
      <c r="H101" s="34"/>
      <c r="I101" s="34"/>
      <c r="J101" s="34"/>
      <c r="K101" s="34"/>
      <c r="L101" s="5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s="2" customFormat="1" ht="6.96" customHeight="1">
      <c r="A102" s="32"/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5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6" s="2" customFormat="1" ht="6.96" customHeight="1">
      <c r="A106" s="32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5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s="2" customFormat="1" ht="24.96" customHeight="1">
      <c r="A107" s="32"/>
      <c r="B107" s="33"/>
      <c r="C107" s="23" t="s">
        <v>127</v>
      </c>
      <c r="D107" s="34"/>
      <c r="E107" s="34"/>
      <c r="F107" s="34"/>
      <c r="G107" s="34"/>
      <c r="H107" s="34"/>
      <c r="I107" s="34"/>
      <c r="J107" s="34"/>
      <c r="K107" s="34"/>
      <c r="L107" s="5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s="2" customFormat="1" ht="6.96" customHeight="1">
      <c r="A108" s="32"/>
      <c r="B108" s="33"/>
      <c r="C108" s="34"/>
      <c r="D108" s="34"/>
      <c r="E108" s="34"/>
      <c r="F108" s="34"/>
      <c r="G108" s="34"/>
      <c r="H108" s="34"/>
      <c r="I108" s="34"/>
      <c r="J108" s="34"/>
      <c r="K108" s="34"/>
      <c r="L108" s="5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s="2" customFormat="1" ht="12" customHeight="1">
      <c r="A109" s="32"/>
      <c r="B109" s="33"/>
      <c r="C109" s="29" t="s">
        <v>14</v>
      </c>
      <c r="D109" s="34"/>
      <c r="E109" s="34"/>
      <c r="F109" s="34"/>
      <c r="G109" s="34"/>
      <c r="H109" s="34"/>
      <c r="I109" s="34"/>
      <c r="J109" s="34"/>
      <c r="K109" s="34"/>
      <c r="L109" s="5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s="2" customFormat="1" ht="16.5" customHeight="1">
      <c r="A110" s="32"/>
      <c r="B110" s="33"/>
      <c r="C110" s="34"/>
      <c r="D110" s="34"/>
      <c r="E110" s="168" t="str">
        <f>E7</f>
        <v>RD Valcha SO1+ SO2</v>
      </c>
      <c r="F110" s="29"/>
      <c r="G110" s="29"/>
      <c r="H110" s="29"/>
      <c r="I110" s="34"/>
      <c r="J110" s="34"/>
      <c r="K110" s="34"/>
      <c r="L110" s="5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s="2" customFormat="1" ht="12" customHeight="1">
      <c r="A111" s="32"/>
      <c r="B111" s="33"/>
      <c r="C111" s="29" t="s">
        <v>103</v>
      </c>
      <c r="D111" s="34"/>
      <c r="E111" s="34"/>
      <c r="F111" s="34"/>
      <c r="G111" s="34"/>
      <c r="H111" s="34"/>
      <c r="I111" s="34"/>
      <c r="J111" s="34"/>
      <c r="K111" s="34"/>
      <c r="L111" s="5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s="2" customFormat="1" ht="16.5" customHeight="1">
      <c r="A112" s="32"/>
      <c r="B112" s="33"/>
      <c r="C112" s="34"/>
      <c r="D112" s="34"/>
      <c r="E112" s="69" t="str">
        <f>E9</f>
        <v>Zámková dlažba - RD Valcha</v>
      </c>
      <c r="F112" s="34"/>
      <c r="G112" s="34"/>
      <c r="H112" s="34"/>
      <c r="I112" s="34"/>
      <c r="J112" s="34"/>
      <c r="K112" s="34"/>
      <c r="L112" s="5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s="2" customFormat="1" ht="6.96" customHeight="1">
      <c r="A113" s="32"/>
      <c r="B113" s="33"/>
      <c r="C113" s="34"/>
      <c r="D113" s="34"/>
      <c r="E113" s="34"/>
      <c r="F113" s="34"/>
      <c r="G113" s="34"/>
      <c r="H113" s="34"/>
      <c r="I113" s="34"/>
      <c r="J113" s="34"/>
      <c r="K113" s="34"/>
      <c r="L113" s="5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s="2" customFormat="1" ht="12" customHeight="1">
      <c r="A114" s="32"/>
      <c r="B114" s="33"/>
      <c r="C114" s="29" t="s">
        <v>20</v>
      </c>
      <c r="D114" s="34"/>
      <c r="E114" s="34"/>
      <c r="F114" s="26" t="str">
        <f>F12</f>
        <v xml:space="preserve"> </v>
      </c>
      <c r="G114" s="34"/>
      <c r="H114" s="34"/>
      <c r="I114" s="29" t="s">
        <v>22</v>
      </c>
      <c r="J114" s="72" t="str">
        <f>IF(J12="","",J12)</f>
        <v>8. 9. 2025</v>
      </c>
      <c r="K114" s="34"/>
      <c r="L114" s="5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s="2" customFormat="1" ht="6.96" customHeight="1">
      <c r="A115" s="32"/>
      <c r="B115" s="33"/>
      <c r="C115" s="34"/>
      <c r="D115" s="34"/>
      <c r="E115" s="34"/>
      <c r="F115" s="34"/>
      <c r="G115" s="34"/>
      <c r="H115" s="34"/>
      <c r="I115" s="34"/>
      <c r="J115" s="34"/>
      <c r="K115" s="34"/>
      <c r="L115" s="5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s="2" customFormat="1" ht="15.15" customHeight="1">
      <c r="A116" s="32"/>
      <c r="B116" s="33"/>
      <c r="C116" s="29" t="s">
        <v>26</v>
      </c>
      <c r="D116" s="34"/>
      <c r="E116" s="34"/>
      <c r="F116" s="26" t="str">
        <f>E15</f>
        <v xml:space="preserve"> </v>
      </c>
      <c r="G116" s="34"/>
      <c r="H116" s="34"/>
      <c r="I116" s="29" t="s">
        <v>30</v>
      </c>
      <c r="J116" s="30" t="str">
        <f>E21</f>
        <v xml:space="preserve"> </v>
      </c>
      <c r="K116" s="34"/>
      <c r="L116" s="5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s="2" customFormat="1" ht="15.15" customHeight="1">
      <c r="A117" s="32"/>
      <c r="B117" s="33"/>
      <c r="C117" s="29" t="s">
        <v>29</v>
      </c>
      <c r="D117" s="34"/>
      <c r="E117" s="34"/>
      <c r="F117" s="26" t="str">
        <f>IF(E18="","",E18)</f>
        <v xml:space="preserve"> </v>
      </c>
      <c r="G117" s="34"/>
      <c r="H117" s="34"/>
      <c r="I117" s="29" t="s">
        <v>31</v>
      </c>
      <c r="J117" s="30" t="str">
        <f>E24</f>
        <v xml:space="preserve"> </v>
      </c>
      <c r="K117" s="34"/>
      <c r="L117" s="5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s="2" customFormat="1" ht="10.32" customHeight="1">
      <c r="A118" s="32"/>
      <c r="B118" s="33"/>
      <c r="C118" s="34"/>
      <c r="D118" s="34"/>
      <c r="E118" s="34"/>
      <c r="F118" s="34"/>
      <c r="G118" s="34"/>
      <c r="H118" s="34"/>
      <c r="I118" s="34"/>
      <c r="J118" s="34"/>
      <c r="K118" s="34"/>
      <c r="L118" s="5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s="11" customFormat="1" ht="29.28" customHeight="1">
      <c r="A119" s="185"/>
      <c r="B119" s="186"/>
      <c r="C119" s="187" t="s">
        <v>128</v>
      </c>
      <c r="D119" s="188" t="s">
        <v>59</v>
      </c>
      <c r="E119" s="188" t="s">
        <v>55</v>
      </c>
      <c r="F119" s="188" t="s">
        <v>56</v>
      </c>
      <c r="G119" s="188" t="s">
        <v>129</v>
      </c>
      <c r="H119" s="188" t="s">
        <v>130</v>
      </c>
      <c r="I119" s="188" t="s">
        <v>131</v>
      </c>
      <c r="J119" s="189" t="s">
        <v>107</v>
      </c>
      <c r="K119" s="190" t="s">
        <v>132</v>
      </c>
      <c r="L119" s="191"/>
      <c r="M119" s="93" t="s">
        <v>1</v>
      </c>
      <c r="N119" s="94" t="s">
        <v>38</v>
      </c>
      <c r="O119" s="94" t="s">
        <v>133</v>
      </c>
      <c r="P119" s="94" t="s">
        <v>134</v>
      </c>
      <c r="Q119" s="94" t="s">
        <v>135</v>
      </c>
      <c r="R119" s="94" t="s">
        <v>136</v>
      </c>
      <c r="S119" s="94" t="s">
        <v>137</v>
      </c>
      <c r="T119" s="95" t="s">
        <v>138</v>
      </c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 s="2" customFormat="1" ht="22.8" customHeight="1">
      <c r="A120" s="32"/>
      <c r="B120" s="33"/>
      <c r="C120" s="100" t="s">
        <v>139</v>
      </c>
      <c r="D120" s="34"/>
      <c r="E120" s="34"/>
      <c r="F120" s="34"/>
      <c r="G120" s="34"/>
      <c r="H120" s="34"/>
      <c r="I120" s="34"/>
      <c r="J120" s="192">
        <f>BK120</f>
        <v>99162.779999999999</v>
      </c>
      <c r="K120" s="34"/>
      <c r="L120" s="38"/>
      <c r="M120" s="96"/>
      <c r="N120" s="193"/>
      <c r="O120" s="97"/>
      <c r="P120" s="194">
        <f>P121+P129</f>
        <v>52.786458999999994</v>
      </c>
      <c r="Q120" s="97"/>
      <c r="R120" s="194">
        <f>R121+R129</f>
        <v>13.03371216</v>
      </c>
      <c r="S120" s="97"/>
      <c r="T120" s="195">
        <f>T121+T129</f>
        <v>0</v>
      </c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T120" s="17" t="s">
        <v>73</v>
      </c>
      <c r="AU120" s="17" t="s">
        <v>109</v>
      </c>
      <c r="BK120" s="196">
        <f>BK121+BK129</f>
        <v>99162.779999999999</v>
      </c>
    </row>
    <row r="121" s="12" customFormat="1" ht="25.92" customHeight="1">
      <c r="A121" s="12"/>
      <c r="B121" s="197"/>
      <c r="C121" s="198"/>
      <c r="D121" s="199" t="s">
        <v>73</v>
      </c>
      <c r="E121" s="200" t="s">
        <v>19</v>
      </c>
      <c r="F121" s="200" t="s">
        <v>143</v>
      </c>
      <c r="G121" s="198"/>
      <c r="H121" s="198"/>
      <c r="I121" s="198"/>
      <c r="J121" s="201">
        <f>BK121</f>
        <v>17771.690000000002</v>
      </c>
      <c r="K121" s="198"/>
      <c r="L121" s="202"/>
      <c r="M121" s="203"/>
      <c r="N121" s="204"/>
      <c r="O121" s="204"/>
      <c r="P121" s="205">
        <f>SUM(P122:P128)</f>
        <v>5.7650749999999995</v>
      </c>
      <c r="Q121" s="204"/>
      <c r="R121" s="205">
        <f>SUM(R122:R128)</f>
        <v>0</v>
      </c>
      <c r="S121" s="204"/>
      <c r="T121" s="206">
        <f>SUM(T122:T128)</f>
        <v>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07" t="s">
        <v>19</v>
      </c>
      <c r="AT121" s="208" t="s">
        <v>73</v>
      </c>
      <c r="AU121" s="208" t="s">
        <v>74</v>
      </c>
      <c r="AY121" s="207" t="s">
        <v>142</v>
      </c>
      <c r="BK121" s="209">
        <f>SUM(BK122:BK128)</f>
        <v>17771.690000000002</v>
      </c>
    </row>
    <row r="122" s="2" customFormat="1" ht="33" customHeight="1">
      <c r="A122" s="32"/>
      <c r="B122" s="33"/>
      <c r="C122" s="212" t="s">
        <v>19</v>
      </c>
      <c r="D122" s="212" t="s">
        <v>144</v>
      </c>
      <c r="E122" s="213" t="s">
        <v>1216</v>
      </c>
      <c r="F122" s="214" t="s">
        <v>1217</v>
      </c>
      <c r="G122" s="215" t="s">
        <v>154</v>
      </c>
      <c r="H122" s="216">
        <v>13.525</v>
      </c>
      <c r="I122" s="217">
        <v>221</v>
      </c>
      <c r="J122" s="217">
        <f>ROUND(I122*H122,2)</f>
        <v>2989.0300000000002</v>
      </c>
      <c r="K122" s="218"/>
      <c r="L122" s="38"/>
      <c r="M122" s="219" t="s">
        <v>1</v>
      </c>
      <c r="N122" s="220" t="s">
        <v>39</v>
      </c>
      <c r="O122" s="221">
        <v>0.28199999999999997</v>
      </c>
      <c r="P122" s="221">
        <f>O122*H122</f>
        <v>3.8140499999999999</v>
      </c>
      <c r="Q122" s="221">
        <v>0</v>
      </c>
      <c r="R122" s="221">
        <f>Q122*H122</f>
        <v>0</v>
      </c>
      <c r="S122" s="221">
        <v>0</v>
      </c>
      <c r="T122" s="222">
        <f>S122*H122</f>
        <v>0</v>
      </c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R122" s="223" t="s">
        <v>147</v>
      </c>
      <c r="AT122" s="223" t="s">
        <v>144</v>
      </c>
      <c r="AU122" s="223" t="s">
        <v>19</v>
      </c>
      <c r="AY122" s="17" t="s">
        <v>142</v>
      </c>
      <c r="BE122" s="224">
        <f>IF(N122="základní",J122,0)</f>
        <v>2989.0300000000002</v>
      </c>
      <c r="BF122" s="224">
        <f>IF(N122="snížená",J122,0)</f>
        <v>0</v>
      </c>
      <c r="BG122" s="224">
        <f>IF(N122="zákl. přenesená",J122,0)</f>
        <v>0</v>
      </c>
      <c r="BH122" s="224">
        <f>IF(N122="sníž. přenesená",J122,0)</f>
        <v>0</v>
      </c>
      <c r="BI122" s="224">
        <f>IF(N122="nulová",J122,0)</f>
        <v>0</v>
      </c>
      <c r="BJ122" s="17" t="s">
        <v>19</v>
      </c>
      <c r="BK122" s="224">
        <f>ROUND(I122*H122,2)</f>
        <v>2989.0300000000002</v>
      </c>
      <c r="BL122" s="17" t="s">
        <v>147</v>
      </c>
      <c r="BM122" s="223" t="s">
        <v>1218</v>
      </c>
    </row>
    <row r="123" s="13" customFormat="1">
      <c r="A123" s="13"/>
      <c r="B123" s="225"/>
      <c r="C123" s="226"/>
      <c r="D123" s="227" t="s">
        <v>149</v>
      </c>
      <c r="E123" s="228" t="s">
        <v>1</v>
      </c>
      <c r="F123" s="229" t="s">
        <v>1219</v>
      </c>
      <c r="G123" s="226"/>
      <c r="H123" s="230">
        <v>13.525</v>
      </c>
      <c r="I123" s="226"/>
      <c r="J123" s="226"/>
      <c r="K123" s="226"/>
      <c r="L123" s="231"/>
      <c r="M123" s="232"/>
      <c r="N123" s="233"/>
      <c r="O123" s="233"/>
      <c r="P123" s="233"/>
      <c r="Q123" s="233"/>
      <c r="R123" s="233"/>
      <c r="S123" s="233"/>
      <c r="T123" s="23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35" t="s">
        <v>149</v>
      </c>
      <c r="AU123" s="235" t="s">
        <v>19</v>
      </c>
      <c r="AV123" s="13" t="s">
        <v>83</v>
      </c>
      <c r="AW123" s="13" t="s">
        <v>32</v>
      </c>
      <c r="AX123" s="13" t="s">
        <v>19</v>
      </c>
      <c r="AY123" s="235" t="s">
        <v>142</v>
      </c>
    </row>
    <row r="124" s="2" customFormat="1" ht="37.8" customHeight="1">
      <c r="A124" s="32"/>
      <c r="B124" s="33"/>
      <c r="C124" s="212" t="s">
        <v>83</v>
      </c>
      <c r="D124" s="212" t="s">
        <v>144</v>
      </c>
      <c r="E124" s="213" t="s">
        <v>1220</v>
      </c>
      <c r="F124" s="214" t="s">
        <v>1221</v>
      </c>
      <c r="G124" s="215" t="s">
        <v>154</v>
      </c>
      <c r="H124" s="216">
        <v>13.525</v>
      </c>
      <c r="I124" s="217">
        <v>302</v>
      </c>
      <c r="J124" s="217">
        <f>ROUND(I124*H124,2)</f>
        <v>4084.5500000000002</v>
      </c>
      <c r="K124" s="218"/>
      <c r="L124" s="38"/>
      <c r="M124" s="219" t="s">
        <v>1</v>
      </c>
      <c r="N124" s="220" t="s">
        <v>39</v>
      </c>
      <c r="O124" s="221">
        <v>0.086999999999999994</v>
      </c>
      <c r="P124" s="221">
        <f>O124*H124</f>
        <v>1.1766749999999999</v>
      </c>
      <c r="Q124" s="221">
        <v>0</v>
      </c>
      <c r="R124" s="221">
        <f>Q124*H124</f>
        <v>0</v>
      </c>
      <c r="S124" s="221">
        <v>0</v>
      </c>
      <c r="T124" s="222">
        <f>S124*H124</f>
        <v>0</v>
      </c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R124" s="223" t="s">
        <v>147</v>
      </c>
      <c r="AT124" s="223" t="s">
        <v>144</v>
      </c>
      <c r="AU124" s="223" t="s">
        <v>19</v>
      </c>
      <c r="AY124" s="17" t="s">
        <v>142</v>
      </c>
      <c r="BE124" s="224">
        <f>IF(N124="základní",J124,0)</f>
        <v>4084.5500000000002</v>
      </c>
      <c r="BF124" s="224">
        <f>IF(N124="snížená",J124,0)</f>
        <v>0</v>
      </c>
      <c r="BG124" s="224">
        <f>IF(N124="zákl. přenesená",J124,0)</f>
        <v>0</v>
      </c>
      <c r="BH124" s="224">
        <f>IF(N124="sníž. přenesená",J124,0)</f>
        <v>0</v>
      </c>
      <c r="BI124" s="224">
        <f>IF(N124="nulová",J124,0)</f>
        <v>0</v>
      </c>
      <c r="BJ124" s="17" t="s">
        <v>19</v>
      </c>
      <c r="BK124" s="224">
        <f>ROUND(I124*H124,2)</f>
        <v>4084.5500000000002</v>
      </c>
      <c r="BL124" s="17" t="s">
        <v>147</v>
      </c>
      <c r="BM124" s="223" t="s">
        <v>1222</v>
      </c>
    </row>
    <row r="125" s="2" customFormat="1" ht="37.8" customHeight="1">
      <c r="A125" s="32"/>
      <c r="B125" s="33"/>
      <c r="C125" s="212" t="s">
        <v>98</v>
      </c>
      <c r="D125" s="212" t="s">
        <v>144</v>
      </c>
      <c r="E125" s="213" t="s">
        <v>164</v>
      </c>
      <c r="F125" s="214" t="s">
        <v>165</v>
      </c>
      <c r="G125" s="215" t="s">
        <v>154</v>
      </c>
      <c r="H125" s="216">
        <v>130.52500000000001</v>
      </c>
      <c r="I125" s="217">
        <v>22.5</v>
      </c>
      <c r="J125" s="217">
        <f>ROUND(I125*H125,2)</f>
        <v>2936.8099999999999</v>
      </c>
      <c r="K125" s="218"/>
      <c r="L125" s="38"/>
      <c r="M125" s="219" t="s">
        <v>1</v>
      </c>
      <c r="N125" s="220" t="s">
        <v>39</v>
      </c>
      <c r="O125" s="221">
        <v>0.0050000000000000001</v>
      </c>
      <c r="P125" s="221">
        <f>O125*H125</f>
        <v>0.65262500000000001</v>
      </c>
      <c r="Q125" s="221">
        <v>0</v>
      </c>
      <c r="R125" s="221">
        <f>Q125*H125</f>
        <v>0</v>
      </c>
      <c r="S125" s="221">
        <v>0</v>
      </c>
      <c r="T125" s="222">
        <f>S125*H125</f>
        <v>0</v>
      </c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R125" s="223" t="s">
        <v>147</v>
      </c>
      <c r="AT125" s="223" t="s">
        <v>144</v>
      </c>
      <c r="AU125" s="223" t="s">
        <v>19</v>
      </c>
      <c r="AY125" s="17" t="s">
        <v>142</v>
      </c>
      <c r="BE125" s="224">
        <f>IF(N125="základní",J125,0)</f>
        <v>2936.8099999999999</v>
      </c>
      <c r="BF125" s="224">
        <f>IF(N125="snížená",J125,0)</f>
        <v>0</v>
      </c>
      <c r="BG125" s="224">
        <f>IF(N125="zákl. přenesená",J125,0)</f>
        <v>0</v>
      </c>
      <c r="BH125" s="224">
        <f>IF(N125="sníž. přenesená",J125,0)</f>
        <v>0</v>
      </c>
      <c r="BI125" s="224">
        <f>IF(N125="nulová",J125,0)</f>
        <v>0</v>
      </c>
      <c r="BJ125" s="17" t="s">
        <v>19</v>
      </c>
      <c r="BK125" s="224">
        <f>ROUND(I125*H125,2)</f>
        <v>2936.8099999999999</v>
      </c>
      <c r="BL125" s="17" t="s">
        <v>147</v>
      </c>
      <c r="BM125" s="223" t="s">
        <v>1223</v>
      </c>
    </row>
    <row r="126" s="2" customFormat="1" ht="33" customHeight="1">
      <c r="A126" s="32"/>
      <c r="B126" s="33"/>
      <c r="C126" s="212" t="s">
        <v>147</v>
      </c>
      <c r="D126" s="212" t="s">
        <v>144</v>
      </c>
      <c r="E126" s="213" t="s">
        <v>169</v>
      </c>
      <c r="F126" s="214" t="s">
        <v>170</v>
      </c>
      <c r="G126" s="215" t="s">
        <v>171</v>
      </c>
      <c r="H126" s="216">
        <v>21.199999999999999</v>
      </c>
      <c r="I126" s="217">
        <v>352</v>
      </c>
      <c r="J126" s="217">
        <f>ROUND(I126*H126,2)</f>
        <v>7462.3999999999996</v>
      </c>
      <c r="K126" s="218"/>
      <c r="L126" s="38"/>
      <c r="M126" s="219" t="s">
        <v>1</v>
      </c>
      <c r="N126" s="220" t="s">
        <v>39</v>
      </c>
      <c r="O126" s="221">
        <v>0</v>
      </c>
      <c r="P126" s="221">
        <f>O126*H126</f>
        <v>0</v>
      </c>
      <c r="Q126" s="221">
        <v>0</v>
      </c>
      <c r="R126" s="221">
        <f>Q126*H126</f>
        <v>0</v>
      </c>
      <c r="S126" s="221">
        <v>0</v>
      </c>
      <c r="T126" s="222">
        <f>S126*H126</f>
        <v>0</v>
      </c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R126" s="223" t="s">
        <v>147</v>
      </c>
      <c r="AT126" s="223" t="s">
        <v>144</v>
      </c>
      <c r="AU126" s="223" t="s">
        <v>19</v>
      </c>
      <c r="AY126" s="17" t="s">
        <v>142</v>
      </c>
      <c r="BE126" s="224">
        <f>IF(N126="základní",J126,0)</f>
        <v>7462.3999999999996</v>
      </c>
      <c r="BF126" s="224">
        <f>IF(N126="snížená",J126,0)</f>
        <v>0</v>
      </c>
      <c r="BG126" s="224">
        <f>IF(N126="zákl. přenesená",J126,0)</f>
        <v>0</v>
      </c>
      <c r="BH126" s="224">
        <f>IF(N126="sníž. přenesená",J126,0)</f>
        <v>0</v>
      </c>
      <c r="BI126" s="224">
        <f>IF(N126="nulová",J126,0)</f>
        <v>0</v>
      </c>
      <c r="BJ126" s="17" t="s">
        <v>19</v>
      </c>
      <c r="BK126" s="224">
        <f>ROUND(I126*H126,2)</f>
        <v>7462.3999999999996</v>
      </c>
      <c r="BL126" s="17" t="s">
        <v>147</v>
      </c>
      <c r="BM126" s="223" t="s">
        <v>1224</v>
      </c>
    </row>
    <row r="127" s="13" customFormat="1">
      <c r="A127" s="13"/>
      <c r="B127" s="225"/>
      <c r="C127" s="226"/>
      <c r="D127" s="227" t="s">
        <v>149</v>
      </c>
      <c r="E127" s="228" t="s">
        <v>1</v>
      </c>
      <c r="F127" s="229" t="s">
        <v>1225</v>
      </c>
      <c r="G127" s="226"/>
      <c r="H127" s="230">
        <v>21.200000000000003</v>
      </c>
      <c r="I127" s="226"/>
      <c r="J127" s="226"/>
      <c r="K127" s="226"/>
      <c r="L127" s="231"/>
      <c r="M127" s="232"/>
      <c r="N127" s="233"/>
      <c r="O127" s="233"/>
      <c r="P127" s="233"/>
      <c r="Q127" s="233"/>
      <c r="R127" s="233"/>
      <c r="S127" s="233"/>
      <c r="T127" s="234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T127" s="235" t="s">
        <v>149</v>
      </c>
      <c r="AU127" s="235" t="s">
        <v>19</v>
      </c>
      <c r="AV127" s="13" t="s">
        <v>83</v>
      </c>
      <c r="AW127" s="13" t="s">
        <v>32</v>
      </c>
      <c r="AX127" s="13" t="s">
        <v>19</v>
      </c>
      <c r="AY127" s="235" t="s">
        <v>142</v>
      </c>
    </row>
    <row r="128" s="2" customFormat="1" ht="16.5" customHeight="1">
      <c r="A128" s="32"/>
      <c r="B128" s="33"/>
      <c r="C128" s="212" t="s">
        <v>163</v>
      </c>
      <c r="D128" s="212" t="s">
        <v>144</v>
      </c>
      <c r="E128" s="213" t="s">
        <v>175</v>
      </c>
      <c r="F128" s="214" t="s">
        <v>176</v>
      </c>
      <c r="G128" s="215" t="s">
        <v>154</v>
      </c>
      <c r="H128" s="216">
        <v>13.525</v>
      </c>
      <c r="I128" s="217">
        <v>22.100000000000001</v>
      </c>
      <c r="J128" s="217">
        <f>ROUND(I128*H128,2)</f>
        <v>298.89999999999998</v>
      </c>
      <c r="K128" s="218"/>
      <c r="L128" s="38"/>
      <c r="M128" s="219" t="s">
        <v>1</v>
      </c>
      <c r="N128" s="220" t="s">
        <v>39</v>
      </c>
      <c r="O128" s="221">
        <v>0.0089999999999999993</v>
      </c>
      <c r="P128" s="221">
        <f>O128*H128</f>
        <v>0.121725</v>
      </c>
      <c r="Q128" s="221">
        <v>0</v>
      </c>
      <c r="R128" s="221">
        <f>Q128*H128</f>
        <v>0</v>
      </c>
      <c r="S128" s="221">
        <v>0</v>
      </c>
      <c r="T128" s="222">
        <f>S128*H128</f>
        <v>0</v>
      </c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R128" s="223" t="s">
        <v>147</v>
      </c>
      <c r="AT128" s="223" t="s">
        <v>144</v>
      </c>
      <c r="AU128" s="223" t="s">
        <v>19</v>
      </c>
      <c r="AY128" s="17" t="s">
        <v>142</v>
      </c>
      <c r="BE128" s="224">
        <f>IF(N128="základní",J128,0)</f>
        <v>298.89999999999998</v>
      </c>
      <c r="BF128" s="224">
        <f>IF(N128="snížená",J128,0)</f>
        <v>0</v>
      </c>
      <c r="BG128" s="224">
        <f>IF(N128="zákl. přenesená",J128,0)</f>
        <v>0</v>
      </c>
      <c r="BH128" s="224">
        <f>IF(N128="sníž. přenesená",J128,0)</f>
        <v>0</v>
      </c>
      <c r="BI128" s="224">
        <f>IF(N128="nulová",J128,0)</f>
        <v>0</v>
      </c>
      <c r="BJ128" s="17" t="s">
        <v>19</v>
      </c>
      <c r="BK128" s="224">
        <f>ROUND(I128*H128,2)</f>
        <v>298.89999999999998</v>
      </c>
      <c r="BL128" s="17" t="s">
        <v>147</v>
      </c>
      <c r="BM128" s="223" t="s">
        <v>1226</v>
      </c>
    </row>
    <row r="129" s="12" customFormat="1" ht="25.92" customHeight="1">
      <c r="A129" s="12"/>
      <c r="B129" s="197"/>
      <c r="C129" s="198"/>
      <c r="D129" s="199" t="s">
        <v>73</v>
      </c>
      <c r="E129" s="200" t="s">
        <v>140</v>
      </c>
      <c r="F129" s="200" t="s">
        <v>141</v>
      </c>
      <c r="G129" s="198"/>
      <c r="H129" s="198"/>
      <c r="I129" s="198"/>
      <c r="J129" s="201">
        <f>BK129</f>
        <v>81391.089999999997</v>
      </c>
      <c r="K129" s="198"/>
      <c r="L129" s="202"/>
      <c r="M129" s="203"/>
      <c r="N129" s="204"/>
      <c r="O129" s="204"/>
      <c r="P129" s="205">
        <f>P130+P137</f>
        <v>47.021383999999998</v>
      </c>
      <c r="Q129" s="204"/>
      <c r="R129" s="205">
        <f>R130+R137</f>
        <v>13.03371216</v>
      </c>
      <c r="S129" s="204"/>
      <c r="T129" s="206">
        <f>T130+T137</f>
        <v>0</v>
      </c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R129" s="207" t="s">
        <v>19</v>
      </c>
      <c r="AT129" s="208" t="s">
        <v>73</v>
      </c>
      <c r="AU129" s="208" t="s">
        <v>74</v>
      </c>
      <c r="AY129" s="207" t="s">
        <v>142</v>
      </c>
      <c r="BK129" s="209">
        <f>BK130+BK137</f>
        <v>81391.089999999997</v>
      </c>
    </row>
    <row r="130" s="12" customFormat="1" ht="22.8" customHeight="1">
      <c r="A130" s="12"/>
      <c r="B130" s="197"/>
      <c r="C130" s="198"/>
      <c r="D130" s="199" t="s">
        <v>73</v>
      </c>
      <c r="E130" s="210" t="s">
        <v>163</v>
      </c>
      <c r="F130" s="210" t="s">
        <v>1227</v>
      </c>
      <c r="G130" s="198"/>
      <c r="H130" s="198"/>
      <c r="I130" s="198"/>
      <c r="J130" s="211">
        <f>BK130</f>
        <v>76183.080000000002</v>
      </c>
      <c r="K130" s="198"/>
      <c r="L130" s="202"/>
      <c r="M130" s="203"/>
      <c r="N130" s="204"/>
      <c r="O130" s="204"/>
      <c r="P130" s="205">
        <f>SUM(P131:P136)</f>
        <v>44.8489</v>
      </c>
      <c r="Q130" s="204"/>
      <c r="R130" s="205">
        <f>SUM(R131:R136)</f>
        <v>11.123501000000001</v>
      </c>
      <c r="S130" s="204"/>
      <c r="T130" s="206">
        <f>SUM(T131:T136)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07" t="s">
        <v>19</v>
      </c>
      <c r="AT130" s="208" t="s">
        <v>73</v>
      </c>
      <c r="AU130" s="208" t="s">
        <v>19</v>
      </c>
      <c r="AY130" s="207" t="s">
        <v>142</v>
      </c>
      <c r="BK130" s="209">
        <f>SUM(BK131:BK136)</f>
        <v>76183.080000000002</v>
      </c>
    </row>
    <row r="131" s="2" customFormat="1" ht="33" customHeight="1">
      <c r="A131" s="32"/>
      <c r="B131" s="33"/>
      <c r="C131" s="212" t="s">
        <v>168</v>
      </c>
      <c r="D131" s="212" t="s">
        <v>144</v>
      </c>
      <c r="E131" s="213" t="s">
        <v>1228</v>
      </c>
      <c r="F131" s="214" t="s">
        <v>1229</v>
      </c>
      <c r="G131" s="215" t="s">
        <v>96</v>
      </c>
      <c r="H131" s="216">
        <v>54.100000000000001</v>
      </c>
      <c r="I131" s="217">
        <v>203</v>
      </c>
      <c r="J131" s="217">
        <f>ROUND(I131*H131,2)</f>
        <v>10982.299999999999</v>
      </c>
      <c r="K131" s="218"/>
      <c r="L131" s="38"/>
      <c r="M131" s="219" t="s">
        <v>1</v>
      </c>
      <c r="N131" s="220" t="s">
        <v>39</v>
      </c>
      <c r="O131" s="221">
        <v>0.092999999999999999</v>
      </c>
      <c r="P131" s="221">
        <f>O131*H131</f>
        <v>5.0312999999999999</v>
      </c>
      <c r="Q131" s="221">
        <v>0</v>
      </c>
      <c r="R131" s="221">
        <f>Q131*H131</f>
        <v>0</v>
      </c>
      <c r="S131" s="221">
        <v>0</v>
      </c>
      <c r="T131" s="222">
        <f>S131*H131</f>
        <v>0</v>
      </c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R131" s="223" t="s">
        <v>147</v>
      </c>
      <c r="AT131" s="223" t="s">
        <v>144</v>
      </c>
      <c r="AU131" s="223" t="s">
        <v>83</v>
      </c>
      <c r="AY131" s="17" t="s">
        <v>142</v>
      </c>
      <c r="BE131" s="224">
        <f>IF(N131="základní",J131,0)</f>
        <v>10982.299999999999</v>
      </c>
      <c r="BF131" s="224">
        <f>IF(N131="snížená",J131,0)</f>
        <v>0</v>
      </c>
      <c r="BG131" s="224">
        <f>IF(N131="zákl. přenesená",J131,0)</f>
        <v>0</v>
      </c>
      <c r="BH131" s="224">
        <f>IF(N131="sníž. přenesená",J131,0)</f>
        <v>0</v>
      </c>
      <c r="BI131" s="224">
        <f>IF(N131="nulová",J131,0)</f>
        <v>0</v>
      </c>
      <c r="BJ131" s="17" t="s">
        <v>19</v>
      </c>
      <c r="BK131" s="224">
        <f>ROUND(I131*H131,2)</f>
        <v>10982.299999999999</v>
      </c>
      <c r="BL131" s="17" t="s">
        <v>147</v>
      </c>
      <c r="BM131" s="223" t="s">
        <v>1230</v>
      </c>
    </row>
    <row r="132" s="2" customFormat="1" ht="33" customHeight="1">
      <c r="A132" s="32"/>
      <c r="B132" s="33"/>
      <c r="C132" s="212" t="s">
        <v>174</v>
      </c>
      <c r="D132" s="212" t="s">
        <v>144</v>
      </c>
      <c r="E132" s="213" t="s">
        <v>1231</v>
      </c>
      <c r="F132" s="214" t="s">
        <v>1232</v>
      </c>
      <c r="G132" s="215" t="s">
        <v>96</v>
      </c>
      <c r="H132" s="216">
        <v>54.100000000000001</v>
      </c>
      <c r="I132" s="217">
        <v>334</v>
      </c>
      <c r="J132" s="217">
        <f>ROUND(I132*H132,2)</f>
        <v>18069.400000000001</v>
      </c>
      <c r="K132" s="218"/>
      <c r="L132" s="38"/>
      <c r="M132" s="219" t="s">
        <v>1</v>
      </c>
      <c r="N132" s="220" t="s">
        <v>39</v>
      </c>
      <c r="O132" s="221">
        <v>0.107</v>
      </c>
      <c r="P132" s="221">
        <f>O132*H132</f>
        <v>5.7887000000000004</v>
      </c>
      <c r="Q132" s="221">
        <v>0</v>
      </c>
      <c r="R132" s="221">
        <f>Q132*H132</f>
        <v>0</v>
      </c>
      <c r="S132" s="221">
        <v>0</v>
      </c>
      <c r="T132" s="222">
        <f>S132*H132</f>
        <v>0</v>
      </c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R132" s="223" t="s">
        <v>147</v>
      </c>
      <c r="AT132" s="223" t="s">
        <v>144</v>
      </c>
      <c r="AU132" s="223" t="s">
        <v>83</v>
      </c>
      <c r="AY132" s="17" t="s">
        <v>142</v>
      </c>
      <c r="BE132" s="224">
        <f>IF(N132="základní",J132,0)</f>
        <v>18069.400000000001</v>
      </c>
      <c r="BF132" s="224">
        <f>IF(N132="snížená",J132,0)</f>
        <v>0</v>
      </c>
      <c r="BG132" s="224">
        <f>IF(N132="zákl. přenesená",J132,0)</f>
        <v>0</v>
      </c>
      <c r="BH132" s="224">
        <f>IF(N132="sníž. přenesená",J132,0)</f>
        <v>0</v>
      </c>
      <c r="BI132" s="224">
        <f>IF(N132="nulová",J132,0)</f>
        <v>0</v>
      </c>
      <c r="BJ132" s="17" t="s">
        <v>19</v>
      </c>
      <c r="BK132" s="224">
        <f>ROUND(I132*H132,2)</f>
        <v>18069.400000000001</v>
      </c>
      <c r="BL132" s="17" t="s">
        <v>147</v>
      </c>
      <c r="BM132" s="223" t="s">
        <v>1233</v>
      </c>
    </row>
    <row r="133" s="2" customFormat="1" ht="21.75" customHeight="1">
      <c r="A133" s="32"/>
      <c r="B133" s="33"/>
      <c r="C133" s="212" t="s">
        <v>179</v>
      </c>
      <c r="D133" s="212" t="s">
        <v>144</v>
      </c>
      <c r="E133" s="213" t="s">
        <v>1234</v>
      </c>
      <c r="F133" s="214" t="s">
        <v>1235</v>
      </c>
      <c r="G133" s="215" t="s">
        <v>96</v>
      </c>
      <c r="H133" s="216">
        <v>54.100000000000001</v>
      </c>
      <c r="I133" s="217">
        <v>84.099999999999994</v>
      </c>
      <c r="J133" s="217">
        <f>ROUND(I133*H133,2)</f>
        <v>4549.8100000000004</v>
      </c>
      <c r="K133" s="218"/>
      <c r="L133" s="38"/>
      <c r="M133" s="219" t="s">
        <v>1</v>
      </c>
      <c r="N133" s="220" t="s">
        <v>39</v>
      </c>
      <c r="O133" s="221">
        <v>0.069000000000000006</v>
      </c>
      <c r="P133" s="221">
        <f>O133*H133</f>
        <v>3.7329000000000003</v>
      </c>
      <c r="Q133" s="221">
        <v>0</v>
      </c>
      <c r="R133" s="221">
        <f>Q133*H133</f>
        <v>0</v>
      </c>
      <c r="S133" s="221">
        <v>0</v>
      </c>
      <c r="T133" s="222">
        <f>S133*H133</f>
        <v>0</v>
      </c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R133" s="223" t="s">
        <v>147</v>
      </c>
      <c r="AT133" s="223" t="s">
        <v>144</v>
      </c>
      <c r="AU133" s="223" t="s">
        <v>83</v>
      </c>
      <c r="AY133" s="17" t="s">
        <v>142</v>
      </c>
      <c r="BE133" s="224">
        <f>IF(N133="základní",J133,0)</f>
        <v>4549.8100000000004</v>
      </c>
      <c r="BF133" s="224">
        <f>IF(N133="snížená",J133,0)</f>
        <v>0</v>
      </c>
      <c r="BG133" s="224">
        <f>IF(N133="zákl. přenesená",J133,0)</f>
        <v>0</v>
      </c>
      <c r="BH133" s="224">
        <f>IF(N133="sníž. přenesená",J133,0)</f>
        <v>0</v>
      </c>
      <c r="BI133" s="224">
        <f>IF(N133="nulová",J133,0)</f>
        <v>0</v>
      </c>
      <c r="BJ133" s="17" t="s">
        <v>19</v>
      </c>
      <c r="BK133" s="224">
        <f>ROUND(I133*H133,2)</f>
        <v>4549.8100000000004</v>
      </c>
      <c r="BL133" s="17" t="s">
        <v>147</v>
      </c>
      <c r="BM133" s="223" t="s">
        <v>1236</v>
      </c>
    </row>
    <row r="134" s="2" customFormat="1" ht="33" customHeight="1">
      <c r="A134" s="32"/>
      <c r="B134" s="33"/>
      <c r="C134" s="212" t="s">
        <v>186</v>
      </c>
      <c r="D134" s="212" t="s">
        <v>144</v>
      </c>
      <c r="E134" s="213" t="s">
        <v>1237</v>
      </c>
      <c r="F134" s="214" t="s">
        <v>1238</v>
      </c>
      <c r="G134" s="215" t="s">
        <v>96</v>
      </c>
      <c r="H134" s="216">
        <v>54.100000000000001</v>
      </c>
      <c r="I134" s="217">
        <v>372</v>
      </c>
      <c r="J134" s="217">
        <f>ROUND(I134*H134,2)</f>
        <v>20125.200000000001</v>
      </c>
      <c r="K134" s="218"/>
      <c r="L134" s="38"/>
      <c r="M134" s="219" t="s">
        <v>1</v>
      </c>
      <c r="N134" s="220" t="s">
        <v>39</v>
      </c>
      <c r="O134" s="221">
        <v>0.56000000000000005</v>
      </c>
      <c r="P134" s="221">
        <f>O134*H134</f>
        <v>30.296000000000003</v>
      </c>
      <c r="Q134" s="221">
        <v>0.089219999999999994</v>
      </c>
      <c r="R134" s="221">
        <f>Q134*H134</f>
        <v>4.8268019999999998</v>
      </c>
      <c r="S134" s="221">
        <v>0</v>
      </c>
      <c r="T134" s="222">
        <f>S134*H134</f>
        <v>0</v>
      </c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R134" s="223" t="s">
        <v>147</v>
      </c>
      <c r="AT134" s="223" t="s">
        <v>144</v>
      </c>
      <c r="AU134" s="223" t="s">
        <v>83</v>
      </c>
      <c r="AY134" s="17" t="s">
        <v>142</v>
      </c>
      <c r="BE134" s="224">
        <f>IF(N134="základní",J134,0)</f>
        <v>20125.200000000001</v>
      </c>
      <c r="BF134" s="224">
        <f>IF(N134="snížená",J134,0)</f>
        <v>0</v>
      </c>
      <c r="BG134" s="224">
        <f>IF(N134="zákl. přenesená",J134,0)</f>
        <v>0</v>
      </c>
      <c r="BH134" s="224">
        <f>IF(N134="sníž. přenesená",J134,0)</f>
        <v>0</v>
      </c>
      <c r="BI134" s="224">
        <f>IF(N134="nulová",J134,0)</f>
        <v>0</v>
      </c>
      <c r="BJ134" s="17" t="s">
        <v>19</v>
      </c>
      <c r="BK134" s="224">
        <f>ROUND(I134*H134,2)</f>
        <v>20125.200000000001</v>
      </c>
      <c r="BL134" s="17" t="s">
        <v>147</v>
      </c>
      <c r="BM134" s="223" t="s">
        <v>1239</v>
      </c>
    </row>
    <row r="135" s="2" customFormat="1" ht="24.15" customHeight="1">
      <c r="A135" s="32"/>
      <c r="B135" s="33"/>
      <c r="C135" s="258" t="s">
        <v>24</v>
      </c>
      <c r="D135" s="258" t="s">
        <v>475</v>
      </c>
      <c r="E135" s="259" t="s">
        <v>1240</v>
      </c>
      <c r="F135" s="260" t="s">
        <v>1241</v>
      </c>
      <c r="G135" s="261" t="s">
        <v>96</v>
      </c>
      <c r="H135" s="262">
        <v>55.722999999999999</v>
      </c>
      <c r="I135" s="263">
        <v>403</v>
      </c>
      <c r="J135" s="263">
        <f>ROUND(I135*H135,2)</f>
        <v>22456.369999999999</v>
      </c>
      <c r="K135" s="264"/>
      <c r="L135" s="265"/>
      <c r="M135" s="266" t="s">
        <v>1</v>
      </c>
      <c r="N135" s="267" t="s">
        <v>39</v>
      </c>
      <c r="O135" s="221">
        <v>0</v>
      </c>
      <c r="P135" s="221">
        <f>O135*H135</f>
        <v>0</v>
      </c>
      <c r="Q135" s="221">
        <v>0.113</v>
      </c>
      <c r="R135" s="221">
        <f>Q135*H135</f>
        <v>6.2966990000000003</v>
      </c>
      <c r="S135" s="221">
        <v>0</v>
      </c>
      <c r="T135" s="222">
        <f>S135*H135</f>
        <v>0</v>
      </c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R135" s="223" t="s">
        <v>179</v>
      </c>
      <c r="AT135" s="223" t="s">
        <v>475</v>
      </c>
      <c r="AU135" s="223" t="s">
        <v>83</v>
      </c>
      <c r="AY135" s="17" t="s">
        <v>142</v>
      </c>
      <c r="BE135" s="224">
        <f>IF(N135="základní",J135,0)</f>
        <v>22456.369999999999</v>
      </c>
      <c r="BF135" s="224">
        <f>IF(N135="snížená",J135,0)</f>
        <v>0</v>
      </c>
      <c r="BG135" s="224">
        <f>IF(N135="zákl. přenesená",J135,0)</f>
        <v>0</v>
      </c>
      <c r="BH135" s="224">
        <f>IF(N135="sníž. přenesená",J135,0)</f>
        <v>0</v>
      </c>
      <c r="BI135" s="224">
        <f>IF(N135="nulová",J135,0)</f>
        <v>0</v>
      </c>
      <c r="BJ135" s="17" t="s">
        <v>19</v>
      </c>
      <c r="BK135" s="224">
        <f>ROUND(I135*H135,2)</f>
        <v>22456.369999999999</v>
      </c>
      <c r="BL135" s="17" t="s">
        <v>147</v>
      </c>
      <c r="BM135" s="223" t="s">
        <v>1242</v>
      </c>
    </row>
    <row r="136" s="13" customFormat="1">
      <c r="A136" s="13"/>
      <c r="B136" s="225"/>
      <c r="C136" s="226"/>
      <c r="D136" s="227" t="s">
        <v>149</v>
      </c>
      <c r="E136" s="226"/>
      <c r="F136" s="229" t="s">
        <v>1243</v>
      </c>
      <c r="G136" s="226"/>
      <c r="H136" s="230">
        <v>55.722999999999999</v>
      </c>
      <c r="I136" s="226"/>
      <c r="J136" s="226"/>
      <c r="K136" s="226"/>
      <c r="L136" s="231"/>
      <c r="M136" s="232"/>
      <c r="N136" s="233"/>
      <c r="O136" s="233"/>
      <c r="P136" s="233"/>
      <c r="Q136" s="233"/>
      <c r="R136" s="233"/>
      <c r="S136" s="233"/>
      <c r="T136" s="23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T136" s="235" t="s">
        <v>149</v>
      </c>
      <c r="AU136" s="235" t="s">
        <v>83</v>
      </c>
      <c r="AV136" s="13" t="s">
        <v>83</v>
      </c>
      <c r="AW136" s="13" t="s">
        <v>4</v>
      </c>
      <c r="AX136" s="13" t="s">
        <v>19</v>
      </c>
      <c r="AY136" s="235" t="s">
        <v>142</v>
      </c>
    </row>
    <row r="137" s="12" customFormat="1" ht="22.8" customHeight="1">
      <c r="A137" s="12"/>
      <c r="B137" s="197"/>
      <c r="C137" s="198"/>
      <c r="D137" s="199" t="s">
        <v>73</v>
      </c>
      <c r="E137" s="210" t="s">
        <v>186</v>
      </c>
      <c r="F137" s="210" t="s">
        <v>1244</v>
      </c>
      <c r="G137" s="198"/>
      <c r="H137" s="198"/>
      <c r="I137" s="198"/>
      <c r="J137" s="211">
        <f>BK137</f>
        <v>5208.0100000000002</v>
      </c>
      <c r="K137" s="198"/>
      <c r="L137" s="202"/>
      <c r="M137" s="203"/>
      <c r="N137" s="204"/>
      <c r="O137" s="204"/>
      <c r="P137" s="205">
        <f>SUM(P138:P146)</f>
        <v>2.1724839999999999</v>
      </c>
      <c r="Q137" s="204"/>
      <c r="R137" s="205">
        <f>SUM(R138:R146)</f>
        <v>1.91021116</v>
      </c>
      <c r="S137" s="204"/>
      <c r="T137" s="206">
        <f>SUM(T138:T146)</f>
        <v>0</v>
      </c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R137" s="207" t="s">
        <v>19</v>
      </c>
      <c r="AT137" s="208" t="s">
        <v>73</v>
      </c>
      <c r="AU137" s="208" t="s">
        <v>19</v>
      </c>
      <c r="AY137" s="207" t="s">
        <v>142</v>
      </c>
      <c r="BK137" s="209">
        <f>SUM(BK138:BK146)</f>
        <v>5208.0100000000002</v>
      </c>
    </row>
    <row r="138" s="2" customFormat="1" ht="33" customHeight="1">
      <c r="A138" s="32"/>
      <c r="B138" s="33"/>
      <c r="C138" s="212" t="s">
        <v>196</v>
      </c>
      <c r="D138" s="212" t="s">
        <v>144</v>
      </c>
      <c r="E138" s="213" t="s">
        <v>1245</v>
      </c>
      <c r="F138" s="214" t="s">
        <v>1246</v>
      </c>
      <c r="G138" s="215" t="s">
        <v>326</v>
      </c>
      <c r="H138" s="216">
        <v>6.2359999999999998</v>
      </c>
      <c r="I138" s="217">
        <v>343</v>
      </c>
      <c r="J138" s="217">
        <f>ROUND(I138*H138,2)</f>
        <v>2138.9499999999998</v>
      </c>
      <c r="K138" s="218"/>
      <c r="L138" s="38"/>
      <c r="M138" s="219" t="s">
        <v>1</v>
      </c>
      <c r="N138" s="220" t="s">
        <v>39</v>
      </c>
      <c r="O138" s="221">
        <v>0.23899999999999999</v>
      </c>
      <c r="P138" s="221">
        <f>O138*H138</f>
        <v>1.4904039999999998</v>
      </c>
      <c r="Q138" s="221">
        <v>0.14041999999999999</v>
      </c>
      <c r="R138" s="221">
        <f>Q138*H138</f>
        <v>0.8756591199999999</v>
      </c>
      <c r="S138" s="221">
        <v>0</v>
      </c>
      <c r="T138" s="222">
        <f>S138*H138</f>
        <v>0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R138" s="223" t="s">
        <v>147</v>
      </c>
      <c r="AT138" s="223" t="s">
        <v>144</v>
      </c>
      <c r="AU138" s="223" t="s">
        <v>83</v>
      </c>
      <c r="AY138" s="17" t="s">
        <v>142</v>
      </c>
      <c r="BE138" s="224">
        <f>IF(N138="základní",J138,0)</f>
        <v>2138.9499999999998</v>
      </c>
      <c r="BF138" s="224">
        <f>IF(N138="snížená",J138,0)</f>
        <v>0</v>
      </c>
      <c r="BG138" s="224">
        <f>IF(N138="zákl. přenesená",J138,0)</f>
        <v>0</v>
      </c>
      <c r="BH138" s="224">
        <f>IF(N138="sníž. přenesená",J138,0)</f>
        <v>0</v>
      </c>
      <c r="BI138" s="224">
        <f>IF(N138="nulová",J138,0)</f>
        <v>0</v>
      </c>
      <c r="BJ138" s="17" t="s">
        <v>19</v>
      </c>
      <c r="BK138" s="224">
        <f>ROUND(I138*H138,2)</f>
        <v>2138.9499999999998</v>
      </c>
      <c r="BL138" s="17" t="s">
        <v>147</v>
      </c>
      <c r="BM138" s="223" t="s">
        <v>1247</v>
      </c>
    </row>
    <row r="139" s="13" customFormat="1">
      <c r="A139" s="13"/>
      <c r="B139" s="225"/>
      <c r="C139" s="226"/>
      <c r="D139" s="227" t="s">
        <v>149</v>
      </c>
      <c r="E139" s="228" t="s">
        <v>1</v>
      </c>
      <c r="F139" s="229" t="s">
        <v>1248</v>
      </c>
      <c r="G139" s="226"/>
      <c r="H139" s="230">
        <v>6.2359999999999998</v>
      </c>
      <c r="I139" s="226"/>
      <c r="J139" s="226"/>
      <c r="K139" s="226"/>
      <c r="L139" s="231"/>
      <c r="M139" s="232"/>
      <c r="N139" s="233"/>
      <c r="O139" s="233"/>
      <c r="P139" s="233"/>
      <c r="Q139" s="233"/>
      <c r="R139" s="233"/>
      <c r="S139" s="233"/>
      <c r="T139" s="23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35" t="s">
        <v>149</v>
      </c>
      <c r="AU139" s="235" t="s">
        <v>83</v>
      </c>
      <c r="AV139" s="13" t="s">
        <v>83</v>
      </c>
      <c r="AW139" s="13" t="s">
        <v>32</v>
      </c>
      <c r="AX139" s="13" t="s">
        <v>19</v>
      </c>
      <c r="AY139" s="235" t="s">
        <v>142</v>
      </c>
    </row>
    <row r="140" s="2" customFormat="1" ht="16.5" customHeight="1">
      <c r="A140" s="32"/>
      <c r="B140" s="33"/>
      <c r="C140" s="258" t="s">
        <v>8</v>
      </c>
      <c r="D140" s="258" t="s">
        <v>475</v>
      </c>
      <c r="E140" s="259" t="s">
        <v>1249</v>
      </c>
      <c r="F140" s="260" t="s">
        <v>1250</v>
      </c>
      <c r="G140" s="261" t="s">
        <v>326</v>
      </c>
      <c r="H140" s="262">
        <v>6.9969999999999999</v>
      </c>
      <c r="I140" s="263">
        <v>192</v>
      </c>
      <c r="J140" s="263">
        <f>ROUND(I140*H140,2)</f>
        <v>1343.4200000000001</v>
      </c>
      <c r="K140" s="264"/>
      <c r="L140" s="265"/>
      <c r="M140" s="266" t="s">
        <v>1</v>
      </c>
      <c r="N140" s="267" t="s">
        <v>39</v>
      </c>
      <c r="O140" s="221">
        <v>0</v>
      </c>
      <c r="P140" s="221">
        <f>O140*H140</f>
        <v>0</v>
      </c>
      <c r="Q140" s="221">
        <v>0.056120000000000003</v>
      </c>
      <c r="R140" s="221">
        <f>Q140*H140</f>
        <v>0.39267163999999999</v>
      </c>
      <c r="S140" s="221">
        <v>0</v>
      </c>
      <c r="T140" s="222">
        <f>S140*H140</f>
        <v>0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R140" s="223" t="s">
        <v>179</v>
      </c>
      <c r="AT140" s="223" t="s">
        <v>475</v>
      </c>
      <c r="AU140" s="223" t="s">
        <v>83</v>
      </c>
      <c r="AY140" s="17" t="s">
        <v>142</v>
      </c>
      <c r="BE140" s="224">
        <f>IF(N140="základní",J140,0)</f>
        <v>1343.4200000000001</v>
      </c>
      <c r="BF140" s="224">
        <f>IF(N140="snížená",J140,0)</f>
        <v>0</v>
      </c>
      <c r="BG140" s="224">
        <f>IF(N140="zákl. přenesená",J140,0)</f>
        <v>0</v>
      </c>
      <c r="BH140" s="224">
        <f>IF(N140="sníž. přenesená",J140,0)</f>
        <v>0</v>
      </c>
      <c r="BI140" s="224">
        <f>IF(N140="nulová",J140,0)</f>
        <v>0</v>
      </c>
      <c r="BJ140" s="17" t="s">
        <v>19</v>
      </c>
      <c r="BK140" s="224">
        <f>ROUND(I140*H140,2)</f>
        <v>1343.4200000000001</v>
      </c>
      <c r="BL140" s="17" t="s">
        <v>147</v>
      </c>
      <c r="BM140" s="223" t="s">
        <v>1251</v>
      </c>
    </row>
    <row r="141" s="13" customFormat="1">
      <c r="A141" s="13"/>
      <c r="B141" s="225"/>
      <c r="C141" s="226"/>
      <c r="D141" s="227" t="s">
        <v>149</v>
      </c>
      <c r="E141" s="228" t="s">
        <v>1</v>
      </c>
      <c r="F141" s="229" t="s">
        <v>1252</v>
      </c>
      <c r="G141" s="226"/>
      <c r="H141" s="230">
        <v>6.8596000000000004</v>
      </c>
      <c r="I141" s="226"/>
      <c r="J141" s="226"/>
      <c r="K141" s="226"/>
      <c r="L141" s="231"/>
      <c r="M141" s="232"/>
      <c r="N141" s="233"/>
      <c r="O141" s="233"/>
      <c r="P141" s="233"/>
      <c r="Q141" s="233"/>
      <c r="R141" s="233"/>
      <c r="S141" s="233"/>
      <c r="T141" s="23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35" t="s">
        <v>149</v>
      </c>
      <c r="AU141" s="235" t="s">
        <v>83</v>
      </c>
      <c r="AV141" s="13" t="s">
        <v>83</v>
      </c>
      <c r="AW141" s="13" t="s">
        <v>32</v>
      </c>
      <c r="AX141" s="13" t="s">
        <v>19</v>
      </c>
      <c r="AY141" s="235" t="s">
        <v>142</v>
      </c>
    </row>
    <row r="142" s="13" customFormat="1">
      <c r="A142" s="13"/>
      <c r="B142" s="225"/>
      <c r="C142" s="226"/>
      <c r="D142" s="227" t="s">
        <v>149</v>
      </c>
      <c r="E142" s="226"/>
      <c r="F142" s="229" t="s">
        <v>1253</v>
      </c>
      <c r="G142" s="226"/>
      <c r="H142" s="230">
        <v>6.9969999999999999</v>
      </c>
      <c r="I142" s="226"/>
      <c r="J142" s="226"/>
      <c r="K142" s="226"/>
      <c r="L142" s="231"/>
      <c r="M142" s="232"/>
      <c r="N142" s="233"/>
      <c r="O142" s="233"/>
      <c r="P142" s="233"/>
      <c r="Q142" s="233"/>
      <c r="R142" s="233"/>
      <c r="S142" s="233"/>
      <c r="T142" s="23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35" t="s">
        <v>149</v>
      </c>
      <c r="AU142" s="235" t="s">
        <v>83</v>
      </c>
      <c r="AV142" s="13" t="s">
        <v>83</v>
      </c>
      <c r="AW142" s="13" t="s">
        <v>4</v>
      </c>
      <c r="AX142" s="13" t="s">
        <v>19</v>
      </c>
      <c r="AY142" s="235" t="s">
        <v>142</v>
      </c>
    </row>
    <row r="143" s="2" customFormat="1" ht="24.15" customHeight="1">
      <c r="A143" s="32"/>
      <c r="B143" s="33"/>
      <c r="C143" s="212" t="s">
        <v>205</v>
      </c>
      <c r="D143" s="212" t="s">
        <v>144</v>
      </c>
      <c r="E143" s="213" t="s">
        <v>1254</v>
      </c>
      <c r="F143" s="214" t="s">
        <v>1255</v>
      </c>
      <c r="G143" s="215" t="s">
        <v>326</v>
      </c>
      <c r="H143" s="216">
        <v>4.8719999999999999</v>
      </c>
      <c r="I143" s="217">
        <v>220</v>
      </c>
      <c r="J143" s="217">
        <f>ROUND(I143*H143,2)</f>
        <v>1071.8399999999999</v>
      </c>
      <c r="K143" s="218"/>
      <c r="L143" s="38"/>
      <c r="M143" s="219" t="s">
        <v>1</v>
      </c>
      <c r="N143" s="220" t="s">
        <v>39</v>
      </c>
      <c r="O143" s="221">
        <v>0.14000000000000001</v>
      </c>
      <c r="P143" s="221">
        <f>O143*H143</f>
        <v>0.68208000000000002</v>
      </c>
      <c r="Q143" s="221">
        <v>0.10095</v>
      </c>
      <c r="R143" s="221">
        <f>Q143*H143</f>
        <v>0.4918284</v>
      </c>
      <c r="S143" s="221">
        <v>0</v>
      </c>
      <c r="T143" s="222">
        <f>S143*H143</f>
        <v>0</v>
      </c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R143" s="223" t="s">
        <v>147</v>
      </c>
      <c r="AT143" s="223" t="s">
        <v>144</v>
      </c>
      <c r="AU143" s="223" t="s">
        <v>83</v>
      </c>
      <c r="AY143" s="17" t="s">
        <v>142</v>
      </c>
      <c r="BE143" s="224">
        <f>IF(N143="základní",J143,0)</f>
        <v>1071.8399999999999</v>
      </c>
      <c r="BF143" s="224">
        <f>IF(N143="snížená",J143,0)</f>
        <v>0</v>
      </c>
      <c r="BG143" s="224">
        <f>IF(N143="zákl. přenesená",J143,0)</f>
        <v>0</v>
      </c>
      <c r="BH143" s="224">
        <f>IF(N143="sníž. přenesená",J143,0)</f>
        <v>0</v>
      </c>
      <c r="BI143" s="224">
        <f>IF(N143="nulová",J143,0)</f>
        <v>0</v>
      </c>
      <c r="BJ143" s="17" t="s">
        <v>19</v>
      </c>
      <c r="BK143" s="224">
        <f>ROUND(I143*H143,2)</f>
        <v>1071.8399999999999</v>
      </c>
      <c r="BL143" s="17" t="s">
        <v>147</v>
      </c>
      <c r="BM143" s="223" t="s">
        <v>1256</v>
      </c>
    </row>
    <row r="144" s="13" customFormat="1">
      <c r="A144" s="13"/>
      <c r="B144" s="225"/>
      <c r="C144" s="226"/>
      <c r="D144" s="227" t="s">
        <v>149</v>
      </c>
      <c r="E144" s="228" t="s">
        <v>1</v>
      </c>
      <c r="F144" s="229" t="s">
        <v>1257</v>
      </c>
      <c r="G144" s="226"/>
      <c r="H144" s="230">
        <v>4.8719999999999999</v>
      </c>
      <c r="I144" s="226"/>
      <c r="J144" s="226"/>
      <c r="K144" s="226"/>
      <c r="L144" s="231"/>
      <c r="M144" s="232"/>
      <c r="N144" s="233"/>
      <c r="O144" s="233"/>
      <c r="P144" s="233"/>
      <c r="Q144" s="233"/>
      <c r="R144" s="233"/>
      <c r="S144" s="233"/>
      <c r="T144" s="23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35" t="s">
        <v>149</v>
      </c>
      <c r="AU144" s="235" t="s">
        <v>83</v>
      </c>
      <c r="AV144" s="13" t="s">
        <v>83</v>
      </c>
      <c r="AW144" s="13" t="s">
        <v>32</v>
      </c>
      <c r="AX144" s="13" t="s">
        <v>19</v>
      </c>
      <c r="AY144" s="235" t="s">
        <v>142</v>
      </c>
    </row>
    <row r="145" s="2" customFormat="1" ht="16.5" customHeight="1">
      <c r="A145" s="32"/>
      <c r="B145" s="33"/>
      <c r="C145" s="258" t="s">
        <v>211</v>
      </c>
      <c r="D145" s="258" t="s">
        <v>475</v>
      </c>
      <c r="E145" s="259" t="s">
        <v>1258</v>
      </c>
      <c r="F145" s="260" t="s">
        <v>1259</v>
      </c>
      <c r="G145" s="261" t="s">
        <v>326</v>
      </c>
      <c r="H145" s="262">
        <v>5.359</v>
      </c>
      <c r="I145" s="263">
        <v>122</v>
      </c>
      <c r="J145" s="263">
        <f>ROUND(I145*H145,2)</f>
        <v>653.79999999999995</v>
      </c>
      <c r="K145" s="264"/>
      <c r="L145" s="265"/>
      <c r="M145" s="266" t="s">
        <v>1</v>
      </c>
      <c r="N145" s="267" t="s">
        <v>39</v>
      </c>
      <c r="O145" s="221">
        <v>0</v>
      </c>
      <c r="P145" s="221">
        <f>O145*H145</f>
        <v>0</v>
      </c>
      <c r="Q145" s="221">
        <v>0.028000000000000001</v>
      </c>
      <c r="R145" s="221">
        <f>Q145*H145</f>
        <v>0.15005199999999999</v>
      </c>
      <c r="S145" s="221">
        <v>0</v>
      </c>
      <c r="T145" s="222">
        <f>S145*H145</f>
        <v>0</v>
      </c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R145" s="223" t="s">
        <v>179</v>
      </c>
      <c r="AT145" s="223" t="s">
        <v>475</v>
      </c>
      <c r="AU145" s="223" t="s">
        <v>83</v>
      </c>
      <c r="AY145" s="17" t="s">
        <v>142</v>
      </c>
      <c r="BE145" s="224">
        <f>IF(N145="základní",J145,0)</f>
        <v>653.79999999999995</v>
      </c>
      <c r="BF145" s="224">
        <f>IF(N145="snížená",J145,0)</f>
        <v>0</v>
      </c>
      <c r="BG145" s="224">
        <f>IF(N145="zákl. přenesená",J145,0)</f>
        <v>0</v>
      </c>
      <c r="BH145" s="224">
        <f>IF(N145="sníž. přenesená",J145,0)</f>
        <v>0</v>
      </c>
      <c r="BI145" s="224">
        <f>IF(N145="nulová",J145,0)</f>
        <v>0</v>
      </c>
      <c r="BJ145" s="17" t="s">
        <v>19</v>
      </c>
      <c r="BK145" s="224">
        <f>ROUND(I145*H145,2)</f>
        <v>653.79999999999995</v>
      </c>
      <c r="BL145" s="17" t="s">
        <v>147</v>
      </c>
      <c r="BM145" s="223" t="s">
        <v>1260</v>
      </c>
    </row>
    <row r="146" s="13" customFormat="1">
      <c r="A146" s="13"/>
      <c r="B146" s="225"/>
      <c r="C146" s="226"/>
      <c r="D146" s="227" t="s">
        <v>149</v>
      </c>
      <c r="E146" s="228" t="s">
        <v>1</v>
      </c>
      <c r="F146" s="229" t="s">
        <v>1261</v>
      </c>
      <c r="G146" s="226"/>
      <c r="H146" s="230">
        <v>5.3592000000000004</v>
      </c>
      <c r="I146" s="226"/>
      <c r="J146" s="226"/>
      <c r="K146" s="226"/>
      <c r="L146" s="231"/>
      <c r="M146" s="268"/>
      <c r="N146" s="269"/>
      <c r="O146" s="269"/>
      <c r="P146" s="269"/>
      <c r="Q146" s="269"/>
      <c r="R146" s="269"/>
      <c r="S146" s="269"/>
      <c r="T146" s="270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35" t="s">
        <v>149</v>
      </c>
      <c r="AU146" s="235" t="s">
        <v>83</v>
      </c>
      <c r="AV146" s="13" t="s">
        <v>83</v>
      </c>
      <c r="AW146" s="13" t="s">
        <v>32</v>
      </c>
      <c r="AX146" s="13" t="s">
        <v>19</v>
      </c>
      <c r="AY146" s="235" t="s">
        <v>142</v>
      </c>
    </row>
    <row r="147" s="2" customFormat="1" ht="6.96" customHeight="1">
      <c r="A147" s="32"/>
      <c r="B147" s="59"/>
      <c r="C147" s="60"/>
      <c r="D147" s="60"/>
      <c r="E147" s="60"/>
      <c r="F147" s="60"/>
      <c r="G147" s="60"/>
      <c r="H147" s="60"/>
      <c r="I147" s="60"/>
      <c r="J147" s="60"/>
      <c r="K147" s="60"/>
      <c r="L147" s="38"/>
      <c r="M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</sheetData>
  <sheetProtection sheet="1" autoFilter="0" formatColumns="0" formatRows="0" objects="1" scenarios="1" spinCount="100000" saltValue="FWq6St+ZiCq3tIlDCKEE/Aa2ofFsnExp7HRo1p2zPs2HBVuB4RJgdgK0q5MUiSSqEhaMBKu6F2sX8f6sC6HLPQ==" hashValue="IyK2QtFHeeKtXnMSJOWANQwFlzEQLygB+/YNeFKgas1rXZWQd0rLcM9UyhfFwQL4mTjZuIVIh5OuhXZJggMANA==" algorithmName="SHA-512" password="CC35"/>
  <autoFilter ref="C119:K146"/>
  <mergeCells count="9">
    <mergeCell ref="E7:H7"/>
    <mergeCell ref="E9:H9"/>
    <mergeCell ref="E18:H18"/>
    <mergeCell ref="E27:H27"/>
    <mergeCell ref="E85:H85"/>
    <mergeCell ref="E87:H87"/>
    <mergeCell ref="E110:H110"/>
    <mergeCell ref="E112:H112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667969" style="1" customWidth="1"/>
    <col min="3" max="3" width="25" style="1" customWidth="1"/>
    <col min="4" max="4" width="75.83203" style="1" customWidth="1"/>
    <col min="5" max="5" width="13.33203" style="1" customWidth="1"/>
    <col min="6" max="6" width="20" style="1" customWidth="1"/>
    <col min="7" max="7" width="1.667969" style="1" customWidth="1"/>
    <col min="8" max="8" width="8.332031" style="1" customWidth="1"/>
  </cols>
  <sheetData>
    <row r="1" s="1" customFormat="1" ht="11.28" customHeight="1"/>
    <row r="2" s="1" customFormat="1" ht="36.96" customHeight="1"/>
    <row r="3" s="1" customFormat="1" ht="6.96" customHeight="1">
      <c r="B3" s="130"/>
      <c r="C3" s="131"/>
      <c r="D3" s="131"/>
      <c r="E3" s="131"/>
      <c r="F3" s="131"/>
      <c r="G3" s="131"/>
      <c r="H3" s="20"/>
    </row>
    <row r="4" s="1" customFormat="1" ht="24.96" customHeight="1">
      <c r="B4" s="20"/>
      <c r="C4" s="132" t="s">
        <v>1262</v>
      </c>
      <c r="H4" s="20"/>
    </row>
    <row r="5" s="1" customFormat="1" ht="12" customHeight="1">
      <c r="B5" s="20"/>
      <c r="C5" s="277" t="s">
        <v>12</v>
      </c>
      <c r="D5" s="141" t="s">
        <v>13</v>
      </c>
      <c r="E5" s="1"/>
      <c r="F5" s="1"/>
      <c r="H5" s="20"/>
    </row>
    <row r="6" s="1" customFormat="1" ht="36.96" customHeight="1">
      <c r="B6" s="20"/>
      <c r="C6" s="278" t="s">
        <v>14</v>
      </c>
      <c r="D6" s="279" t="s">
        <v>15</v>
      </c>
      <c r="E6" s="1"/>
      <c r="F6" s="1"/>
      <c r="H6" s="20"/>
    </row>
    <row r="7" s="1" customFormat="1" ht="16.5" customHeight="1">
      <c r="B7" s="20"/>
      <c r="C7" s="134" t="s">
        <v>22</v>
      </c>
      <c r="D7" s="138" t="str">
        <f>'Rekapitulace stavby'!AN8</f>
        <v>8. 9. 2025</v>
      </c>
      <c r="H7" s="20"/>
    </row>
    <row r="8" s="2" customFormat="1" ht="10.8" customHeight="1">
      <c r="A8" s="32"/>
      <c r="B8" s="38"/>
      <c r="C8" s="32"/>
      <c r="D8" s="32"/>
      <c r="E8" s="32"/>
      <c r="F8" s="32"/>
      <c r="G8" s="32"/>
      <c r="H8" s="38"/>
    </row>
    <row r="9" s="11" customFormat="1" ht="29.28" customHeight="1">
      <c r="A9" s="185"/>
      <c r="B9" s="280"/>
      <c r="C9" s="281" t="s">
        <v>55</v>
      </c>
      <c r="D9" s="282" t="s">
        <v>56</v>
      </c>
      <c r="E9" s="282" t="s">
        <v>129</v>
      </c>
      <c r="F9" s="283" t="s">
        <v>1263</v>
      </c>
      <c r="G9" s="185"/>
      <c r="H9" s="280"/>
    </row>
    <row r="10" s="2" customFormat="1" ht="26.4" customHeight="1">
      <c r="A10" s="32"/>
      <c r="B10" s="38"/>
      <c r="C10" s="284" t="s">
        <v>79</v>
      </c>
      <c r="D10" s="284" t="s">
        <v>80</v>
      </c>
      <c r="E10" s="32"/>
      <c r="F10" s="32"/>
      <c r="G10" s="32"/>
      <c r="H10" s="38"/>
    </row>
    <row r="11" s="2" customFormat="1" ht="16.8" customHeight="1">
      <c r="A11" s="32"/>
      <c r="B11" s="38"/>
      <c r="C11" s="285" t="s">
        <v>1264</v>
      </c>
      <c r="D11" s="286" t="s">
        <v>1265</v>
      </c>
      <c r="E11" s="287" t="s">
        <v>154</v>
      </c>
      <c r="F11" s="288">
        <v>100.8</v>
      </c>
      <c r="G11" s="32"/>
      <c r="H11" s="38"/>
    </row>
    <row r="12" s="2" customFormat="1" ht="16.8" customHeight="1">
      <c r="A12" s="32"/>
      <c r="B12" s="38"/>
      <c r="C12" s="289" t="s">
        <v>1</v>
      </c>
      <c r="D12" s="289" t="s">
        <v>97</v>
      </c>
      <c r="E12" s="17" t="s">
        <v>1</v>
      </c>
      <c r="F12" s="290">
        <v>100.8</v>
      </c>
      <c r="G12" s="32"/>
      <c r="H12" s="38"/>
    </row>
    <row r="13" s="2" customFormat="1" ht="16.8" customHeight="1">
      <c r="A13" s="32"/>
      <c r="B13" s="38"/>
      <c r="C13" s="285" t="s">
        <v>1266</v>
      </c>
      <c r="D13" s="286" t="s">
        <v>1267</v>
      </c>
      <c r="E13" s="287" t="s">
        <v>96</v>
      </c>
      <c r="F13" s="288">
        <v>0</v>
      </c>
      <c r="G13" s="32"/>
      <c r="H13" s="38"/>
    </row>
    <row r="14" s="2" customFormat="1" ht="16.8" customHeight="1">
      <c r="A14" s="32"/>
      <c r="B14" s="38"/>
      <c r="C14" s="289" t="s">
        <v>1</v>
      </c>
      <c r="D14" s="289" t="s">
        <v>74</v>
      </c>
      <c r="E14" s="17" t="s">
        <v>1</v>
      </c>
      <c r="F14" s="290">
        <v>0</v>
      </c>
      <c r="G14" s="32"/>
      <c r="H14" s="38"/>
    </row>
    <row r="15" s="2" customFormat="1" ht="16.8" customHeight="1">
      <c r="A15" s="32"/>
      <c r="B15" s="38"/>
      <c r="C15" s="285" t="s">
        <v>1268</v>
      </c>
      <c r="D15" s="286" t="s">
        <v>1265</v>
      </c>
      <c r="E15" s="287" t="s">
        <v>154</v>
      </c>
      <c r="F15" s="288">
        <v>100.8</v>
      </c>
      <c r="G15" s="32"/>
      <c r="H15" s="38"/>
    </row>
    <row r="16" s="2" customFormat="1" ht="16.8" customHeight="1">
      <c r="A16" s="32"/>
      <c r="B16" s="38"/>
      <c r="C16" s="289" t="s">
        <v>1</v>
      </c>
      <c r="D16" s="289" t="s">
        <v>97</v>
      </c>
      <c r="E16" s="17" t="s">
        <v>1</v>
      </c>
      <c r="F16" s="290">
        <v>100.8</v>
      </c>
      <c r="G16" s="32"/>
      <c r="H16" s="38"/>
    </row>
    <row r="17" s="2" customFormat="1" ht="16.8" customHeight="1">
      <c r="A17" s="32"/>
      <c r="B17" s="38"/>
      <c r="C17" s="285" t="s">
        <v>1269</v>
      </c>
      <c r="D17" s="286" t="s">
        <v>1270</v>
      </c>
      <c r="E17" s="287" t="s">
        <v>154</v>
      </c>
      <c r="F17" s="288">
        <v>0</v>
      </c>
      <c r="G17" s="32"/>
      <c r="H17" s="38"/>
    </row>
    <row r="18" s="2" customFormat="1" ht="16.8" customHeight="1">
      <c r="A18" s="32"/>
      <c r="B18" s="38"/>
      <c r="C18" s="289" t="s">
        <v>1</v>
      </c>
      <c r="D18" s="289" t="s">
        <v>74</v>
      </c>
      <c r="E18" s="17" t="s">
        <v>1</v>
      </c>
      <c r="F18" s="290">
        <v>0</v>
      </c>
      <c r="G18" s="32"/>
      <c r="H18" s="38"/>
    </row>
    <row r="19" s="2" customFormat="1" ht="16.8" customHeight="1">
      <c r="A19" s="32"/>
      <c r="B19" s="38"/>
      <c r="C19" s="285" t="s">
        <v>1271</v>
      </c>
      <c r="D19" s="286" t="s">
        <v>1272</v>
      </c>
      <c r="E19" s="287" t="s">
        <v>154</v>
      </c>
      <c r="F19" s="288">
        <v>72.989999999999995</v>
      </c>
      <c r="G19" s="32"/>
      <c r="H19" s="38"/>
    </row>
    <row r="20" s="2" customFormat="1" ht="16.8" customHeight="1">
      <c r="A20" s="32"/>
      <c r="B20" s="38"/>
      <c r="C20" s="289" t="s">
        <v>1</v>
      </c>
      <c r="D20" s="289" t="s">
        <v>1273</v>
      </c>
      <c r="E20" s="17" t="s">
        <v>1</v>
      </c>
      <c r="F20" s="290">
        <v>72.989999999999995</v>
      </c>
      <c r="G20" s="32"/>
      <c r="H20" s="38"/>
    </row>
    <row r="21" s="2" customFormat="1" ht="16.8" customHeight="1">
      <c r="A21" s="32"/>
      <c r="B21" s="38"/>
      <c r="C21" s="285" t="s">
        <v>94</v>
      </c>
      <c r="D21" s="286" t="s">
        <v>95</v>
      </c>
      <c r="E21" s="287" t="s">
        <v>96</v>
      </c>
      <c r="F21" s="288">
        <v>100.8</v>
      </c>
      <c r="G21" s="32"/>
      <c r="H21" s="38"/>
    </row>
    <row r="22" s="2" customFormat="1" ht="16.8" customHeight="1">
      <c r="A22" s="32"/>
      <c r="B22" s="38"/>
      <c r="C22" s="289" t="s">
        <v>1</v>
      </c>
      <c r="D22" s="289" t="s">
        <v>97</v>
      </c>
      <c r="E22" s="17" t="s">
        <v>1</v>
      </c>
      <c r="F22" s="290">
        <v>100.8</v>
      </c>
      <c r="G22" s="32"/>
      <c r="H22" s="38"/>
    </row>
    <row r="23" s="2" customFormat="1" ht="16.8" customHeight="1">
      <c r="A23" s="32"/>
      <c r="B23" s="38"/>
      <c r="C23" s="291" t="s">
        <v>1274</v>
      </c>
      <c r="D23" s="32"/>
      <c r="E23" s="32"/>
      <c r="F23" s="32"/>
      <c r="G23" s="32"/>
      <c r="H23" s="38"/>
    </row>
    <row r="24" s="2" customFormat="1" ht="16.8" customHeight="1">
      <c r="A24" s="32"/>
      <c r="B24" s="38"/>
      <c r="C24" s="289" t="s">
        <v>430</v>
      </c>
      <c r="D24" s="289" t="s">
        <v>431</v>
      </c>
      <c r="E24" s="17" t="s">
        <v>96</v>
      </c>
      <c r="F24" s="290">
        <v>100.8</v>
      </c>
      <c r="G24" s="32"/>
      <c r="H24" s="38"/>
    </row>
    <row r="25" s="2" customFormat="1" ht="16.8" customHeight="1">
      <c r="A25" s="32"/>
      <c r="B25" s="38"/>
      <c r="C25" s="285" t="s">
        <v>1275</v>
      </c>
      <c r="D25" s="286" t="s">
        <v>1276</v>
      </c>
      <c r="E25" s="287" t="s">
        <v>326</v>
      </c>
      <c r="F25" s="288">
        <v>0</v>
      </c>
      <c r="G25" s="32"/>
      <c r="H25" s="38"/>
    </row>
    <row r="26" s="2" customFormat="1" ht="16.8" customHeight="1">
      <c r="A26" s="32"/>
      <c r="B26" s="38"/>
      <c r="C26" s="289" t="s">
        <v>1</v>
      </c>
      <c r="D26" s="289" t="s">
        <v>74</v>
      </c>
      <c r="E26" s="17" t="s">
        <v>1</v>
      </c>
      <c r="F26" s="290">
        <v>0</v>
      </c>
      <c r="G26" s="32"/>
      <c r="H26" s="38"/>
    </row>
    <row r="27" s="2" customFormat="1" ht="16.8" customHeight="1">
      <c r="A27" s="32"/>
      <c r="B27" s="38"/>
      <c r="C27" s="285" t="s">
        <v>99</v>
      </c>
      <c r="D27" s="286" t="s">
        <v>100</v>
      </c>
      <c r="E27" s="287" t="s">
        <v>96</v>
      </c>
      <c r="F27" s="288">
        <v>28.399999999999999</v>
      </c>
      <c r="G27" s="32"/>
      <c r="H27" s="38"/>
    </row>
    <row r="28" s="2" customFormat="1" ht="16.8" customHeight="1">
      <c r="A28" s="32"/>
      <c r="B28" s="38"/>
      <c r="C28" s="289" t="s">
        <v>1</v>
      </c>
      <c r="D28" s="289" t="s">
        <v>1277</v>
      </c>
      <c r="E28" s="17" t="s">
        <v>1</v>
      </c>
      <c r="F28" s="290">
        <v>28.399999999999999</v>
      </c>
      <c r="G28" s="32"/>
      <c r="H28" s="38"/>
    </row>
    <row r="29" s="2" customFormat="1" ht="16.8" customHeight="1">
      <c r="A29" s="32"/>
      <c r="B29" s="38"/>
      <c r="C29" s="291" t="s">
        <v>1274</v>
      </c>
      <c r="D29" s="32"/>
      <c r="E29" s="32"/>
      <c r="F29" s="32"/>
      <c r="G29" s="32"/>
      <c r="H29" s="38"/>
    </row>
    <row r="30" s="2" customFormat="1" ht="16.8" customHeight="1">
      <c r="A30" s="32"/>
      <c r="B30" s="38"/>
      <c r="C30" s="289" t="s">
        <v>434</v>
      </c>
      <c r="D30" s="289" t="s">
        <v>435</v>
      </c>
      <c r="E30" s="17" t="s">
        <v>96</v>
      </c>
      <c r="F30" s="290">
        <v>28.399999999999999</v>
      </c>
      <c r="G30" s="32"/>
      <c r="H30" s="38"/>
    </row>
    <row r="31" s="2" customFormat="1" ht="26.4" customHeight="1">
      <c r="A31" s="32"/>
      <c r="B31" s="38"/>
      <c r="C31" s="284" t="s">
        <v>84</v>
      </c>
      <c r="D31" s="284" t="s">
        <v>85</v>
      </c>
      <c r="E31" s="32"/>
      <c r="F31" s="32"/>
      <c r="G31" s="32"/>
      <c r="H31" s="38"/>
    </row>
    <row r="32" s="2" customFormat="1" ht="16.8" customHeight="1">
      <c r="A32" s="32"/>
      <c r="B32" s="38"/>
      <c r="C32" s="285" t="s">
        <v>94</v>
      </c>
      <c r="D32" s="286" t="s">
        <v>95</v>
      </c>
      <c r="E32" s="287" t="s">
        <v>96</v>
      </c>
      <c r="F32" s="288">
        <v>100.8</v>
      </c>
      <c r="G32" s="32"/>
      <c r="H32" s="38"/>
    </row>
    <row r="33" s="2" customFormat="1" ht="16.8" customHeight="1">
      <c r="A33" s="32"/>
      <c r="B33" s="38"/>
      <c r="C33" s="289" t="s">
        <v>1</v>
      </c>
      <c r="D33" s="289" t="s">
        <v>97</v>
      </c>
      <c r="E33" s="17" t="s">
        <v>1</v>
      </c>
      <c r="F33" s="290">
        <v>100.8</v>
      </c>
      <c r="G33" s="32"/>
      <c r="H33" s="38"/>
    </row>
    <row r="34" s="2" customFormat="1" ht="16.8" customHeight="1">
      <c r="A34" s="32"/>
      <c r="B34" s="38"/>
      <c r="C34" s="285" t="s">
        <v>99</v>
      </c>
      <c r="D34" s="286" t="s">
        <v>100</v>
      </c>
      <c r="E34" s="287" t="s">
        <v>96</v>
      </c>
      <c r="F34" s="288">
        <v>28.399999999999999</v>
      </c>
      <c r="G34" s="32"/>
      <c r="H34" s="38"/>
    </row>
    <row r="35" s="2" customFormat="1" ht="16.8" customHeight="1">
      <c r="A35" s="32"/>
      <c r="B35" s="38"/>
      <c r="C35" s="289" t="s">
        <v>1</v>
      </c>
      <c r="D35" s="289" t="s">
        <v>1277</v>
      </c>
      <c r="E35" s="17" t="s">
        <v>1</v>
      </c>
      <c r="F35" s="290">
        <v>28.399999999999999</v>
      </c>
      <c r="G35" s="32"/>
      <c r="H35" s="38"/>
    </row>
    <row r="36" s="2" customFormat="1" ht="7.44" customHeight="1">
      <c r="A36" s="32"/>
      <c r="B36" s="164"/>
      <c r="C36" s="165"/>
      <c r="D36" s="165"/>
      <c r="E36" s="165"/>
      <c r="F36" s="165"/>
      <c r="G36" s="165"/>
      <c r="H36" s="38"/>
    </row>
    <row r="37" s="2" customFormat="1">
      <c r="A37" s="32"/>
      <c r="B37" s="32"/>
      <c r="C37" s="32"/>
      <c r="D37" s="32"/>
      <c r="E37" s="32"/>
      <c r="F37" s="32"/>
      <c r="G37" s="32"/>
      <c r="H37" s="32"/>
    </row>
  </sheetData>
  <sheetProtection sheet="1" formatColumns="0" formatRows="0" objects="1" scenarios="1" spinCount="100000" saltValue="DnXaRPx/BD8GGevCtce5EKhT2o/DLaLl9xlmXqYiKFIx2XUMbKsQy+qhNAFlsDYat0g2Ou5fYcYMGCcSbp7Mjw==" hashValue="kyg3jiXYoSwq+dBK9tZ4ibax305zArY+v+zfpW8HzHWRzgVDua5RQyHgoY9zWHH1HexKy7iqxL7VDABOwxLvWw==" algorithmName="SHA-512" password="CC35"/>
  <mergeCells count="2">
    <mergeCell ref="D5:F5"/>
    <mergeCell ref="D6:F6"/>
  </mergeCells>
  <pageSetup paperSize="9" orientation="portrait" blackAndWhite="1" fitToHeight="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Prokopov, Oleksandr</dc:creator>
  <cp:lastModifiedBy>Prokopov, Oleksandr</cp:lastModifiedBy>
  <dcterms:created xsi:type="dcterms:W3CDTF">2025-09-15T08:30:03Z</dcterms:created>
  <dcterms:modified xsi:type="dcterms:W3CDTF">2025-09-15T08:30:11Z</dcterms:modified>
</cp:coreProperties>
</file>
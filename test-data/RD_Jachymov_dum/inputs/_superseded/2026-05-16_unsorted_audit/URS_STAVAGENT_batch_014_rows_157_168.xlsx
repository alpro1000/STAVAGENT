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191ef404344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RS_candidates" sheetId="1" r:id="Rcf0f10f1b3e64f85"/>
    <x:sheet xmlns:r="http://schemas.openxmlformats.org/officeDocument/2006/relationships" name="Summary" sheetId="2" r:id="Rea41a826e2094516"/>
    <x:sheet xmlns:r="http://schemas.openxmlformats.org/officeDocument/2006/relationships" name="Source_rows" sheetId="3" r:id="R5cb10e22fe98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de9fb753e242eb" /><Relationship Type="http://schemas.openxmlformats.org/officeDocument/2006/relationships/theme" Target="/xl/theme/theme1.xml" Id="R324535c65b984271" /><Relationship Type="http://schemas.openxmlformats.org/officeDocument/2006/relationships/sharedStrings" Target="/xl/sharedStrings.xml" Id="Rd1ab57e08b6a418b" /><Relationship Type="http://schemas.openxmlformats.org/officeDocument/2006/relationships/worksheet" Target="/xl/worksheets/sheet1.xml" Id="Rcf0f10f1b3e64f85" /><Relationship Type="http://schemas.openxmlformats.org/officeDocument/2006/relationships/worksheet" Target="/xl/worksheets/sheet2.xml" Id="Rea41a826e2094516" /><Relationship Type="http://schemas.openxmlformats.org/officeDocument/2006/relationships/worksheet" Target="/xl/worksheets/sheet3.xml" Id="R5cb10e22fe98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14" hidden="0" customWidth="1"/>
    <x:col min="5" max="5" width="45" hidden="0" customWidth="1"/>
    <x:col min="6" max="6" width="8" hidden="0" customWidth="1"/>
    <x:col min="7" max="7" width="10" hidden="0" customWidth="1"/>
    <x:col min="8" max="8" width="38" hidden="0" customWidth="1"/>
    <x:col min="9" max="9" width="42" hidden="0" customWidth="1"/>
    <x:col min="10" max="10" width="14" hidden="0" customWidth="1"/>
    <x:col min="11" max="11" width="48" hidden="0" customWidth="1"/>
    <x:col min="12" max="12" width="10" hidden="0" customWidth="1"/>
    <x:col min="13" max="13" width="12" hidden="0" customWidth="1"/>
    <x:col min="14" max="14" width="20" hidden="0" customWidth="1"/>
    <x:col min="15" max="15" width="14" hidden="0" customWidth="1"/>
    <x:col min="16" max="16" width="48" hidden="0" customWidth="1"/>
    <x:col min="17" max="17" width="10" hidden="0" customWidth="1"/>
    <x:col min="18" max="18" width="12" hidden="0" customWidth="1"/>
    <x:col min="19" max="19" width="20" hidden="0" customWidth="1"/>
    <x:col min="20" max="20" width="14" hidden="0" customWidth="1"/>
    <x:col min="21" max="21" width="48" hidden="0" customWidth="1"/>
    <x:col min="22" max="22" width="10" hidden="0" customWidth="1"/>
    <x:col min="23" max="23" width="12" hidden="0" customWidth="1"/>
    <x:col min="24" max="24" width="20" hidden="0" customWidth="1"/>
    <x:col min="25" max="25" width="14" hidden="0" customWidth="1"/>
    <x:col min="26" max="26" width="48" hidden="0" customWidth="1"/>
    <x:col min="27" max="27" width="10" hidden="0" customWidth="1"/>
    <x:col min="28" max="28" width="12" hidden="0" customWidth="1"/>
    <x:col min="29" max="29" width="20" hidden="0" customWidth="1"/>
    <x:col min="30" max="30" width="14" hidden="0" customWidth="1"/>
    <x:col min="31" max="31" width="42" hidden="0" customWidth="1"/>
    <x:col min="32" max="32" width="16" hidden="0" customWidth="1"/>
  </x:cols>
  <x:sheetData>
    <x:row r="1" ht="36" customHeight="1">
      <x:c r="A1" s="6" t="str">
        <x:v>source_row_id</x:v>
      </x:c>
      <x:c r="B1" s="6" t="str">
        <x:v>Kapitola</x:v>
      </x:c>
      <x:c r="C1" s="6" t="str">
        <x:v>old_name</x:v>
      </x:c>
      <x:c r="D1" s="6" t="str">
        <x:v>old_urs_code</x:v>
      </x:c>
      <x:c r="E1" s="6" t="str">
        <x:v>old_description</x:v>
      </x:c>
      <x:c r="F1" s="6" t="str">
        <x:v>old_mj</x:v>
      </x:c>
      <x:c r="G1" s="6" t="str">
        <x:v>old_qty</x:v>
      </x:c>
      <x:c r="H1" s="6" t="str">
        <x:v>split_item</x:v>
      </x:c>
      <x:c r="I1" s="6" t="str">
        <x:v>STAVAGENT_query</x:v>
      </x:c>
      <x:c r="J1" s="6" t="str">
        <x:v>candidate_1_code</x:v>
      </x:c>
      <x:c r="K1" s="6" t="str">
        <x:v>candidate_1_name</x:v>
      </x:c>
      <x:c r="L1" s="6" t="str">
        <x:v>candidate_1_unit</x:v>
      </x:c>
      <x:c r="M1" s="6" t="str">
        <x:v>candidate_1_confidence</x:v>
      </x:c>
      <x:c r="N1" s="6" t="str">
        <x:v>candidate_1_source</x:v>
      </x:c>
      <x:c r="O1" s="6" t="str">
        <x:v>candidate_2_code</x:v>
      </x:c>
      <x:c r="P1" s="6" t="str">
        <x:v>candidate_2_name</x:v>
      </x:c>
      <x:c r="Q1" s="6" t="str">
        <x:v>candidate_2_unit</x:v>
      </x:c>
      <x:c r="R1" s="6" t="str">
        <x:v>candidate_2_confidence</x:v>
      </x:c>
      <x:c r="S1" s="6" t="str">
        <x:v>candidate_2_source</x:v>
      </x:c>
      <x:c r="T1" s="6" t="str">
        <x:v>candidate_3_code</x:v>
      </x:c>
      <x:c r="U1" s="6" t="str">
        <x:v>candidate_3_name</x:v>
      </x:c>
      <x:c r="V1" s="6" t="str">
        <x:v>candidate_3_unit</x:v>
      </x:c>
      <x:c r="W1" s="6" t="str">
        <x:v>candidate_3_confidence</x:v>
      </x:c>
      <x:c r="X1" s="6" t="str">
        <x:v>candidate_3_source</x:v>
      </x:c>
      <x:c r="Y1" s="6" t="str">
        <x:v>candidate_4_code</x:v>
      </x:c>
      <x:c r="Z1" s="6" t="str">
        <x:v>candidate_4_name</x:v>
      </x:c>
      <x:c r="AA1" s="6" t="str">
        <x:v>candidate_4_unit</x:v>
      </x:c>
      <x:c r="AB1" s="6" t="str">
        <x:v>candidate_4_confidence</x:v>
      </x:c>
      <x:c r="AC1" s="6" t="str">
        <x:v>candidate_4_source</x:v>
      </x:c>
      <x:c r="AD1" s="6" t="str">
        <x:v>quality_status</x:v>
      </x:c>
      <x:c r="AE1" s="6" t="str">
        <x:v>note</x:v>
      </x:c>
      <x:c r="AF1" s="6" t="str">
        <x:v>STAVAGENT_called</x:v>
      </x:c>
    </x:row>
    <x:row r="2" ht="36" customHeight="1">
      <x:c r="A2" s="12" t="n">
        <x:v>157</x:v>
      </x:c>
      <x:c r="B2" s="12" t="str">
        <x:v>PSV-72 ZTI</x:v>
      </x:c>
      <x:c r="C2" s="12" t="str">
        <x:v>Elektrický bojler 3.NP</x:v>
      </x:c>
      <x:c r="D2" s="12" t="str">
        <x:v>732429211</x:v>
      </x:c>
      <x:c r="E2" s="12" t="str">
        <x:v>Elektrický bojler ~80 l v koupelně 3.NP (nezávislý zdroj pro samostatný byt)</x:v>
      </x:c>
      <x:c r="F2" s="12" t="str">
        <x:v>ks</x:v>
      </x:c>
      <x:c r="G2" s="12" t="str">
        <x:v>1</x:v>
      </x:c>
      <x:c r="H2" s="12" t="str">
        <x:v>Elektrický zásobníkový ohřívač vody bojler 80 l – dodávka a montáž</x:v>
      </x:c>
      <x:c r="I2" s="12" t="str">
        <x:v>Elektrický zásobníkový ohřívač vody bojler objem 80 l dodávka a montáž</x:v>
      </x:c>
      <x:c r="J2" s="12" t="str">
        <x:v>N/A</x:v>
      </x:c>
      <x:c r="K2" s="12" t="str">
        <x:v>Bez konkrétního kódu; textová orientace k ZTI/Elektro položkám pro zásobníkový ohřívač vody</x:v>
      </x:c>
      <x:c r="L2" s="12" t="str"/>
      <x:c r="M2" s="12" t="n">
        <x:v>0.5</x:v>
      </x:c>
      <x:c r="N2" s="12" t="str">
        <x:v>perplexity_urs_search</x:v>
      </x:c>
      <x:c r="O2" s="12" t="str">
        <x:v>725531102</x:v>
      </x:c>
      <x:c r="P2" s="12" t="str">
        <x:v>Elektrický ohřívač zásobníkový přepadový beztlakový 10 l / 2 kW</x:v>
      </x:c>
      <x:c r="Q2" s="12" t="str">
        <x:v>ks</x:v>
      </x:c>
      <x:c r="R2" s="12" t="n">
        <x:v>0.36</x:v>
      </x:c>
      <x:c r="S2" s="12" t="str">
        <x:v>urs_matcher_service</x:v>
      </x:c>
      <x:c r="T2" s="12" t="str">
        <x:v>725532219</x:v>
      </x:c>
      <x:c r="U2" s="12" t="str">
        <x:v>Elektrické ohřívače zásobníkové beztlakové přepadové akumulační s pojistným ventilem závěsné vodorovné objem nádrže 180 l</x:v>
      </x:c>
      <x:c r="V2" s="12" t="str">
        <x:v>ks</x:v>
      </x:c>
      <x:c r="W2" s="12" t="n">
        <x:v>0.31</x:v>
      </x:c>
      <x:c r="X2" s="12" t="str">
        <x:v>urs_matcher_service</x:v>
      </x:c>
      <x:c r="Y2" s="12" t="str"/>
      <x:c r="Z2" s="12" t="str"/>
      <x:c r="AA2" s="12" t="str"/>
      <x:c r="AB2" s="12" t="str"/>
      <x:c r="AC2" s="12" t="str"/>
      <x:c r="AD2" s="12" t="str">
        <x:v>BAD_MATCH</x:v>
      </x:c>
      <x:c r="AE2" s="12" t="str">
        <x:v>Vrácené konkrétní položky mají špatný objem 10 l / 180 l, nikoli 80 l.</x:v>
      </x:c>
      <x:c r="AF2" s="12" t="str">
        <x:v>YES</x:v>
      </x:c>
    </x:row>
    <x:row r="3" ht="36" customHeight="1">
      <x:c r="A3" s="12" t="n">
        <x:v>158</x:v>
      </x:c>
      <x:c r="B3" s="12" t="str">
        <x:v>PSV-73 Vytápění</x:v>
      </x:c>
      <x:c r="C3" s="12" t="str">
        <x:v>Sporáková kamna na tuhá paliva</x:v>
      </x:c>
      <x:c r="D3" s="12" t="str">
        <x:v>733241011</x:v>
      </x:c>
      <x:c r="E3" s="12" t="str">
        <x:v>Sporáková kamna na tuhá paliva ~10 kW s akumulačním zásobníkem TUV — dodávka</x:v>
      </x:c>
      <x:c r="F3" s="12" t="str">
        <x:v>ks</x:v>
      </x:c>
      <x:c r="G3" s="12" t="str">
        <x:v>1</x:v>
      </x:c>
      <x:c r="H3" s="12" t="str">
        <x:v>Sporáková kamna na tuhá paliva ~10 kW – dodávka</x:v>
      </x:c>
      <x:c r="I3" s="12" t="str">
        <x:v>Sporáková kamna na tuhá paliva výkon přibližně 10 kW dodávka</x:v>
      </x:c>
      <x:c r="J3" s="12" t="str">
        <x:v>795991001</x:v>
      </x:c>
      <x:c r="K3" s="12" t="str">
        <x:v>Umístění přenosných kamen na tuhá paliva, krbokamen a sporáků hmotnosti do 100 kg</x:v>
      </x:c>
      <x:c r="L3" s="12" t="str">
        <x:v>kus</x:v>
      </x:c>
      <x:c r="M3" s="12" t="n">
        <x:v>0.78</x:v>
      </x:c>
      <x:c r="N3" s="12" t="str">
        <x:v>urs_matcher_service</x:v>
      </x:c>
      <x:c r="O3" s="12" t="str">
        <x:v>795991004</x:v>
      </x:c>
      <x:c r="P3" s="12" t="str">
        <x:v>Umístění přenosných kamen na tuhá paliva, krbokamen a sporáků hmotnosti přes 200 kg</x:v>
      </x:c>
      <x:c r="Q3" s="12" t="str">
        <x:v>kus</x:v>
      </x:c>
      <x:c r="R3" s="12" t="n">
        <x:v>0.55</x:v>
      </x:c>
      <x:c r="S3" s="12" t="str">
        <x:v>urs_matcher_service</x:v>
      </x:c>
      <x:c r="T3" s="12" t="str">
        <x:v>N/A</x:v>
      </x:c>
      <x:c r="U3" s="12" t="str">
        <x:v>Bez konkrétního kódu pro dodávku; textová orientace k části Vytápění – spotřebiče, kamna, krby</x:v>
      </x:c>
      <x:c r="V3" s="12" t="str"/>
      <x:c r="W3" s="12" t="n">
        <x:v>0.5</x:v>
      </x:c>
      <x:c r="X3" s="12" t="str">
        <x:v>perplexity_urs_search</x:v>
      </x:c>
      <x:c r="Y3" s="12" t="str"/>
      <x:c r="Z3" s="12" t="str"/>
      <x:c r="AA3" s="12" t="str"/>
      <x:c r="AB3" s="12" t="str"/>
      <x:c r="AC3" s="12" t="str"/>
      <x:c r="AD3" s="12" t="str">
        <x:v>BAD_MATCH</x:v>
      </x:c>
      <x:c r="AE3" s="12" t="str">
        <x:v>Matcher vrátil umístění/montáž, ne dodávku kamen.</x:v>
      </x:c>
      <x:c r="AF3" s="12" t="str">
        <x:v>YES</x:v>
      </x:c>
    </x:row>
    <x:row r="4" ht="36" customHeight="1">
      <x:c r="A4" s="12" t="n">
        <x:v>159</x:v>
      </x:c>
      <x:c r="B4" s="12" t="str">
        <x:v>PSV-73 Vytápění</x:v>
      </x:c>
      <x:c r="C4" s="12" t="str">
        <x:v>Sporáková kamna — montáž</x:v>
      </x:c>
      <x:c r="D4" s="12" t="str">
        <x:v>733281011</x:v>
      </x:c>
      <x:c r="E4" s="12" t="str">
        <x:v>Sporáková kamna — montáž vč. napojení na komín + akumulační zásobník (cca 8 Nh)</x:v>
      </x:c>
      <x:c r="F4" s="12" t="str">
        <x:v>kpl</x:v>
      </x:c>
      <x:c r="G4" s="12" t="str">
        <x:v>1</x:v>
      </x:c>
      <x:c r="H4" s="12" t="str">
        <x:v>Montáž sporákových kamen na tuhá paliva</x:v>
      </x:c>
      <x:c r="I4" s="12" t="str">
        <x:v>Montáž sporákových kamen na tuhá paliva včetně osazení</x:v>
      </x:c>
      <x:c r="J4" s="12" t="str">
        <x:v>795991004</x:v>
      </x:c>
      <x:c r="K4" s="12" t="str">
        <x:v>Umístění přenosných kamen na tuhá paliva, krbokamen a sporáků hmotnosti přes 200 kg</x:v>
      </x:c>
      <x:c r="L4" s="12" t="str">
        <x:v>kus</x:v>
      </x:c>
      <x:c r="M4" s="12" t="n">
        <x:v>0.95</x:v>
      </x:c>
      <x:c r="N4" s="12" t="str">
        <x:v>urs_matcher_service</x:v>
      </x:c>
      <x:c r="O4" s="12" t="str">
        <x:v>731213111</x:v>
      </x:c>
      <x:c r="P4" s="12" t="str">
        <x:v>Montáž sporákových kamen na tuhá paliva včetně osazení</x:v>
      </x:c>
      <x:c r="Q4" s="12" t="str"/>
      <x:c r="R4" s="12" t="n">
        <x:v>0.8</x:v>
      </x:c>
      <x:c r="S4" s="12" t="str">
        <x:v>perplexity_urs_search</x:v>
      </x:c>
      <x:c r="T4" s="12" t="str"/>
      <x:c r="U4" s="12" t="str"/>
      <x:c r="V4" s="12" t="str"/>
      <x:c r="W4" s="12" t="str"/>
      <x:c r="X4" s="12" t="str"/>
      <x:c r="Y4" s="12" t="str"/>
      <x:c r="Z4" s="12" t="str"/>
      <x:c r="AA4" s="12" t="str"/>
      <x:c r="AB4" s="12" t="str"/>
      <x:c r="AC4" s="12" t="str"/>
      <x:c r="AD4" s="12" t="str">
        <x:v>MATCH</x:v>
      </x:c>
      <x:c r="AE4" s="12" t="str">
        <x:v>Dobrá shoda pro osazení/montáž spotřebiče; ověřit hmotnostní pásmo.</x:v>
      </x:c>
      <x:c r="AF4" s="12" t="str">
        <x:v>YES</x:v>
      </x:c>
    </x:row>
    <x:row r="5" ht="36" customHeight="1">
      <x:c r="A5" s="12" t="n">
        <x:v>159</x:v>
      </x:c>
      <x:c r="B5" s="12" t="str">
        <x:v>PSV-73 Vytápění</x:v>
      </x:c>
      <x:c r="C5" s="12" t="str">
        <x:v>Sporáková kamna — montáž</x:v>
      </x:c>
      <x:c r="D5" s="12" t="str">
        <x:v>733281011</x:v>
      </x:c>
      <x:c r="E5" s="12" t="str">
        <x:v>Sporáková kamna — montáž vč. napojení na komín + akumulační zásobník (cca 8 Nh)</x:v>
      </x:c>
      <x:c r="F5" s="12" t="str">
        <x:v>kpl</x:v>
      </x:c>
      <x:c r="G5" s="12" t="str">
        <x:v>1</x:v>
      </x:c>
      <x:c r="H5" s="12" t="str">
        <x:v>Napojení sporákových kamen na komín kouřovodem</x:v>
      </x:c>
      <x:c r="I5" s="12" t="str">
        <x:v>Napojení sporákových kamen na komín kouřovodem</x:v>
      </x:c>
      <x:c r="J5" s="12" t="str">
        <x:v>N/A</x:v>
      </x:c>
      <x:c r="K5" s="12" t="str">
        <x:v>Bez konkrétního kódu; textová orientace k připojení spotřebiče na komín/kouřovod</x:v>
      </x:c>
      <x:c r="L5" s="12" t="str"/>
      <x:c r="M5" s="12" t="n">
        <x:v>0.5</x:v>
      </x:c>
      <x:c r="N5" s="12" t="str">
        <x:v>perplexity_urs_search</x:v>
      </x:c>
      <x:c r="O5" s="12" t="str"/>
      <x:c r="P5" s="12" t="str"/>
      <x:c r="Q5" s="12" t="str"/>
      <x:c r="R5" s="12" t="str"/>
      <x:c r="S5" s="12" t="str"/>
      <x:c r="T5" s="12" t="str"/>
      <x:c r="U5" s="12" t="str"/>
      <x:c r="V5" s="12" t="str"/>
      <x:c r="W5" s="12" t="str"/>
      <x:c r="X5" s="12" t="str"/>
      <x:c r="Y5" s="12" t="str"/>
      <x:c r="Z5" s="12" t="str"/>
      <x:c r="AA5" s="12" t="str"/>
      <x:c r="AB5" s="12" t="str"/>
      <x:c r="AC5" s="12" t="str"/>
      <x:c r="AD5" s="12" t="str">
        <x:v>NO_MATCH</x:v>
      </x:c>
      <x:c r="AE5" s="12" t="str">
        <x:v>STAVAGENT nevrátil konkrétní použitelný kód.</x:v>
      </x:c>
      <x:c r="AF5" s="12" t="str">
        <x:v>YES</x:v>
      </x:c>
    </x:row>
    <x:row r="6" ht="36" customHeight="1">
      <x:c r="A6" s="12" t="n">
        <x:v>159</x:v>
      </x:c>
      <x:c r="B6" s="12" t="str">
        <x:v>PSV-73 Vytápění</x:v>
      </x:c>
      <x:c r="C6" s="12" t="str">
        <x:v>Sporáková kamna — montáž</x:v>
      </x:c>
      <x:c r="D6" s="12" t="str">
        <x:v>733281011</x:v>
      </x:c>
      <x:c r="E6" s="12" t="str">
        <x:v>Sporáková kamna — montáž vč. napojení na komín + akumulační zásobník (cca 8 Nh)</x:v>
      </x:c>
      <x:c r="F6" s="12" t="str">
        <x:v>kpl</x:v>
      </x:c>
      <x:c r="G6" s="12" t="str">
        <x:v>1</x:v>
      </x:c>
      <x:c r="H6" s="12" t="str">
        <x:v>Napojení sporákových kamen na akumulační zásobník TUV</x:v>
      </x:c>
      <x:c r="I6" s="12" t="str">
        <x:v>Napojení sporákových kamen na akumulační zásobník teplé vody</x:v>
      </x:c>
      <x:c r="J6" s="12" t="str">
        <x:v>N/A</x:v>
      </x:c>
      <x:c r="K6" s="12" t="str">
        <x:v>Bez konkrétního kódu; textová orientace k TZB – vytápění a teplovodní napojení</x:v>
      </x:c>
      <x:c r="L6" s="12" t="str"/>
      <x:c r="M6" s="12" t="n">
        <x:v>0.5</x:v>
      </x:c>
      <x:c r="N6" s="12" t="str">
        <x:v>perplexity_urs_search</x:v>
      </x:c>
      <x:c r="O6" s="12" t="str">
        <x:v>795991001</x:v>
      </x:c>
      <x:c r="P6" s="12" t="str">
        <x:v>Montáž akumulačních kamen</x:v>
      </x:c>
      <x:c r="Q6" s="12" t="str">
        <x:v>kus</x:v>
      </x:c>
      <x:c r="R6" s="12" t="n">
        <x:v>0.42</x:v>
      </x:c>
      <x:c r="S6" s="12" t="str">
        <x:v>urs_matcher_service</x:v>
      </x:c>
      <x:c r="T6" s="12" t="str"/>
      <x:c r="U6" s="12" t="str"/>
      <x:c r="V6" s="12" t="str"/>
      <x:c r="W6" s="12" t="str"/>
      <x:c r="X6" s="12" t="str"/>
      <x:c r="Y6" s="12" t="str"/>
      <x:c r="Z6" s="12" t="str"/>
      <x:c r="AA6" s="12" t="str"/>
      <x:c r="AB6" s="12" t="str"/>
      <x:c r="AC6" s="12" t="str"/>
      <x:c r="AD6" s="12" t="str">
        <x:v>BAD_MATCH</x:v>
      </x:c>
      <x:c r="AE6" s="12" t="str">
        <x:v>Konkrétní kandidát je akumulační kamna, ne napojení spotřebiče na zásobník TUV.</x:v>
      </x:c>
      <x:c r="AF6" s="12" t="str">
        <x:v>YES</x:v>
      </x:c>
    </x:row>
    <x:row r="7" ht="36" customHeight="1">
      <x:c r="A7" s="12" t="n">
        <x:v>160</x:v>
      </x:c>
      <x:c r="B7" s="12" t="str">
        <x:v>PSV-73 Vytápění</x:v>
      </x:c>
      <x:c r="C7" s="12" t="str">
        <x:v>Elektrokotel 3.NP</x:v>
      </x:c>
      <x:c r="D7" s="12" t="str">
        <x:v>733131221</x:v>
      </x:c>
      <x:c r="E7" s="12" t="str">
        <x:v>Elektrokotel ~8 kW pro 3.NP samostatný byt — dodávka + montáž + napojení</x:v>
      </x:c>
      <x:c r="F7" s="12" t="str">
        <x:v>ks</x:v>
      </x:c>
      <x:c r="G7" s="12" t="str">
        <x:v>1</x:v>
      </x:c>
      <x:c r="H7" s="12" t="str">
        <x:v>Elektrokotel ~8 kW – dodávka a montáž</x:v>
      </x:c>
      <x:c r="I7" s="12" t="str">
        <x:v>Elektrokotel výkon 8 kW dodávka a montáž</x:v>
      </x:c>
      <x:c r="J7" s="12" t="str">
        <x:v>N/A</x:v>
      </x:c>
      <x:c r="K7" s="12" t="str">
        <x:v>Bez konkrétního kódu; doporučeno ověřit položku elektrokotel s montáží v části Vytápění</x:v>
      </x:c>
      <x:c r="L7" s="12" t="str"/>
      <x:c r="M7" s="12" t="n">
        <x:v>0.5</x:v>
      </x:c>
      <x:c r="N7" s="12" t="str">
        <x:v>perplexity_urs_search</x:v>
      </x:c>
      <x:c r="O7" s="12" t="str"/>
      <x:c r="P7" s="12" t="str"/>
      <x:c r="Q7" s="12" t="str"/>
      <x:c r="R7" s="12" t="str"/>
      <x:c r="S7" s="12" t="str"/>
      <x:c r="T7" s="12" t="str"/>
      <x:c r="U7" s="12" t="str"/>
      <x:c r="V7" s="12" t="str"/>
      <x:c r="W7" s="12" t="str"/>
      <x:c r="X7" s="12" t="str"/>
      <x:c r="Y7" s="12" t="str"/>
      <x:c r="Z7" s="12" t="str"/>
      <x:c r="AA7" s="12" t="str"/>
      <x:c r="AB7" s="12" t="str"/>
      <x:c r="AC7" s="12" t="str"/>
      <x:c r="AD7" s="12" t="str">
        <x:v>NO_MATCH</x:v>
      </x:c>
      <x:c r="AE7" s="12" t="str">
        <x:v>STAVAGENT nevrátil konkrétní kód.</x:v>
      </x:c>
      <x:c r="AF7" s="12" t="str">
        <x:v>YES</x:v>
      </x:c>
    </x:row>
    <x:row r="8" ht="36" customHeight="1">
      <x:c r="A8" s="12" t="n">
        <x:v>161</x:v>
      </x:c>
      <x:c r="B8" s="12" t="str">
        <x:v>PSV-73 Vytápění</x:v>
      </x:c>
      <x:c r="C8" s="12" t="str">
        <x:v>Krb na tuhá paliva 3.NP</x:v>
      </x:c>
      <x:c r="D8" s="12" t="str">
        <x:v>733241011</x:v>
      </x:c>
      <x:c r="E8" s="12" t="str">
        <x:v>Krb na tuhá paliva v 3.NP ~6 kW — dodávka + montáž s napojením na samostatný komín</x:v>
      </x:c>
      <x:c r="F8" s="12" t="str">
        <x:v>ks</x:v>
      </x:c>
      <x:c r="G8" s="12" t="str">
        <x:v>1</x:v>
      </x:c>
      <x:c r="H8" s="12" t="str">
        <x:v>Kamnová/krbová vložka ~6 kW – dodávka</x:v>
      </x:c>
      <x:c r="I8" s="12" t="str">
        <x:v>Kamnová krbová vložka pro vytápění výkon přibližně 6 kW dodávka</x:v>
      </x:c>
      <x:c r="J8" s="12" t="str">
        <x:v>N/A</x:v>
      </x:c>
      <x:c r="K8" s="12" t="str">
        <x:v>Bez konkrétního kódu; textová orientace k obecným položkám pro kamna/krbová kamna/krbové vložky</x:v>
      </x:c>
      <x:c r="L8" s="12" t="str"/>
      <x:c r="M8" s="12" t="n">
        <x:v>0.5</x:v>
      </x:c>
      <x:c r="N8" s="12" t="str">
        <x:v>perplexity_urs_search</x:v>
      </x:c>
      <x:c r="O8" s="12" t="str">
        <x:v>795991004</x:v>
      </x:c>
      <x:c r="P8" s="12" t="str">
        <x:v>Umístění přenosných kamen na tuhá paliva, krbokamen a sporáků hmotnosti přes 200 kg</x:v>
      </x:c>
      <x:c r="Q8" s="12" t="str">
        <x:v>kus</x:v>
      </x:c>
      <x:c r="R8" s="12" t="n">
        <x:v>0.31</x:v>
      </x:c>
      <x:c r="S8" s="12" t="str">
        <x:v>urs_matcher_service</x:v>
      </x:c>
      <x:c r="T8" s="12" t="str"/>
      <x:c r="U8" s="12" t="str"/>
      <x:c r="V8" s="12" t="str"/>
      <x:c r="W8" s="12" t="str"/>
      <x:c r="X8" s="12" t="str"/>
      <x:c r="Y8" s="12" t="str"/>
      <x:c r="Z8" s="12" t="str"/>
      <x:c r="AA8" s="12" t="str"/>
      <x:c r="AB8" s="12" t="str"/>
      <x:c r="AC8" s="12" t="str"/>
      <x:c r="AD8" s="12" t="str">
        <x:v>BAD_MATCH</x:v>
      </x:c>
      <x:c r="AE8" s="12" t="str">
        <x:v>Vrácená konkrétní položka je umístění spotřebiče, ne dodávka krbu/vložky.</x:v>
      </x:c>
      <x:c r="AF8" s="12" t="str">
        <x:v>YES</x:v>
      </x:c>
    </x:row>
    <x:row r="9" ht="36" customHeight="1">
      <x:c r="A9" s="12" t="n">
        <x:v>161</x:v>
      </x:c>
      <x:c r="B9" s="12" t="str">
        <x:v>PSV-73 Vytápění</x:v>
      </x:c>
      <x:c r="C9" s="12" t="str">
        <x:v>Krb na tuhá paliva 3.NP</x:v>
      </x:c>
      <x:c r="D9" s="12" t="str">
        <x:v>733241011</x:v>
      </x:c>
      <x:c r="E9" s="12" t="str">
        <x:v>Krb na tuhá paliva v 3.NP ~6 kW — dodávka + montáž s napojením na samostatný komín</x:v>
      </x:c>
      <x:c r="F9" s="12" t="str">
        <x:v>ks</x:v>
      </x:c>
      <x:c r="G9" s="12" t="str">
        <x:v>1</x:v>
      </x:c>
      <x:c r="H9" s="12" t="str">
        <x:v>Montáž lokálního topidla pro obytnou místnost</x:v>
      </x:c>
      <x:c r="I9" s="12" t="str">
        <x:v>Montáž topidla pro obytnou místnost s připojením kouřovodu</x:v>
      </x:c>
      <x:c r="J9" s="12" t="str">
        <x:v>N/A</x:v>
      </x:c>
      <x:c r="K9" s="12" t="str">
        <x:v>Bez konkrétního kódu; textová orientace k montáži lokálních topidel a kouřovodů</x:v>
      </x:c>
      <x:c r="L9" s="12" t="str"/>
      <x:c r="M9" s="12" t="n">
        <x:v>0.5</x:v>
      </x:c>
      <x:c r="N9" s="12" t="str">
        <x:v>perplexity_urs_search</x:v>
      </x:c>
      <x:c r="O9" s="12" t="str"/>
      <x:c r="P9" s="12" t="str"/>
      <x:c r="Q9" s="12" t="str"/>
      <x:c r="R9" s="12" t="str"/>
      <x:c r="S9" s="12" t="str"/>
      <x:c r="T9" s="12" t="str"/>
      <x:c r="U9" s="12" t="str"/>
      <x:c r="V9" s="12" t="str"/>
      <x:c r="W9" s="12" t="str"/>
      <x:c r="X9" s="12" t="str"/>
      <x:c r="Y9" s="12" t="str"/>
      <x:c r="Z9" s="12" t="str"/>
      <x:c r="AA9" s="12" t="str"/>
      <x:c r="AB9" s="12" t="str"/>
      <x:c r="AC9" s="12" t="str"/>
      <x:c r="AD9" s="12" t="str">
        <x:v>NO_MATCH</x:v>
      </x:c>
      <x:c r="AE9" s="12" t="str">
        <x:v>STAVAGENT nevrátil konkrétní kód.</x:v>
      </x:c>
      <x:c r="AF9" s="12" t="str">
        <x:v>YES</x:v>
      </x:c>
    </x:row>
    <x:row r="10" ht="36" customHeight="1">
      <x:c r="A10" s="12" t="n">
        <x:v>161</x:v>
      </x:c>
      <x:c r="B10" s="12" t="str">
        <x:v>PSV-73 Vytápění</x:v>
      </x:c>
      <x:c r="C10" s="12" t="str">
        <x:v>Krb na tuhá paliva 3.NP</x:v>
      </x:c>
      <x:c r="D10" s="12" t="str">
        <x:v>733241011</x:v>
      </x:c>
      <x:c r="E10" s="12" t="str">
        <x:v>Krb na tuhá paliva v 3.NP ~6 kW — dodávka + montáž s napojením na samostatný komín</x:v>
      </x:c>
      <x:c r="F10" s="12" t="str">
        <x:v>ks</x:v>
      </x:c>
      <x:c r="G10" s="12" t="str">
        <x:v>1</x:v>
      </x:c>
      <x:c r="H10" s="12" t="str">
        <x:v>Připojení lokálního topidla na komín kouřovodem</x:v>
      </x:c>
      <x:c r="I10" s="12" t="str">
        <x:v>Připojení lokálního topidla na komín kouřovodem</x:v>
      </x:c>
      <x:c r="J10" s="12" t="str">
        <x:v>314272314</x:v>
      </x:c>
      <x:c r="K10" s="12" t="str">
        <x:v>Komín jednoprůduchový z lehčeného betonu s izostatickými vložkami pro více spotřebičů ... komínové těleso výšky 3 m</x:v>
      </x:c>
      <x:c r="L10" s="12" t="str">
        <x:v>m</x:v>
      </x:c>
      <x:c r="M10" s="12" t="n">
        <x:v>0.56</x:v>
      </x:c>
      <x:c r="N10" s="12" t="str">
        <x:v>urs_matcher_service</x:v>
      </x:c>
      <x:c r="O10" s="12" t="str">
        <x:v>N/A</x:v>
      </x:c>
      <x:c r="P10" s="12" t="str">
        <x:v>Bez konkrétního kódu pro připojení topidla na komín kouřovodem</x:v>
      </x:c>
      <x:c r="Q10" s="12" t="str"/>
      <x:c r="R10" s="12" t="n">
        <x:v>0.5</x:v>
      </x:c>
      <x:c r="S10" s="12" t="str">
        <x:v>perplexity_urs_search</x:v>
      </x:c>
      <x:c r="T10" s="12" t="str"/>
      <x:c r="U10" s="12" t="str"/>
      <x:c r="V10" s="12" t="str"/>
      <x:c r="W10" s="12" t="str"/>
      <x:c r="X10" s="12" t="str"/>
      <x:c r="Y10" s="12" t="str"/>
      <x:c r="Z10" s="12" t="str"/>
      <x:c r="AA10" s="12" t="str"/>
      <x:c r="AB10" s="12" t="str"/>
      <x:c r="AC10" s="12" t="str"/>
      <x:c r="AD10" s="12" t="str">
        <x:v>BAD_MATCH</x:v>
      </x:c>
      <x:c r="AE10" s="12" t="str">
        <x:v>Konkrétní kandidát je konstrukce komínu, ne připojení spotřebiče.</x:v>
      </x:c>
      <x:c r="AF10" s="12" t="str">
        <x:v>YES</x:v>
      </x:c>
    </x:row>
    <x:row r="11" ht="36" customHeight="1">
      <x:c r="A11" s="12" t="n">
        <x:v>162</x:v>
      </x:c>
      <x:c r="B11" s="12" t="str">
        <x:v>PSV-73 Vytápění</x:v>
      </x:c>
      <x:c r="C11" s="12" t="str">
        <x:v>Multisplit TČ — venkovní jednotka</x:v>
      </x:c>
      <x:c r="D11" s="12" t="str">
        <x:v>733425211</x:v>
      </x:c>
      <x:c r="E11" s="12" t="str">
        <x:v>Multisplit tepelné čerpadlo vzduch-vzduch — 1× venkovní jednotka ~10 kW (silent mode hl. tlaku ≤49 dBA)</x:v>
      </x:c>
      <x:c r="F11" s="12" t="str">
        <x:v>ks</x:v>
      </x:c>
      <x:c r="G11" s="12" t="str">
        <x:v>1</x:v>
      </x:c>
      <x:c r="H11" s="12" t="str">
        <x:v>Multisplit TČ vzduch-vzduch – venkovní jednotka ~10 kW</x:v>
      </x:c>
      <x:c r="I11" s="12" t="str">
        <x:v>Multisplit tepelné čerpadlo vzduch vzduch venkovní jednotka výkon přibližně 10 kW dodávka a montáž</x:v>
      </x:c>
      <x:c r="J11" s="12" t="str">
        <x:v>N/A</x:v>
      </x:c>
      <x:c r="K11" s="12" t="str">
        <x:v>Bez konkrétního kódu; textová orientace k TZB – vytápění / klimatizace, venkovní jednotka TČ</x:v>
      </x:c>
      <x:c r="L11" s="12" t="str"/>
      <x:c r="M11" s="12" t="n">
        <x:v>0.5</x:v>
      </x:c>
      <x:c r="N11" s="12" t="str">
        <x:v>perplexity_urs_search</x:v>
      </x:c>
      <x:c r="O11" s="12" t="str"/>
      <x:c r="P11" s="12" t="str"/>
      <x:c r="Q11" s="12" t="str"/>
      <x:c r="R11" s="12" t="str"/>
      <x:c r="S11" s="12" t="str"/>
      <x:c r="T11" s="12" t="str"/>
      <x:c r="U11" s="12" t="str"/>
      <x:c r="V11" s="12" t="str"/>
      <x:c r="W11" s="12" t="str"/>
      <x:c r="X11" s="12" t="str"/>
      <x:c r="Y11" s="12" t="str"/>
      <x:c r="Z11" s="12" t="str"/>
      <x:c r="AA11" s="12" t="str"/>
      <x:c r="AB11" s="12" t="str"/>
      <x:c r="AC11" s="12" t="str"/>
      <x:c r="AD11" s="12" t="str">
        <x:v>NO_MATCH</x:v>
      </x:c>
      <x:c r="AE11" s="12" t="str">
        <x:v>STAVAGENT nevrátil konkrétní kód.</x:v>
      </x:c>
      <x:c r="AF11" s="12" t="str">
        <x:v>YES</x:v>
      </x:c>
    </x:row>
    <x:row r="12" ht="36" customHeight="1">
      <x:c r="A12" s="12" t="n">
        <x:v>163</x:v>
      </x:c>
      <x:c r="B12" s="12" t="str">
        <x:v>PSV-73 Vytápění</x:v>
      </x:c>
      <x:c r="C12" s="12" t="str">
        <x:v>Multisplit TČ — vnitřní jednotky</x:v>
      </x:c>
      <x:c r="D12" s="12" t="str">
        <x:v>733425221</x:v>
      </x:c>
      <x:c r="E12" s="12" t="str">
        <x:v>Multisplit TČ — 5× vnitřní jednotka v obytných místnostech (1.NP, 2.NP, 3.NP — chlazení + vytápění)</x:v>
      </x:c>
      <x:c r="F12" s="12" t="str">
        <x:v>ks</x:v>
      </x:c>
      <x:c r="G12" s="12" t="str">
        <x:v>5</x:v>
      </x:c>
      <x:c r="H12" s="12" t="str">
        <x:v>Multisplit TČ vzduch-vzduch – vnitřní jednotky</x:v>
      </x:c>
      <x:c r="I12" s="12" t="str">
        <x:v>Multisplit tepelné čerpadlo vzduch vzduch vnitřní jednotka dodávka a montáž</x:v>
      </x:c>
      <x:c r="J12" s="12" t="str">
        <x:v>N/A</x:v>
      </x:c>
      <x:c r="K12" s="12" t="str">
        <x:v>Bez konkrétního kódu; textová orientace k vnitřním jednotkám klimatizace / TČ</x:v>
      </x:c>
      <x:c r="L12" s="12" t="str"/>
      <x:c r="M12" s="12" t="n">
        <x:v>0.5</x:v>
      </x:c>
      <x:c r="N12" s="12" t="str">
        <x:v>perplexity_urs_search</x:v>
      </x:c>
      <x:c r="O12" s="12" t="str"/>
      <x:c r="P12" s="12" t="str"/>
      <x:c r="Q12" s="12" t="str"/>
      <x:c r="R12" s="12" t="str"/>
      <x:c r="S12" s="12" t="str"/>
      <x:c r="T12" s="12" t="str"/>
      <x:c r="U12" s="12" t="str"/>
      <x:c r="V12" s="12" t="str"/>
      <x:c r="W12" s="12" t="str"/>
      <x:c r="X12" s="12" t="str"/>
      <x:c r="Y12" s="12" t="str"/>
      <x:c r="Z12" s="12" t="str"/>
      <x:c r="AA12" s="12" t="str"/>
      <x:c r="AB12" s="12" t="str"/>
      <x:c r="AC12" s="12" t="str"/>
      <x:c r="AD12" s="12" t="str">
        <x:v>NO_MATCH</x:v>
      </x:c>
      <x:c r="AE12" s="12" t="str">
        <x:v>STAVAGENT nevrátil konkrétní kód.</x:v>
      </x:c>
      <x:c r="AF12" s="12" t="str">
        <x:v>YES</x:v>
      </x:c>
    </x:row>
    <x:row r="13" ht="36" customHeight="1">
      <x:c r="A13" s="12" t="n">
        <x:v>164</x:v>
      </x:c>
      <x:c r="B13" s="12" t="str">
        <x:v>PSV-73 Vytápění</x:v>
      </x:c>
      <x:c r="C13" s="12" t="str">
        <x:v>Revize komínu</x:v>
      </x:c>
      <x:c r="D13" s="12" t="str">
        <x:v>734262122</x:v>
      </x:c>
      <x:c r="E13" s="12" t="str">
        <x:v>Revize stávajícího komínu — kontrola, čištění, vystrojení vložkou nerez DN160 pro kamna + krb 3.NP</x:v>
      </x:c>
      <x:c r="F13" s="12" t="str">
        <x:v>kpl</x:v>
      </x:c>
      <x:c r="G13" s="12" t="str">
        <x:v>1</x:v>
      </x:c>
      <x:c r="H13" s="12" t="str">
        <x:v>Revize/kontrola stávajícího komínu</x:v>
      </x:c>
      <x:c r="I13" s="12" t="str">
        <x:v>Revize stávajícího komínu kontrola spalinové cesty</x:v>
      </x:c>
      <x:c r="J13" s="12" t="str">
        <x:v>N/A</x:v>
      </x:c>
      <x:c r="K13" s="12" t="str">
        <x:v>Bez konkrétního kódu; textová orientace ke kominickým pracím / revizi spalinové cesty</x:v>
      </x:c>
      <x:c r="L13" s="12" t="str"/>
      <x:c r="M13" s="12" t="n">
        <x:v>0.5</x:v>
      </x:c>
      <x:c r="N13" s="12" t="str">
        <x:v>perplexity_urs_search</x:v>
      </x:c>
      <x:c r="O13" s="12" t="str"/>
      <x:c r="P13" s="12" t="str"/>
      <x:c r="Q13" s="12" t="str"/>
      <x:c r="R13" s="12" t="str"/>
      <x:c r="S13" s="12" t="str"/>
      <x:c r="T13" s="12" t="str"/>
      <x:c r="U13" s="12" t="str"/>
      <x:c r="V13" s="12" t="str"/>
      <x:c r="W13" s="12" t="str"/>
      <x:c r="X13" s="12" t="str"/>
      <x:c r="Y13" s="12" t="str"/>
      <x:c r="Z13" s="12" t="str"/>
      <x:c r="AA13" s="12" t="str"/>
      <x:c r="AB13" s="12" t="str"/>
      <x:c r="AC13" s="12" t="str"/>
      <x:c r="AD13" s="12" t="str">
        <x:v>NO_MATCH</x:v>
      </x:c>
      <x:c r="AE13" s="12" t="str">
        <x:v>STAVAGENT nevrátil konkrétní kód.</x:v>
      </x:c>
      <x:c r="AF13" s="12" t="str">
        <x:v>YES</x:v>
      </x:c>
    </x:row>
    <x:row r="14" ht="36" customHeight="1">
      <x:c r="A14" s="12" t="n">
        <x:v>164</x:v>
      </x:c>
      <x:c r="B14" s="12" t="str">
        <x:v>PSV-73 Vytápění</x:v>
      </x:c>
      <x:c r="C14" s="12" t="str">
        <x:v>Revize komínu</x:v>
      </x:c>
      <x:c r="D14" s="12" t="str">
        <x:v>734262122</x:v>
      </x:c>
      <x:c r="E14" s="12" t="str">
        <x:v>Revize stávajícího komínu — kontrola, čištění, vystrojení vložkou nerez DN160 pro kamna + krb 3.NP</x:v>
      </x:c>
      <x:c r="F14" s="12" t="str">
        <x:v>kpl</x:v>
      </x:c>
      <x:c r="G14" s="12" t="str">
        <x:v>1</x:v>
      </x:c>
      <x:c r="H14" s="12" t="str">
        <x:v>Čištění komínu a kouřovodu</x:v>
      </x:c>
      <x:c r="I14" s="12" t="str">
        <x:v>Čištění komínu a kouřovodu pro spotřebiče na vytápění</x:v>
      </x:c>
      <x:c r="J14" s="12" t="str">
        <x:v>380316132</x:v>
      </x:c>
      <x:c r="K14" s="12" t="str">
        <x:v>Čištění komínu a kouřovodu pro spotřebiče na vytápění</x:v>
      </x:c>
      <x:c r="L14" s="12" t="str"/>
      <x:c r="M14" s="12" t="n">
        <x:v>0.8</x:v>
      </x:c>
      <x:c r="N14" s="12" t="str">
        <x:v>perplexity_urs_search</x:v>
      </x:c>
      <x:c r="O14" s="12" t="str"/>
      <x:c r="P14" s="12" t="str"/>
      <x:c r="Q14" s="12" t="str"/>
      <x:c r="R14" s="12" t="str"/>
      <x:c r="S14" s="12" t="str"/>
      <x:c r="T14" s="12" t="str"/>
      <x:c r="U14" s="12" t="str"/>
      <x:c r="V14" s="12" t="str"/>
      <x:c r="W14" s="12" t="str"/>
      <x:c r="X14" s="12" t="str"/>
      <x:c r="Y14" s="12" t="str"/>
      <x:c r="Z14" s="12" t="str"/>
      <x:c r="AA14" s="12" t="str"/>
      <x:c r="AB14" s="12" t="str"/>
      <x:c r="AC14" s="12" t="str"/>
      <x:c r="AD14" s="12" t="str">
        <x:v>PARTIAL</x:v>
      </x:c>
      <x:c r="AE14" s="12" t="str">
        <x:v>Kód je z perplexity zdroje bez MJ; nutná kontrola v ÚRS/KROS.</x:v>
      </x:c>
      <x:c r="AF14" s="12" t="str">
        <x:v>YES</x:v>
      </x:c>
    </x:row>
    <x:row r="15" ht="36" customHeight="1">
      <x:c r="A15" s="12" t="n">
        <x:v>164</x:v>
      </x:c>
      <x:c r="B15" s="12" t="str">
        <x:v>PSV-73 Vytápění</x:v>
      </x:c>
      <x:c r="C15" s="12" t="str">
        <x:v>Revize komínu</x:v>
      </x:c>
      <x:c r="D15" s="12" t="str">
        <x:v>734262122</x:v>
      </x:c>
      <x:c r="E15" s="12" t="str">
        <x:v>Revize stávajícího komínu — kontrola, čištění, vystrojení vložkou nerez DN160 pro kamna + krb 3.NP</x:v>
      </x:c>
      <x:c r="F15" s="12" t="str">
        <x:v>kpl</x:v>
      </x:c>
      <x:c r="G15" s="12" t="str">
        <x:v>1</x:v>
      </x:c>
      <x:c r="H15" s="12" t="str">
        <x:v>Vložkování komínu nerezovou vložkou DN160</x:v>
      </x:c>
      <x:c r="I15" s="12" t="str">
        <x:v>Vložkování komínu nerezovou vložkou DN160</x:v>
      </x:c>
      <x:c r="J15" s="12" t="str">
        <x:v>953751121</x:v>
      </x:c>
      <x:c r="K15" s="12" t="str">
        <x:v>Vyvložkování stávajících komínových nebo větracích průduchů kovovými vložkami komínového tělesa výšky 3 m</x:v>
      </x:c>
      <x:c r="L15" s="12" t="str">
        <x:v>m</x:v>
      </x:c>
      <x:c r="M15" s="12" t="n">
        <x:v>0.86</x:v>
      </x:c>
      <x:c r="N15" s="12" t="str">
        <x:v>urs_matcher_service</x:v>
      </x:c>
      <x:c r="O15" s="12" t="str">
        <x:v>953751123</x:v>
      </x:c>
      <x:c r="P15" s="12" t="str">
        <x:v>Vyvložkování stávajících komínových nebo větracích průduchů kovovými vložkami komínového tělesa výšky 7 m</x:v>
      </x:c>
      <x:c r="Q15" s="12" t="str">
        <x:v>m</x:v>
      </x:c>
      <x:c r="R15" s="12" t="n">
        <x:v>0.74</x:v>
      </x:c>
      <x:c r="S15" s="12" t="str">
        <x:v>urs_matcher_service</x:v>
      </x:c>
      <x:c r="T15" s="12" t="str">
        <x:v>953751124</x:v>
      </x:c>
      <x:c r="U15" s="12" t="str">
        <x:v>Vyvložkování stávajících komínových nebo větracích průduchů kovovými vložkami komínového tělesa výšky 10 m</x:v>
      </x:c>
      <x:c r="V15" s="12" t="str">
        <x:v>m</x:v>
      </x:c>
      <x:c r="W15" s="12" t="n">
        <x:v>0.7</x:v>
      </x:c>
      <x:c r="X15" s="12" t="str">
        <x:v>urs_matcher_service</x:v>
      </x:c>
      <x:c r="Y15" s="12" t="str">
        <x:v>N/A</x:v>
      </x:c>
      <x:c r="Z15" s="12" t="str">
        <x:v>Bez přesného kódu pro DN160; nutno vybrat položku dle výšky a průměru v ceníku</x:v>
      </x:c>
      <x:c r="AA15" s="12" t="str"/>
      <x:c r="AB15" s="12" t="n">
        <x:v>0.5</x:v>
      </x:c>
      <x:c r="AC15" s="12" t="str">
        <x:v>perplexity_urs_search</x:v>
      </x:c>
      <x:c r="AD15" s="12" t="str">
        <x:v>PARTIAL</x:v>
      </x:c>
      <x:c r="AE15" s="12" t="str">
        <x:v>Dobrý typ práce, ale kandidáti jsou členěni podle výšky; DN160 není potvrzeno.</x:v>
      </x:c>
      <x:c r="AF15" s="12" t="str">
        <x:v>YES</x:v>
      </x:c>
    </x:row>
    <x:row r="16" ht="36" customHeight="1">
      <x:c r="A16" s="12" t="n">
        <x:v>165</x:v>
      </x:c>
      <x:c r="B16" s="12" t="str">
        <x:v>PSV-73 Vytápění</x:v>
      </x:c>
      <x:c r="C16" s="12" t="str">
        <x:v>Rozvody otopné soustavy</x:v>
      </x:c>
      <x:c r="D16" s="12" t="str">
        <x:v>733111021</x:v>
      </x:c>
      <x:c r="E16" s="12" t="str">
        <x:v>Rozvody otopné soustavy Cu/PEX k vnitřním jednotkám TČ + radiátorům pro doplňkové (cca 100 bm odhad)</x:v>
      </x:c>
      <x:c r="F16" s="12" t="str">
        <x:v>bm</x:v>
      </x:c>
      <x:c r="G16" s="12" t="str">
        <x:v>100,00</x:v>
      </x:c>
      <x:c r="H16" s="12" t="str">
        <x:v>Montáž potrubí otopné soustavy v budově</x:v>
      </x:c>
      <x:c r="I16" s="12" t="str">
        <x:v>Montáž potrubí otopné soustavy v budově</x:v>
      </x:c>
      <x:c r="J16" s="12" t="str">
        <x:v>731289112</x:v>
      </x:c>
      <x:c r="K16" s="12" t="str">
        <x:v>Montáž potrubí otopné soustavy v budově</x:v>
      </x:c>
      <x:c r="L16" s="12" t="str"/>
      <x:c r="M16" s="12" t="n">
        <x:v>0.8</x:v>
      </x:c>
      <x:c r="N16" s="12" t="str">
        <x:v>perplexity_urs_search</x:v>
      </x:c>
      <x:c r="O16" s="12" t="str">
        <x:v>735111110</x:v>
      </x:c>
      <x:c r="P16" s="12" t="str">
        <x:v>Potrubí měděné spojované pájením měkkým včetně izolace DN 15</x:v>
      </x:c>
      <x:c r="Q16" s="12" t="str">
        <x:v>m</x:v>
      </x:c>
      <x:c r="R16" s="12" t="n">
        <x:v>0.74</x:v>
      </x:c>
      <x:c r="S16" s="12" t="str">
        <x:v>urs_matcher_service</x:v>
      </x:c>
      <x:c r="T16" s="12" t="str"/>
      <x:c r="U16" s="12" t="str"/>
      <x:c r="V16" s="12" t="str"/>
      <x:c r="W16" s="12" t="str"/>
      <x:c r="X16" s="12" t="str"/>
      <x:c r="Y16" s="12" t="str"/>
      <x:c r="Z16" s="12" t="str"/>
      <x:c r="AA16" s="12" t="str"/>
      <x:c r="AB16" s="12" t="str"/>
      <x:c r="AC16" s="12" t="str"/>
      <x:c r="AD16" s="12" t="str">
        <x:v>PARTIAL</x:v>
      </x:c>
      <x:c r="AE16" s="12" t="str">
        <x:v>Obecně blízké, ale konkrétní materiál Cu/PEX a dimenze nejsou vyřešeny.</x:v>
      </x:c>
      <x:c r="AF16" s="12" t="str">
        <x:v>YES</x:v>
      </x:c>
    </x:row>
    <x:row r="17" ht="36" customHeight="1">
      <x:c r="A17" s="12" t="n">
        <x:v>165</x:v>
      </x:c>
      <x:c r="B17" s="12" t="str">
        <x:v>PSV-73 Vytápění</x:v>
      </x:c>
      <x:c r="C17" s="12" t="str">
        <x:v>Rozvody otopné soustavy</x:v>
      </x:c>
      <x:c r="D17" s="12" t="str">
        <x:v>733111021</x:v>
      </x:c>
      <x:c r="E17" s="12" t="str">
        <x:v>Rozvody otopné soustavy Cu/PEX k vnitřním jednotkám TČ + radiátorům pro doplňkové (cca 100 bm odhad)</x:v>
      </x:c>
      <x:c r="F17" s="12" t="str">
        <x:v>bm</x:v>
      </x:c>
      <x:c r="G17" s="12" t="str">
        <x:v>100,00</x:v>
      </x:c>
      <x:c r="H17" s="12" t="str">
        <x:v>Připojení vnitřních jednotek TČ a radiátorů na rozvody vytápění</x:v>
      </x:c>
      <x:c r="I17" s="12" t="str">
        <x:v>Připojení vnitřních jednotek tepelného čerpadla a radiátorů na rozvody vytápění</x:v>
      </x:c>
      <x:c r="J17" s="12" t="str">
        <x:v>N/A</x:v>
      </x:c>
      <x:c r="K17" s="12" t="str">
        <x:v>Bez konkrétního kódu; textová orientace k TZB vytápění / připojení koncových zařízení</x:v>
      </x:c>
      <x:c r="L17" s="12" t="str"/>
      <x:c r="M17" s="12" t="n">
        <x:v>0.5</x:v>
      </x:c>
      <x:c r="N17" s="12" t="str">
        <x:v>perplexity_urs_search</x:v>
      </x:c>
      <x:c r="O17" s="12" t="str">
        <x:v>732520110</x:v>
      </x:c>
      <x:c r="P17" s="12" t="str">
        <x:v>Tepelné čerpadlo země/voda pro vytápění bez vestavného zásobníku topný výkon 5,9 kW</x:v>
      </x:c>
      <x:c r="Q17" s="12" t="str">
        <x:v>kus</x:v>
      </x:c>
      <x:c r="R17" s="12" t="n">
        <x:v>0.38</x:v>
      </x:c>
      <x:c r="S17" s="12" t="str">
        <x:v>urs_matcher_service</x:v>
      </x:c>
      <x:c r="T17" s="12" t="str">
        <x:v>732522120</x:v>
      </x:c>
      <x:c r="U17" s="12" t="str">
        <x:v>Tepelné čerpadlo země/voda pro vytápění bez zásobníku topný výkon ...</x:v>
      </x:c>
      <x:c r="V17" s="12" t="str">
        <x:v>kus</x:v>
      </x:c>
      <x:c r="W17" s="12" t="n">
        <x:v>0.34</x:v>
      </x:c>
      <x:c r="X17" s="12" t="str">
        <x:v>urs_matcher_service</x:v>
      </x:c>
      <x:c r="Y17" s="12" t="str"/>
      <x:c r="Z17" s="12" t="str"/>
      <x:c r="AA17" s="12" t="str"/>
      <x:c r="AB17" s="12" t="str"/>
      <x:c r="AC17" s="12" t="str"/>
      <x:c r="AD17" s="12" t="str">
        <x:v>BAD_MATCH</x:v>
      </x:c>
      <x:c r="AE17" s="12" t="str">
        <x:v>Konkrétní kandidáti jsou zdroj TČ země/voda, ne připojení koncových zařízení.</x:v>
      </x:c>
      <x:c r="AF17" s="12" t="str">
        <x:v>YES</x:v>
      </x:c>
    </x:row>
    <x:row r="18" ht="36" customHeight="1">
      <x:c r="A18" s="12" t="n">
        <x:v>166</x:v>
      </x:c>
      <x:c r="B18" s="12" t="str">
        <x:v>VRN — BOZP</x:v>
      </x:c>
      <x:c r="C18" s="12" t="str">
        <x:v>Koordinace BOZP</x:v>
      </x:c>
      <x:c r="D18" s="12" t="str">
        <x:v>030091000</x:v>
      </x:c>
      <x:c r="E18" s="12" t="str">
        <x:v>Koordinátor BOZP na staveništi dle zákona 309/2006 Sb. — pro stavbu s více než jedním zhotovitelem</x:v>
      </x:c>
      <x:c r="F18" s="12" t="str">
        <x:v>kpl</x:v>
      </x:c>
      <x:c r="G18" s="12" t="str">
        <x:v>1</x:v>
      </x:c>
      <x:c r="H18" s="12" t="str">
        <x:v>Koordinátor BOZP na staveništi</x:v>
      </x:c>
      <x:c r="I18" s="12" t="str">
        <x:v>Koordinátor BOZP na staveništi podle zákona 309/2006 Sb.</x:v>
      </x:c>
      <x:c r="J18" s="12" t="str">
        <x:v>04141</x:v>
      </x:c>
      <x:c r="K18" s="12" t="str">
        <x:v>Koordinátor BOZP na staveništi</x:v>
      </x:c>
      <x:c r="L18" s="12" t="str"/>
      <x:c r="M18" s="12" t="n">
        <x:v>0.98</x:v>
      </x:c>
      <x:c r="N18" s="12" t="str">
        <x:v>urs_matcher_service</x:v>
      </x:c>
      <x:c r="O18" s="12" t="str">
        <x:v>041403000</x:v>
      </x:c>
      <x:c r="P18" s="12" t="str">
        <x:v>Koordinátor BOZP na staveništi podle zákona 309/2006 Sb.</x:v>
      </x:c>
      <x:c r="Q18" s="12" t="str"/>
      <x:c r="R18" s="12" t="n">
        <x:v>0.8</x:v>
      </x:c>
      <x:c r="S18" s="12" t="str">
        <x:v>perplexity_urs_search</x:v>
      </x:c>
      <x:c r="T18" s="12" t="str"/>
      <x:c r="U18" s="12" t="str"/>
      <x:c r="V18" s="12" t="str"/>
      <x:c r="W18" s="12" t="str"/>
      <x:c r="X18" s="12" t="str"/>
      <x:c r="Y18" s="12" t="str"/>
      <x:c r="Z18" s="12" t="str"/>
      <x:c r="AA18" s="12" t="str"/>
      <x:c r="AB18" s="12" t="str"/>
      <x:c r="AC18" s="12" t="str"/>
      <x:c r="AD18" s="12" t="str">
        <x:v>MATCH</x:v>
      </x:c>
      <x:c r="AE18" s="12" t="str">
        <x:v>Dobrá shoda pro VRN / koordinátora BOZP.</x:v>
      </x:c>
      <x:c r="AF18" s="12" t="str">
        <x:v>YES</x:v>
      </x:c>
    </x:row>
    <x:row r="19" ht="36" customHeight="1">
      <x:c r="A19" s="12" t="n">
        <x:v>167</x:v>
      </x:c>
      <x:c r="B19" s="12" t="str">
        <x:v>VRN — Dokumentace</x:v>
      </x:c>
      <x:c r="C19" s="12" t="str">
        <x:v>Předávací protokoly + DSP</x:v>
      </x:c>
      <x:c r="D19" s="12" t="str">
        <x:v>030151000</x:v>
      </x:c>
      <x:c r="E19" s="12" t="str">
        <x:v>Předávací protokoly + Dokumentace skutečného provedení (DSP) — sestavení, vázání, dodávka 2× tiskem + elektronická verze</x:v>
      </x:c>
      <x:c r="F19" s="12" t="str">
        <x:v>kpl</x:v>
      </x:c>
      <x:c r="G19" s="12" t="str">
        <x:v>1</x:v>
      </x:c>
      <x:c r="H19" s="12" t="str">
        <x:v>Dokumentace skutečného provedení stavby</x:v>
      </x:c>
      <x:c r="I19" s="12" t="str">
        <x:v>Dokumentace skutečného provedení stavby sestavení a předání</x:v>
      </x:c>
      <x:c r="J19" s="12" t="str">
        <x:v>012444000</x:v>
      </x:c>
      <x:c r="K19" s="12" t="str">
        <x:v>Geodetické měření skutečného provedení stavby</x:v>
      </x:c>
      <x:c r="L19" s="12" t="str">
        <x:v>soubor</x:v>
      </x:c>
      <x:c r="M19" s="12" t="n">
        <x:v>0.62</x:v>
      </x:c>
      <x:c r="N19" s="12" t="str">
        <x:v>urs_matcher_service</x:v>
      </x:c>
      <x:c r="O19" s="12" t="str">
        <x:v>N/A</x:v>
      </x:c>
      <x:c r="P19" s="12" t="str">
        <x:v>Bez konkrétního kódu; textová orientace k projekčním a inženýrským činnostem</x:v>
      </x:c>
      <x:c r="Q19" s="12" t="str"/>
      <x:c r="R19" s="12" t="n">
        <x:v>0.5</x:v>
      </x:c>
      <x:c r="S19" s="12" t="str">
        <x:v>perplexity_urs_search</x:v>
      </x:c>
      <x:c r="T19" s="12" t="str"/>
      <x:c r="U19" s="12" t="str"/>
      <x:c r="V19" s="12" t="str"/>
      <x:c r="W19" s="12" t="str"/>
      <x:c r="X19" s="12" t="str"/>
      <x:c r="Y19" s="12" t="str"/>
      <x:c r="Z19" s="12" t="str"/>
      <x:c r="AA19" s="12" t="str"/>
      <x:c r="AB19" s="12" t="str"/>
      <x:c r="AC19" s="12" t="str"/>
      <x:c r="AD19" s="12" t="str">
        <x:v>BAD_MATCH</x:v>
      </x:c>
      <x:c r="AE19" s="12" t="str">
        <x:v>Konkrétní kandidát je geodetické měření, ne DSPS sestavení/předání.</x:v>
      </x:c>
      <x:c r="AF19" s="12" t="str">
        <x:v>YES</x:v>
      </x:c>
    </x:row>
    <x:row r="20" ht="36" customHeight="1">
      <x:c r="A20" s="12" t="n">
        <x:v>167</x:v>
      </x:c>
      <x:c r="B20" s="12" t="str">
        <x:v>VRN — Dokumentace</x:v>
      </x:c>
      <x:c r="C20" s="12" t="str">
        <x:v>Předávací protokoly + DSP</x:v>
      </x:c>
      <x:c r="D20" s="12" t="str">
        <x:v>030151000</x:v>
      </x:c>
      <x:c r="E20" s="12" t="str">
        <x:v>Předávací protokoly + Dokumentace skutečného provedení (DSP) — sestavení, vázání, dodávka 2× tiskem + elektronická verze</x:v>
      </x:c>
      <x:c r="F20" s="12" t="str">
        <x:v>kpl</x:v>
      </x:c>
      <x:c r="G20" s="12" t="str">
        <x:v>1</x:v>
      </x:c>
      <x:c r="H20" s="12" t="str">
        <x:v>Předávací protokoly stavby</x:v>
      </x:c>
      <x:c r="I20" s="12" t="str">
        <x:v>Předávací protokoly stavby sestavení a předání objednateli</x:v>
      </x:c>
      <x:c r="J20" s="12" t="str">
        <x:v>N/A</x:v>
      </x:c>
      <x:c r="K20" s="12" t="str">
        <x:v>Bez konkrétního kódu; textová orientace k režii stavby / předávací administrativě</x:v>
      </x:c>
      <x:c r="L20" s="12" t="str"/>
      <x:c r="M20" s="12" t="n">
        <x:v>0.5</x:v>
      </x:c>
      <x:c r="N20" s="12" t="str">
        <x:v>perplexity_urs_search</x:v>
      </x:c>
      <x:c r="O20" s="12" t="str"/>
      <x:c r="P20" s="12" t="str"/>
      <x:c r="Q20" s="12" t="str"/>
      <x:c r="R20" s="12" t="str"/>
      <x:c r="S20" s="12" t="str"/>
      <x:c r="T20" s="12" t="str"/>
      <x:c r="U20" s="12" t="str"/>
      <x:c r="V20" s="12" t="str"/>
      <x:c r="W20" s="12" t="str"/>
      <x:c r="X20" s="12" t="str"/>
      <x:c r="Y20" s="12" t="str"/>
      <x:c r="Z20" s="12" t="str"/>
      <x:c r="AA20" s="12" t="str"/>
      <x:c r="AB20" s="12" t="str"/>
      <x:c r="AC20" s="12" t="str"/>
      <x:c r="AD20" s="12" t="str">
        <x:v>NO_MATCH</x:v>
      </x:c>
      <x:c r="AE20" s="12" t="str">
        <x:v>STAVAGENT nevrátil konkrétní kód.</x:v>
      </x:c>
      <x:c r="AF20" s="12" t="str">
        <x:v>YES</x:v>
      </x:c>
    </x:row>
    <x:row r="21" ht="36" customHeight="1">
      <x:c r="A21" s="12" t="n">
        <x:v>167</x:v>
      </x:c>
      <x:c r="B21" s="12" t="str">
        <x:v>VRN — Dokumentace</x:v>
      </x:c>
      <x:c r="C21" s="12" t="str">
        <x:v>Předávací protokoly + DSP</x:v>
      </x:c>
      <x:c r="D21" s="12" t="str">
        <x:v>030151000</x:v>
      </x:c>
      <x:c r="E21" s="12" t="str">
        <x:v>Předávací protokoly + Dokumentace skutečného provedení (DSP) — sestavení, vázání, dodávka 2× tiskem + elektronická verze</x:v>
      </x:c>
      <x:c r="F21" s="12" t="str">
        <x:v>kpl</x:v>
      </x:c>
      <x:c r="G21" s="12" t="str">
        <x:v>1</x:v>
      </x:c>
      <x:c r="H21" s="12" t="str">
        <x:v>Tisk, vazba a elektronické předání DSPS</x:v>
      </x:c>
      <x:c r="I21" s="12" t="str">
        <x:v>Tisk vazba a elektronické předání dokumentace skutečného provedení stavby</x:v>
      </x:c>
      <x:c r="J21" s="12" t="str">
        <x:v>N/A</x:v>
      </x:c>
      <x:c r="K21" s="12" t="str">
        <x:v>Bez konkrétního kódu; textová orientace k projektovým / reprografickým pracím</x:v>
      </x:c>
      <x:c r="L21" s="12" t="str"/>
      <x:c r="M21" s="12" t="n">
        <x:v>0.5</x:v>
      </x:c>
      <x:c r="N21" s="12" t="str">
        <x:v>perplexity_urs_search</x:v>
      </x:c>
      <x:c r="O21" s="12" t="str">
        <x:v>01321</x:v>
      </x:c>
      <x:c r="P21" s="12" t="str">
        <x:v>Dokumentace pro ohlášení stavby</x:v>
      </x:c>
      <x:c r="Q21" s="12" t="str">
        <x:v>soubor</x:v>
      </x:c>
      <x:c r="R21" s="12" t="n">
        <x:v>0.42</x:v>
      </x:c>
      <x:c r="S21" s="12" t="str">
        <x:v>urs_matcher_service</x:v>
      </x:c>
      <x:c r="T21" s="12" t="str"/>
      <x:c r="U21" s="12" t="str"/>
      <x:c r="V21" s="12" t="str"/>
      <x:c r="W21" s="12" t="str"/>
      <x:c r="X21" s="12" t="str"/>
      <x:c r="Y21" s="12" t="str"/>
      <x:c r="Z21" s="12" t="str"/>
      <x:c r="AA21" s="12" t="str"/>
      <x:c r="AB21" s="12" t="str"/>
      <x:c r="AC21" s="12" t="str"/>
      <x:c r="AD21" s="12" t="str">
        <x:v>BAD_MATCH</x:v>
      </x:c>
      <x:c r="AE21" s="12" t="str">
        <x:v>Konkrétní kandidát nesedí na tisk/vazbu DSPS.</x:v>
      </x:c>
      <x:c r="AF21" s="12" t="str">
        <x:v>YES</x:v>
      </x:c>
    </x:row>
    <x:row r="22" ht="36" customHeight="1">
      <x:c r="A22" s="12" t="n">
        <x:v>168</x:v>
      </x:c>
      <x:c r="B22" s="12" t="str">
        <x:v>VRN — Doprava + odpad</x:v>
      </x:c>
      <x:c r="C22" s="12" t="str">
        <x:v>Kontejnery suti tříděné</x:v>
      </x:c>
      <x:c r="D22" s="12" t="str">
        <x:v>997013211</x:v>
      </x:c>
      <x:c r="E22" s="12" t="str">
        <x:v>Kontejnery na suť tříděnou velkoobjemové (beton/cihly, dřevo, kovy, EPS, sádra, směs) — pronájem + svozy</x:v>
      </x:c>
      <x:c r="F22" s="12" t="str">
        <x:v>ks</x:v>
      </x:c>
      <x:c r="G22" s="12" t="str">
        <x:v>7</x:v>
      </x:c>
      <x:c r="H22" s="12" t="str">
        <x:v>Pronájem velkoobjemového kontejneru na tříděnou stavební suť</x:v>
      </x:c>
      <x:c r="I22" s="12" t="str">
        <x:v>Pronájem velkoobjemového kontejneru na stavební suť tříděnou</x:v>
      </x:c>
      <x:c r="J22" s="12" t="str">
        <x:v>N/A</x:v>
      </x:c>
      <x:c r="K22" s="12" t="str">
        <x:v>Bez konkrétního kódu; textová orientace k přistavení/pronájmu/odvozu kontejneru</x:v>
      </x:c>
      <x:c r="L22" s="12" t="str"/>
      <x:c r="M22" s="12" t="n">
        <x:v>0.5</x:v>
      </x:c>
      <x:c r="N22" s="12" t="str">
        <x:v>perplexity_urs_search</x:v>
      </x:c>
      <x:c r="O22" s="12" t="str"/>
      <x:c r="P22" s="12" t="str"/>
      <x:c r="Q22" s="12" t="str"/>
      <x:c r="R22" s="12" t="str"/>
      <x:c r="S22" s="12" t="str"/>
      <x:c r="T22" s="12" t="str"/>
      <x:c r="U22" s="12" t="str"/>
      <x:c r="V22" s="12" t="str"/>
      <x:c r="W22" s="12" t="str"/>
      <x:c r="X22" s="12" t="str"/>
      <x:c r="Y22" s="12" t="str"/>
      <x:c r="Z22" s="12" t="str"/>
      <x:c r="AA22" s="12" t="str"/>
      <x:c r="AB22" s="12" t="str"/>
      <x:c r="AC22" s="12" t="str"/>
      <x:c r="AD22" s="12" t="str">
        <x:v>NO_MATCH</x:v>
      </x:c>
      <x:c r="AE22" s="12" t="str">
        <x:v>STAVAGENT nevrátil konkrétní kód.</x:v>
      </x:c>
      <x:c r="AF22" s="12" t="str">
        <x:v>YES</x:v>
      </x:c>
    </x:row>
    <x:row r="23" ht="36" customHeight="1">
      <x:c r="A23" s="12" t="n">
        <x:v>168</x:v>
      </x:c>
      <x:c r="B23" s="12" t="str">
        <x:v>VRN — Doprava + odpad</x:v>
      </x:c>
      <x:c r="C23" s="12" t="str">
        <x:v>Kontejnery suti tříděné</x:v>
      </x:c>
      <x:c r="D23" s="12" t="str">
        <x:v>997013211</x:v>
      </x:c>
      <x:c r="E23" s="12" t="str">
        <x:v>Kontejnery na suť tříděnou velkoobjemové (beton/cihly, dřevo, kovy, EPS, sádra, směs) — pronájem + svozy</x:v>
      </x:c>
      <x:c r="F23" s="12" t="str">
        <x:v>ks</x:v>
      </x:c>
      <x:c r="G23" s="12" t="str">
        <x:v>7</x:v>
      </x:c>
      <x:c r="H23" s="12" t="str">
        <x:v>Svoz stavební suti kontejnerem na skládku nebo recyklaci</x:v>
      </x:c>
      <x:c r="I23" s="12" t="str">
        <x:v>Svoz stavební suti kontejnerem na skládku nebo recyklaci</x:v>
      </x:c>
      <x:c r="J23" s="12" t="str">
        <x:v>997013631</x:v>
      </x:c>
      <x:c r="K23" s="12" t="str">
        <x:v>Poplatek za uložení na skládce stavebního odpadu směsného kód odpadu 17 09 04</x:v>
      </x:c>
      <x:c r="L23" s="12" t="str">
        <x:v>t</x:v>
      </x:c>
      <x:c r="M23" s="12" t="n">
        <x:v>0.78</x:v>
      </x:c>
      <x:c r="N23" s="12" t="str">
        <x:v>urs_matcher_service</x:v>
      </x:c>
      <x:c r="O23" s="12" t="str">
        <x:v>997013871</x:v>
      </x:c>
      <x:c r="P23" s="12" t="str">
        <x:v>Poplatek za uložení na recyklační skládce stavebního odpadu směsného kód odpadu 17 09 04</x:v>
      </x:c>
      <x:c r="Q23" s="12" t="str">
        <x:v>t</x:v>
      </x:c>
      <x:c r="R23" s="12" t="n">
        <x:v>0.74</x:v>
      </x:c>
      <x:c r="S23" s="12" t="str">
        <x:v>urs_matcher_service</x:v>
      </x:c>
      <x:c r="T23" s="12" t="str">
        <x:v>997013511</x:v>
      </x:c>
      <x:c r="U23" s="12" t="str">
        <x:v>Odvoz suti na skládku</x:v>
      </x:c>
      <x:c r="V23" s="12" t="str">
        <x:v>t</x:v>
      </x:c>
      <x:c r="W23" s="12" t="n">
        <x:v>0.7</x:v>
      </x:c>
      <x:c r="X23" s="12" t="str">
        <x:v>urs_matcher_service</x:v>
      </x:c>
      <x:c r="Y23" s="12" t="str">
        <x:v>N/A</x:v>
      </x:c>
      <x:c r="Z23" s="12" t="str">
        <x:v>Bez přesného kódu pro svoz kontejnerem; textová orientace k odvozu suti a odpadu</x:v>
      </x:c>
      <x:c r="AA23" s="12" t="str"/>
      <x:c r="AB23" s="12" t="n">
        <x:v>0.5</x:v>
      </x:c>
      <x:c r="AC23" s="12" t="str">
        <x:v>perplexity_urs_search</x:v>
      </x:c>
      <x:c r="AD23" s="12" t="str">
        <x:v>PARTIAL</x:v>
      </x:c>
      <x:c r="AE23" s="12" t="str">
        <x:v>Je nalezen odvoz suti, ale query požadoval kontejnerový svoz; poplatky jsou samostatné.</x:v>
      </x:c>
      <x:c r="AF23" s="12" t="str">
        <x:v>YES</x:v>
      </x:c>
    </x:row>
    <x:row r="24" ht="36" customHeight="1">
      <x:c r="A24" s="12" t="n">
        <x:v>168</x:v>
      </x:c>
      <x:c r="B24" s="12" t="str">
        <x:v>VRN — Doprava + odpad</x:v>
      </x:c>
      <x:c r="C24" s="12" t="str">
        <x:v>Kontejnery suti tříděné</x:v>
      </x:c>
      <x:c r="D24" s="12" t="str">
        <x:v>997013211</x:v>
      </x:c>
      <x:c r="E24" s="12" t="str">
        <x:v>Kontejnery na suť tříděnou velkoobjemové (beton/cihly, dřevo, kovy, EPS, sádra, směs) — pronájem + svozy</x:v>
      </x:c>
      <x:c r="F24" s="12" t="str">
        <x:v>ks</x:v>
      </x:c>
      <x:c r="G24" s="12" t="str">
        <x:v>7</x:v>
      </x:c>
      <x:c r="H24" s="12" t="str">
        <x:v>Třídění stavebního odpadu na staveništi podle druhu odpadu</x:v>
      </x:c>
      <x:c r="I24" s="12" t="str">
        <x:v>Třídění stavebního odpadu na staveništi podle druhu odpadu</x:v>
      </x:c>
      <x:c r="J24" s="12" t="str">
        <x:v>997013871</x:v>
      </x:c>
      <x:c r="K24" s="12" t="str">
        <x:v>Poplatek za uložení stavebního odpadu na recyklační skládce směsného stavebního a demoličního odpadu 17 09 04</x:v>
      </x:c>
      <x:c r="L24" s="12" t="str">
        <x:v>t</x:v>
      </x:c>
      <x:c r="M24" s="12" t="n">
        <x:v>0.88</x:v>
      </x:c>
      <x:c r="N24" s="12" t="str">
        <x:v>urs_matcher_service</x:v>
      </x:c>
      <x:c r="O24" s="12" t="str">
        <x:v>469973111</x:v>
      </x:c>
      <x:c r="P24" s="12" t="str">
        <x:v>Třídění stavebního odpadu na staveništi podle druhu odpadu</x:v>
      </x:c>
      <x:c r="Q24" s="12" t="str"/>
      <x:c r="R24" s="12" t="n">
        <x:v>0.8</x:v>
      </x:c>
      <x:c r="S24" s="12" t="str">
        <x:v>perplexity_urs_search</x:v>
      </x:c>
      <x:c r="T24" s="12" t="str">
        <x:v>997006014</x:v>
      </x:c>
      <x:c r="U24" s="12" t="str">
        <x:v>Třídění stavebního odpadu na staveništi podle druhu odpadu</x:v>
      </x:c>
      <x:c r="V24" s="12" t="str"/>
      <x:c r="W24" s="12" t="n">
        <x:v>0.8</x:v>
      </x:c>
      <x:c r="X24" s="12" t="str">
        <x:v>perplexity_urs_search</x:v>
      </x:c>
      <x:c r="Y24" s="12" t="str"/>
      <x:c r="Z24" s="12" t="str"/>
      <x:c r="AA24" s="12" t="str"/>
      <x:c r="AB24" s="12" t="str"/>
      <x:c r="AC24" s="12" t="str"/>
      <x:c r="AD24" s="12" t="str">
        <x:v>PARTIAL</x:v>
      </x:c>
      <x:c r="AE24" s="12" t="str">
        <x:v>Existují textové kandidáty pro třídění, ale nejsou z matcher-service; první service kandidát je skládkovné, nikoli třídění.</x:v>
      </x:c>
      <x:c r="AF24" s="12" t="str">
        <x:v>YES</x:v>
      </x:c>
    </x:row>
  </x:sheetData>
  <x:dataValidations count="1">
    <x:dataValidation type="list" sqref="AD2:AD24">
      <x:formula1>"MATCH,PARTIAL,NO_MATCH,BAD_MATCH"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</x:cols>
  <x:sheetData>
    <x:row r="1">
      <x:c r="A1" s="5" t="str">
        <x:v>Metric</x:v>
      </x:c>
      <x:c r="B1" s="5" t="str">
        <x:v>Value</x:v>
      </x:c>
    </x:row>
    <x:row r="2">
      <x:c r="A2" s="12" t="str">
        <x:v>Batch</x:v>
      </x:c>
      <x:c r="B2" s="12" t="str">
        <x:v>014</x:v>
      </x:c>
    </x:row>
    <x:row r="3">
      <x:c r="A3" s="12" t="str">
        <x:v>Source rows</x:v>
      </x:c>
      <x:c r="B3" s="12" t="str">
        <x:v>157–168</x:v>
      </x:c>
    </x:row>
    <x:row r="4">
      <x:c r="A4" s="12" t="str">
        <x:v>Input source rows</x:v>
      </x:c>
      <x:c r="B4" s="12" t="n">
        <x:v>12</x:v>
      </x:c>
    </x:row>
    <x:row r="5">
      <x:c r="A5" s="12" t="str">
        <x:v>Rows after split</x:v>
      </x:c>
      <x:c r="B5" s="12" t="n">
        <x:v>23</x:v>
      </x:c>
    </x:row>
    <x:row r="6">
      <x:c r="A6" s="12" t="str">
        <x:v>STAVAGENT successful calls included</x:v>
      </x:c>
      <x:c r="B6" s="12" t="n">
        <x:v>23</x:v>
      </x:c>
    </x:row>
    <x:row r="7">
      <x:c r="A7" s="12" t="str">
        <x:v>MATCH</x:v>
      </x:c>
      <x:c r="B7" s="12" t="n">
        <x:v>2</x:v>
      </x:c>
    </x:row>
    <x:row r="8">
      <x:c r="A8" s="12" t="str">
        <x:v>PARTIAL</x:v>
      </x:c>
      <x:c r="B8" s="12" t="n">
        <x:v>5</x:v>
      </x:c>
    </x:row>
    <x:row r="9">
      <x:c r="A9" s="12" t="str">
        <x:v>NO_MATCH</x:v>
      </x:c>
      <x:c r="B9" s="12" t="n">
        <x:v>8</x:v>
      </x:c>
    </x:row>
    <x:row r="10">
      <x:c r="A10" s="12" t="str">
        <x:v>BAD_MATCH</x:v>
      </x:c>
      <x:c r="B10" s="12" t="n">
        <x:v>8</x:v>
      </x:c>
    </x:row>
    <x:row r="11">
      <x:c r="A11" s="12" t="str">
        <x:v>Manual codes added</x:v>
      </x:c>
      <x:c r="B11" s="12" t="n">
        <x:v>0</x:v>
      </x:c>
    </x:row>
    <x:row r="12">
      <x:c r="A12" s="12" t="str">
        <x:v>Protocol</x:v>
      </x:c>
      <x:c r="B12" s="12" t="str">
        <x:v>STAVAGENT find_urs_code only; candidates max 4; aggregated items split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30" hidden="0" customWidth="1"/>
    <x:col min="4" max="4" width="14" hidden="0" customWidth="1"/>
    <x:col min="5" max="5" width="70" hidden="0" customWidth="1"/>
    <x:col min="6" max="6" width="10" hidden="0" customWidth="1"/>
    <x:col min="7" max="7" width="10" hidden="0" customWidth="1"/>
  </x:cols>
  <x:sheetData>
    <x:row r="1">
      <x:c r="A1" s="5" t="str">
        <x:v>source_row_id</x:v>
      </x:c>
      <x:c r="B1" s="5" t="str">
        <x:v>Kapitola</x:v>
      </x:c>
      <x:c r="C1" s="5" t="str">
        <x:v>Subkapitola</x:v>
      </x:c>
      <x:c r="D1" s="5" t="str">
        <x:v>URS kód (navrž.)</x:v>
      </x:c>
      <x:c r="E1" s="5" t="str">
        <x:v>Popis</x:v>
      </x:c>
      <x:c r="F1" s="5" t="str">
        <x:v>MJ</x:v>
      </x:c>
      <x:c r="G1" s="5" t="str">
        <x:v>Množství</x:v>
      </x:c>
    </x:row>
    <x:row r="2">
      <x:c r="A2" t="n">
        <x:v>157</x:v>
      </x:c>
      <x:c r="B2" t="str">
        <x:v>PSV-72 ZTI</x:v>
      </x:c>
      <x:c r="C2" t="str">
        <x:v>Elektrický bojler 3.NP</x:v>
      </x:c>
      <x:c r="D2" t="str">
        <x:v>732429211</x:v>
      </x:c>
      <x:c r="E2" t="str">
        <x:v>Elektrický bojler ~80 l v koupelně 3.NP (nezávislý zdroj pro samostatný byt)</x:v>
      </x:c>
      <x:c r="F2" t="str">
        <x:v>ks</x:v>
      </x:c>
      <x:c r="G2" t="str">
        <x:v>1</x:v>
      </x:c>
    </x:row>
    <x:row r="3">
      <x:c r="A3" t="n">
        <x:v>158</x:v>
      </x:c>
      <x:c r="B3" t="str">
        <x:v>PSV-73 Vytápění</x:v>
      </x:c>
      <x:c r="C3" t="str">
        <x:v>Sporáková kamna na tuhá paliva</x:v>
      </x:c>
      <x:c r="D3" t="str">
        <x:v>733241011</x:v>
      </x:c>
      <x:c r="E3" t="str">
        <x:v>Sporáková kamna na tuhá paliva ~10 kW s akumulačním zásobníkem TUV — dodávka</x:v>
      </x:c>
      <x:c r="F3" t="str">
        <x:v>ks</x:v>
      </x:c>
      <x:c r="G3" t="str">
        <x:v>1</x:v>
      </x:c>
    </x:row>
    <x:row r="4">
      <x:c r="A4" t="n">
        <x:v>159</x:v>
      </x:c>
      <x:c r="B4" t="str">
        <x:v>PSV-73 Vytápění</x:v>
      </x:c>
      <x:c r="C4" t="str">
        <x:v>Sporáková kamna — montáž</x:v>
      </x:c>
      <x:c r="D4" t="str">
        <x:v>733281011</x:v>
      </x:c>
      <x:c r="E4" t="str">
        <x:v>Sporáková kamna — montáž vč. napojení na komín + akumulační zásobník (cca 8 Nh)</x:v>
      </x:c>
      <x:c r="F4" t="str">
        <x:v>kpl</x:v>
      </x:c>
      <x:c r="G4" t="str">
        <x:v>1</x:v>
      </x:c>
    </x:row>
    <x:row r="5">
      <x:c r="A5" t="n">
        <x:v>160</x:v>
      </x:c>
      <x:c r="B5" t="str">
        <x:v>PSV-73 Vytápění</x:v>
      </x:c>
      <x:c r="C5" t="str">
        <x:v>Elektrokotel 3.NP</x:v>
      </x:c>
      <x:c r="D5" t="str">
        <x:v>733131221</x:v>
      </x:c>
      <x:c r="E5" t="str">
        <x:v>Elektrokotel ~8 kW pro 3.NP samostatný byt — dodávka + montáž + napojení</x:v>
      </x:c>
      <x:c r="F5" t="str">
        <x:v>ks</x:v>
      </x:c>
      <x:c r="G5" t="str">
        <x:v>1</x:v>
      </x:c>
    </x:row>
    <x:row r="6">
      <x:c r="A6" t="n">
        <x:v>161</x:v>
      </x:c>
      <x:c r="B6" t="str">
        <x:v>PSV-73 Vytápění</x:v>
      </x:c>
      <x:c r="C6" t="str">
        <x:v>Krb na tuhá paliva 3.NP</x:v>
      </x:c>
      <x:c r="D6" t="str">
        <x:v>733241011</x:v>
      </x:c>
      <x:c r="E6" t="str">
        <x:v>Krb na tuhá paliva v 3.NP ~6 kW — dodávka + montáž s napojením na samostatný komín</x:v>
      </x:c>
      <x:c r="F6" t="str">
        <x:v>ks</x:v>
      </x:c>
      <x:c r="G6" t="str">
        <x:v>1</x:v>
      </x:c>
    </x:row>
    <x:row r="7">
      <x:c r="A7" t="n">
        <x:v>162</x:v>
      </x:c>
      <x:c r="B7" t="str">
        <x:v>PSV-73 Vytápění</x:v>
      </x:c>
      <x:c r="C7" t="str">
        <x:v>Multisplit TČ — venkovní jednotka</x:v>
      </x:c>
      <x:c r="D7" t="str">
        <x:v>733425211</x:v>
      </x:c>
      <x:c r="E7" t="str">
        <x:v>Multisplit tepelné čerpadlo vzduch-vzduch — 1× venkovní jednotka ~10 kW (silent mode hl. tlaku ≤49 dBA)</x:v>
      </x:c>
      <x:c r="F7" t="str">
        <x:v>ks</x:v>
      </x:c>
      <x:c r="G7" t="str">
        <x:v>1</x:v>
      </x:c>
    </x:row>
    <x:row r="8">
      <x:c r="A8" t="n">
        <x:v>163</x:v>
      </x:c>
      <x:c r="B8" t="str">
        <x:v>PSV-73 Vytápění</x:v>
      </x:c>
      <x:c r="C8" t="str">
        <x:v>Multisplit TČ — vnitřní jednotky</x:v>
      </x:c>
      <x:c r="D8" t="str">
        <x:v>733425221</x:v>
      </x:c>
      <x:c r="E8" t="str">
        <x:v>Multisplit TČ — 5× vnitřní jednotka v obytných místnostech (1.NP, 2.NP, 3.NP — chlazení + vytápění)</x:v>
      </x:c>
      <x:c r="F8" t="str">
        <x:v>ks</x:v>
      </x:c>
      <x:c r="G8" t="str">
        <x:v>5</x:v>
      </x:c>
    </x:row>
    <x:row r="9">
      <x:c r="A9" t="n">
        <x:v>164</x:v>
      </x:c>
      <x:c r="B9" t="str">
        <x:v>PSV-73 Vytápění</x:v>
      </x:c>
      <x:c r="C9" t="str">
        <x:v>Revize komínu</x:v>
      </x:c>
      <x:c r="D9" t="str">
        <x:v>734262122</x:v>
      </x:c>
      <x:c r="E9" t="str">
        <x:v>Revize stávajícího komínu — kontrola, čištění, vystrojení vložkou nerez DN160 pro kamna + krb 3.NP</x:v>
      </x:c>
      <x:c r="F9" t="str">
        <x:v>kpl</x:v>
      </x:c>
      <x:c r="G9" t="str">
        <x:v>1</x:v>
      </x:c>
    </x:row>
    <x:row r="10">
      <x:c r="A10" t="n">
        <x:v>165</x:v>
      </x:c>
      <x:c r="B10" t="str">
        <x:v>PSV-73 Vytápění</x:v>
      </x:c>
      <x:c r="C10" t="str">
        <x:v>Rozvody otopné soustavy</x:v>
      </x:c>
      <x:c r="D10" t="str">
        <x:v>733111021</x:v>
      </x:c>
      <x:c r="E10" t="str">
        <x:v>Rozvody otopné soustavy Cu/PEX k vnitřním jednotkám TČ + radiátorům pro doplňkové (cca 100 bm odhad)</x:v>
      </x:c>
      <x:c r="F10" t="str">
        <x:v>bm</x:v>
      </x:c>
      <x:c r="G10" t="str">
        <x:v>100,00</x:v>
      </x:c>
    </x:row>
    <x:row r="11">
      <x:c r="A11" t="n">
        <x:v>166</x:v>
      </x:c>
      <x:c r="B11" t="str">
        <x:v>VRN — BOZP</x:v>
      </x:c>
      <x:c r="C11" t="str">
        <x:v>Koordinace BOZP</x:v>
      </x:c>
      <x:c r="D11" t="str">
        <x:v>030091000</x:v>
      </x:c>
      <x:c r="E11" t="str">
        <x:v>Koordinátor BOZP na staveništi dle zákona 309/2006 Sb. — pro stavbu s více než jedním zhotovitelem</x:v>
      </x:c>
      <x:c r="F11" t="str">
        <x:v>kpl</x:v>
      </x:c>
      <x:c r="G11" t="str">
        <x:v>1</x:v>
      </x:c>
    </x:row>
    <x:row r="12">
      <x:c r="A12" t="n">
        <x:v>167</x:v>
      </x:c>
      <x:c r="B12" t="str">
        <x:v>VRN — Dokumentace</x:v>
      </x:c>
      <x:c r="C12" t="str">
        <x:v>Předávací protokoly + DSP</x:v>
      </x:c>
      <x:c r="D12" t="str">
        <x:v>030151000</x:v>
      </x:c>
      <x:c r="E12" t="str">
        <x:v>Předávací protokoly + Dokumentace skutečného provedení (DSP) — sestavení, vázání, dodávka 2× tiskem + elektronická verze</x:v>
      </x:c>
      <x:c r="F12" t="str">
        <x:v>kpl</x:v>
      </x:c>
      <x:c r="G12" t="str">
        <x:v>1</x:v>
      </x:c>
    </x:row>
    <x:row r="13">
      <x:c r="A13" t="n">
        <x:v>168</x:v>
      </x:c>
      <x:c r="B13" t="str">
        <x:v>VRN — Doprava + odpad</x:v>
      </x:c>
      <x:c r="C13" t="str">
        <x:v>Kontejnery suti tříděné</x:v>
      </x:c>
      <x:c r="D13" t="str">
        <x:v>997013211</x:v>
      </x:c>
      <x:c r="E13" t="str">
        <x:v>Kontejnery na suť tříděnou velkoobjemové (beton/cihly, dřevo, kovy, EPS, sádra, směs) — pronájem + svozy</x:v>
      </x:c>
      <x:c r="F13" t="str">
        <x:v>ks</x:v>
      </x:c>
      <x:c r="G13" t="str">
        <x:v>7</x:v>
      </x:c>
    </x:row>
  </x:sheetData>
  <x:pageMargins left="0.7" right="0.7" top="0.75" bottom="0.75" header="0.3" footer="0.3"/>
</x:worksheet>
</file>
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a928c69cf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S_batch_010" sheetId="1" r:id="R755e397529074b57"/>
    <x:sheet xmlns:r="http://schemas.openxmlformats.org/officeDocument/2006/relationships" name="Summary" sheetId="2" r:id="Rb319d305e56a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EA99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7aac423844547" /><Relationship Type="http://schemas.openxmlformats.org/officeDocument/2006/relationships/theme" Target="/xl/theme/theme1.xml" Id="R7b0e836df34645f5" /><Relationship Type="http://schemas.openxmlformats.org/officeDocument/2006/relationships/sharedStrings" Target="/xl/sharedStrings.xml" Id="R8bb9fc11be834913" /><Relationship Type="http://schemas.openxmlformats.org/officeDocument/2006/relationships/worksheet" Target="/xl/worksheets/sheet1.xml" Id="R755e397529074b57" /><Relationship Type="http://schemas.openxmlformats.org/officeDocument/2006/relationships/worksheet" Target="/xl/worksheets/sheet2.xml" Id="Rb319d305e56a4410" /></Relationships>
</file>

<file path=xl/tables/table1.xml><?xml version="1.0" encoding="utf-8"?>
<x:table xmlns:x="http://schemas.openxmlformats.org/spreadsheetml/2006/main" id="1" name="Batch010Table" displayName="Batch010Table" ref="A1:AG22" headerRowCount="1">
  <x:tableColumns count="33">
    <x:tableColumn id="1" name="source_row_id"/>
    <x:tableColumn id="2" name="Kapitola"/>
    <x:tableColumn id="3" name="old_name"/>
    <x:tableColumn id="4" name="old_urs_code"/>
    <x:tableColumn id="5" name="old_description"/>
    <x:tableColumn id="6" name="old_MJ"/>
    <x:tableColumn id="7" name="old_quantity"/>
    <x:tableColumn id="8" name="split_item"/>
    <x:tableColumn id="9" name="STAVAGENT_query"/>
    <x:tableColumn id="10" name="STAVAGENT_context"/>
    <x:tableColumn id="11" name="STAVAGENT_called"/>
    <x:tableColumn id="12" name="status"/>
    <x:tableColumn id="13" name="note"/>
    <x:tableColumn id="14" name="candidate_1_code"/>
    <x:tableColumn id="15" name="candidate_1_name"/>
    <x:tableColumn id="16" name="candidate_1_unit"/>
    <x:tableColumn id="17" name="candidate_1_confidence"/>
    <x:tableColumn id="18" name="candidate_1_source"/>
    <x:tableColumn id="19" name="candidate_2_code"/>
    <x:tableColumn id="20" name="candidate_2_name"/>
    <x:tableColumn id="21" name="candidate_2_unit"/>
    <x:tableColumn id="22" name="candidate_2_confidence"/>
    <x:tableColumn id="23" name="candidate_2_source"/>
    <x:tableColumn id="24" name="candidate_3_code"/>
    <x:tableColumn id="25" name="candidate_3_name"/>
    <x:tableColumn id="26" name="candidate_3_unit"/>
    <x:tableColumn id="27" name="candidate_3_confidence"/>
    <x:tableColumn id="28" name="candidate_3_source"/>
    <x:tableColumn id="29" name="candidate_4_code"/>
    <x:tableColumn id="30" name="candidate_4_name"/>
    <x:tableColumn id="31" name="candidate_4_unit"/>
    <x:tableColumn id="32" name="candidate_4_confidence"/>
    <x:tableColumn id="33" name="candidate_4_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2972a78af2487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14" hidden="0" customWidth="1"/>
    <x:col min="5" max="5" width="42" hidden="0" customWidth="1"/>
    <x:col min="6" max="6" width="10" hidden="0" customWidth="1"/>
    <x:col min="7" max="7" width="12" hidden="0" customWidth="1"/>
    <x:col min="8" max="8" width="30" hidden="0" customWidth="1"/>
    <x:col min="9" max="9" width="42" hidden="0" customWidth="1"/>
    <x:col min="10" max="10" width="36" hidden="0" customWidth="1"/>
    <x:col min="11" max="11" width="16" hidden="0" customWidth="1"/>
    <x:col min="12" max="12" width="14" hidden="0" customWidth="1"/>
    <x:col min="13" max="13" width="42" hidden="0" customWidth="1"/>
    <x:col min="14" max="14" width="14" hidden="0" customWidth="1"/>
    <x:col min="15" max="15" width="36" hidden="0" customWidth="1"/>
    <x:col min="16" max="16" width="10" hidden="0" customWidth="1"/>
    <x:col min="17" max="17" width="12" hidden="0" customWidth="1"/>
    <x:col min="18" max="18" width="18" hidden="0" customWidth="1"/>
    <x:col min="19" max="19" width="14" hidden="0" customWidth="1"/>
    <x:col min="20" max="20" width="36" hidden="0" customWidth="1"/>
    <x:col min="21" max="21" width="10" hidden="0" customWidth="1"/>
    <x:col min="22" max="22" width="12" hidden="0" customWidth="1"/>
    <x:col min="23" max="23" width="18" hidden="0" customWidth="1"/>
    <x:col min="24" max="24" width="14" hidden="0" customWidth="1"/>
    <x:col min="25" max="25" width="36" hidden="0" customWidth="1"/>
    <x:col min="26" max="26" width="10" hidden="0" customWidth="1"/>
    <x:col min="27" max="27" width="12" hidden="0" customWidth="1"/>
    <x:col min="28" max="28" width="18" hidden="0" customWidth="1"/>
    <x:col min="29" max="29" width="14" hidden="0" customWidth="1"/>
    <x:col min="30" max="30" width="36" hidden="0" customWidth="1"/>
    <x:col min="31" max="31" width="10" hidden="0" customWidth="1"/>
    <x:col min="32" max="32" width="12" hidden="0" customWidth="1"/>
    <x:col min="33" max="33" width="18" hidden="0" customWidth="1"/>
  </x:cols>
  <x:sheetData>
    <x:row r="1">
      <x:c r="A1" s="14" t="str">
        <x:v>source_row_id</x:v>
      </x:c>
      <x:c r="B1" s="14" t="str">
        <x:v>Kapitola</x:v>
      </x:c>
      <x:c r="C1" s="14" t="str">
        <x:v>old_name</x:v>
      </x:c>
      <x:c r="D1" s="14" t="str">
        <x:v>old_urs_code</x:v>
      </x:c>
      <x:c r="E1" s="14" t="str">
        <x:v>old_description</x:v>
      </x:c>
      <x:c r="F1" s="14" t="str">
        <x:v>old_MJ</x:v>
      </x:c>
      <x:c r="G1" s="14" t="str">
        <x:v>old_quantity</x:v>
      </x:c>
      <x:c r="H1" s="14" t="str">
        <x:v>split_item</x:v>
      </x:c>
      <x:c r="I1" s="14" t="str">
        <x:v>STAVAGENT_query</x:v>
      </x:c>
      <x:c r="J1" s="14" t="str">
        <x:v>STAVAGENT_context</x:v>
      </x:c>
      <x:c r="K1" s="14" t="str">
        <x:v>STAVAGENT_called</x:v>
      </x:c>
      <x:c r="L1" s="14" t="str">
        <x:v>status</x:v>
      </x:c>
      <x:c r="M1" s="14" t="str">
        <x:v>note</x:v>
      </x:c>
      <x:c r="N1" s="14" t="str">
        <x:v>candidate_1_code</x:v>
      </x:c>
      <x:c r="O1" s="14" t="str">
        <x:v>candidate_1_name</x:v>
      </x:c>
      <x:c r="P1" s="14" t="str">
        <x:v>candidate_1_unit</x:v>
      </x:c>
      <x:c r="Q1" s="14" t="str">
        <x:v>candidate_1_confidence</x:v>
      </x:c>
      <x:c r="R1" s="14" t="str">
        <x:v>candidate_1_source</x:v>
      </x:c>
      <x:c r="S1" s="14" t="str">
        <x:v>candidate_2_code</x:v>
      </x:c>
      <x:c r="T1" s="14" t="str">
        <x:v>candidate_2_name</x:v>
      </x:c>
      <x:c r="U1" s="14" t="str">
        <x:v>candidate_2_unit</x:v>
      </x:c>
      <x:c r="V1" s="14" t="str">
        <x:v>candidate_2_confidence</x:v>
      </x:c>
      <x:c r="W1" s="14" t="str">
        <x:v>candidate_2_source</x:v>
      </x:c>
      <x:c r="X1" s="14" t="str">
        <x:v>candidate_3_code</x:v>
      </x:c>
      <x:c r="Y1" s="14" t="str">
        <x:v>candidate_3_name</x:v>
      </x:c>
      <x:c r="Z1" s="14" t="str">
        <x:v>candidate_3_unit</x:v>
      </x:c>
      <x:c r="AA1" s="14" t="str">
        <x:v>candidate_3_confidence</x:v>
      </x:c>
      <x:c r="AB1" s="14" t="str">
        <x:v>candidate_3_source</x:v>
      </x:c>
      <x:c r="AC1" s="14" t="str">
        <x:v>candidate_4_code</x:v>
      </x:c>
      <x:c r="AD1" s="14" t="str">
        <x:v>candidate_4_name</x:v>
      </x:c>
      <x:c r="AE1" s="14" t="str">
        <x:v>candidate_4_unit</x:v>
      </x:c>
      <x:c r="AF1" s="14" t="str">
        <x:v>candidate_4_confidence</x:v>
      </x:c>
      <x:c r="AG1" s="14" t="str">
        <x:v>candidate_4_source</x:v>
      </x:c>
    </x:row>
    <x:row r="2">
      <x:c r="A2" s="15" t="n">
        <x:v>109</x:v>
      </x:c>
      <x:c r="B2" s="15" t="str">
        <x:v>PSV-77 Podlahy</x:v>
      </x:c>
      <x:c r="C2" s="15" t="str">
        <x:v>Nášlap keramická dlažba — 1.PP sklep</x:v>
      </x:c>
      <x:c r="D2" s="15" t="str">
        <x:v>771274102</x:v>
      </x:c>
      <x:c r="E2" s="15" t="str">
        <x:v>Nášlapná vrstva keramická dlažba — 1.PP technické místnosti (sušárna + sklepy + schodiště + chodba)</x:v>
      </x:c>
      <x:c r="F2" s="15" t="str">
        <x:v>m²</x:v>
      </x:c>
      <x:c r="G2" s="15" t="str">
        <x:v>32,40</x:v>
      </x:c>
      <x:c r="H2" s="15" t="str">
        <x:v>Keramická dlažba 1.PP technické místnosti</x:v>
      </x:c>
      <x:c r="I2" s="15" t="str">
        <x:v>Nášlapná vrstva keramická dlažba lepená v technických místnostech 1.PP sklepy sušárna schodiště chodba</x:v>
      </x:c>
      <x:c r="J2" s="15" t="str">
        <x:v>pozemní stavba, rekonstrukce, podlahy, 1.PP sklep technické místnosti, keramická dlažba</x:v>
      </x:c>
      <x:c r="K2" s="15" t="str">
        <x:v>YES</x:v>
      </x:c>
      <x:c r="L2" s="15" t="str">
        <x:v>BAD_MATCH</x:v>
      </x:c>
      <x:c r="M2" s="15" t="str">
        <x:v>Matcher našel obklad stěn, ne podlahovou dlažbu; použít jen jako signál k ručnímu ověření.</x:v>
      </x:c>
      <x:c r="N2" s="15" t="str">
        <x:v>N/A</x:v>
      </x:c>
      <x:c r="O2" s="15" t="str">
        <x:v>Bez přesného kódu; textová navigace k pravděpodobné položce dlažby.</x:v>
      </x:c>
      <x:c r="P2" s="15" t="str"/>
      <x:c r="Q2" s="15" t="n">
        <x:v>0.5</x:v>
      </x:c>
      <x:c r="R2" s="15" t="str">
        <x:v>perplexity_urs_search</x:v>
      </x:c>
      <x:c r="S2" s="15" t="str">
        <x:v>781475215</x:v>
      </x:c>
      <x:c r="T2" s="15" t="str">
        <x:v>Montáž obkladů keramických hladkých lepených disperzním lepidlem přes 6 do 9 ks/m2</x:v>
      </x:c>
      <x:c r="U2" s="15" t="str">
        <x:v>m2</x:v>
      </x:c>
      <x:c r="V2" s="15" t="n">
        <x:v>0.42</x:v>
      </x:c>
      <x:c r="W2" s="15" t="str">
        <x:v>urs_matcher_service</x:v>
      </x:c>
      <x:c r="X2" s="15" t="str"/>
      <x:c r="Y2" s="15" t="str"/>
      <x:c r="Z2" s="15" t="str"/>
      <x:c r="AA2" s="15" t="str"/>
      <x:c r="AB2" s="15" t="str"/>
      <x:c r="AC2" s="15" t="str"/>
      <x:c r="AD2" s="15" t="str"/>
      <x:c r="AE2" s="15" t="str"/>
      <x:c r="AF2" s="15" t="str"/>
      <x:c r="AG2" s="15" t="str"/>
    </x:row>
    <x:row r="3">
      <x:c r="A3" s="15" t="n">
        <x:v>110</x:v>
      </x:c>
      <x:c r="B3" s="15" t="str">
        <x:v>PSV-77 Podlahy</x:v>
      </x:c>
      <x:c r="C3" s="15" t="str">
        <x:v>Nášlap biodeska 3.NP spací patro</x:v>
      </x:c>
      <x:c r="D3" s="15" t="str">
        <x:v>766411111</x:v>
      </x:c>
      <x:c r="E3" s="15" t="str">
        <x:v>Nášlapná vrstva biodeska (smrk masiv) nebo OSB v 3.NP spací části nad krovem</x:v>
      </x:c>
      <x:c r="F3" s="15" t="str">
        <x:v>m²</x:v>
      </x:c>
      <x:c r="G3" s="15" t="str">
        <x:v>25,00</x:v>
      </x:c>
      <x:c r="H3" s="15" t="str">
        <x:v>Nášlapná vrstva biodeska / OSB v 3.NP</x:v>
      </x:c>
      <x:c r="I3" s="15" t="str">
        <x:v>Nášlapná vrstva biodeska smrkový masiv nebo OSB desky v 3.NP spací části nad krovem</x:v>
      </x:c>
      <x:c r="J3" s="15" t="str">
        <x:v>pozemní stavba, rekonstrukce, podlahy, 3.NP spací patro nad krovem, biodeska OSB</x:v>
      </x:c>
      <x:c r="K3" s="15" t="str">
        <x:v>YES</x:v>
      </x:c>
      <x:c r="L3" s="15" t="str">
        <x:v>NO_MATCH</x:v>
      </x:c>
      <x:c r="M3" s="15" t="str">
        <x:v>STAVAGENT nevrátil použitelný číselný kód.</x:v>
      </x:c>
      <x:c r="N3" s="15" t="str">
        <x:v>N/A</x:v>
      </x:c>
      <x:c r="O3" s="15" t="str">
        <x:v>Bez jednoznačné shody; obecná navigace do skupin podlah z OSB/biodesek.</x:v>
      </x:c>
      <x:c r="P3" s="15" t="str"/>
      <x:c r="Q3" s="15" t="n">
        <x:v>0.5</x:v>
      </x:c>
      <x:c r="R3" s="15" t="str">
        <x:v>perplexity_urs_search</x:v>
      </x:c>
      <x:c r="S3" s="15" t="str"/>
      <x:c r="T3" s="15" t="str"/>
      <x:c r="U3" s="15" t="str"/>
      <x:c r="V3" s="15" t="str"/>
      <x:c r="W3" s="15" t="str"/>
      <x:c r="X3" s="15" t="str"/>
      <x:c r="Y3" s="15" t="str"/>
      <x:c r="Z3" s="15" t="str"/>
      <x:c r="AA3" s="15" t="str"/>
      <x:c r="AB3" s="15" t="str"/>
      <x:c r="AC3" s="15" t="str"/>
      <x:c r="AD3" s="15" t="str"/>
      <x:c r="AE3" s="15" t="str"/>
      <x:c r="AF3" s="15" t="str"/>
      <x:c r="AG3" s="15" t="str"/>
    </x:row>
    <x:row r="4">
      <x:c r="A4" s="15" t="n">
        <x:v>111</x:v>
      </x:c>
      <x:c r="B4" s="15" t="str">
        <x:v>PSV-77 Podlahy</x:v>
      </x:c>
      <x:c r="C4" s="15" t="str">
        <x:v>Betonový potěr s kari nad EPS</x:v>
      </x:c>
      <x:c r="D4" s="15" t="str">
        <x:v>631321311</x:v>
      </x:c>
      <x:c r="E4" s="15" t="str">
        <x:v>Mokrá podlahová skladba — betonový potěr s kari síťkou 4/100/100 tl. 50 mm + samonivelační stěrka</x:v>
      </x:c>
      <x:c r="F4" s="15" t="str">
        <x:v>m²</x:v>
      </x:c>
      <x:c r="G4" s="15" t="str">
        <x:v>126,40</x:v>
      </x:c>
      <x:c r="H4" s="15" t="str">
        <x:v>Cementový podlahový potěr tl. 50 mm</x:v>
      </x:c>
      <x:c r="I4" s="15" t="str">
        <x:v>Cementový podlahový potěr tloušťky 50 mm v obytné stavbě</x:v>
      </x:c>
      <x:c r="J4" s="15" t="str">
        <x:v>pozemní stavba, rekonstrukce, podlahy, mokrá podlahová skladba, cementový potěr tloušťka 50 mm</x:v>
      </x:c>
      <x:c r="K4" s="15" t="str">
        <x:v>YES</x:v>
      </x:c>
      <x:c r="L4" s="15" t="str">
        <x:v>PARTIAL</x:v>
      </x:c>
      <x:c r="M4" s="15" t="str">
        <x:v>První přesné kódy jsou z webové větve; matcher-service vrací samonivelační litý potěr, tedy ne zcela jistá shoda.</x:v>
      </x:c>
      <x:c r="N4" s="15" t="str">
        <x:v>632451234</x:v>
      </x:c>
      <x:c r="O4" s="15" t="str">
        <x:v>Cementový podlahový potěr tloušťky 50 mm v obytné stavbě</x:v>
      </x:c>
      <x:c r="P4" s="15" t="str"/>
      <x:c r="Q4" s="15" t="n">
        <x:v>0.8</x:v>
      </x:c>
      <x:c r="R4" s="15" t="str">
        <x:v>perplexity_urs_search</x:v>
      </x:c>
      <x:c r="S4" s="15" t="str">
        <x:v>632451214</x:v>
      </x:c>
      <x:c r="T4" s="15" t="str">
        <x:v>Potěr cementový samonivelační litý C20 tl přes 45 do 50 mm</x:v>
      </x:c>
      <x:c r="U4" s="15" t="str">
        <x:v>m2</x:v>
      </x:c>
      <x:c r="V4" s="15" t="n">
        <x:v>0.74</x:v>
      </x:c>
      <x:c r="W4" s="15" t="str">
        <x:v>urs_matcher_service</x:v>
      </x:c>
      <x:c r="X4" s="15" t="str">
        <x:v>632451254</x:v>
      </x:c>
      <x:c r="Y4" s="15" t="str">
        <x:v>Potěr cementový samonivelační litý C30 tl přes 45 do 50 mm</x:v>
      </x:c>
      <x:c r="Z4" s="15" t="str">
        <x:v>m2</x:v>
      </x:c>
      <x:c r="AA4" s="15" t="n">
        <x:v>0.66</x:v>
      </x:c>
      <x:c r="AB4" s="15" t="str">
        <x:v>urs_matcher_service</x:v>
      </x:c>
      <x:c r="AC4" s="15" t="str"/>
      <x:c r="AD4" s="15" t="str"/>
      <x:c r="AE4" s="15" t="str"/>
      <x:c r="AF4" s="15" t="str"/>
      <x:c r="AG4" s="15" t="str"/>
    </x:row>
    <x:row r="5">
      <x:c r="A5" s="15" t="n">
        <x:v>111</x:v>
      </x:c>
      <x:c r="B5" s="15" t="str">
        <x:v>PSV-77 Podlahy</x:v>
      </x:c>
      <x:c r="C5" s="15" t="str">
        <x:v>Betonový potěr s kari nad EPS</x:v>
      </x:c>
      <x:c r="D5" s="15" t="str">
        <x:v>631321311</x:v>
      </x:c>
      <x:c r="E5" s="15" t="str">
        <x:v>Mokrá podlahová skladba — betonový potěr s kari síťkou 4/100/100 tl. 50 mm + samonivelační stěrka</x:v>
      </x:c>
      <x:c r="F5" s="15" t="str">
        <x:v>m²</x:v>
      </x:c>
      <x:c r="G5" s="15" t="str">
        <x:v>126,40</x:v>
      </x:c>
      <x:c r="H5" s="15" t="str">
        <x:v>Výztuž potěru kari sítí 4/100/100</x:v>
      </x:c>
      <x:c r="I5" s="15" t="str">
        <x:v>Výztuž betonového podlahového potěru kari sítí 4/100/100 dodávka a položení</x:v>
      </x:c>
      <x:c r="J5" s="15" t="str">
        <x:v>pozemní stavba, rekonstrukce, podlahy, mokrá podlahová skladba, kari síť 4/100/100</x:v>
      </x:c>
      <x:c r="K5" s="15" t="str">
        <x:v>YES</x:v>
      </x:c>
      <x:c r="L5" s="15" t="str">
        <x:v>PARTIAL</x:v>
      </x:c>
      <x:c r="M5" s="15" t="str">
        <x:v>Shoda pouze z webové větve matcheru, bez MJ; ověřit v KROS/ÚRS.</x:v>
      </x:c>
      <x:c r="N5" s="15" t="str">
        <x:v>631313511</x:v>
      </x:c>
      <x:c r="O5" s="15" t="str">
        <x:v>Výztuž betonového podlahového potěru kari sítí 4/100/100 dodávka a položení</x:v>
      </x:c>
      <x:c r="P5" s="15" t="str"/>
      <x:c r="Q5" s="15" t="n">
        <x:v>0.8</x:v>
      </x:c>
      <x:c r="R5" s="15" t="str">
        <x:v>perplexity_urs_search</x:v>
      </x:c>
      <x:c r="S5" s="15" t="str"/>
      <x:c r="T5" s="15" t="str"/>
      <x:c r="U5" s="15" t="str"/>
      <x:c r="V5" s="15" t="str"/>
      <x:c r="W5" s="15" t="str"/>
      <x:c r="X5" s="15" t="str"/>
      <x:c r="Y5" s="15" t="str"/>
      <x:c r="Z5" s="15" t="str"/>
      <x:c r="AA5" s="15" t="str"/>
      <x:c r="AB5" s="15" t="str"/>
      <x:c r="AC5" s="15" t="str"/>
      <x:c r="AD5" s="15" t="str"/>
      <x:c r="AE5" s="15" t="str"/>
      <x:c r="AF5" s="15" t="str"/>
      <x:c r="AG5" s="15" t="str"/>
    </x:row>
    <x:row r="6">
      <x:c r="A6" s="15" t="n">
        <x:v>111</x:v>
      </x:c>
      <x:c r="B6" s="15" t="str">
        <x:v>PSV-77 Podlahy</x:v>
      </x:c>
      <x:c r="C6" s="15" t="str">
        <x:v>Betonový potěr s kari nad EPS</x:v>
      </x:c>
      <x:c r="D6" s="15" t="str">
        <x:v>631321311</x:v>
      </x:c>
      <x:c r="E6" s="15" t="str">
        <x:v>Mokrá podlahová skladba — betonový potěr s kari síťkou 4/100/100 tl. 50 mm + samonivelační stěrka</x:v>
      </x:c>
      <x:c r="F6" s="15" t="str">
        <x:v>m²</x:v>
      </x:c>
      <x:c r="G6" s="15" t="str">
        <x:v>126,40</x:v>
      </x:c>
      <x:c r="H6" s="15" t="str">
        <x:v>Samonivelační stěrka podlahy</x:v>
      </x:c>
      <x:c r="I6" s="15" t="str">
        <x:v>Samonivelační stěrka podlahy na cementový potěr před nášlapnou vrstvou</x:v>
      </x:c>
      <x:c r="J6" s="15" t="str">
        <x:v>pozemní stavba, rekonstrukce, podlahy, vyrovnávací samonivelační stěrka na betonový potěr</x:v>
      </x:c>
      <x:c r="K6" s="15" t="str">
        <x:v>YES</x:v>
      </x:c>
      <x:c r="L6" s="15" t="str">
        <x:v>MATCH</x:v>
      </x:c>
      <x:c r="M6" s="15" t="str">
        <x:v>Matcher-service vrátil použitelné položky samonivelační stěrky; vybrat tloušťku dle projektu.</x:v>
      </x:c>
      <x:c r="N6" s="15" t="str">
        <x:v>771151021</x:v>
      </x:c>
      <x:c r="O6" s="15" t="str">
        <x:v>Příprava podkladu před provedením dlažby samonivelační stěrka min. pevnosti 30 MPa, tloušťky do 3 mm</x:v>
      </x:c>
      <x:c r="P6" s="15" t="str">
        <x:v>m2</x:v>
      </x:c>
      <x:c r="Q6" s="15" t="n">
        <x:v>0.89</x:v>
      </x:c>
      <x:c r="R6" s="15" t="str">
        <x:v>urs_matcher_service</x:v>
      </x:c>
      <x:c r="S6" s="15" t="str">
        <x:v>776141123</x:v>
      </x:c>
      <x:c r="T6" s="15" t="str">
        <x:v>Příprava podkladu povlakových podlah a stěn vyrovnání samonivelační stěrkou podlah pevnosti 30 MPa, tloušťky přes 5 do 8 mm</x:v>
      </x:c>
      <x:c r="U6" s="15" t="str">
        <x:v>m2</x:v>
      </x:c>
      <x:c r="V6" s="15" t="n">
        <x:v>0.82</x:v>
      </x:c>
      <x:c r="W6" s="15" t="str">
        <x:v>urs_matcher_service</x:v>
      </x:c>
      <x:c r="X6" s="15" t="str">
        <x:v>612325131</x:v>
      </x:c>
      <x:c r="Y6" s="15" t="str">
        <x:v>Samonivelační stěrka podlahy na cementový potěr před nášlapnou vrstvou</x:v>
      </x:c>
      <x:c r="Z6" s="15" t="str"/>
      <x:c r="AA6" s="15" t="n">
        <x:v>0.8</x:v>
      </x:c>
      <x:c r="AB6" s="15" t="str">
        <x:v>perplexity_urs_search</x:v>
      </x:c>
      <x:c r="AC6" s="15" t="str">
        <x:v>6324512</x:v>
      </x:c>
      <x:c r="AD6" s="15" t="str">
        <x:v>Potěr cementový samonivelační ze suchých směsí</x:v>
      </x:c>
      <x:c r="AE6" s="15" t="str"/>
      <x:c r="AF6" s="15" t="n">
        <x:v>0.74</x:v>
      </x:c>
      <x:c r="AG6" s="15" t="str">
        <x:v>urs_matcher_service</x:v>
      </x:c>
    </x:row>
    <x:row r="7">
      <x:c r="A7" s="15" t="n">
        <x:v>112</x:v>
      </x:c>
      <x:c r="B7" s="15" t="str">
        <x:v>PSV-77 Podlahy</x:v>
      </x:c>
      <x:c r="C7" s="15" t="str">
        <x:v>Soklíky vinyl</x:v>
      </x:c>
      <x:c r="D7" s="15" t="str">
        <x:v>776511831</x:v>
      </x:c>
      <x:c r="E7" s="15" t="str">
        <x:v>Soklíky podlahové laminátové (dub) v obytných místnostech s vinyl podlahou</x:v>
      </x:c>
      <x:c r="F7" s="15" t="str">
        <x:v>bm</x:v>
      </x:c>
      <x:c r="G7" s="15" t="str">
        <x:v>72,03</x:v>
      </x:c>
      <x:c r="H7" s="15" t="str">
        <x:v>Laminátové/dubové podlahové soklíky</x:v>
      </x:c>
      <x:c r="I7" s="15" t="str">
        <x:v>Soklíky podlahové laminátové dub v obytných místnostech s vinylovou podlahou montáž</x:v>
      </x:c>
      <x:c r="J7" s="15" t="str">
        <x:v>pozemní stavba, rekonstrukce, podlahy, soklíky laminátové dub, obytné místnosti, vinyl</x:v>
      </x:c>
      <x:c r="K7" s="15" t="str">
        <x:v>YES</x:v>
      </x:c>
      <x:c r="L7" s="15" t="str">
        <x:v>NO_MATCH</x:v>
      </x:c>
      <x:c r="M7" s="15" t="str">
        <x:v>STAVAGENT nevrátil konkrétní kód.</x:v>
      </x:c>
      <x:c r="N7" s="15" t="str">
        <x:v>N/A</x:v>
      </x:c>
      <x:c r="O7" s="15" t="str">
        <x:v>Bez jednoznačného kódu; textová navigace do skupin podlahových lišt a soklů.</x:v>
      </x:c>
      <x:c r="P7" s="15" t="str"/>
      <x:c r="Q7" s="15" t="n">
        <x:v>0.5</x:v>
      </x:c>
      <x:c r="R7" s="15" t="str">
        <x:v>perplexity_urs_search</x:v>
      </x:c>
      <x:c r="S7" s="15" t="str"/>
      <x:c r="T7" s="15" t="str"/>
      <x:c r="U7" s="15" t="str"/>
      <x:c r="V7" s="15" t="str"/>
      <x:c r="W7" s="15" t="str"/>
      <x:c r="X7" s="15" t="str"/>
      <x:c r="Y7" s="15" t="str"/>
      <x:c r="Z7" s="15" t="str"/>
      <x:c r="AA7" s="15" t="str"/>
      <x:c r="AB7" s="15" t="str"/>
      <x:c r="AC7" s="15" t="str"/>
      <x:c r="AD7" s="15" t="str"/>
      <x:c r="AE7" s="15" t="str"/>
      <x:c r="AF7" s="15" t="str"/>
      <x:c r="AG7" s="15" t="str"/>
    </x:row>
    <x:row r="8">
      <x:c r="A8" s="15" t="n">
        <x:v>113</x:v>
      </x:c>
      <x:c r="B8" s="15" t="str">
        <x:v>PSV-77 Podlahy</x:v>
      </x:c>
      <x:c r="C8" s="15" t="str">
        <x:v>Soklíky keramické</x:v>
      </x:c>
      <x:c r="D8" s="15" t="str">
        <x:v>771274107</x:v>
      </x:c>
      <x:c r="E8" s="15" t="str">
        <x:v>Soklíky keramické v místnostech s dlažbou (koupelny + WC + spíž + 1.PP)</x:v>
      </x:c>
      <x:c r="F8" s="15" t="str">
        <x:v>bm</x:v>
      </x:c>
      <x:c r="G8" s="15" t="str">
        <x:v>19,28</x:v>
      </x:c>
      <x:c r="H8" s="15" t="str">
        <x:v>Keramické soklíky</x:v>
      </x:c>
      <x:c r="I8" s="15" t="str">
        <x:v>Soklíky keramické v místnostech s keramickou dlažbou montáž a dodávka</x:v>
      </x:c>
      <x:c r="J8" s="15" t="str">
        <x:v>pozemní stavba, rekonstrukce, podlahy, koupelny WC spíž 1.PP, keramické soklíky</x:v>
      </x:c>
      <x:c r="K8" s="15" t="str">
        <x:v>YES</x:v>
      </x:c>
      <x:c r="L8" s="15" t="str">
        <x:v>MATCH</x:v>
      </x:c>
      <x:c r="M8" s="15" t="str">
        <x:v>Matcher-service vrátil přímo keramické soklíky.</x:v>
      </x:c>
      <x:c r="N8" s="15" t="str">
        <x:v>771471810</x:v>
      </x:c>
      <x:c r="O8" s="15" t="str">
        <x:v>Montáž soklíků z dlaždic keramických lepených cementovým</x:v>
      </x:c>
      <x:c r="P8" s="15" t="str">
        <x:v>m</x:v>
      </x:c>
      <x:c r="Q8" s="15" t="n">
        <x:v>0.78</x:v>
      </x:c>
      <x:c r="R8" s="15" t="str">
        <x:v>urs_matcher_service</x:v>
      </x:c>
      <x:c r="S8" s="15" t="str">
        <x:v>N/A</x:v>
      </x:c>
      <x:c r="T8" s="15" t="str">
        <x:v>Textová navigace k podlahám, keramickým dlažbám a soklíkům.</x:v>
      </x:c>
      <x:c r="U8" s="15" t="str"/>
      <x:c r="V8" s="15" t="n">
        <x:v>0.5</x:v>
      </x:c>
      <x:c r="W8" s="15" t="str">
        <x:v>perplexity_urs_search</x:v>
      </x:c>
      <x:c r="X8" s="15" t="str"/>
      <x:c r="Y8" s="15" t="str"/>
      <x:c r="Z8" s="15" t="str"/>
      <x:c r="AA8" s="15" t="str"/>
      <x:c r="AB8" s="15" t="str"/>
      <x:c r="AC8" s="15" t="str"/>
      <x:c r="AD8" s="15" t="str"/>
      <x:c r="AE8" s="15" t="str"/>
      <x:c r="AF8" s="15" t="str"/>
      <x:c r="AG8" s="15" t="str"/>
    </x:row>
    <x:row r="9">
      <x:c r="A9" s="15" t="n">
        <x:v>114</x:v>
      </x:c>
      <x:c r="B9" s="15" t="str">
        <x:v>PSV-78 Povrchové úpravy</x:v>
      </x:c>
      <x:c r="C9" s="15" t="str">
        <x:v>Omítka jádrová + štuk 1.PP</x:v>
      </x:c>
      <x:c r="D9" s="15" t="str">
        <x:v>612311311</x:v>
      </x:c>
      <x:c r="E9" s="15" t="str">
        <x:v>Omítka jádrová vápenocementová tl. 15 mm + štuková povrchová úprava na stěnách 1.PP (stávající vyspravené + nové zděné)</x:v>
      </x:c>
      <x:c r="F9" s="15" t="str">
        <x:v>m²</x:v>
      </x:c>
      <x:c r="G9" s="15" t="str">
        <x:v>78,20</x:v>
      </x:c>
      <x:c r="H9" s="15" t="str">
        <x:v>Vnitřní VC jádrová omítka stěn 1.PP</x:v>
      </x:c>
      <x:c r="I9" s="15" t="str">
        <x:v>Vnitřní vápenocementová jádrová omítka stěn tloušťky 15 mm</x:v>
      </x:c>
      <x:c r="J9" s="15" t="str">
        <x:v>pozemní stavba, rekonstrukce, povrchové úpravy, stěny 1.PP, stávající vyspravené a nové zděné konstrukce</x:v>
      </x:c>
      <x:c r="K9" s="15" t="str">
        <x:v>YES</x:v>
      </x:c>
      <x:c r="L9" s="15" t="str">
        <x:v>PARTIAL</x:v>
      </x:c>
      <x:c r="M9" s="15" t="str">
        <x:v>Nejlepší kandidát je sanační/dvouvrstvý nebo do 10 mm, ne čistá VC jádrová 15 mm.</x:v>
      </x:c>
      <x:c r="N9" s="15" t="str">
        <x:v>612821012</x:v>
      </x:c>
      <x:c r="O9" s="15" t="str">
        <x:v>Sanační omítka vnitřních ploch stěn pro vlhké a zasolené zdivo, prováděná ve dvou vrstvách, tl. jádrové omítky do 30 mm ručně štuková</x:v>
      </x:c>
      <x:c r="P9" s="15" t="str">
        <x:v>m2</x:v>
      </x:c>
      <x:c r="Q9" s="15" t="n">
        <x:v>0.56</x:v>
      </x:c>
      <x:c r="R9" s="15" t="str">
        <x:v>urs_matcher_service</x:v>
      </x:c>
      <x:c r="S9" s="15" t="str">
        <x:v>612341321</x:v>
      </x:c>
      <x:c r="T9" s="15" t="str">
        <x:v>Omítka vnitřních ploch vápenocementová jádrová, ručně nanášená, tloušťky do 10 mm</x:v>
      </x:c>
      <x:c r="U9" s="15" t="str">
        <x:v>m2</x:v>
      </x:c>
      <x:c r="V9" s="15" t="n">
        <x:v>0.51</x:v>
      </x:c>
      <x:c r="W9" s="15" t="str">
        <x:v>urs_matcher_service</x:v>
      </x:c>
      <x:c r="X9" s="15" t="str">
        <x:v>N/A</x:v>
      </x:c>
      <x:c r="Y9" s="15" t="str">
        <x:v>Bez přesného kódu; obecná navigace k vnitřním VC jádrovým omítkám.</x:v>
      </x:c>
      <x:c r="Z9" s="15" t="str"/>
      <x:c r="AA9" s="15" t="n">
        <x:v>0.5</x:v>
      </x:c>
      <x:c r="AB9" s="15" t="str">
        <x:v>perplexity_urs_search</x:v>
      </x:c>
      <x:c r="AC9" s="15" t="str"/>
      <x:c r="AD9" s="15" t="str"/>
      <x:c r="AE9" s="15" t="str"/>
      <x:c r="AF9" s="15" t="str"/>
      <x:c r="AG9" s="15" t="str"/>
    </x:row>
    <x:row r="10">
      <x:c r="A10" s="15" t="n">
        <x:v>114</x:v>
      </x:c>
      <x:c r="B10" s="15" t="str">
        <x:v>PSV-78 Povrchové úpravy</x:v>
      </x:c>
      <x:c r="C10" s="15" t="str">
        <x:v>Omítka jádrová + štuk 1.PP</x:v>
      </x:c>
      <x:c r="D10" s="15" t="str">
        <x:v>612311311</x:v>
      </x:c>
      <x:c r="E10" s="15" t="str">
        <x:v>Omítka jádrová vápenocementová tl. 15 mm + štuková povrchová úprava na stěnách 1.PP (stávající vyspravené + nové zděné)</x:v>
      </x:c>
      <x:c r="F10" s="15" t="str">
        <x:v>m²</x:v>
      </x:c>
      <x:c r="G10" s="15" t="str">
        <x:v>78,20</x:v>
      </x:c>
      <x:c r="H10" s="15" t="str">
        <x:v>Štuková povrchová úprava stěn 1.PP</x:v>
      </x:c>
      <x:c r="I10" s="15" t="str">
        <x:v>Štuková omítka vnitřních stěn jako povrchová úprava na jádrovou omítku</x:v>
      </x:c>
      <x:c r="J10" s="15" t="str">
        <x:v>pozemní stavba, rekonstrukce, povrchové úpravy, stěny 1.PP, štuk na vápenocementové jádro</x:v>
      </x:c>
      <x:c r="K10" s="15" t="str">
        <x:v>YES</x:v>
      </x:c>
      <x:c r="L10" s="15" t="str">
        <x:v>PARTIAL</x:v>
      </x:c>
      <x:c r="M10" s="15" t="str">
        <x:v>Dobrá shoda pro dvouvrstvou omítku, ale split-item je pouze štuková vrstva.</x:v>
      </x:c>
      <x:c r="N10" s="15" t="str">
        <x:v>613321141</x:v>
      </x:c>
      <x:c r="O10" s="15" t="str">
        <x:v>Omítka vápenocementová vnitřních ploch nanášená ručně dvouvrstvá, tloušťky jádrové omítky do 10 mm a tloušťky štuku do 3 mm štuková svislých konstrukcí</x:v>
      </x:c>
      <x:c r="P10" s="15" t="str">
        <x:v>m2</x:v>
      </x:c>
      <x:c r="Q10" s="15" t="n">
        <x:v>0.96</x:v>
      </x:c>
      <x:c r="R10" s="15" t="str">
        <x:v>urs_matcher_service</x:v>
      </x:c>
      <x:c r="S10" s="15" t="str">
        <x:v>732331111</x:v>
      </x:c>
      <x:c r="T10" s="15" t="str">
        <x:v>Štuková omítka vnitřních stěn jako povrchová úprava na jádrovou omítku</x:v>
      </x:c>
      <x:c r="U10" s="15" t="str"/>
      <x:c r="V10" s="15" t="n">
        <x:v>0.8</x:v>
      </x:c>
      <x:c r="W10" s="15" t="str">
        <x:v>perplexity_urs_search</x:v>
      </x:c>
      <x:c r="X10" s="15" t="str">
        <x:v>612821012</x:v>
      </x:c>
      <x:c r="Y10" s="15" t="str">
        <x:v>Sanační omítka vnitřních ploch stěn pro vlhké a zasolené zdivo, prováděná ve dvou vrstvách, tl. jádrové omítky do 30 mm ručně štuková</x:v>
      </x:c>
      <x:c r="Z10" s="15" t="str">
        <x:v>m2</x:v>
      </x:c>
      <x:c r="AA10" s="15" t="n">
        <x:v>0.72</x:v>
      </x:c>
      <x:c r="AB10" s="15" t="str">
        <x:v>urs_matcher_service</x:v>
      </x:c>
      <x:c r="AC10" s="15" t="str"/>
      <x:c r="AD10" s="15" t="str"/>
      <x:c r="AE10" s="15" t="str"/>
      <x:c r="AF10" s="15" t="str"/>
      <x:c r="AG10" s="15" t="str"/>
    </x:row>
    <x:row r="11">
      <x:c r="A11" s="15" t="n">
        <x:v>115</x:v>
      </x:c>
      <x:c r="B11" s="15" t="str">
        <x:v>PSV-78 Povrchové úpravy</x:v>
      </x:c>
      <x:c r="C11" s="15" t="str">
        <x:v>Omítka jádrová + štuk 1.NP</x:v>
      </x:c>
      <x:c r="D11" s="15" t="str">
        <x:v>612311311</x:v>
      </x:c>
      <x:c r="E11" s="15" t="str">
        <x:v>Omítka jádrová vápenocementová tl. 15 mm + štuková povrchová úprava na stěnách 1.NP (stávající vyspravené + nové zděné)</x:v>
      </x:c>
      <x:c r="F11" s="15" t="str">
        <x:v>m²</x:v>
      </x:c>
      <x:c r="G11" s="15" t="str">
        <x:v>208,40</x:v>
      </x:c>
      <x:c r="H11" s="15" t="str">
        <x:v>Vnitřní VC jádrová omítka stěn 1.NP</x:v>
      </x:c>
      <x:c r="I11" s="15" t="str">
        <x:v>Vnitřní vápenocementová jádrová omítka stěn tloušťky 15 mm</x:v>
      </x:c>
      <x:c r="J11" s="15" t="str">
        <x:v>pozemní stavba, rekonstrukce, povrchové úpravy, stěny 1.NP, stávající vyspravené a nové zděné konstrukce</x:v>
      </x:c>
      <x:c r="K11" s="15" t="str">
        <x:v>YES</x:v>
      </x:c>
      <x:c r="L11" s="15" t="str">
        <x:v>MATCH</x:v>
      </x:c>
      <x:c r="M11" s="15" t="str">
        <x:v>Matcher-service vrátil jádrovou VC omítku tloušťky přes 10 mm.</x:v>
      </x:c>
      <x:c r="N11" s="15" t="str">
        <x:v>622321111</x:v>
      </x:c>
      <x:c r="O11" s="15" t="str">
        <x:v>Omítka vápenocementová jádrová ručně nanášená na vnitřních plochách stěn a stropů, tl. jádrové omítky přes 10 mm</x:v>
      </x:c>
      <x:c r="P11" s="15" t="str">
        <x:v>m2</x:v>
      </x:c>
      <x:c r="Q11" s="15" t="n">
        <x:v>0.88</x:v>
      </x:c>
      <x:c r="R11" s="15" t="str">
        <x:v>urs_matcher_service</x:v>
      </x:c>
      <x:c r="S11" s="15" t="str">
        <x:v>612821012</x:v>
      </x:c>
      <x:c r="T11" s="15" t="str">
        <x:v>Sanační omítka vnitřních ploch stěn pro vlhké a zasolené zdivo, prováděná ve dvou vrstvách, tl. jádrové omítky do 30 mm ručně štuková</x:v>
      </x:c>
      <x:c r="U11" s="15" t="str">
        <x:v>m2</x:v>
      </x:c>
      <x:c r="V11" s="15" t="n">
        <x:v>0.52</x:v>
      </x:c>
      <x:c r="W11" s="15" t="str">
        <x:v>urs_matcher_service</x:v>
      </x:c>
      <x:c r="X11" s="15" t="str">
        <x:v>N/A</x:v>
      </x:c>
      <x:c r="Y11" s="15" t="str">
        <x:v>Bez přesného kódu; obecná navigace k vnitřním VC jádrovým omítkám.</x:v>
      </x:c>
      <x:c r="Z11" s="15" t="str"/>
      <x:c r="AA11" s="15" t="n">
        <x:v>0.5</x:v>
      </x:c>
      <x:c r="AB11" s="15" t="str">
        <x:v>perplexity_urs_search</x:v>
      </x:c>
      <x:c r="AC11" s="15" t="str">
        <x:v>612321111</x:v>
      </x:c>
      <x:c r="AD11" s="15" t="str">
        <x:v>Omítka vápenocementová jádrová ručně nanášená na vnitřních plochách stěn a stropů, tl. jádrové omítky do 10 mm</x:v>
      </x:c>
      <x:c r="AE11" s="15" t="str">
        <x:v>m2</x:v>
      </x:c>
      <x:c r="AF11" s="15" t="n">
        <x:v>0.4</x:v>
      </x:c>
      <x:c r="AG11" s="15" t="str">
        <x:v>urs_matcher_service</x:v>
      </x:c>
    </x:row>
    <x:row r="12">
      <x:c r="A12" s="15" t="n">
        <x:v>115</x:v>
      </x:c>
      <x:c r="B12" s="15" t="str">
        <x:v>PSV-78 Povrchové úpravy</x:v>
      </x:c>
      <x:c r="C12" s="15" t="str">
        <x:v>Omítka jádrová + štuk 1.NP</x:v>
      </x:c>
      <x:c r="D12" s="15" t="str">
        <x:v>612311311</x:v>
      </x:c>
      <x:c r="E12" s="15" t="str">
        <x:v>Omítka jádrová vápenocementová tl. 15 mm + štuková povrchová úprava na stěnách 1.NP (stávající vyspravené + nové zděné)</x:v>
      </x:c>
      <x:c r="F12" s="15" t="str">
        <x:v>m²</x:v>
      </x:c>
      <x:c r="G12" s="15" t="str">
        <x:v>208,40</x:v>
      </x:c>
      <x:c r="H12" s="15" t="str">
        <x:v>Štuková povrchová úprava stěn 1.NP</x:v>
      </x:c>
      <x:c r="I12" s="15" t="str">
        <x:v>Štuková omítka vnitřních stěn jako povrchová úprava na jádrovou omítku</x:v>
      </x:c>
      <x:c r="J12" s="15" t="str">
        <x:v>pozemní stavba, rekonstrukce, povrchové úpravy, stěny 1.NP, štuk na vápenocementové jádro</x:v>
      </x:c>
      <x:c r="K12" s="15" t="str">
        <x:v>YES</x:v>
      </x:c>
      <x:c r="L12" s="15" t="str">
        <x:v>PARTIAL</x:v>
      </x:c>
      <x:c r="M12" s="15" t="str">
        <x:v>Kandidáti jsou dvouvrstvé omítky nebo vápenná varianta; samostatný štuk ověřit.</x:v>
      </x:c>
      <x:c r="N12" s="15" t="str">
        <x:v>612311141</x:v>
      </x:c>
      <x:c r="O12" s="15" t="str">
        <x:v>Omítka vápenná vnitřních ploch nanášená ručně dvouvrstvá štuková, tloušťky jádrové omítky do 10 mm a tloušťky štuku do 3 mm svislých konstrukcí stěn</x:v>
      </x:c>
      <x:c r="P12" s="15" t="str">
        <x:v>m2</x:v>
      </x:c>
      <x:c r="Q12" s="15" t="n">
        <x:v>0.96</x:v>
      </x:c>
      <x:c r="R12" s="15" t="str">
        <x:v>urs_matcher_service</x:v>
      </x:c>
      <x:c r="S12" s="15" t="str">
        <x:v>612421131</x:v>
      </x:c>
      <x:c r="T12" s="15" t="str">
        <x:v>Štuková omítka vnitřních stěn jako povrchová úprava na jádrovou omítku</x:v>
      </x:c>
      <x:c r="U12" s="15" t="str"/>
      <x:c r="V12" s="15" t="n">
        <x:v>0.8</x:v>
      </x:c>
      <x:c r="W12" s="15" t="str">
        <x:v>perplexity_urs_search</x:v>
      </x:c>
      <x:c r="X12" s="15" t="str">
        <x:v>613321141</x:v>
      </x:c>
      <x:c r="Y12" s="15" t="str">
        <x:v>Omítka vápenocementová vnitřních ploch nanášená ručně dvouvrstvá, tloušťky jádrové omítky do 10 mm a tloušťky štuku do 3 mm štuková svislých konstrukcí</x:v>
      </x:c>
      <x:c r="Z12" s="15" t="str">
        <x:v>m2</x:v>
      </x:c>
      <x:c r="AA12" s="15" t="n">
        <x:v>0.78</x:v>
      </x:c>
      <x:c r="AB12" s="15" t="str">
        <x:v>urs_matcher_service</x:v>
      </x:c>
      <x:c r="AC12" s="15" t="str"/>
      <x:c r="AD12" s="15" t="str"/>
      <x:c r="AE12" s="15" t="str"/>
      <x:c r="AF12" s="15" t="str"/>
      <x:c r="AG12" s="15" t="str"/>
    </x:row>
    <x:row r="13">
      <x:c r="A13" s="15" t="n">
        <x:v>116</x:v>
      </x:c>
      <x:c r="B13" s="15" t="str">
        <x:v>PSV-78 Povrchové úpravy</x:v>
      </x:c>
      <x:c r="C13" s="15" t="str">
        <x:v>Omítka jádrová + štuk 2.NP</x:v>
      </x:c>
      <x:c r="D13" s="15" t="str">
        <x:v>612311311</x:v>
      </x:c>
      <x:c r="E13" s="15" t="str">
        <x:v>Omítka jádrová vápenocementová tl. 15 mm + štuková povrchová úprava na stěnách 2.NP (stávající vyspravené + nové zděné)</x:v>
      </x:c>
      <x:c r="F13" s="15" t="str">
        <x:v>m²</x:v>
      </x:c>
      <x:c r="G13" s="15" t="str">
        <x:v>201,60</x:v>
      </x:c>
      <x:c r="H13" s="15" t="str">
        <x:v>Vnitřní VC jádrová omítka stěn 2.NP</x:v>
      </x:c>
      <x:c r="I13" s="15" t="str">
        <x:v>Vnitřní vápenocementová jádrová omítka stěn tloušťky 15 mm</x:v>
      </x:c>
      <x:c r="J13" s="15" t="str">
        <x:v>pozemní stavba, rekonstrukce, povrchové úpravy, stěny 2.NP, stávající vyspravené a nové zděné konstrukce</x:v>
      </x:c>
      <x:c r="K13" s="15" t="str">
        <x:v>YES</x:v>
      </x:c>
      <x:c r="L13" s="15" t="str">
        <x:v>PARTIAL</x:v>
      </x:c>
      <x:c r="M13" s="15" t="str">
        <x:v>Nalezené položky jsou štukové/hladké, ne čistě jádrová omítka.</x:v>
      </x:c>
      <x:c r="N13" s="15" t="str">
        <x:v>612321132</x:v>
      </x:c>
      <x:c r="O13" s="15" t="str">
        <x:v>Omítka vápenocementová vnitřních ploch hladkých štuková, tloušťky přes 10 do 15 mm ručně</x:v>
      </x:c>
      <x:c r="P13" s="15" t="str">
        <x:v>m2</x:v>
      </x:c>
      <x:c r="Q13" s="15" t="n">
        <x:v>0.78</x:v>
      </x:c>
      <x:c r="R13" s="15" t="str">
        <x:v>urs_matcher_service</x:v>
      </x:c>
      <x:c r="S13" s="15" t="str">
        <x:v>612321133</x:v>
      </x:c>
      <x:c r="T13" s="15" t="str">
        <x:v>Omítka vápenocementová vnitřních ploch hladkých štuková, tloušťky přes 15 do 20 mm ručně</x:v>
      </x:c>
      <x:c r="U13" s="15" t="str">
        <x:v>m2</x:v>
      </x:c>
      <x:c r="V13" s="15" t="n">
        <x:v>0.52</x:v>
      </x:c>
      <x:c r="W13" s="15" t="str">
        <x:v>urs_matcher_service</x:v>
      </x:c>
      <x:c r="X13" s="15" t="str">
        <x:v>N/A</x:v>
      </x:c>
      <x:c r="Y13" s="15" t="str">
        <x:v>Textová navigace k jádrové VC omítce tl. do 15 mm.</x:v>
      </x:c>
      <x:c r="Z13" s="15" t="str"/>
      <x:c r="AA13" s="15" t="n">
        <x:v>0.5</x:v>
      </x:c>
      <x:c r="AB13" s="15" t="str">
        <x:v>perplexity_urs_search</x:v>
      </x:c>
      <x:c r="AC13" s="15" t="str">
        <x:v>612321131</x:v>
      </x:c>
      <x:c r="AD13" s="15" t="str">
        <x:v>Omítka vápenocementová vnitřních ploch hladkých štuková, tloušťky do 10 mm ručně</x:v>
      </x:c>
      <x:c r="AE13" s="15" t="str">
        <x:v>m2</x:v>
      </x:c>
      <x:c r="AF13" s="15" t="n">
        <x:v>0.43</x:v>
      </x:c>
      <x:c r="AG13" s="15" t="str">
        <x:v>urs_matcher_service</x:v>
      </x:c>
    </x:row>
    <x:row r="14">
      <x:c r="A14" s="15" t="n">
        <x:v>116</x:v>
      </x:c>
      <x:c r="B14" s="15" t="str">
        <x:v>PSV-78 Povrchové úpravy</x:v>
      </x:c>
      <x:c r="C14" s="15" t="str">
        <x:v>Omítka jádrová + štuk 2.NP</x:v>
      </x:c>
      <x:c r="D14" s="15" t="str">
        <x:v>612311311</x:v>
      </x:c>
      <x:c r="E14" s="15" t="str">
        <x:v>Omítka jádrová vápenocementová tl. 15 mm + štuková povrchová úprava na stěnách 2.NP (stávající vyspravené + nové zděné)</x:v>
      </x:c>
      <x:c r="F14" s="15" t="str">
        <x:v>m²</x:v>
      </x:c>
      <x:c r="G14" s="15" t="str">
        <x:v>201,60</x:v>
      </x:c>
      <x:c r="H14" s="15" t="str">
        <x:v>Štuková povrchová úprava stěn 2.NP</x:v>
      </x:c>
      <x:c r="I14" s="15" t="str">
        <x:v>Štuková omítka vnitřních stěn jako povrchová úprava na jádrovou omítku</x:v>
      </x:c>
      <x:c r="J14" s="15" t="str">
        <x:v>pozemní stavba, rekonstrukce, povrchové úpravy, stěny 2.NP, štuk na vápenocementové jádro</x:v>
      </x:c>
      <x:c r="K14" s="15" t="str">
        <x:v>YES</x:v>
      </x:c>
      <x:c r="L14" s="15" t="str">
        <x:v>PARTIAL</x:v>
      </x:c>
      <x:c r="M14" s="15" t="str">
        <x:v>Dobrá dvouvrstvá položka, ale split-item je štuk bez jádra.</x:v>
      </x:c>
      <x:c r="N14" s="15" t="str">
        <x:v>613321141</x:v>
      </x:c>
      <x:c r="O14" s="15" t="str">
        <x:v>Omítka vápenocementová vnitřních ploch nanášená ručně dvouvrstvá, tloušťky jádrové omítky do 10 mm a tloušťky štuku do 3 mm štuková svislých konstrukcí</x:v>
      </x:c>
      <x:c r="P14" s="15" t="str">
        <x:v>m2</x:v>
      </x:c>
      <x:c r="Q14" s="15" t="n">
        <x:v>0.96</x:v>
      </x:c>
      <x:c r="R14" s="15" t="str">
        <x:v>urs_matcher_service</x:v>
      </x:c>
      <x:c r="S14" s="15" t="str">
        <x:v>N/A</x:v>
      </x:c>
      <x:c r="T14" s="15" t="str">
        <x:v>Textová navigace ke štukovým vnitřním omítkám.</x:v>
      </x:c>
      <x:c r="U14" s="15" t="str"/>
      <x:c r="V14" s="15" t="n">
        <x:v>0.5</x:v>
      </x:c>
      <x:c r="W14" s="15" t="str">
        <x:v>perplexity_urs_search</x:v>
      </x:c>
      <x:c r="X14" s="15" t="str"/>
      <x:c r="Y14" s="15" t="str"/>
      <x:c r="Z14" s="15" t="str"/>
      <x:c r="AA14" s="15" t="str"/>
      <x:c r="AB14" s="15" t="str"/>
      <x:c r="AC14" s="15" t="str"/>
      <x:c r="AD14" s="15" t="str"/>
      <x:c r="AE14" s="15" t="str"/>
      <x:c r="AF14" s="15" t="str"/>
      <x:c r="AG14" s="15" t="str"/>
    </x:row>
    <x:row r="15">
      <x:c r="A15" s="15" t="n">
        <x:v>117</x:v>
      </x:c>
      <x:c r="B15" s="15" t="str">
        <x:v>PSV-78 Povrchové úpravy</x:v>
      </x:c>
      <x:c r="C15" s="15" t="str">
        <x:v>Omítka jádrová + štuk 3.NP</x:v>
      </x:c>
      <x:c r="D15" s="15" t="str">
        <x:v>612311311</x:v>
      </x:c>
      <x:c r="E15" s="15" t="str">
        <x:v>Omítka jádrová vápenocementová tl. 15 mm + štuková povrchová úprava na stěnách 3.NP (stávající vyspravené + nové zděné)</x:v>
      </x:c>
      <x:c r="F15" s="15" t="str">
        <x:v>m²</x:v>
      </x:c>
      <x:c r="G15" s="15" t="str">
        <x:v>179,10</x:v>
      </x:c>
      <x:c r="H15" s="15" t="str">
        <x:v>Vnitřní VC jádrová omítka stěn 3.NP</x:v>
      </x:c>
      <x:c r="I15" s="15" t="str">
        <x:v>Vnitřní vápenocementová jádrová omítka stěn tloušťky 15 mm</x:v>
      </x:c>
      <x:c r="J15" s="15" t="str">
        <x:v>pozemní stavba, rekonstrukce, povrchové úpravy, stěny 3.NP, stávající vyspravené a nové zděné konstrukce</x:v>
      </x:c>
      <x:c r="K15" s="15" t="str">
        <x:v>YES</x:v>
      </x:c>
      <x:c r="L15" s="15" t="str">
        <x:v>PARTIAL</x:v>
      </x:c>
      <x:c r="M15" s="15" t="str">
        <x:v>Nalezená položka je lehčená VC omítka; projekt neříká lehčená.</x:v>
      </x:c>
      <x:c r="N15" s="15" t="str">
        <x:v>622311141</x:v>
      </x:c>
      <x:c r="O15" s="15" t="str">
        <x:v>Omítka vápenocementová lehčená vnitřních ploch stěn nanášená ručně v tl. jádrové omítky do 15 mm</x:v>
      </x:c>
      <x:c r="P15" s="15" t="str">
        <x:v>m2</x:v>
      </x:c>
      <x:c r="Q15" s="15" t="n">
        <x:v>0.86</x:v>
      </x:c>
      <x:c r="R15" s="15" t="str">
        <x:v>urs_matcher_service</x:v>
      </x:c>
      <x:c r="S15" s="15" t="str">
        <x:v>611321141</x:v>
      </x:c>
      <x:c r="T15" s="15" t="str">
        <x:v>Omítka vápenocementová lehčená vnitřních ploch stěn nanášená strojně v tl. jádrové omítky do 15 mm</x:v>
      </x:c>
      <x:c r="U15" s="15" t="str">
        <x:v>m2</x:v>
      </x:c>
      <x:c r="V15" s="15" t="n">
        <x:v>0.72</x:v>
      </x:c>
      <x:c r="W15" s="15" t="str">
        <x:v>urs_matcher_service</x:v>
      </x:c>
      <x:c r="X15" s="15" t="str">
        <x:v>N/A</x:v>
      </x:c>
      <x:c r="Y15" s="15" t="str">
        <x:v>Textová navigace k vnitřním jádrovým VC omítkám.</x:v>
      </x:c>
      <x:c r="Z15" s="15" t="str"/>
      <x:c r="AA15" s="15" t="n">
        <x:v>0.5</x:v>
      </x:c>
      <x:c r="AB15" s="15" t="str">
        <x:v>perplexity_urs_search</x:v>
      </x:c>
      <x:c r="AC15" s="15" t="str">
        <x:v>622321111</x:v>
      </x:c>
      <x:c r="AD15" s="15" t="str">
        <x:v>Omítka vápenocementová vnitřních ploch stěn nanášená ručně v tl. jádrové omítky do 10 mm</x:v>
      </x:c>
      <x:c r="AE15" s="15" t="str">
        <x:v>m2</x:v>
      </x:c>
      <x:c r="AF15" s="15" t="n">
        <x:v>0.41</x:v>
      </x:c>
      <x:c r="AG15" s="15" t="str">
        <x:v>urs_matcher_service</x:v>
      </x:c>
    </x:row>
    <x:row r="16">
      <x:c r="A16" s="15" t="n">
        <x:v>117</x:v>
      </x:c>
      <x:c r="B16" s="15" t="str">
        <x:v>PSV-78 Povrchové úpravy</x:v>
      </x:c>
      <x:c r="C16" s="15" t="str">
        <x:v>Omítka jádrová + štuk 3.NP</x:v>
      </x:c>
      <x:c r="D16" s="15" t="str">
        <x:v>612311311</x:v>
      </x:c>
      <x:c r="E16" s="15" t="str">
        <x:v>Omítka jádrová vápenocementová tl. 15 mm + štuková povrchová úprava na stěnách 3.NP (stávající vyspravené + nové zděné)</x:v>
      </x:c>
      <x:c r="F16" s="15" t="str">
        <x:v>m²</x:v>
      </x:c>
      <x:c r="G16" s="15" t="str">
        <x:v>179,10</x:v>
      </x:c>
      <x:c r="H16" s="15" t="str">
        <x:v>Štuková povrchová úprava stěn 3.NP</x:v>
      </x:c>
      <x:c r="I16" s="15" t="str">
        <x:v>Štuková omítka vnitřních stěn jako povrchová úprava na jádrovou omítku</x:v>
      </x:c>
      <x:c r="J16" s="15" t="str">
        <x:v>pozemní stavba, rekonstrukce, povrchové úpravy, stěny 3.NP, štuk na vápenocementové jádro</x:v>
      </x:c>
      <x:c r="K16" s="15" t="str">
        <x:v>YES</x:v>
      </x:c>
      <x:c r="L16" s="15" t="str">
        <x:v>PARTIAL</x:v>
      </x:c>
      <x:c r="M16" s="15" t="str">
        <x:v>Dobrá dvouvrstvá VC položka, ale split-item je samostatná štuková vrstva.</x:v>
      </x:c>
      <x:c r="N16" s="15" t="str">
        <x:v>613321141</x:v>
      </x:c>
      <x:c r="O16" s="15" t="str">
        <x:v>Omítka vápenocementová vnitřních ploch nanášená ručně dvouvrstvá, tloušťky jádrové omítky do 10 mm a tloušťky štuku do 3 mm štuková svislých konstrukcí</x:v>
      </x:c>
      <x:c r="P16" s="15" t="str">
        <x:v>m2</x:v>
      </x:c>
      <x:c r="Q16" s="15" t="n">
        <x:v>0.94</x:v>
      </x:c>
      <x:c r="R16" s="15" t="str">
        <x:v>urs_matcher_service</x:v>
      </x:c>
      <x:c r="S16" s="15" t="str">
        <x:v>801412112</x:v>
      </x:c>
      <x:c r="T16" s="15" t="str">
        <x:v>Štuková omítka vnitřních stěn jako povrchová úprava na jádrovou omítku</x:v>
      </x:c>
      <x:c r="U16" s="15" t="str"/>
      <x:c r="V16" s="15" t="n">
        <x:v>0.8</x:v>
      </x:c>
      <x:c r="W16" s="15" t="str">
        <x:v>perplexity_urs_search</x:v>
      </x:c>
      <x:c r="X16" s="15" t="str">
        <x:v>611331141</x:v>
      </x:c>
      <x:c r="Y16" s="15" t="str">
        <x:v>Omítka cementová vnitřních ploch nanášená ručně dvouvrstvá, tloušťky jádrové omítky do 10 mm a tloušťky štuku do 3 mm štuková plstí hlazená vodorovných ploch</x:v>
      </x:c>
      <x:c r="Z16" s="15" t="str">
        <x:v>m2</x:v>
      </x:c>
      <x:c r="AA16" s="15" t="n">
        <x:v>0.72</x:v>
      </x:c>
      <x:c r="AB16" s="15" t="str">
        <x:v>urs_matcher_service</x:v>
      </x:c>
      <x:c r="AC16" s="15" t="str">
        <x:v>612331341</x:v>
      </x:c>
      <x:c r="AD16" s="15" t="str">
        <x:v>Omítka cementová vnitřních ploch nanášená strojně dvouvrstvá, tloušťky jádrové omítky do 10 mm a tloušťky štuku do 3 mm štuková plstí hlazená svislých ploch</x:v>
      </x:c>
      <x:c r="AE16" s="15" t="str">
        <x:v>m2</x:v>
      </x:c>
      <x:c r="AF16" s="15" t="n">
        <x:v>0.68</x:v>
      </x:c>
      <x:c r="AG16" s="15" t="str">
        <x:v>urs_matcher_service</x:v>
      </x:c>
    </x:row>
    <x:row r="17">
      <x:c r="A17" s="15" t="n">
        <x:v>118</x:v>
      </x:c>
      <x:c r="B17" s="15" t="str">
        <x:v>PSV-78 Povrchové úpravy</x:v>
      </x:c>
      <x:c r="C17" s="15" t="str">
        <x:v>SDK podhled — tmelení + úprava 1.NP</x:v>
      </x:c>
      <x:c r="D17" s="15" t="str">
        <x:v>612471141</x:v>
      </x:c>
      <x:c r="E17" s="15" t="str">
        <x:v>SDK podhled + případné předstěny — tmelení spojů Q3 + povrchová úprava před výmalbou (1.NP)</x:v>
      </x:c>
      <x:c r="F17" s="15" t="str">
        <x:v>m²</x:v>
      </x:c>
      <x:c r="G17" s="15" t="str">
        <x:v>59,50</x:v>
      </x:c>
      <x:c r="H17" s="15" t="str">
        <x:v>Tmelení spár SDK Q3 1.NP</x:v>
      </x:c>
      <x:c r="I17" s="15" t="str">
        <x:v>Tmelení spár sádrokartonového podhledu a předstěn v kvalitě Q3</x:v>
      </x:c>
      <x:c r="J17" s="15" t="str">
        <x:v>pozemní stavba, rekonstrukce, povrchové úpravy, SDK podhled a předstěny 1.NP, příprava před výmalbou</x:v>
      </x:c>
      <x:c r="K17" s="15" t="str">
        <x:v>YES</x:v>
      </x:c>
      <x:c r="L17" s="15" t="str">
        <x:v>NO_MATCH</x:v>
      </x:c>
      <x:c r="M17" s="15" t="str">
        <x:v>STAVAGENT nevrátil kód pro tmelení Q3.</x:v>
      </x:c>
      <x:c r="N17" s="15" t="str">
        <x:v>N/A</x:v>
      </x:c>
      <x:c r="O17" s="15" t="str">
        <x:v>Bez explicitního kódu pro tmelení spár SDK v kvalitě Q3.</x:v>
      </x:c>
      <x:c r="P17" s="15" t="str"/>
      <x:c r="Q17" s="15" t="n">
        <x:v>0.5</x:v>
      </x:c>
      <x:c r="R17" s="15" t="str">
        <x:v>perplexity_urs_search</x:v>
      </x:c>
      <x:c r="S17" s="15" t="str"/>
      <x:c r="T17" s="15" t="str"/>
      <x:c r="U17" s="15" t="str"/>
      <x:c r="V17" s="15" t="str"/>
      <x:c r="W17" s="15" t="str"/>
      <x:c r="X17" s="15" t="str"/>
      <x:c r="Y17" s="15" t="str"/>
      <x:c r="Z17" s="15" t="str"/>
      <x:c r="AA17" s="15" t="str"/>
      <x:c r="AB17" s="15" t="str"/>
      <x:c r="AC17" s="15" t="str"/>
      <x:c r="AD17" s="15" t="str"/>
      <x:c r="AE17" s="15" t="str"/>
      <x:c r="AF17" s="15" t="str"/>
      <x:c r="AG17" s="15" t="str"/>
    </x:row>
    <x:row r="18">
      <x:c r="A18" s="15" t="n">
        <x:v>118</x:v>
      </x:c>
      <x:c r="B18" s="15" t="str">
        <x:v>PSV-78 Povrchové úpravy</x:v>
      </x:c>
      <x:c r="C18" s="15" t="str">
        <x:v>SDK podhled — tmelení + úprava 1.NP</x:v>
      </x:c>
      <x:c r="D18" s="15" t="str">
        <x:v>612471141</x:v>
      </x:c>
      <x:c r="E18" s="15" t="str">
        <x:v>SDK podhled + případné předstěny — tmelení spojů Q3 + povrchová úprava před výmalbou (1.NP)</x:v>
      </x:c>
      <x:c r="F18" s="15" t="str">
        <x:v>m²</x:v>
      </x:c>
      <x:c r="G18" s="15" t="str">
        <x:v>59,50</x:v>
      </x:c>
      <x:c r="H18" s="15" t="str">
        <x:v>Penetrace / příprava povrchu SDK před výmalbou 1.NP</x:v>
      </x:c>
      <x:c r="I18" s="15" t="str">
        <x:v>Penetrační nátěr a příprava povrchu sádrokartonového podhledu před výmalbou</x:v>
      </x:c>
      <x:c r="J18" s="15" t="str">
        <x:v>pozemní stavba, rekonstrukce, povrchové úpravy, SDK podhled a předstěny 1.NP, finální příprava před výmalbou</x:v>
      </x:c>
      <x:c r="K18" s="15" t="str">
        <x:v>YES</x:v>
      </x:c>
      <x:c r="L18" s="15" t="str">
        <x:v>PARTIAL</x:v>
      </x:c>
      <x:c r="M18" s="15" t="str">
        <x:v>První kandidáti jsou webové shody; matcher-service vrací SDK příčku, ne podhled.</x:v>
      </x:c>
      <x:c r="N18" s="15" t="str">
        <x:v>763121714</x:v>
      </x:c>
      <x:c r="O18" s="15" t="str">
        <x:v>Penetrační nátěr a příprava povrchu sádrokartonového podhledu před výmalbou</x:v>
      </x:c>
      <x:c r="P18" s="15" t="str"/>
      <x:c r="Q18" s="15" t="n">
        <x:v>0.8</x:v>
      </x:c>
      <x:c r="R18" s="15" t="str">
        <x:v>perplexity_urs_search</x:v>
      </x:c>
      <x:c r="S18" s="15" t="str">
        <x:v>763122531</x:v>
      </x:c>
      <x:c r="T18" s="15" t="str">
        <x:v>Penetrační nátěr a příprava povrchu sádrokartonového podhledu před výmalbou</x:v>
      </x:c>
      <x:c r="U18" s="15" t="str"/>
      <x:c r="V18" s="15" t="n">
        <x:v>0.8</x:v>
      </x:c>
      <x:c r="W18" s="15" t="str">
        <x:v>perplexity_urs_search</x:v>
      </x:c>
      <x:c r="X18" s="15" t="str">
        <x:v>763122417</x:v>
      </x:c>
      <x:c r="Y18" s="15" t="str">
        <x:v>Penetrační nátěr a příprava povrchu sádrokartonového podhledu před výmalbou</x:v>
      </x:c>
      <x:c r="Z18" s="15" t="str"/>
      <x:c r="AA18" s="15" t="n">
        <x:v>0.8</x:v>
      </x:c>
      <x:c r="AB18" s="15" t="str">
        <x:v>perplexity_urs_search</x:v>
      </x:c>
      <x:c r="AC18" s="15" t="str">
        <x:v>763111717</x:v>
      </x:c>
      <x:c r="AD18" s="15" t="str">
        <x:v>SDK příčka základní penetrační nátěr (oboustranně)</x:v>
      </x:c>
      <x:c r="AE18" s="15" t="str">
        <x:v>m2</x:v>
      </x:c>
      <x:c r="AF18" s="15" t="n">
        <x:v>0.74</x:v>
      </x:c>
      <x:c r="AG18" s="15" t="str">
        <x:v>urs_matcher_service</x:v>
      </x:c>
    </x:row>
    <x:row r="19">
      <x:c r="A19" s="15" t="n">
        <x:v>119</x:v>
      </x:c>
      <x:c r="B19" s="15" t="str">
        <x:v>PSV-78 Povrchové úpravy</x:v>
      </x:c>
      <x:c r="C19" s="15" t="str">
        <x:v>SDK podhled — tmelení + úprava 2.NP</x:v>
      </x:c>
      <x:c r="D19" s="15" t="str">
        <x:v>612471141</x:v>
      </x:c>
      <x:c r="E19" s="15" t="str">
        <x:v>SDK podhled + případné předstěny — tmelení spojů Q3 + povrchová úprava před výmalbou (2.NP)</x:v>
      </x:c>
      <x:c r="F19" s="15" t="str">
        <x:v>m²</x:v>
      </x:c>
      <x:c r="G19" s="15" t="str">
        <x:v>61,10</x:v>
      </x:c>
      <x:c r="H19" s="15" t="str">
        <x:v>Tmelení spár SDK Q3 2.NP</x:v>
      </x:c>
      <x:c r="I19" s="15" t="str">
        <x:v>Tmelení spár sádrokartonového podhledu a předstěn v kvalitě Q3</x:v>
      </x:c>
      <x:c r="J19" s="15" t="str">
        <x:v>pozemní stavba, rekonstrukce, povrchové úpravy, SDK podhled a předstěny 2.NP, příprava před výmalbou</x:v>
      </x:c>
      <x:c r="K19" s="15" t="str">
        <x:v>YES</x:v>
      </x:c>
      <x:c r="L19" s="15" t="str">
        <x:v>NO_MATCH</x:v>
      </x:c>
      <x:c r="M19" s="15" t="str">
        <x:v>STAVAGENT nevrátil kód pro tmelení Q3.</x:v>
      </x:c>
      <x:c r="N19" s="15" t="str">
        <x:v>N/A</x:v>
      </x:c>
      <x:c r="O19" s="15" t="str">
        <x:v>Bez explicitního kódu pro tmelení spár SDK v kvalitě Q3.</x:v>
      </x:c>
      <x:c r="P19" s="15" t="str"/>
      <x:c r="Q19" s="15" t="n">
        <x:v>0.5</x:v>
      </x:c>
      <x:c r="R19" s="15" t="str">
        <x:v>perplexity_urs_search</x:v>
      </x:c>
      <x:c r="S19" s="15" t="str"/>
      <x:c r="T19" s="15" t="str"/>
      <x:c r="U19" s="15" t="str"/>
      <x:c r="V19" s="15" t="str"/>
      <x:c r="W19" s="15" t="str"/>
      <x:c r="X19" s="15" t="str"/>
      <x:c r="Y19" s="15" t="str"/>
      <x:c r="Z19" s="15" t="str"/>
      <x:c r="AA19" s="15" t="str"/>
      <x:c r="AB19" s="15" t="str"/>
      <x:c r="AC19" s="15" t="str"/>
      <x:c r="AD19" s="15" t="str"/>
      <x:c r="AE19" s="15" t="str"/>
      <x:c r="AF19" s="15" t="str"/>
      <x:c r="AG19" s="15" t="str"/>
    </x:row>
    <x:row r="20">
      <x:c r="A20" s="15" t="n">
        <x:v>119</x:v>
      </x:c>
      <x:c r="B20" s="15" t="str">
        <x:v>PSV-78 Povrchové úpravy</x:v>
      </x:c>
      <x:c r="C20" s="15" t="str">
        <x:v>SDK podhled — tmelení + úprava 2.NP</x:v>
      </x:c>
      <x:c r="D20" s="15" t="str">
        <x:v>612471141</x:v>
      </x:c>
      <x:c r="E20" s="15" t="str">
        <x:v>SDK podhled + případné předstěny — tmelení spojů Q3 + povrchová úprava před výmalbou (2.NP)</x:v>
      </x:c>
      <x:c r="F20" s="15" t="str">
        <x:v>m²</x:v>
      </x:c>
      <x:c r="G20" s="15" t="str">
        <x:v>61,10</x:v>
      </x:c>
      <x:c r="H20" s="15" t="str">
        <x:v>Penetrace / příprava povrchu SDK před výmalbou 2.NP</x:v>
      </x:c>
      <x:c r="I20" s="15" t="str">
        <x:v>Penetrační nátěr a příprava povrchu sádrokartonového podhledu před výmalbou</x:v>
      </x:c>
      <x:c r="J20" s="15" t="str">
        <x:v>pozemní stavba, rekonstrukce, povrchové úpravy, SDK podhled a předstěny 2.NP, finální příprava před výmalbou</x:v>
      </x:c>
      <x:c r="K20" s="15" t="str">
        <x:v>YES</x:v>
      </x:c>
      <x:c r="L20" s="15" t="str">
        <x:v>PARTIAL</x:v>
      </x:c>
      <x:c r="M20" s="15" t="str">
        <x:v>První kandidáti jsou webové shody; matcher-service vrací SDK příčku, ne podhled.</x:v>
      </x:c>
      <x:c r="N20" s="15" t="str">
        <x:v>763121714</x:v>
      </x:c>
      <x:c r="O20" s="15" t="str">
        <x:v>Penetrační nátěr a příprava povrchu sádrokartonového podhledu před výmalbou</x:v>
      </x:c>
      <x:c r="P20" s="15" t="str"/>
      <x:c r="Q20" s="15" t="n">
        <x:v>0.8</x:v>
      </x:c>
      <x:c r="R20" s="15" t="str">
        <x:v>perplexity_urs_search</x:v>
      </x:c>
      <x:c r="S20" s="15" t="str">
        <x:v>763122531</x:v>
      </x:c>
      <x:c r="T20" s="15" t="str">
        <x:v>Penetrační nátěr a příprava povrchu sádrokartonového podhledu před výmalbou</x:v>
      </x:c>
      <x:c r="U20" s="15" t="str"/>
      <x:c r="V20" s="15" t="n">
        <x:v>0.8</x:v>
      </x:c>
      <x:c r="W20" s="15" t="str">
        <x:v>perplexity_urs_search</x:v>
      </x:c>
      <x:c r="X20" s="15" t="str">
        <x:v>763122417</x:v>
      </x:c>
      <x:c r="Y20" s="15" t="str">
        <x:v>Penetrační nátěr a příprava povrchu sádrokartonového podhledu před výmalbou</x:v>
      </x:c>
      <x:c r="Z20" s="15" t="str"/>
      <x:c r="AA20" s="15" t="n">
        <x:v>0.8</x:v>
      </x:c>
      <x:c r="AB20" s="15" t="str">
        <x:v>perplexity_urs_search</x:v>
      </x:c>
      <x:c r="AC20" s="15" t="str">
        <x:v>763111717</x:v>
      </x:c>
      <x:c r="AD20" s="15" t="str">
        <x:v>SDK příčka základní penetrační nátěr (oboustranně)</x:v>
      </x:c>
      <x:c r="AE20" s="15" t="str">
        <x:v>m2</x:v>
      </x:c>
      <x:c r="AF20" s="15" t="n">
        <x:v>0.78</x:v>
      </x:c>
      <x:c r="AG20" s="15" t="str">
        <x:v>urs_matcher_service</x:v>
      </x:c>
    </x:row>
    <x:row r="21">
      <x:c r="A21" s="15" t="n">
        <x:v>120</x:v>
      </x:c>
      <x:c r="B21" s="15" t="str">
        <x:v>PSV-78 Povrchové úpravy</x:v>
      </x:c>
      <x:c r="C21" s="15" t="str">
        <x:v>SDK podhled — tmelení + úprava 3.NP</x:v>
      </x:c>
      <x:c r="D21" s="15" t="str">
        <x:v>612471141</x:v>
      </x:c>
      <x:c r="E21" s="15" t="str">
        <x:v>SDK podhled + případné předstěny — tmelení spojů Q3 + povrchová úprava před výmalbou (3.NP)</x:v>
      </x:c>
      <x:c r="F21" s="15" t="str">
        <x:v>m²</x:v>
      </x:c>
      <x:c r="G21" s="15" t="str">
        <x:v>64,50</x:v>
      </x:c>
      <x:c r="H21" s="15" t="str">
        <x:v>Tmelení spár SDK Q3 3.NP</x:v>
      </x:c>
      <x:c r="I21" s="15" t="str">
        <x:v>Tmelení spár sádrokartonového podhledu a předstěn v kvalitě Q3</x:v>
      </x:c>
      <x:c r="J21" s="15" t="str">
        <x:v>pozemní stavba, rekonstrukce, povrchové úpravy, SDK podhled a předstěny 3.NP, příprava před výmalbou</x:v>
      </x:c>
      <x:c r="K21" s="15" t="str">
        <x:v>YES</x:v>
      </x:c>
      <x:c r="L21" s="15" t="str">
        <x:v>NO_MATCH</x:v>
      </x:c>
      <x:c r="M21" s="15" t="str">
        <x:v>STAVAGENT nevrátil kód pro tmelení Q3.</x:v>
      </x:c>
      <x:c r="N21" s="15" t="str">
        <x:v>N/A</x:v>
      </x:c>
      <x:c r="O21" s="15" t="str">
        <x:v>Bez explicitního kódu pro tmelení spár SDK v kvalitě Q3.</x:v>
      </x:c>
      <x:c r="P21" s="15" t="str"/>
      <x:c r="Q21" s="15" t="n">
        <x:v>0.5</x:v>
      </x:c>
      <x:c r="R21" s="15" t="str">
        <x:v>perplexity_urs_search</x:v>
      </x:c>
      <x:c r="S21" s="15" t="str"/>
      <x:c r="T21" s="15" t="str"/>
      <x:c r="U21" s="15" t="str"/>
      <x:c r="V21" s="15" t="str"/>
      <x:c r="W21" s="15" t="str"/>
      <x:c r="X21" s="15" t="str"/>
      <x:c r="Y21" s="15" t="str"/>
      <x:c r="Z21" s="15" t="str"/>
      <x:c r="AA21" s="15" t="str"/>
      <x:c r="AB21" s="15" t="str"/>
      <x:c r="AC21" s="15" t="str"/>
      <x:c r="AD21" s="15" t="str"/>
      <x:c r="AE21" s="15" t="str"/>
      <x:c r="AF21" s="15" t="str"/>
      <x:c r="AG21" s="15" t="str"/>
    </x:row>
    <x:row r="22">
      <x:c r="A22" s="15" t="n">
        <x:v>120</x:v>
      </x:c>
      <x:c r="B22" s="15" t="str">
        <x:v>PSV-78 Povrchové úpravy</x:v>
      </x:c>
      <x:c r="C22" s="15" t="str">
        <x:v>SDK podhled — tmelení + úprava 3.NP</x:v>
      </x:c>
      <x:c r="D22" s="15" t="str">
        <x:v>612471141</x:v>
      </x:c>
      <x:c r="E22" s="15" t="str">
        <x:v>SDK podhled + případné předstěny — tmelení spojů Q3 + povrchová úprava před výmalbou (3.NP)</x:v>
      </x:c>
      <x:c r="F22" s="15" t="str">
        <x:v>m²</x:v>
      </x:c>
      <x:c r="G22" s="15" t="str">
        <x:v>64,50</x:v>
      </x:c>
      <x:c r="H22" s="15" t="str">
        <x:v>Penetrace / příprava povrchu SDK před výmalbou 3.NP</x:v>
      </x:c>
      <x:c r="I22" s="15" t="str">
        <x:v>Penetrační nátěr a příprava povrchu sádrokartonového podhledu před výmalbou</x:v>
      </x:c>
      <x:c r="J22" s="15" t="str">
        <x:v>pozemní stavba, rekonstrukce, povrchové úpravy, SDK podhled a předstěny 3.NP, finální příprava před výmalbou</x:v>
      </x:c>
      <x:c r="K22" s="15" t="str">
        <x:v>YES</x:v>
      </x:c>
      <x:c r="L22" s="15" t="str">
        <x:v>PARTIAL</x:v>
      </x:c>
      <x:c r="M22" s="15" t="str">
        <x:v>První kandidáti jsou webové shody; matcher-service vrací SDK příčku, ne podhled.</x:v>
      </x:c>
      <x:c r="N22" s="15" t="str">
        <x:v>763131714</x:v>
      </x:c>
      <x:c r="O22" s="15" t="str">
        <x:v>Penetrační nátěr a příprava povrchu sádrokartonového podhledu před výmalbou</x:v>
      </x:c>
      <x:c r="P22" s="15" t="str"/>
      <x:c r="Q22" s="15" t="n">
        <x:v>0.8</x:v>
      </x:c>
      <x:c r="R22" s="15" t="str">
        <x:v>perplexity_urs_search</x:v>
      </x:c>
      <x:c r="S22" s="15" t="str">
        <x:v>763161540</x:v>
      </x:c>
      <x:c r="T22" s="15" t="str">
        <x:v>Penetrační nátěr a příprava povrchu sádrokartonového podhledu před výmalbou</x:v>
      </x:c>
      <x:c r="U22" s="15" t="str"/>
      <x:c r="V22" s="15" t="n">
        <x:v>0.8</x:v>
      </x:c>
      <x:c r="W22" s="15" t="str">
        <x:v>perplexity_urs_search</x:v>
      </x:c>
      <x:c r="X22" s="15" t="str">
        <x:v>763122531</x:v>
      </x:c>
      <x:c r="Y22" s="15" t="str">
        <x:v>Penetrační nátěr a příprava povrchu sádrokartonového podhledu před výmalbou</x:v>
      </x:c>
      <x:c r="Z22" s="15" t="str"/>
      <x:c r="AA22" s="15" t="n">
        <x:v>0.8</x:v>
      </x:c>
      <x:c r="AB22" s="15" t="str">
        <x:v>perplexity_urs_search</x:v>
      </x:c>
      <x:c r="AC22" s="15" t="str">
        <x:v>763111717</x:v>
      </x:c>
      <x:c r="AD22" s="15" t="str">
        <x:v>SDK příčka základní penetrační nátěr (oboustranně)</x:v>
      </x:c>
      <x:c r="AE22" s="15" t="str">
        <x:v>m2</x:v>
      </x:c>
      <x:c r="AF22" s="15" t="n">
        <x:v>0.67</x:v>
      </x:c>
      <x:c r="AG22" s="15" t="str">
        <x:v>urs_matcher_service</x:v>
      </x:c>
    </x:row>
  </x:sheetData>
  <x:conditionalFormatting sqref="L2:L22">
    <x:cfRule type="expression" dxfId="0" priority="1">
      <x:formula>$L2="MATCH"</x:formula>
    </x:cfRule>
    <x:cfRule type="expression" dxfId="1" priority="2">
      <x:formula>$L2="PARTIAL"</x:formula>
    </x:cfRule>
    <x:cfRule type="expression" dxfId="2" priority="3">
      <x:formula>$L2="NO_MATCH"</x:formula>
    </x:cfRule>
    <x:cfRule type="expression" dxfId="3" priority="4">
      <x:formula>$L2="BAD_MATCH"</x:formula>
    </x:cfRule>
  </x:conditionalFormatting>
  <x:dataValidations count="1">
    <x:dataValidation type="list" sqref="L2:L22">
      <x:formula1>"MATCH,PARTIAL,NO_MATCH,BAD_MATCH"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2972a78af248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</x:cols>
  <x:sheetData>
    <x:row r="1">
      <x:c r="A1" s="6" t="str">
        <x:v>Metric</x:v>
      </x:c>
      <x:c r="B1" s="6" t="str">
        <x:v>Value</x:v>
      </x:c>
    </x:row>
    <x:row r="2">
      <x:c r="A2" s="12" t="str">
        <x:v>Batch</x:v>
      </x:c>
      <x:c r="B2" s="12" t="str">
        <x:v>010</x:v>
      </x:c>
    </x:row>
    <x:row r="3">
      <x:c r="A3" s="12" t="str">
        <x:v>Source rows</x:v>
      </x:c>
      <x:c r="B3" s="12" t="str">
        <x:v>109–120</x:v>
      </x:c>
    </x:row>
    <x:row r="4">
      <x:c r="A4" s="12" t="str">
        <x:v>Original rows</x:v>
      </x:c>
      <x:c r="B4" s="12" t="n">
        <x:v>12</x:v>
      </x:c>
    </x:row>
    <x:row r="5">
      <x:c r="A5" s="12" t="str">
        <x:v>Expanded rows after split</x:v>
      </x:c>
      <x:c r="B5" s="12" t="n">
        <x:v>21</x:v>
      </x:c>
    </x:row>
    <x:row r="6">
      <x:c r="A6" s="12" t="str">
        <x:v>Successful STAVAGENT calls</x:v>
      </x:c>
      <x:c r="B6" s="12" t="n">
        <x:v>21</x:v>
      </x:c>
    </x:row>
    <x:row r="7">
      <x:c r="A7" s="12" t="str">
        <x:v>Blocked/retried call</x:v>
      </x:c>
      <x:c r="B7" s="12" t="n">
        <x:v>1</x:v>
      </x:c>
    </x:row>
    <x:row r="8">
      <x:c r="A8" s="12" t="str">
        <x:v>Manual codes added</x:v>
      </x:c>
      <x:c r="B8" s="12" t="n">
        <x:v>0</x:v>
      </x:c>
    </x:row>
    <x:row r="9">
      <x:c r="A9" s="12" t="str">
        <x:v>MATCH</x:v>
      </x:c>
      <x:c r="B9" s="12" t="n">
        <x:v>3</x:v>
      </x:c>
    </x:row>
    <x:row r="10">
      <x:c r="A10" s="12" t="str">
        <x:v>PARTIAL</x:v>
      </x:c>
      <x:c r="B10" s="12" t="n">
        <x:v>12</x:v>
      </x:c>
    </x:row>
    <x:row r="11">
      <x:c r="A11" s="12" t="str">
        <x:v>NO_MATCH</x:v>
      </x:c>
      <x:c r="B11" s="12" t="n">
        <x:v>5</x:v>
      </x:c>
    </x:row>
    <x:row r="12">
      <x:c r="A12" s="12" t="str">
        <x:v>BAD_MATCH</x:v>
      </x:c>
      <x:c r="B12" s="12" t="n">
        <x:v>1</x:v>
      </x:c>
    </x:row>
    <x:row r="13">
      <x:c r="A13" s="12" t="str">
        <x:v>Protocol</x:v>
      </x:c>
      <x:c r="B13" s="12" t="str">
        <x:v>STAVAGENT find_urs_code only; candidates max 4; aggregated items split</x:v>
      </x:c>
    </x:row>
  </x:sheetData>
  <x:pageMargins left="0.7" right="0.7" top="0.75" bottom="0.75" header="0.3" footer="0.3"/>
</x:worksheet>
</file>
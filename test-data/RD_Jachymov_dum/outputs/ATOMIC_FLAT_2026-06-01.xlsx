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_FLAT" sheetId="1" state="visible" r:id="rId1"/>
  </sheets>
  <definedNames>
    <definedName name="_xlnm._FilterDatabase" localSheetId="0" hidden="1">'ATOMIC_FLAT'!$A$1:$M$361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24" customWidth="1" min="4" max="4"/>
    <col width="26" customWidth="1" min="5" max="5"/>
    <col width="50" customWidth="1" min="6" max="6"/>
    <col width="7" customWidth="1" min="7" max="7"/>
    <col width="11" customWidth="1" min="8" max="8"/>
    <col width="26" customWidth="1" min="9" max="9"/>
    <col width="14" customWidth="1" min="10" max="10"/>
    <col width="34" customWidth="1" min="11" max="11"/>
    <col width="22" customWidth="1" min="12" max="12"/>
    <col width="16" customWidth="1" min="13" max="13"/>
  </cols>
  <sheetData>
    <row r="1">
      <c r="A1" s="1" t="inlineStr">
        <is>
          <t>Pořadí</t>
        </is>
      </c>
      <c r="B1" s="1" t="inlineStr">
        <is>
          <t>Atomic ID</t>
        </is>
      </c>
      <c r="C1" s="1" t="inlineStr">
        <is>
          <t>Objekt</t>
        </is>
      </c>
      <c r="D1" s="1" t="inlineStr">
        <is>
          <t>Kapitola</t>
        </is>
      </c>
      <c r="E1" s="1" t="inlineStr">
        <is>
          <t>ÚRS kapitola hint</t>
        </is>
      </c>
      <c r="F1" s="1" t="inlineStr">
        <is>
          <t>Popis</t>
        </is>
      </c>
      <c r="G1" s="1" t="inlineStr">
        <is>
          <t>MJ</t>
        </is>
      </c>
      <c r="H1" s="1" t="inlineStr">
        <is>
          <t>Množství</t>
        </is>
      </c>
      <c r="I1" s="1" t="inlineStr">
        <is>
          <t>Vzorec</t>
        </is>
      </c>
      <c r="J1" s="1" t="inlineStr">
        <is>
          <t>ÚRS kód kandidát</t>
        </is>
      </c>
      <c r="K1" s="1" t="inlineStr">
        <is>
          <t>Zdroj</t>
        </is>
      </c>
      <c r="L1" s="1" t="inlineStr">
        <is>
          <t>Status</t>
        </is>
      </c>
      <c r="M1" s="1" t="inlineStr">
        <is>
          <t>Realizuje skladbu</t>
        </is>
      </c>
    </row>
    <row r="2">
      <c r="A2" s="2" t="n">
        <v>1</v>
      </c>
      <c r="B2" s="2" t="inlineStr">
        <is>
          <t>HSV1.001</t>
        </is>
      </c>
      <c r="C2" s="2" t="inlineStr">
        <is>
          <t>260219_dum</t>
        </is>
      </c>
      <c r="D2" s="2" t="inlineStr">
        <is>
          <t>HSV-1 Zemní práce</t>
        </is>
      </c>
      <c r="E2" s="3" t="inlineStr">
        <is>
          <t>HSV-1 Zemní práce</t>
        </is>
      </c>
      <c r="F2" s="3" t="inlineStr">
        <is>
          <t>Sejmutí ornice tl. 100 mm na ploše budoucí opěrné stěny a anglického dvorku</t>
        </is>
      </c>
      <c r="G2" s="2" t="inlineStr">
        <is>
          <t>m²</t>
        </is>
      </c>
      <c r="H2" s="2" t="n">
        <v>35</v>
      </c>
      <c r="I2" s="3" t="inlineStr">
        <is>
          <t>L=10 × W=3.5 (zahrada zóna pro BV + dvorek)</t>
        </is>
      </c>
      <c r="J2" s="2" t="inlineStr">
        <is>
          <t>121101101</t>
        </is>
      </c>
      <c r="K2" s="3" t="inlineStr">
        <is>
          <t>TZ statika §3 + ARS dispozice zahrada</t>
        </is>
      </c>
      <c r="L2" s="2" t="inlineStr">
        <is>
          <t>carried_verified</t>
        </is>
      </c>
      <c r="M2" s="2" t="inlineStr"/>
    </row>
    <row r="3">
      <c r="A3" s="2" t="n">
        <v>2</v>
      </c>
      <c r="B3" s="2" t="inlineStr">
        <is>
          <t>HSV1.002</t>
        </is>
      </c>
      <c r="C3" s="2" t="inlineStr">
        <is>
          <t>260219_dum</t>
        </is>
      </c>
      <c r="D3" s="2" t="inlineStr">
        <is>
          <t>HSV-1 Zemní práce</t>
        </is>
      </c>
      <c r="E3" s="3" t="inlineStr">
        <is>
          <t>HSV-1 Zemní práce</t>
        </is>
      </c>
      <c r="F3" s="3" t="inlineStr">
        <is>
          <t>Hloubení rýh š. do 60 cm pro pas opěrné stěny bílé vany v zemině třídy 3 (F4-CS)</t>
        </is>
      </c>
      <c r="G3" s="2" t="inlineStr">
        <is>
          <t>m³</t>
        </is>
      </c>
      <c r="H3" s="2" t="n">
        <v>12.6</v>
      </c>
      <c r="I3" s="3" t="inlineStr">
        <is>
          <t>L=10 × W=1.2 × H=1.05 (pata BV 1200 mm × hloubka pod základovou spárou)</t>
        </is>
      </c>
      <c r="J3" s="2" t="inlineStr">
        <is>
          <t>132201101</t>
        </is>
      </c>
      <c r="K3" s="3" t="inlineStr">
        <is>
          <t>TZ statika dům §5.5 + geologie F4-CS Rdt 350 kPa</t>
        </is>
      </c>
      <c r="L3" s="2" t="inlineStr">
        <is>
          <t>FAMILY_VERIFIED</t>
        </is>
      </c>
      <c r="M3" s="2" t="inlineStr"/>
    </row>
    <row r="4">
      <c r="A4" s="2" t="n">
        <v>3</v>
      </c>
      <c r="B4" s="2" t="inlineStr">
        <is>
          <t>HSV1.003</t>
        </is>
      </c>
      <c r="C4" s="2" t="inlineStr">
        <is>
          <t>260219_dum</t>
        </is>
      </c>
      <c r="D4" s="2" t="inlineStr">
        <is>
          <t>HSV-1 Zemní práce</t>
        </is>
      </c>
      <c r="E4" s="3" t="inlineStr">
        <is>
          <t>HSV-1 Zemní práce</t>
        </is>
      </c>
      <c r="F4" s="3" t="inlineStr">
        <is>
          <t>Hloubení jam nezapažených pro anglický dvorek a nový vstup do 1.PP ze zahrady, hornina tř. 3 (F4-CS)</t>
        </is>
      </c>
      <c r="G4" s="2" t="inlineStr">
        <is>
          <t>m³</t>
        </is>
      </c>
      <c r="H4" s="2" t="n">
        <v>6</v>
      </c>
      <c r="I4" s="3" t="inlineStr">
        <is>
          <t>L=2.5 × W=2.0 × H=1.2 (dvorek odkop)</t>
        </is>
      </c>
      <c r="J4" s="2" t="inlineStr">
        <is>
          <t>131201101</t>
        </is>
      </c>
      <c r="K4" s="3" t="inlineStr">
        <is>
          <t>TZ ARS dům §6.2 zahrada — nový vstup do 1.PP</t>
        </is>
      </c>
      <c r="L4" s="2" t="inlineStr">
        <is>
          <t>FAMILY_VERIFIED</t>
        </is>
      </c>
      <c r="M4" s="2" t="inlineStr"/>
    </row>
    <row r="5">
      <c r="A5" s="2" t="n">
        <v>4</v>
      </c>
      <c r="B5" s="2" t="inlineStr">
        <is>
          <t>HSV1.004a</t>
        </is>
      </c>
      <c r="C5" s="2" t="inlineStr">
        <is>
          <t>260219_dum</t>
        </is>
      </c>
      <c r="D5" s="2" t="inlineStr">
        <is>
          <t>HSV-1 Zemní práce</t>
        </is>
      </c>
      <c r="E5" s="3" t="inlineStr">
        <is>
          <t>HSV-1 Zemní práce</t>
        </is>
      </c>
      <c r="F5" s="3" t="inlineStr">
        <is>
          <t>Kladení betonové dlažby tl. 50 mm — anglický dvorek</t>
        </is>
      </c>
      <c r="G5" s="2" t="inlineStr">
        <is>
          <t>m²</t>
        </is>
      </c>
      <c r="H5" s="2" t="n">
        <v>16.54</v>
      </c>
      <c r="I5" s="3">
        <f> HSV1.004 plocha dvorku 16.54 m² (situace 12.46 + 4.08, dlažba = brick-hatch)</f>
        <v/>
      </c>
      <c r="J5" s="2" t="inlineStr">
        <is>
          <t>596</t>
        </is>
      </c>
      <c r="K5" s="3" t="inlineStr">
        <is>
          <t>PDF řez D.1.1.2.2.21 řez C-C explicit composition — 4-vrstvý dlažební systém (Path C Tier 3 embedded tables)</t>
        </is>
      </c>
      <c r="L5" s="2" t="inlineStr">
        <is>
          <t>family_only</t>
        </is>
      </c>
      <c r="M5" s="2" t="inlineStr">
        <is>
          <t>Anglický dvorek</t>
        </is>
      </c>
    </row>
    <row r="6">
      <c r="A6" s="2" t="n">
        <v>5</v>
      </c>
      <c r="B6" s="2" t="inlineStr">
        <is>
          <t>HSV1.004b</t>
        </is>
      </c>
      <c r="C6" s="2" t="inlineStr">
        <is>
          <t>260219_dum</t>
        </is>
      </c>
      <c r="D6" s="2" t="inlineStr">
        <is>
          <t>HSV-1 Zemní práce</t>
        </is>
      </c>
      <c r="E6" s="3" t="inlineStr">
        <is>
          <t>HSV-1 Zemní práce</t>
        </is>
      </c>
      <c r="F6" s="3" t="inlineStr">
        <is>
          <t>Kladecí vrstva z kamenné drti frakce 4-8 mm tl. 40 mm — anglický dvorek</t>
        </is>
      </c>
      <c r="G6" s="2" t="inlineStr">
        <is>
          <t>m²</t>
        </is>
      </c>
      <c r="H6" s="2" t="n">
        <v>16.54</v>
      </c>
      <c r="I6" s="3">
        <f> HSV1.004 plocha dvorku 16.54 m² (situace 12.46 + 4.08)</f>
        <v/>
      </c>
      <c r="J6" s="2" t="inlineStr">
        <is>
          <t>564</t>
        </is>
      </c>
      <c r="K6" s="3" t="inlineStr">
        <is>
          <t>PDF řez D.1.1.2.2.21 řez C-C explicit composition — 4-vrstvý dlažební systém (Path C Tier 3 embedded tables)</t>
        </is>
      </c>
      <c r="L6" s="2" t="inlineStr">
        <is>
          <t>family_only</t>
        </is>
      </c>
      <c r="M6" s="2" t="inlineStr">
        <is>
          <t>Anglický dvorek</t>
        </is>
      </c>
    </row>
    <row r="7">
      <c r="A7" s="2" t="n">
        <v>6</v>
      </c>
      <c r="B7" s="2" t="inlineStr">
        <is>
          <t>HSV1.004c</t>
        </is>
      </c>
      <c r="C7" s="2" t="inlineStr">
        <is>
          <t>260219_dum</t>
        </is>
      </c>
      <c r="D7" s="2" t="inlineStr">
        <is>
          <t>HSV-1 Zemní práce</t>
        </is>
      </c>
      <c r="E7" s="3" t="inlineStr">
        <is>
          <t>HSV-1 Zemní práce</t>
        </is>
      </c>
      <c r="F7" s="3" t="inlineStr">
        <is>
          <t>Podkladní nosná vrstva z kamenné drti frakce 4-8 mm tl. 150 mm + zhutnění — anglický dvorek</t>
        </is>
      </c>
      <c r="G7" s="2" t="inlineStr">
        <is>
          <t>m²</t>
        </is>
      </c>
      <c r="H7" s="2" t="n">
        <v>16.54</v>
      </c>
      <c r="I7" s="3">
        <f> HSV1.004 plocha 16.54 m²</f>
        <v/>
      </c>
      <c r="J7" s="2" t="inlineStr">
        <is>
          <t>564</t>
        </is>
      </c>
      <c r="K7" s="3" t="inlineStr">
        <is>
          <t>PDF řez D.1.1.2.2.21 řez C-C explicit composition — 4-vrstvý dlažební systém (Path C Tier 3 embedded tables)</t>
        </is>
      </c>
      <c r="L7" s="2" t="inlineStr">
        <is>
          <t>family_only</t>
        </is>
      </c>
      <c r="M7" s="2" t="inlineStr">
        <is>
          <t>Anglický dvorek</t>
        </is>
      </c>
    </row>
    <row r="8">
      <c r="A8" s="2" t="n">
        <v>7</v>
      </c>
      <c r="B8" s="2" t="inlineStr">
        <is>
          <t>HSV1.004d</t>
        </is>
      </c>
      <c r="C8" s="2" t="inlineStr">
        <is>
          <t>260219_dum</t>
        </is>
      </c>
      <c r="D8" s="2" t="inlineStr">
        <is>
          <t>HSV-1 Zemní práce</t>
        </is>
      </c>
      <c r="E8" s="3" t="inlineStr">
        <is>
          <t>HSV-1 Zemní práce</t>
        </is>
      </c>
      <c r="F8" s="3" t="inlineStr">
        <is>
          <t>Úprava + zhutnění zemní pláně na Edef ≥ 30 MPa — anglický dvorek</t>
        </is>
      </c>
      <c r="G8" s="2" t="inlineStr">
        <is>
          <t>m²</t>
        </is>
      </c>
      <c r="H8" s="2" t="n">
        <v>16.54</v>
      </c>
      <c r="I8" s="3">
        <f> HSV1.004 plocha 16.54 m²</f>
        <v/>
      </c>
      <c r="J8" s="2" t="inlineStr">
        <is>
          <t>181</t>
        </is>
      </c>
      <c r="K8" s="3" t="inlineStr">
        <is>
          <t>PDF řez D.1.1.2.2.21 řez C-C explicit composition — 4-vrstvý dlažební systém (Path C Tier 3 embedded tables)</t>
        </is>
      </c>
      <c r="L8" s="2" t="inlineStr">
        <is>
          <t>family_only</t>
        </is>
      </c>
      <c r="M8" s="2" t="inlineStr">
        <is>
          <t>Anglický dvorek</t>
        </is>
      </c>
    </row>
    <row r="9">
      <c r="A9" s="2" t="n">
        <v>8</v>
      </c>
      <c r="B9" s="2" t="inlineStr">
        <is>
          <t>HSV1.005a</t>
        </is>
      </c>
      <c r="C9" s="2" t="inlineStr">
        <is>
          <t>260219_dum</t>
        </is>
      </c>
      <c r="D9" s="2" t="inlineStr">
        <is>
          <t>HSV-1 Zemní práce</t>
        </is>
      </c>
      <c r="E9" s="3" t="inlineStr">
        <is>
          <t>HSV-1 Zemní práce</t>
        </is>
      </c>
      <c r="F9" s="3" t="inlineStr">
        <is>
          <t>Osazení rektifikovatelných terčů výšky ~50 mm na betonové dlaždice — terasa za opěrnou stěnou (nesou dřevěnou pochozí vrstvu PSV76.002)</t>
        </is>
      </c>
      <c r="G9" s="2" t="inlineStr">
        <is>
          <t>m²</t>
        </is>
      </c>
      <c r="H9" s="2" t="n">
        <v>9.23</v>
      </c>
      <c r="I9" s="3">
        <f> HSV1.005 plocha terasy 9.23 m² (situace měření, terasa = line-hatch)</f>
        <v/>
      </c>
      <c r="J9" s="2" t="inlineStr"/>
      <c r="K9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9" s="2" t="inlineStr">
        <is>
          <t>needs_lookup</t>
        </is>
      </c>
      <c r="M9" s="2" t="inlineStr">
        <is>
          <t>Terasa</t>
        </is>
      </c>
    </row>
    <row r="10">
      <c r="A10" s="2" t="n">
        <v>9</v>
      </c>
      <c r="B10" s="2" t="inlineStr">
        <is>
          <t>HSV1.005b</t>
        </is>
      </c>
      <c r="C10" s="2" t="inlineStr">
        <is>
          <t>260219_dum</t>
        </is>
      </c>
      <c r="D10" s="2" t="inlineStr">
        <is>
          <t>HSV-1 Zemní práce</t>
        </is>
      </c>
      <c r="E10" s="3" t="inlineStr">
        <is>
          <t>HSV-1 Zemní práce</t>
        </is>
      </c>
      <c r="F10" s="3" t="inlineStr">
        <is>
          <t>Betonové dlaždice tl. 50 mm jako roznášecí (nosná) vrstva POD rektifikovatelné terče — terasa</t>
        </is>
      </c>
      <c r="G10" s="2" t="inlineStr">
        <is>
          <t>m²</t>
        </is>
      </c>
      <c r="H10" s="2" t="n">
        <v>9.23</v>
      </c>
      <c r="I10" s="3">
        <f> HSV1.005 plocha terasy 9.23 m² (situace měření)</f>
        <v/>
      </c>
      <c r="J10" s="2" t="inlineStr">
        <is>
          <t>564</t>
        </is>
      </c>
      <c r="K10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0" s="2" t="inlineStr">
        <is>
          <t>family_only</t>
        </is>
      </c>
      <c r="M10" s="2" t="inlineStr">
        <is>
          <t>Terasa</t>
        </is>
      </c>
    </row>
    <row r="11">
      <c r="A11" s="2" t="n">
        <v>10</v>
      </c>
      <c r="B11" s="2" t="inlineStr">
        <is>
          <t>HSV1.005c</t>
        </is>
      </c>
      <c r="C11" s="2" t="inlineStr">
        <is>
          <t>260219_dum</t>
        </is>
      </c>
      <c r="D11" s="2" t="inlineStr">
        <is>
          <t>HSV-1 Zemní práce</t>
        </is>
      </c>
      <c r="E11" s="3" t="inlineStr">
        <is>
          <t>HSV-1 Zemní práce</t>
        </is>
      </c>
      <c r="F11" s="3" t="inlineStr">
        <is>
          <t>Štěrkový podsyp frakce 16/32 mm tl. 100 mm — terasa</t>
        </is>
      </c>
      <c r="G11" s="2" t="inlineStr">
        <is>
          <t>m²</t>
        </is>
      </c>
      <c r="H11" s="2" t="n">
        <v>9.23</v>
      </c>
      <c r="I11" s="3">
        <f> HSV1.005 plocha 9.23 m²</f>
        <v/>
      </c>
      <c r="J11" s="2" t="inlineStr">
        <is>
          <t>564</t>
        </is>
      </c>
      <c r="K11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1" s="2" t="inlineStr">
        <is>
          <t>family_only</t>
        </is>
      </c>
      <c r="M11" s="2" t="inlineStr">
        <is>
          <t>Terasa</t>
        </is>
      </c>
    </row>
    <row r="12">
      <c r="A12" s="2" t="n">
        <v>11</v>
      </c>
      <c r="B12" s="2" t="inlineStr">
        <is>
          <t>HSV1.005d</t>
        </is>
      </c>
      <c r="C12" s="2" t="inlineStr">
        <is>
          <t>260219_dum</t>
        </is>
      </c>
      <c r="D12" s="2" t="inlineStr">
        <is>
          <t>HSV-1 Zemní práce</t>
        </is>
      </c>
      <c r="E12" s="3" t="inlineStr">
        <is>
          <t>HSV-1 Zemní práce</t>
        </is>
      </c>
      <c r="F12" s="3" t="inlineStr">
        <is>
          <t>Hrubý podsyp z kamenné drti frakce 4/8 mm tl. 150 mm — terasa</t>
        </is>
      </c>
      <c r="G12" s="2" t="inlineStr">
        <is>
          <t>m²</t>
        </is>
      </c>
      <c r="H12" s="2" t="n">
        <v>9.23</v>
      </c>
      <c r="I12" s="3">
        <f> HSV1.005 plocha 9.23 m²</f>
        <v/>
      </c>
      <c r="J12" s="2" t="inlineStr">
        <is>
          <t>564</t>
        </is>
      </c>
      <c r="K12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2" s="2" t="inlineStr">
        <is>
          <t>family_only</t>
        </is>
      </c>
      <c r="M12" s="2" t="inlineStr">
        <is>
          <t>Terasa</t>
        </is>
      </c>
    </row>
    <row r="13">
      <c r="A13" s="2" t="n">
        <v>12</v>
      </c>
      <c r="B13" s="2" t="inlineStr">
        <is>
          <t>HSV1.005e</t>
        </is>
      </c>
      <c r="C13" s="2" t="inlineStr">
        <is>
          <t>260219_dum</t>
        </is>
      </c>
      <c r="D13" s="2" t="inlineStr">
        <is>
          <t>HSV-1 Zemní práce</t>
        </is>
      </c>
      <c r="E13" s="3" t="inlineStr">
        <is>
          <t>HSV-1 Zemní práce</t>
        </is>
      </c>
      <c r="F13" s="3" t="inlineStr">
        <is>
          <t>Geotextilie separační pod podsyp terasy</t>
        </is>
      </c>
      <c r="G13" s="2" t="inlineStr">
        <is>
          <t>m²</t>
        </is>
      </c>
      <c r="H13" s="2" t="n">
        <v>9.23</v>
      </c>
      <c r="I13" s="3">
        <f> HSV1.005 plocha 9.23 m²</f>
        <v/>
      </c>
      <c r="J13" s="2" t="inlineStr">
        <is>
          <t>693</t>
        </is>
      </c>
      <c r="K13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3" s="2" t="inlineStr">
        <is>
          <t>family_only</t>
        </is>
      </c>
      <c r="M13" s="2" t="inlineStr">
        <is>
          <t>Terasa</t>
        </is>
      </c>
    </row>
    <row r="14">
      <c r="A14" s="2" t="n">
        <v>13</v>
      </c>
      <c r="B14" s="2" t="inlineStr">
        <is>
          <t>HSV1.006</t>
        </is>
      </c>
      <c r="C14" s="2" t="inlineStr">
        <is>
          <t>260219_dum</t>
        </is>
      </c>
      <c r="D14" s="2" t="inlineStr">
        <is>
          <t>HSV-1 Zemní práce</t>
        </is>
      </c>
      <c r="E14" s="3" t="inlineStr">
        <is>
          <t>HSV-1 Zemní práce</t>
        </is>
      </c>
      <c r="F14" s="3" t="inlineStr">
        <is>
          <t>Pažení a rozepření dočasných výkopů příložné, hl. do 2 m, v zemině třídy 3</t>
        </is>
      </c>
      <c r="G14" s="2" t="inlineStr">
        <is>
          <t>m²</t>
        </is>
      </c>
      <c r="H14" s="2" t="n">
        <v>36</v>
      </c>
      <c r="I14" s="3" t="inlineStr">
        <is>
          <t>obvod rýh BV 2×(10+1.2) × hloubka 1.6</t>
        </is>
      </c>
      <c r="J14" s="2" t="inlineStr">
        <is>
          <t>151101101</t>
        </is>
      </c>
      <c r="K14" s="3" t="inlineStr">
        <is>
          <t>TZ statika §5.3 'pažovat dle BOZP, sklon dočasných výkopů 1:0,5'</t>
        </is>
      </c>
      <c r="L14" s="2" t="inlineStr">
        <is>
          <t>carried_verified</t>
        </is>
      </c>
      <c r="M14" s="2" t="inlineStr"/>
    </row>
    <row r="15">
      <c r="A15" s="2" t="n">
        <v>14</v>
      </c>
      <c r="B15" s="2" t="inlineStr">
        <is>
          <t>HSV1.007</t>
        </is>
      </c>
      <c r="C15" s="2" t="inlineStr">
        <is>
          <t>260219_dum</t>
        </is>
      </c>
      <c r="D15" s="2" t="inlineStr">
        <is>
          <t>HSV-1 Zemní práce</t>
        </is>
      </c>
      <c r="E15" s="3" t="inlineStr">
        <is>
          <t>HSV-1 Zemní práce</t>
        </is>
      </c>
      <c r="F15" s="3" t="inlineStr">
        <is>
          <t>Vodorovné přemístění výkopku — odvoz na deponii do 8 km vč. skládkovného (zemina F4)</t>
        </is>
      </c>
      <c r="G15" s="2" t="inlineStr">
        <is>
          <t>m³</t>
        </is>
      </c>
      <c r="H15" s="2" t="n">
        <v>18.6</v>
      </c>
      <c r="I15" s="3">
        <f> V hloubení rýh BV + figura dvorek (12.6 + 6.0)</f>
        <v/>
      </c>
      <c r="J15" s="2" t="inlineStr"/>
      <c r="K15" s="3">
        <f> součet HSV-1 hloubení dům</f>
        <v/>
      </c>
      <c r="L15" s="2" t="inlineStr">
        <is>
          <t>FAMILY_VERIFIED</t>
        </is>
      </c>
      <c r="M15" s="2" t="inlineStr"/>
    </row>
    <row r="16">
      <c r="A16" s="2" t="n">
        <v>15</v>
      </c>
      <c r="B16" s="2" t="inlineStr">
        <is>
          <t>HSV1.008</t>
        </is>
      </c>
      <c r="C16" s="2" t="inlineStr">
        <is>
          <t>260219_dum</t>
        </is>
      </c>
      <c r="D16" s="2" t="inlineStr">
        <is>
          <t>HSV-1 Zemní práce</t>
        </is>
      </c>
      <c r="E16" s="3" t="inlineStr">
        <is>
          <t>HSV-1 Zemní práce</t>
        </is>
      </c>
      <c r="F16" s="3" t="inlineStr">
        <is>
          <t>Zhutněný štěrkopískový zásyp + lože pod ŽB deskou 1.NP, Edef2 ≥ 30 MPa na pláni / 45 MPa na štěrku</t>
        </is>
      </c>
      <c r="G16" s="2" t="inlineStr">
        <is>
          <t>m³</t>
        </is>
      </c>
      <c r="H16" s="2" t="n">
        <v>12.5</v>
      </c>
      <c r="I16" s="3" t="inlineStr">
        <is>
          <t>podlahova_plocha_1NP × 0.15 m štěrkové lože (uvažovat 83 m² × 0.15)</t>
        </is>
      </c>
      <c r="J16" s="2" t="inlineStr">
        <is>
          <t>174101101</t>
        </is>
      </c>
      <c r="K16" s="3" t="inlineStr">
        <is>
          <t>TZ statika dům §5.3 — Edef2 limity + zásyp pod deska 1.NP</t>
        </is>
      </c>
      <c r="L16" s="2" t="inlineStr">
        <is>
          <t>FAMILY_VERIFIED</t>
        </is>
      </c>
      <c r="M16" s="2" t="inlineStr"/>
    </row>
    <row r="17">
      <c r="A17" s="2" t="n">
        <v>16</v>
      </c>
      <c r="B17" s="2" t="inlineStr">
        <is>
          <t>HSV1.001</t>
        </is>
      </c>
      <c r="C17" s="2" t="inlineStr">
        <is>
          <t>260217_sklad</t>
        </is>
      </c>
      <c r="D17" s="2" t="inlineStr">
        <is>
          <t>HSV-1 Zemní práce</t>
        </is>
      </c>
      <c r="E17" s="3" t="inlineStr">
        <is>
          <t>HSV-1 Zemní práce</t>
        </is>
      </c>
      <c r="F17" s="3" t="inlineStr">
        <is>
          <t>Sejmutí ornice a demolice stávajících kamenných zídek a schodiště v místě nového skladu+parkingu</t>
        </is>
      </c>
      <c r="G17" s="2" t="inlineStr">
        <is>
          <t>m³</t>
        </is>
      </c>
      <c r="H17" s="2" t="n">
        <v>8</v>
      </c>
      <c r="I17" s="3" t="inlineStr">
        <is>
          <t>TZ ARS sklad §3 — odstranění stávajících kamenných prvků (odhad)</t>
        </is>
      </c>
      <c r="J17" s="2" t="inlineStr">
        <is>
          <t>962031132</t>
        </is>
      </c>
      <c r="K17" s="3" t="inlineStr">
        <is>
          <t>TZ ARS sklad §3 + Demolice stávající kamenné zídky</t>
        </is>
      </c>
      <c r="L17" s="2" t="inlineStr">
        <is>
          <t>CROSS_DISCIPLINE_OK</t>
        </is>
      </c>
      <c r="M17" s="2" t="inlineStr"/>
    </row>
    <row r="18">
      <c r="A18" s="2" t="n">
        <v>17</v>
      </c>
      <c r="B18" s="2" t="inlineStr">
        <is>
          <t>HSV1.002</t>
        </is>
      </c>
      <c r="C18" s="2" t="inlineStr">
        <is>
          <t>260217_sklad</t>
        </is>
      </c>
      <c r="D18" s="2" t="inlineStr">
        <is>
          <t>HSV-1 Zemní práce</t>
        </is>
      </c>
      <c r="E18" s="3" t="inlineStr">
        <is>
          <t>HSV-1 Zemní práce</t>
        </is>
      </c>
      <c r="F18" s="3" t="inlineStr">
        <is>
          <t>Hloubení jam nezapažených pro objekt skladu v lichoběžníku 6,35 × 3,34 m, hl. do 1,2 m, hornina tř. 3</t>
        </is>
      </c>
      <c r="G18" s="2" t="inlineStr">
        <is>
          <t>m³</t>
        </is>
      </c>
      <c r="H18" s="2" t="n">
        <v>25.5</v>
      </c>
      <c r="I18" s="3" t="inlineStr">
        <is>
          <t>DXF: L=6.350 × W=3.340 × H=1.2 (DXF DIMENSION ověřeno)</t>
        </is>
      </c>
      <c r="J18" s="2" t="inlineStr">
        <is>
          <t>131201101</t>
        </is>
      </c>
      <c r="K18" s="3" t="inlineStr">
        <is>
          <t>DXF sklad_DPZ DIMENSION 6350.06 + 3340.0 mm (vyjasnění #18 resolved)</t>
        </is>
      </c>
      <c r="L18" s="2" t="inlineStr">
        <is>
          <t>carried_verified</t>
        </is>
      </c>
      <c r="M18" s="2" t="inlineStr"/>
    </row>
    <row r="19">
      <c r="A19" s="2" t="n">
        <v>18</v>
      </c>
      <c r="B19" s="2" t="inlineStr">
        <is>
          <t>HSV1.003</t>
        </is>
      </c>
      <c r="C19" s="2" t="inlineStr">
        <is>
          <t>260217_sklad</t>
        </is>
      </c>
      <c r="D19" s="2" t="inlineStr">
        <is>
          <t>HSV-1 Zemní práce</t>
        </is>
      </c>
      <c r="E19" s="3" t="inlineStr">
        <is>
          <t>HSV-1 Zemní práce</t>
        </is>
      </c>
      <c r="F19" s="3" t="inlineStr">
        <is>
          <t>Hloubení rýh pro betonové základové pasy 500×500 mm po obvodu skladu (nezámrzná hl. 1.0 m)</t>
        </is>
      </c>
      <c r="G19" s="2" t="inlineStr">
        <is>
          <t>m³</t>
        </is>
      </c>
      <c r="H19" s="2" t="n">
        <v>4.85</v>
      </c>
      <c r="I19" s="3" t="inlineStr">
        <is>
          <t>obvod 2×(6.35+3.34) × W=0.5 × H=0.5</t>
        </is>
      </c>
      <c r="J19" s="2" t="inlineStr">
        <is>
          <t>132201101</t>
        </is>
      </c>
      <c r="K19" s="3" t="inlineStr">
        <is>
          <t>DXF + TZ statika sklad §3</t>
        </is>
      </c>
      <c r="L19" s="2" t="inlineStr">
        <is>
          <t>carried_verified</t>
        </is>
      </c>
      <c r="M19" s="2" t="inlineStr"/>
    </row>
    <row r="20">
      <c r="A20" s="2" t="n">
        <v>19</v>
      </c>
      <c r="B20" s="2" t="inlineStr">
        <is>
          <t>HSV1.004</t>
        </is>
      </c>
      <c r="C20" s="2" t="inlineStr">
        <is>
          <t>260217_sklad</t>
        </is>
      </c>
      <c r="D20" s="2" t="inlineStr">
        <is>
          <t>HSV-1 Zemní práce</t>
        </is>
      </c>
      <c r="E20" s="3" t="inlineStr">
        <is>
          <t>HSV-1 Zemní práce</t>
        </is>
      </c>
      <c r="F20" s="3" t="inlineStr">
        <is>
          <t>Hloubení patek pro stojky IPE180 zastřešení parkingu, 500×500 mm × 1.0 m hl. × 7 ks</t>
        </is>
      </c>
      <c r="G20" s="2" t="inlineStr">
        <is>
          <t>m³</t>
        </is>
      </c>
      <c r="H20" s="2" t="n">
        <v>1.75</v>
      </c>
      <c r="I20" s="3" t="inlineStr">
        <is>
          <t>DXF: 7 patek × 0.5 × 0.5 × 1.0 (TZ rozteč 1000 mm × 7 m parking)</t>
        </is>
      </c>
      <c r="J20" s="2" t="inlineStr">
        <is>
          <t>132211101</t>
        </is>
      </c>
      <c r="K20" s="3" t="inlineStr">
        <is>
          <t>DXF sklad_DPZ LWPOLYLINE 7000 mm parking + TZ rozteč 1000 mm = 7 patek</t>
        </is>
      </c>
      <c r="L20" s="2" t="inlineStr">
        <is>
          <t>needs_production_lookup</t>
        </is>
      </c>
      <c r="M20" s="2" t="inlineStr"/>
    </row>
    <row r="21">
      <c r="A21" s="2" t="n">
        <v>20</v>
      </c>
      <c r="B21" s="2" t="inlineStr">
        <is>
          <t>HSV1.005</t>
        </is>
      </c>
      <c r="C21" s="2" t="inlineStr">
        <is>
          <t>260217_sklad</t>
        </is>
      </c>
      <c r="D21" s="2" t="inlineStr">
        <is>
          <t>HSV-1 Zemní práce</t>
        </is>
      </c>
      <c r="E21" s="3" t="inlineStr">
        <is>
          <t>HSV-1 Zemní práce</t>
        </is>
      </c>
      <c r="F21" s="3" t="inlineStr">
        <is>
          <t>Zhutněný štěrkopískový násyp pod podlahu skladu + štěrkopísek pro IPE patky</t>
        </is>
      </c>
      <c r="G21" s="2" t="inlineStr">
        <is>
          <t>m³</t>
        </is>
      </c>
      <c r="H21" s="2" t="n">
        <v>2.64</v>
      </c>
      <c r="I21" s="3" t="inlineStr">
        <is>
          <t>podlaha sklad 17.6 m² (legenda místností) × 0.15 m podkladní kamenná drť</t>
        </is>
      </c>
      <c r="J21" s="2" t="inlineStr">
        <is>
          <t>174101101</t>
        </is>
      </c>
      <c r="K21" s="3" t="inlineStr">
        <is>
          <t>DXF podlaha skladu 6.35×3.34 = 21.2 m²</t>
        </is>
      </c>
      <c r="L21" s="2" t="inlineStr">
        <is>
          <t>needs_production_lookup</t>
        </is>
      </c>
      <c r="M21" s="2" t="inlineStr">
        <is>
          <t>S01_sklad</t>
        </is>
      </c>
    </row>
    <row r="22">
      <c r="A22" s="2" t="n">
        <v>21</v>
      </c>
      <c r="B22" s="2" t="inlineStr">
        <is>
          <t>HSV1.006</t>
        </is>
      </c>
      <c r="C22" s="2" t="inlineStr">
        <is>
          <t>260217_sklad</t>
        </is>
      </c>
      <c r="D22" s="2" t="inlineStr">
        <is>
          <t>HSV-1 Zemní práce</t>
        </is>
      </c>
      <c r="E22" s="3" t="inlineStr">
        <is>
          <t>HSV-1 Zemní práce</t>
        </is>
      </c>
      <c r="F22" s="3" t="inlineStr">
        <is>
          <t>Odvoz výkopku z hloubení skladu + figur + patek na deponii do 8 km</t>
        </is>
      </c>
      <c r="G22" s="2" t="inlineStr">
        <is>
          <t>m³</t>
        </is>
      </c>
      <c r="H22" s="2" t="n">
        <v>32.1</v>
      </c>
      <c r="I22" s="3">
        <f> součet hloubení sklad + figura + patky (25.5+4.85+1.75)</f>
        <v/>
      </c>
      <c r="J22" s="2" t="inlineStr"/>
      <c r="K22" s="3">
        <f> součet HSV-1 sklad hloubení</f>
        <v/>
      </c>
      <c r="L22" s="2" t="inlineStr">
        <is>
          <t>wrong_leaf_disambiguation_needed</t>
        </is>
      </c>
      <c r="M22" s="2" t="inlineStr"/>
    </row>
    <row r="23">
      <c r="A23" s="2" t="n">
        <v>22</v>
      </c>
      <c r="B23" s="2" t="inlineStr">
        <is>
          <t>HSV2.001</t>
        </is>
      </c>
      <c r="C23" s="2" t="inlineStr">
        <is>
          <t>260219_dum</t>
        </is>
      </c>
      <c r="D23" s="2" t="inlineStr">
        <is>
          <t>HSV-2 Základové a ŽB</t>
        </is>
      </c>
      <c r="E23" s="3" t="inlineStr">
        <is>
          <t>HSV-2 Základové a ŽB</t>
        </is>
      </c>
      <c r="F23" s="3" t="inlineStr">
        <is>
          <t>Bílá vana ČBS 02 — pata úhlové opěrné stěny 250×1200 mm × L=10 m, C25/30 XC3 XF1 XA1 CL0.4 Dmax22 S3</t>
        </is>
      </c>
      <c r="G23" s="2" t="inlineStr">
        <is>
          <t>m³</t>
        </is>
      </c>
      <c r="H23" s="2" t="n">
        <v>3</v>
      </c>
      <c r="I23" s="3" t="inlineStr">
        <is>
          <t>0.25 × 1.20 × 10 = 3.0</t>
        </is>
      </c>
      <c r="J23" s="2" t="inlineStr">
        <is>
          <t>274321321</t>
        </is>
      </c>
      <c r="K23" s="3" t="inlineStr">
        <is>
          <t>TZ statika §4 + §5.5 (bílá vana, ČBS 02 metodika)</t>
        </is>
      </c>
      <c r="L23" s="2" t="inlineStr">
        <is>
          <t>FAMILY_VERIFIED</t>
        </is>
      </c>
      <c r="M23" s="2" t="inlineStr"/>
    </row>
    <row r="24">
      <c r="A24" s="2" t="n">
        <v>23</v>
      </c>
      <c r="B24" s="2" t="inlineStr">
        <is>
          <t>HSV2.002</t>
        </is>
      </c>
      <c r="C24" s="2" t="inlineStr">
        <is>
          <t>260219_dum</t>
        </is>
      </c>
      <c r="D24" s="2" t="inlineStr">
        <is>
          <t>HSV-2 Základové a ŽB</t>
        </is>
      </c>
      <c r="E24" s="3" t="inlineStr">
        <is>
          <t>HSV-2 Základové a ŽB</t>
        </is>
      </c>
      <c r="F24" s="3" t="inlineStr">
        <is>
          <t>Bílá vana ČBS 02 — stěna úhlová tl. 250 mm × výška 2050 mm × L=10 m, beton C25/30 XC3 XF1 XA1 (trhliny max 0.20 mm)</t>
        </is>
      </c>
      <c r="G24" s="2" t="inlineStr">
        <is>
          <t>m³</t>
        </is>
      </c>
      <c r="H24" s="2" t="n">
        <v>5.12</v>
      </c>
      <c r="I24" s="3" t="inlineStr">
        <is>
          <t>0.25 × 2.05 × 10 = 5.13</t>
        </is>
      </c>
      <c r="J24" s="2" t="inlineStr">
        <is>
          <t>274321321</t>
        </is>
      </c>
      <c r="K24" s="3" t="inlineStr">
        <is>
          <t>TZ statika §5.5 — bílá vana A1 W0 Kon 1</t>
        </is>
      </c>
      <c r="L24" s="2" t="inlineStr">
        <is>
          <t>needs_production_lookup</t>
        </is>
      </c>
      <c r="M24" s="2" t="inlineStr"/>
    </row>
    <row r="25">
      <c r="A25" s="2" t="n">
        <v>24</v>
      </c>
      <c r="B25" s="2" t="inlineStr">
        <is>
          <t>HSV2.003a</t>
        </is>
      </c>
      <c r="C25" s="2" t="inlineStr">
        <is>
          <t>260219_dum</t>
        </is>
      </c>
      <c r="D25" s="2" t="inlineStr">
        <is>
          <t>HSV-2 Základové a ŽB</t>
        </is>
      </c>
      <c r="E25" s="3" t="inlineStr">
        <is>
          <t>HSV-2 Základové a ŽB</t>
        </is>
      </c>
      <c r="F25" s="3" t="inlineStr">
        <is>
          <t>Montáž — Systémové oboustranné bednění bílé vany — DOKA Framax / PERI MAXIMO, vč. těsnění pracovních spár bobtnavý pásek bentonit (TZ §5.5)</t>
        </is>
      </c>
      <c r="G25" s="2" t="inlineStr">
        <is>
          <t>m²</t>
        </is>
      </c>
      <c r="H25" s="2" t="n">
        <v>65</v>
      </c>
      <c r="I25" s="3" t="inlineStr">
        <is>
          <t>2×2.05×10 (svislé) + 2×1.20×10 (pata) = 41 + 24 = 65</t>
        </is>
      </c>
      <c r="J25" s="2" t="inlineStr"/>
      <c r="K25" s="3" t="inlineStr">
        <is>
          <t>TZ statika §5.5 + ČBS 02 — bobtnavý pásek + těsnící plech pracovní spáry</t>
        </is>
      </c>
      <c r="L25" s="2" t="inlineStr">
        <is>
          <t>wrong_leaf_274_family_lookup_required</t>
        </is>
      </c>
      <c r="M25" s="2" t="inlineStr"/>
    </row>
    <row r="26">
      <c r="A26" s="2" t="n">
        <v>25</v>
      </c>
      <c r="B26" s="2" t="inlineStr">
        <is>
          <t>HSV2.003b</t>
        </is>
      </c>
      <c r="C26" s="2" t="inlineStr">
        <is>
          <t>260219_dum</t>
        </is>
      </c>
      <c r="D26" s="2" t="inlineStr">
        <is>
          <t>HSV-2 Základové a ŽB</t>
        </is>
      </c>
      <c r="E26" s="3" t="inlineStr">
        <is>
          <t>HSV-2 Základové a ŽB</t>
        </is>
      </c>
      <c r="F26" s="3" t="inlineStr">
        <is>
          <t>Dodávka — Pronájem bednění (Systémové oboustranné bednění bílé vany — DOKA)</t>
        </is>
      </c>
      <c r="G26" s="2" t="inlineStr">
        <is>
          <t>m²</t>
        </is>
      </c>
      <c r="H26" s="2" t="n">
        <v>65</v>
      </c>
      <c r="I26" s="3">
        <f> montáž 1:1</f>
        <v/>
      </c>
      <c r="J26" s="2" t="inlineStr"/>
      <c r="K26" s="3" t="inlineStr">
        <is>
          <t>TZ statika §5.5 + ČBS 02 — bobtnavý pásek + těsnící plech pracovní spáry</t>
        </is>
      </c>
      <c r="L26" s="2" t="inlineStr">
        <is>
          <t>needs_lookup</t>
        </is>
      </c>
      <c r="M26" s="2" t="inlineStr"/>
    </row>
    <row r="27">
      <c r="A27" s="2" t="n">
        <v>26</v>
      </c>
      <c r="B27" s="2" t="inlineStr">
        <is>
          <t>HSV2.004a</t>
        </is>
      </c>
      <c r="C27" s="2" t="inlineStr">
        <is>
          <t>260219_dum</t>
        </is>
      </c>
      <c r="D27" s="2" t="inlineStr">
        <is>
          <t>HSV-2 Základové a ŽB</t>
        </is>
      </c>
      <c r="E27" s="3" t="inlineStr">
        <is>
          <t>HSV-2 Základové a ŽB</t>
        </is>
      </c>
      <c r="F27" s="3" t="inlineStr">
        <is>
          <t>Montáž — Výztuž bílé vany B500B 120 kg/m³ (empirická sazba Methvin pro úhlové opěrné stěny W0)</t>
        </is>
      </c>
      <c r="G27" s="2" t="inlineStr">
        <is>
          <t>kg</t>
        </is>
      </c>
      <c r="H27" s="2" t="n">
        <v>975</v>
      </c>
      <c r="I27" s="3" t="inlineStr">
        <is>
          <t>(3.0+5.13) × 120 = 976</t>
        </is>
      </c>
      <c r="J27" s="2" t="inlineStr">
        <is>
          <t>273361821</t>
        </is>
      </c>
      <c r="K27" s="3" t="inlineStr">
        <is>
          <t>TZ statika §5.5 + B4_productivity Methvin sazba 120 kg/m³ pro BV W0</t>
        </is>
      </c>
      <c r="L27" s="2" t="inlineStr">
        <is>
          <t>family_verified_leaf_needs_production_lookup</t>
        </is>
      </c>
      <c r="M27" s="2" t="inlineStr"/>
    </row>
    <row r="28">
      <c r="A28" s="2" t="n">
        <v>27</v>
      </c>
      <c r="B28" s="2" t="inlineStr">
        <is>
          <t>HSV2.004b</t>
        </is>
      </c>
      <c r="C28" s="2" t="inlineStr">
        <is>
          <t>260219_dum</t>
        </is>
      </c>
      <c r="D28" s="2" t="inlineStr">
        <is>
          <t>HSV-2 Základové a ŽB</t>
        </is>
      </c>
      <c r="E28" s="3" t="inlineStr">
        <is>
          <t>HSV-2 Základové a ŽB</t>
        </is>
      </c>
      <c r="F28" s="3" t="inlineStr">
        <is>
          <t>Dodávka — Dodávka betonářské oceli B500B (Výztuž bílé vany B500B 120 kg/m³ (empirická sa)</t>
        </is>
      </c>
      <c r="G28" s="2" t="inlineStr">
        <is>
          <t>kg</t>
        </is>
      </c>
      <c r="H28" s="2" t="n">
        <v>975</v>
      </c>
      <c r="I28" s="3">
        <f> montáž 1:1</f>
        <v/>
      </c>
      <c r="J28" s="2" t="inlineStr"/>
      <c r="K28" s="3" t="inlineStr">
        <is>
          <t>TZ statika §5.5 + B4_productivity Methvin sazba 120 kg/m³ pro BV W0</t>
        </is>
      </c>
      <c r="L28" s="2" t="inlineStr">
        <is>
          <t>needs_lookup</t>
        </is>
      </c>
      <c r="M28" s="2" t="inlineStr"/>
    </row>
    <row r="29">
      <c r="A29" s="2" t="n">
        <v>28</v>
      </c>
      <c r="B29" s="2" t="inlineStr">
        <is>
          <t>HSV2.005a</t>
        </is>
      </c>
      <c r="C29" s="2" t="inlineStr">
        <is>
          <t>260219_dum</t>
        </is>
      </c>
      <c r="D29" s="2" t="inlineStr">
        <is>
          <t>HSV-2 Základové a ŽB</t>
        </is>
      </c>
      <c r="E29" s="3" t="inlineStr">
        <is>
          <t>HSV-2 Základové a ŽB</t>
        </is>
      </c>
      <c r="F29" s="3" t="inlineStr">
        <is>
          <t>Montáž — Separační PE fólie pod základovou patou bílé vany (povinná dle ČBS 02)</t>
        </is>
      </c>
      <c r="G29" s="2" t="inlineStr">
        <is>
          <t>m²</t>
        </is>
      </c>
      <c r="H29" s="2" t="n">
        <v>13.2</v>
      </c>
      <c r="I29" s="3" t="inlineStr">
        <is>
          <t>1.20 × 10 × 1.10 přesah = 13.2</t>
        </is>
      </c>
      <c r="J29" s="2" t="inlineStr"/>
      <c r="K29" s="3" t="inlineStr">
        <is>
          <t>TZ statika §5.5 — separační fólie povinné pod základ BV</t>
        </is>
      </c>
      <c r="L29" s="2" t="inlineStr">
        <is>
          <t>wrong_leaf_disambiguation_needed</t>
        </is>
      </c>
      <c r="M29" s="2" t="inlineStr"/>
    </row>
    <row r="30">
      <c r="A30" s="2" t="n">
        <v>29</v>
      </c>
      <c r="B30" s="2" t="inlineStr">
        <is>
          <t>HSV2.005b</t>
        </is>
      </c>
      <c r="C30" s="2" t="inlineStr">
        <is>
          <t>260219_dum</t>
        </is>
      </c>
      <c r="D30" s="2" t="inlineStr">
        <is>
          <t>HSV-2 Základové a ŽB</t>
        </is>
      </c>
      <c r="E30" s="3" t="inlineStr">
        <is>
          <t>HSV-2 Základové a ŽB</t>
        </is>
      </c>
      <c r="F30" s="3" t="inlineStr">
        <is>
          <t>Dodávka — Dodávka folie/pásu (Separační PE fólie pod základovou patou bílé v)</t>
        </is>
      </c>
      <c r="G30" s="2" t="inlineStr">
        <is>
          <t>m²</t>
        </is>
      </c>
      <c r="H30" s="2" t="n">
        <v>14.52</v>
      </c>
      <c r="I30" s="3">
        <f> montáž × 1.10</f>
        <v/>
      </c>
      <c r="J30" s="2" t="inlineStr"/>
      <c r="K30" s="3" t="inlineStr">
        <is>
          <t>TZ statika §5.5 — separační fólie povinné pod základ BV</t>
        </is>
      </c>
      <c r="L30" s="2" t="inlineStr">
        <is>
          <t>needs_lookup</t>
        </is>
      </c>
      <c r="M30" s="2" t="inlineStr"/>
    </row>
    <row r="31">
      <c r="A31" s="2" t="n">
        <v>30</v>
      </c>
      <c r="B31" s="2" t="inlineStr">
        <is>
          <t>HSV2.006</t>
        </is>
      </c>
      <c r="C31" s="2" t="inlineStr">
        <is>
          <t>260219_dum</t>
        </is>
      </c>
      <c r="D31" s="2" t="inlineStr">
        <is>
          <t>HSV-2 Základové a ŽB</t>
        </is>
      </c>
      <c r="E31" s="3" t="inlineStr">
        <is>
          <t>HSV-2 Základové a ŽB</t>
        </is>
      </c>
      <c r="F31" s="3" t="inlineStr">
        <is>
          <t>Mokré ošetřování betonu bílé vany min. 7 dní dle ČSN EN 13670 + ČBS 02 (kontrola trhlin max 0.20 mm)</t>
        </is>
      </c>
      <c r="G31" s="2" t="inlineStr">
        <is>
          <t>m²</t>
        </is>
      </c>
      <c r="H31" s="2" t="n">
        <v>53</v>
      </c>
      <c r="I31" s="3" t="inlineStr">
        <is>
          <t>viditelná plocha BV pro ošetřování ~53</t>
        </is>
      </c>
      <c r="J31" s="2" t="inlineStr">
        <is>
          <t>279351102</t>
        </is>
      </c>
      <c r="K31" s="3" t="inlineStr">
        <is>
          <t>ČSN EN 13670 + TZ §5.5 — trhliny max 0.20 mm</t>
        </is>
      </c>
      <c r="L31" s="2" t="inlineStr">
        <is>
          <t>needs_production_lookup</t>
        </is>
      </c>
      <c r="M31" s="2" t="inlineStr"/>
    </row>
    <row r="32">
      <c r="A32" s="2" t="n">
        <v>31</v>
      </c>
      <c r="B32" s="2" t="inlineStr">
        <is>
          <t>HSV2.007</t>
        </is>
      </c>
      <c r="C32" s="2" t="inlineStr">
        <is>
          <t>260219_dum</t>
        </is>
      </c>
      <c r="D32" s="2" t="inlineStr">
        <is>
          <t>HSV-2 Základové a ŽB</t>
        </is>
      </c>
      <c r="E32" s="3" t="inlineStr">
        <is>
          <t>HSV-2 Základové a ŽB</t>
        </is>
      </c>
      <c r="F32" s="3" t="inlineStr">
        <is>
          <t>ŽB pozední věnec 300×250 mm po obvodu nadezdívky 3.NP, beton C25/30 XC1 + výztuž 100 kg/m³</t>
        </is>
      </c>
      <c r="G32" s="2" t="inlineStr">
        <is>
          <t>m³</t>
        </is>
      </c>
      <c r="H32" s="2" t="n">
        <v>2.9</v>
      </c>
      <c r="I32" s="3" t="inlineStr">
        <is>
          <t>0.30 × 0.25 × obvod 38.7 m (DXF km_R_návrh_tlustá 2 closed polygon area 91.28 m²) = 2.9 m³</t>
        </is>
      </c>
      <c r="J32" s="2" t="inlineStr">
        <is>
          <t>274321311</t>
        </is>
      </c>
      <c r="K32" s="3" t="inlineStr">
        <is>
          <t>TZ statika dům §4 + ARS pozední věnec po obvodu nadezdívky 3.NP + DXF external perimeter 38.70 m</t>
        </is>
      </c>
      <c r="L32" s="2" t="inlineStr">
        <is>
          <t>FAMILY_VERIFIED</t>
        </is>
      </c>
      <c r="M32" s="2" t="inlineStr"/>
    </row>
    <row r="33">
      <c r="A33" s="2" t="n">
        <v>32</v>
      </c>
      <c r="B33" s="2" t="inlineStr">
        <is>
          <t>HSV2.008a</t>
        </is>
      </c>
      <c r="C33" s="2" t="inlineStr">
        <is>
          <t>260219_dum</t>
        </is>
      </c>
      <c r="D33" s="2" t="inlineStr">
        <is>
          <t>HSV-2 Základové a ŽB</t>
        </is>
      </c>
      <c r="E33" s="3" t="inlineStr">
        <is>
          <t>HSV-2 Základové a ŽB</t>
        </is>
      </c>
      <c r="F33" s="3" t="inlineStr">
        <is>
          <t>Montáž — Bednění pozedního věnce systémové oboustranné</t>
        </is>
      </c>
      <c r="G33" s="2" t="inlineStr">
        <is>
          <t>m²</t>
        </is>
      </c>
      <c r="H33" s="2" t="n">
        <v>19.4</v>
      </c>
      <c r="I33" s="3" t="inlineStr">
        <is>
          <t>2 (oboustranné) × 0.25 m výška × obvod 38.7 m (DXF) = 19.4 m²</t>
        </is>
      </c>
      <c r="J33" s="2" t="inlineStr"/>
      <c r="K33" s="3" t="inlineStr">
        <is>
          <t>TZ statika dům §4 + DXF external perimeter</t>
        </is>
      </c>
      <c r="L33" s="2" t="inlineStr">
        <is>
          <t>wrong_leaf_274_family_lookup_required</t>
        </is>
      </c>
      <c r="M33" s="2" t="inlineStr"/>
    </row>
    <row r="34">
      <c r="A34" s="2" t="n">
        <v>33</v>
      </c>
      <c r="B34" s="2" t="inlineStr">
        <is>
          <t>HSV2.008b</t>
        </is>
      </c>
      <c r="C34" s="2" t="inlineStr">
        <is>
          <t>260219_dum</t>
        </is>
      </c>
      <c r="D34" s="2" t="inlineStr">
        <is>
          <t>HSV-2 Základové a ŽB</t>
        </is>
      </c>
      <c r="E34" s="3" t="inlineStr">
        <is>
          <t>HSV-2 Základové a ŽB</t>
        </is>
      </c>
      <c r="F34" s="3" t="inlineStr">
        <is>
          <t>Dodávka — Pronájem bednění (Bednění pozedního věnce systémové oboustranné)</t>
        </is>
      </c>
      <c r="G34" s="2" t="inlineStr">
        <is>
          <t>m²</t>
        </is>
      </c>
      <c r="H34" s="2" t="n">
        <v>19.4</v>
      </c>
      <c r="I34" s="3">
        <f> montáž 1:1</f>
        <v/>
      </c>
      <c r="J34" s="2" t="inlineStr"/>
      <c r="K34" s="3" t="inlineStr">
        <is>
          <t>TZ statika dům §4 + DXF external perimeter</t>
        </is>
      </c>
      <c r="L34" s="2" t="inlineStr">
        <is>
          <t>needs_lookup</t>
        </is>
      </c>
      <c r="M34" s="2" t="inlineStr"/>
    </row>
    <row r="35">
      <c r="A35" s="2" t="n">
        <v>34</v>
      </c>
      <c r="B35" s="2" t="inlineStr">
        <is>
          <t>HSV2.009a</t>
        </is>
      </c>
      <c r="C35" s="2" t="inlineStr">
        <is>
          <t>260219_dum</t>
        </is>
      </c>
      <c r="D35" s="2" t="inlineStr">
        <is>
          <t>HSV-2 Základové a ŽB</t>
        </is>
      </c>
      <c r="E35" s="3" t="inlineStr">
        <is>
          <t>HSV-2 Základové a ŽB</t>
        </is>
      </c>
      <c r="F35" s="3" t="inlineStr">
        <is>
          <t>Montáž — Výztuž B500B věnce 100 kg/m³ (Methvin sazba pro pozední věnce)</t>
        </is>
      </c>
      <c r="G35" s="2" t="inlineStr">
        <is>
          <t>kg</t>
        </is>
      </c>
      <c r="H35" s="2" t="n">
        <v>310</v>
      </c>
      <c r="I35" s="3" t="inlineStr">
        <is>
          <t>3.1 × 100 = 310</t>
        </is>
      </c>
      <c r="J35" s="2" t="inlineStr">
        <is>
          <t>273361821</t>
        </is>
      </c>
      <c r="K35" s="3" t="inlineStr">
        <is>
          <t>B4_productivity Methvin pozední věnec ~100 kg/m³</t>
        </is>
      </c>
      <c r="L35" s="2" t="inlineStr">
        <is>
          <t>needs_production_lookup</t>
        </is>
      </c>
      <c r="M35" s="2" t="inlineStr"/>
    </row>
    <row r="36">
      <c r="A36" s="2" t="n">
        <v>35</v>
      </c>
      <c r="B36" s="2" t="inlineStr">
        <is>
          <t>HSV2.009b</t>
        </is>
      </c>
      <c r="C36" s="2" t="inlineStr">
        <is>
          <t>260219_dum</t>
        </is>
      </c>
      <c r="D36" s="2" t="inlineStr">
        <is>
          <t>HSV-2 Základové a ŽB</t>
        </is>
      </c>
      <c r="E36" s="3" t="inlineStr">
        <is>
          <t>HSV-2 Základové a ŽB</t>
        </is>
      </c>
      <c r="F36" s="3" t="inlineStr">
        <is>
          <t>Dodávka — Dodávka betonářské oceli B500B (Výztuž B500B věnce 100 kg/m³ (Methvin sazba pr)</t>
        </is>
      </c>
      <c r="G36" s="2" t="inlineStr">
        <is>
          <t>kg</t>
        </is>
      </c>
      <c r="H36" s="2" t="n">
        <v>310</v>
      </c>
      <c r="I36" s="3">
        <f> montáž 1:1</f>
        <v/>
      </c>
      <c r="J36" s="2" t="inlineStr"/>
      <c r="K36" s="3" t="inlineStr">
        <is>
          <t>B4_productivity Methvin pozední věnec ~100 kg/m³</t>
        </is>
      </c>
      <c r="L36" s="2" t="inlineStr">
        <is>
          <t>needs_lookup</t>
        </is>
      </c>
      <c r="M36" s="2" t="inlineStr"/>
    </row>
    <row r="37">
      <c r="A37" s="2" t="n">
        <v>36</v>
      </c>
      <c r="B37" s="2" t="inlineStr">
        <is>
          <t>HSV2.010</t>
        </is>
      </c>
      <c r="C37" s="2" t="inlineStr">
        <is>
          <t>260219_dum</t>
        </is>
      </c>
      <c r="D37" s="2" t="inlineStr">
        <is>
          <t>HSV-2 Základové a ŽB</t>
        </is>
      </c>
      <c r="E37" s="3" t="inlineStr">
        <is>
          <t>HSV-2 Základové a ŽB</t>
        </is>
      </c>
      <c r="F37" s="3" t="inlineStr">
        <is>
          <t>Nabetonávka stropu 2.NP/3.NP — beton C25/30 XC1 tl. 60 mm nad vlnu trapézového plechu 40S/160</t>
        </is>
      </c>
      <c r="G37" s="2" t="inlineStr">
        <is>
          <t>m³</t>
        </is>
      </c>
      <c r="H37" s="2" t="n">
        <v>6.26</v>
      </c>
      <c r="I37" s="3" t="inlineStr">
        <is>
          <t>104.4 m² × 0.06 m = 6.26</t>
        </is>
      </c>
      <c r="J37" s="2" t="inlineStr">
        <is>
          <t>274321111</t>
        </is>
      </c>
      <c r="K37" s="3" t="inlineStr">
        <is>
          <t>TZ statika §4 — ocelobetonový strop, nabetonávka 60 mm C25/30 XC1</t>
        </is>
      </c>
      <c r="L37" s="2" t="inlineStr">
        <is>
          <t>FAMILY_VERIFIED</t>
        </is>
      </c>
      <c r="M37" s="2" t="inlineStr">
        <is>
          <t>S09</t>
        </is>
      </c>
    </row>
    <row r="38">
      <c r="A38" s="2" t="n">
        <v>37</v>
      </c>
      <c r="B38" s="2" t="inlineStr">
        <is>
          <t>HSV2.011</t>
        </is>
      </c>
      <c r="C38" s="2" t="inlineStr">
        <is>
          <t>260219_dum</t>
        </is>
      </c>
      <c r="D38" s="2" t="inlineStr">
        <is>
          <t>HSV-2 Základové a ŽB</t>
        </is>
      </c>
      <c r="E38" s="3" t="inlineStr">
        <is>
          <t>HSV-2 Základové a ŽB</t>
        </is>
      </c>
      <c r="F38" s="3" t="inlineStr">
        <is>
          <t>Výztuž nabetonávky kari síť 5/100/100 (cca 4.4 kg/m²)</t>
        </is>
      </c>
      <c r="G38" s="2" t="inlineStr">
        <is>
          <t>kg</t>
        </is>
      </c>
      <c r="H38" s="2" t="n">
        <v>459</v>
      </c>
      <c r="I38" s="3" t="inlineStr">
        <is>
          <t>104.4 m² × 4.4 kg/m² = 459</t>
        </is>
      </c>
      <c r="J38" s="2" t="inlineStr">
        <is>
          <t>273362441</t>
        </is>
      </c>
      <c r="K38" s="3" t="inlineStr">
        <is>
          <t>ČSN EN 1992-1 + B4_productivity kari pro nabetonávku 60 mm</t>
        </is>
      </c>
      <c r="L38" s="2" t="inlineStr">
        <is>
          <t>needs_production_lookup</t>
        </is>
      </c>
      <c r="M38" s="2" t="inlineStr">
        <is>
          <t>S09</t>
        </is>
      </c>
    </row>
    <row r="39">
      <c r="A39" s="2" t="n">
        <v>38</v>
      </c>
      <c r="B39" s="2" t="inlineStr">
        <is>
          <t>HSV2.012</t>
        </is>
      </c>
      <c r="C39" s="2" t="inlineStr">
        <is>
          <t>260219_dum</t>
        </is>
      </c>
      <c r="D39" s="2" t="inlineStr">
        <is>
          <t>HSV-2 Základové a ŽB</t>
        </is>
      </c>
      <c r="E39" s="3" t="inlineStr">
        <is>
          <t>HSV-2 Základové a ŽB</t>
        </is>
      </c>
      <c r="F39" s="3" t="inlineStr">
        <is>
          <t>ŽB deska podlahy 1.NP na terénu tl. 150 mm, C25/30 XC2 + vyztužení kari 6/150/150 + okrajové pruty</t>
        </is>
      </c>
      <c r="G39" s="2" t="inlineStr">
        <is>
          <t>m³</t>
        </is>
      </c>
      <c r="H39" s="2" t="n">
        <v>10.96</v>
      </c>
      <c r="I39" s="3" t="inlineStr">
        <is>
          <t>104.4 × 0.7 (rozsah 1.NP) × 0.15 = ~11.0</t>
        </is>
      </c>
      <c r="J39" s="2" t="inlineStr">
        <is>
          <t>273321311</t>
        </is>
      </c>
      <c r="K39" s="3" t="inlineStr">
        <is>
          <t>TZ statika dům §4 + ARS § podlaha 1.NP zhutněné lože + ŽB deska + EPS 150 + potěr</t>
        </is>
      </c>
      <c r="L39" s="2" t="inlineStr">
        <is>
          <t>FAMILY_VERIFIED</t>
        </is>
      </c>
      <c r="M39" s="2" t="inlineStr">
        <is>
          <t>S05</t>
        </is>
      </c>
    </row>
    <row r="40">
      <c r="A40" s="2" t="n">
        <v>39</v>
      </c>
      <c r="B40" s="2" t="inlineStr">
        <is>
          <t>HSV2.013a</t>
        </is>
      </c>
      <c r="C40" s="2" t="inlineStr">
        <is>
          <t>260219_dum</t>
        </is>
      </c>
      <c r="D40" s="2" t="inlineStr">
        <is>
          <t>HSV-2 Základové a ŽB</t>
        </is>
      </c>
      <c r="E40" s="3" t="inlineStr">
        <is>
          <t>HSV-2 Základové a ŽB</t>
        </is>
      </c>
      <c r="F40" s="3" t="inlineStr">
        <is>
          <t>Montáž — Výztuž ŽB desky 1.NP — kari 6/150/150 + B500B okrajové pruty (~75 kg/m³ Methvin)</t>
        </is>
      </c>
      <c r="G40" s="2" t="inlineStr">
        <is>
          <t>kg</t>
        </is>
      </c>
      <c r="H40" s="2" t="n">
        <v>825</v>
      </c>
      <c r="I40" s="3" t="inlineStr">
        <is>
          <t>11.0 × 75 = 825</t>
        </is>
      </c>
      <c r="J40" s="2" t="inlineStr">
        <is>
          <t>273361821</t>
        </is>
      </c>
      <c r="K40" s="3" t="inlineStr">
        <is>
          <t>B4_productivity Methvin deska na terénu ~75 kg/m³</t>
        </is>
      </c>
      <c r="L40" s="2" t="inlineStr">
        <is>
          <t>needs_production_lookup</t>
        </is>
      </c>
      <c r="M40" s="2" t="inlineStr">
        <is>
          <t>S05</t>
        </is>
      </c>
    </row>
    <row r="41">
      <c r="A41" s="2" t="n">
        <v>40</v>
      </c>
      <c r="B41" s="2" t="inlineStr">
        <is>
          <t>HSV2.013b</t>
        </is>
      </c>
      <c r="C41" s="2" t="inlineStr">
        <is>
          <t>260219_dum</t>
        </is>
      </c>
      <c r="D41" s="2" t="inlineStr">
        <is>
          <t>HSV-2 Základové a ŽB</t>
        </is>
      </c>
      <c r="E41" s="3" t="inlineStr">
        <is>
          <t>HSV-2 Základové a ŽB</t>
        </is>
      </c>
      <c r="F41" s="3" t="inlineStr">
        <is>
          <t>Dodávka — Dodávka betonářské oceli B500B (Výztuž ŽB desky 1.NP — kari 6/150/150 + B500B )</t>
        </is>
      </c>
      <c r="G41" s="2" t="inlineStr">
        <is>
          <t>kg</t>
        </is>
      </c>
      <c r="H41" s="2" t="n">
        <v>825</v>
      </c>
      <c r="I41" s="3">
        <f> montáž 1:1</f>
        <v/>
      </c>
      <c r="J41" s="2" t="inlineStr"/>
      <c r="K41" s="3" t="inlineStr">
        <is>
          <t>B4_productivity Methvin deska na terénu ~75 kg/m³</t>
        </is>
      </c>
      <c r="L41" s="2" t="inlineStr">
        <is>
          <t>needs_lookup</t>
        </is>
      </c>
      <c r="M41" s="2" t="inlineStr">
        <is>
          <t>S05</t>
        </is>
      </c>
    </row>
    <row r="42">
      <c r="A42" s="2" t="n">
        <v>41</v>
      </c>
      <c r="B42" s="2" t="inlineStr">
        <is>
          <t>HSV2.001</t>
        </is>
      </c>
      <c r="C42" s="2" t="inlineStr">
        <is>
          <t>260217_sklad</t>
        </is>
      </c>
      <c r="D42" s="2" t="inlineStr">
        <is>
          <t>HSV-2 Základové a ŽB</t>
        </is>
      </c>
      <c r="E42" s="3" t="inlineStr">
        <is>
          <t>HSV-2 Základové a ŽB</t>
        </is>
      </c>
      <c r="F42" s="3" t="inlineStr">
        <is>
          <t>Základové pasy z prostého betonu C16/20 XC0, 500×500 mm po obvodu skladu (nezámrzná hl.)</t>
        </is>
      </c>
      <c r="G42" s="2" t="inlineStr">
        <is>
          <t>m³</t>
        </is>
      </c>
      <c r="H42" s="2" t="n">
        <v>4.84</v>
      </c>
      <c r="I42" s="3" t="inlineStr">
        <is>
          <t>0.5 × 0.5 × 19.4 obvod = 4.85</t>
        </is>
      </c>
      <c r="J42" s="2" t="inlineStr"/>
      <c r="K42" s="3" t="inlineStr">
        <is>
          <t>DXF sklad_DPZ + TZ statika sklad §4 — C16/20 XC0 pasy 500×500</t>
        </is>
      </c>
      <c r="L42" s="2" t="inlineStr">
        <is>
          <t>wrong_leaf_disambiguation_needed</t>
        </is>
      </c>
      <c r="M42" s="2" t="inlineStr">
        <is>
          <t>S03a_sklad, S03b_sklad</t>
        </is>
      </c>
    </row>
    <row r="43">
      <c r="A43" s="2" t="n">
        <v>42</v>
      </c>
      <c r="B43" s="2" t="inlineStr">
        <is>
          <t>HSV2.002</t>
        </is>
      </c>
      <c r="C43" s="2" t="inlineStr">
        <is>
          <t>260217_sklad</t>
        </is>
      </c>
      <c r="D43" s="2" t="inlineStr">
        <is>
          <t>HSV-2 Základové a ŽB</t>
        </is>
      </c>
      <c r="E43" s="3" t="inlineStr">
        <is>
          <t>HSV-2 Základové a ŽB</t>
        </is>
      </c>
      <c r="F43" s="3" t="inlineStr">
        <is>
          <t>Dvoustupňové patky pro IPE180 zastřešení parkingu — spodní část prostý beton C16/20 500×500×500 mm × 7 ks</t>
        </is>
      </c>
      <c r="G43" s="2" t="inlineStr">
        <is>
          <t>ks</t>
        </is>
      </c>
      <c r="H43" s="2" t="n">
        <v>7</v>
      </c>
      <c r="I43" s="3" t="inlineStr">
        <is>
          <t>DXF: 7 ks (rozteč 1000 mm × 7000 mm parking délka)</t>
        </is>
      </c>
      <c r="J43" s="2" t="inlineStr">
        <is>
          <t>273313811</t>
        </is>
      </c>
      <c r="K43" s="3" t="inlineStr">
        <is>
          <t>DXF sklad_DPZ LWPOLYLINE 7000 mm + rozteč 1000 mm = 7 patek</t>
        </is>
      </c>
      <c r="L43" s="2" t="inlineStr">
        <is>
          <t>FAMILY_VERIFIED</t>
        </is>
      </c>
      <c r="M43" s="2" t="inlineStr"/>
    </row>
    <row r="44">
      <c r="A44" s="2" t="n">
        <v>43</v>
      </c>
      <c r="B44" s="2" t="inlineStr">
        <is>
          <t>HSV2.003a</t>
        </is>
      </c>
      <c r="C44" s="2" t="inlineStr">
        <is>
          <t>260217_sklad</t>
        </is>
      </c>
      <c r="D44" s="2" t="inlineStr">
        <is>
          <t>HSV-2 Základové a ŽB</t>
        </is>
      </c>
      <c r="E44" s="3" t="inlineStr">
        <is>
          <t>HSV-2 Základové a ŽB</t>
        </is>
      </c>
      <c r="F44" s="3" t="inlineStr">
        <is>
          <t>Montáž — Dvoustupňové patky pro IPE180 — horní část z tvarovek ztraceného bednění 300×300 mm × 7 ks</t>
        </is>
      </c>
      <c r="G44" s="2" t="inlineStr">
        <is>
          <t>ks</t>
        </is>
      </c>
      <c r="H44" s="2" t="n">
        <v>7</v>
      </c>
      <c r="I44" s="3" t="inlineStr">
        <is>
          <t>7 ks (= spodní)</t>
        </is>
      </c>
      <c r="J44" s="2" t="inlineStr">
        <is>
          <t>311233812</t>
        </is>
      </c>
      <c r="K44" s="3" t="inlineStr">
        <is>
          <t>TZ statika sklad §4 — dvoustupňová konstrukce</t>
        </is>
      </c>
      <c r="L44" s="2" t="inlineStr">
        <is>
          <t>needs_production_lookup</t>
        </is>
      </c>
      <c r="M44" s="2" t="inlineStr"/>
    </row>
    <row r="45">
      <c r="A45" s="2" t="n">
        <v>44</v>
      </c>
      <c r="B45" s="2" t="inlineStr">
        <is>
          <t>HSV2.003b</t>
        </is>
      </c>
      <c r="C45" s="2" t="inlineStr">
        <is>
          <t>260217_sklad</t>
        </is>
      </c>
      <c r="D45" s="2" t="inlineStr">
        <is>
          <t>HSV-2 Základové a ŽB</t>
        </is>
      </c>
      <c r="E45" s="3" t="inlineStr">
        <is>
          <t>HSV-2 Základové a ŽB</t>
        </is>
      </c>
      <c r="F45" s="3" t="inlineStr">
        <is>
          <t>Dodávka — Dodávka oceli S235 (válcované profily) (Dvoustupňové patky pro IPE180 — horní část z t)</t>
        </is>
      </c>
      <c r="G45" s="2" t="inlineStr">
        <is>
          <t>ks</t>
        </is>
      </c>
      <c r="H45" s="2" t="n">
        <v>7.21</v>
      </c>
      <c r="I45" s="3">
        <f> montáž × 1.03</f>
        <v/>
      </c>
      <c r="J45" s="2" t="inlineStr"/>
      <c r="K45" s="3" t="inlineStr">
        <is>
          <t>TZ statika sklad §4 — dvoustupňová konstrukce</t>
        </is>
      </c>
      <c r="L45" s="2" t="inlineStr">
        <is>
          <t>needs_lookup</t>
        </is>
      </c>
      <c r="M45" s="2" t="inlineStr"/>
    </row>
    <row r="46">
      <c r="A46" s="2" t="n">
        <v>45</v>
      </c>
      <c r="B46" s="2" t="inlineStr">
        <is>
          <t>HSV2.004</t>
        </is>
      </c>
      <c r="C46" s="2" t="inlineStr">
        <is>
          <t>260217_sklad</t>
        </is>
      </c>
      <c r="D46" s="2" t="inlineStr">
        <is>
          <t>HSV-2 Základové a ŽB</t>
        </is>
      </c>
      <c r="E46" s="3" t="inlineStr">
        <is>
          <t>HSV-2 Základové a ŽB</t>
        </is>
      </c>
      <c r="F46" s="3" t="inlineStr">
        <is>
          <t>Beton C25/30 XC3 XF1 XA1 pro zalití tvarovek ZB patek + lemujících zídek parkingu</t>
        </is>
      </c>
      <c r="G46" s="2" t="inlineStr">
        <is>
          <t>m³</t>
        </is>
      </c>
      <c r="H46" s="2" t="n">
        <v>1.8</v>
      </c>
      <c r="I46" s="3" t="inlineStr">
        <is>
          <t>patky horní (0.3×0.3×0.5×7) + zídka (odhad ~1 m³)</t>
        </is>
      </c>
      <c r="J46" s="2" t="inlineStr">
        <is>
          <t>273321321</t>
        </is>
      </c>
      <c r="K46" s="3" t="inlineStr">
        <is>
          <t>TZ statika sklad §4 — C25/30 XC3 XF1 XA1 pro vyztužené konstrukce</t>
        </is>
      </c>
      <c r="L46" s="2" t="inlineStr">
        <is>
          <t>needs_production_lookup</t>
        </is>
      </c>
      <c r="M46" s="2" t="inlineStr"/>
    </row>
    <row r="47">
      <c r="A47" s="2" t="n">
        <v>46</v>
      </c>
      <c r="B47" s="2" t="inlineStr">
        <is>
          <t>HSV2.005</t>
        </is>
      </c>
      <c r="C47" s="2" t="inlineStr">
        <is>
          <t>260217_sklad</t>
        </is>
      </c>
      <c r="D47" s="2" t="inlineStr">
        <is>
          <t>HSV-2 Základové a ŽB</t>
        </is>
      </c>
      <c r="E47" s="3" t="inlineStr">
        <is>
          <t>HSV-2 Základové a ŽB</t>
        </is>
      </c>
      <c r="F47" s="3" t="inlineStr">
        <is>
          <t>Štěrkopískové lože pod podlahu skladu + pod schodišťovou desku</t>
        </is>
      </c>
      <c r="G47" s="2" t="inlineStr">
        <is>
          <t>m³</t>
        </is>
      </c>
      <c r="H47" s="2" t="n">
        <v>1.76</v>
      </c>
      <c r="I47" s="3" t="inlineStr">
        <is>
          <t>podlaha sklad 17.6 m² (legenda) × 0.10 m kladecí kamenná drť</t>
        </is>
      </c>
      <c r="J47" s="2" t="inlineStr">
        <is>
          <t>174101101</t>
        </is>
      </c>
      <c r="K47" s="3" t="inlineStr">
        <is>
          <t>DXF + TZ statika sklad</t>
        </is>
      </c>
      <c r="L47" s="2" t="inlineStr">
        <is>
          <t>CROSS_DISCIPLINE_OK</t>
        </is>
      </c>
      <c r="M47" s="2" t="inlineStr">
        <is>
          <t>S01_sklad, S05_sklad</t>
        </is>
      </c>
    </row>
    <row r="48">
      <c r="A48" s="2" t="n">
        <v>47</v>
      </c>
      <c r="B48" s="2" t="inlineStr">
        <is>
          <t>HSV2.006</t>
        </is>
      </c>
      <c r="C48" s="2" t="inlineStr">
        <is>
          <t>260217_sklad</t>
        </is>
      </c>
      <c r="D48" s="2" t="inlineStr">
        <is>
          <t>HSV-2 Základové a ŽB</t>
        </is>
      </c>
      <c r="E48" s="3" t="inlineStr">
        <is>
          <t>HSV-2 Základové a ŽB</t>
        </is>
      </c>
      <c r="F48" s="3" t="inlineStr">
        <is>
          <t>ŽB schodišťová deska ve sklonu + základový pas — beton C25/30 XC3 (terén ke skladu)</t>
        </is>
      </c>
      <c r="G48" s="2" t="inlineStr">
        <is>
          <t>m³</t>
        </is>
      </c>
      <c r="H48" s="2" t="n">
        <v>0.8</v>
      </c>
      <c r="I48" s="3" t="inlineStr">
        <is>
          <t>odhad 3 m schodů × 0.8 × 0.30 = 0.72 (ručně)</t>
        </is>
      </c>
      <c r="J48" s="2" t="inlineStr">
        <is>
          <t>273361821</t>
        </is>
      </c>
      <c r="K48" s="3" t="inlineStr">
        <is>
          <t>TZ statika sklad §4 — prefa schodové dílce + ŽB pas</t>
        </is>
      </c>
      <c r="L48" s="2" t="inlineStr">
        <is>
          <t>needs_production_lookup</t>
        </is>
      </c>
      <c r="M48" s="2" t="inlineStr">
        <is>
          <t>S05_sklad</t>
        </is>
      </c>
    </row>
    <row r="49">
      <c r="A49" s="2" t="n">
        <v>48</v>
      </c>
      <c r="B49" s="2" t="inlineStr">
        <is>
          <t>HSV3.001</t>
        </is>
      </c>
      <c r="C49" s="2" t="inlineStr">
        <is>
          <t>260219_dum</t>
        </is>
      </c>
      <c r="D49" s="2" t="inlineStr">
        <is>
          <t>HSV-3 Svislé konstrukce</t>
        </is>
      </c>
      <c r="E49" s="3" t="inlineStr">
        <is>
          <t>HSV-3 Svislé konstrukce</t>
        </is>
      </c>
      <c r="F49" s="3" t="inlineStr">
        <is>
          <t>Lokální dozdívky a přizdívky z cihel plných pálených P10 na MVC M10 (uvedeno v TZ statika §4)</t>
        </is>
      </c>
      <c r="G49" s="2" t="inlineStr">
        <is>
          <t>m³</t>
        </is>
      </c>
      <c r="H49" s="2" t="n">
        <v>4</v>
      </c>
      <c r="I49" s="3" t="inlineStr">
        <is>
          <t>odhad — drobné dozdívky kolem nových otvorů 1.NP/2.NP</t>
        </is>
      </c>
      <c r="J49" s="2" t="inlineStr">
        <is>
          <t>311232511</t>
        </is>
      </c>
      <c r="K49" s="3" t="inlineStr">
        <is>
          <t>TZ statika dům §4 — P10 na MVC M10 dozdívky</t>
        </is>
      </c>
      <c r="L49" s="2" t="inlineStr">
        <is>
          <t>needs_production_lookup</t>
        </is>
      </c>
      <c r="M49" s="2" t="inlineStr">
        <is>
          <t>S01, S02</t>
        </is>
      </c>
    </row>
    <row r="50">
      <c r="A50" s="2" t="n">
        <v>49</v>
      </c>
      <c r="B50" s="2" t="inlineStr">
        <is>
          <t>HSV3.002</t>
        </is>
      </c>
      <c r="C50" s="2" t="inlineStr">
        <is>
          <t>260219_dum</t>
        </is>
      </c>
      <c r="D50" s="2" t="inlineStr">
        <is>
          <t>HSV-3 Svislé konstrukce</t>
        </is>
      </c>
      <c r="E50" s="3" t="inlineStr">
        <is>
          <t>HSV-3 Svislé konstrukce</t>
        </is>
      </c>
      <c r="F50" s="3" t="inlineStr">
        <is>
          <t>Nadezdívka 3.NP a čela vikýřů — Porotherm 30 Profi P10 na maltu pro tenké spáry, výška 2.65 m</t>
        </is>
      </c>
      <c r="G50" s="2" t="inlineStr">
        <is>
          <t>m²</t>
        </is>
      </c>
      <c r="H50" s="2" t="n">
        <v>71.8</v>
      </c>
      <c r="I50" s="3" t="inlineStr">
        <is>
          <t>obvod 38.7 m (DXF km_R_návrh_tlustá 2) × výška 2.65 m × 0.7 (sníženo o štíty zachované — řadovka) = 71.8 m²</t>
        </is>
      </c>
      <c r="J50" s="2" t="inlineStr">
        <is>
          <t>311321411</t>
        </is>
      </c>
      <c r="K50" s="3" t="inlineStr">
        <is>
          <t>TZ statika dům §4 + ARS — nástavba 3.NP + DXF external perimeter 38.70 m</t>
        </is>
      </c>
      <c r="L50" s="2" t="inlineStr">
        <is>
          <t>carried_verified</t>
        </is>
      </c>
      <c r="M50" s="2" t="inlineStr">
        <is>
          <t>S12</t>
        </is>
      </c>
    </row>
    <row r="51">
      <c r="A51" s="2" t="n">
        <v>50</v>
      </c>
      <c r="B51" s="2" t="inlineStr">
        <is>
          <t>HSV3.003a</t>
        </is>
      </c>
      <c r="C51" s="2" t="inlineStr">
        <is>
          <t>260219_dum</t>
        </is>
      </c>
      <c r="D51" s="2" t="inlineStr">
        <is>
          <t>HSV-3 Svislé konstrukce</t>
        </is>
      </c>
      <c r="E51" s="3" t="inlineStr">
        <is>
          <t>HSV-3 Svislé konstrukce</t>
        </is>
      </c>
      <c r="F51" s="3" t="inlineStr">
        <is>
          <t>Montáž — Ocelové překlady IPN160 ve dvojici nad otvory pro nové dveře/okna v 1.NP a 2.NP (8 otvorů odhad)</t>
        </is>
      </c>
      <c r="G51" s="2" t="inlineStr">
        <is>
          <t>ks</t>
        </is>
      </c>
      <c r="H51" s="2" t="n">
        <v>8</v>
      </c>
      <c r="I51" s="3" t="inlineStr">
        <is>
          <t>odhad 8 nových otvorů × 2 IPN160 (dvojice)</t>
        </is>
      </c>
      <c r="J51" s="2" t="inlineStr">
        <is>
          <t>317143112</t>
        </is>
      </c>
      <c r="K51" s="3" t="inlineStr">
        <is>
          <t>TZ statika dům §4 — IPN160 dvojice s uložením 200 mm do maltového lože 50 mm s kari 5/100/100</t>
        </is>
      </c>
      <c r="L51" s="2" t="inlineStr">
        <is>
          <t>family_verified_leaf_needs_production_lookup</t>
        </is>
      </c>
      <c r="M51" s="2" t="inlineStr">
        <is>
          <t>S01</t>
        </is>
      </c>
    </row>
    <row r="52">
      <c r="A52" s="2" t="n">
        <v>51</v>
      </c>
      <c r="B52" s="2" t="inlineStr">
        <is>
          <t>HSV3.003b</t>
        </is>
      </c>
      <c r="C52" s="2" t="inlineStr">
        <is>
          <t>260219_dum</t>
        </is>
      </c>
      <c r="D52" s="2" t="inlineStr">
        <is>
          <t>HSV-3 Svislé konstrukce</t>
        </is>
      </c>
      <c r="E52" s="3" t="inlineStr">
        <is>
          <t>HSV-3 Svislé konstrukce</t>
        </is>
      </c>
      <c r="F52" s="3" t="inlineStr">
        <is>
          <t>Dodávka — Dodávka oceli S235 (válcované profily) (Ocelové překlady IPN160 ve dvojici nad otvory )</t>
        </is>
      </c>
      <c r="G52" s="2" t="inlineStr">
        <is>
          <t>ks</t>
        </is>
      </c>
      <c r="H52" s="2" t="n">
        <v>8.24</v>
      </c>
      <c r="I52" s="3">
        <f> montáž × 1.03</f>
        <v/>
      </c>
      <c r="J52" s="2" t="inlineStr"/>
      <c r="K52" s="3" t="inlineStr">
        <is>
          <t>TZ statika dům §4 — IPN160 dvojice s uložením 200 mm do maltového lože 50 mm s kari 5/100/100</t>
        </is>
      </c>
      <c r="L52" s="2" t="inlineStr">
        <is>
          <t>needs_lookup</t>
        </is>
      </c>
      <c r="M52" s="2" t="inlineStr">
        <is>
          <t>S01</t>
        </is>
      </c>
    </row>
    <row r="53">
      <c r="A53" s="2" t="n">
        <v>52</v>
      </c>
      <c r="B53" s="2" t="inlineStr">
        <is>
          <t>HSV3.004a</t>
        </is>
      </c>
      <c r="C53" s="2" t="inlineStr">
        <is>
          <t>260219_dum</t>
        </is>
      </c>
      <c r="D53" s="2" t="inlineStr">
        <is>
          <t>HSV-3 Svislé konstrukce</t>
        </is>
      </c>
      <c r="E53" s="3" t="inlineStr">
        <is>
          <t>HSV-3 Svislé konstrukce</t>
        </is>
      </c>
      <c r="F53" s="3" t="inlineStr">
        <is>
          <t>Montáž — Maltové uložení překladů IPN160 — MC25 tl. 50 mm + kari 5/100/100 (po obou stranách otvoru)</t>
        </is>
      </c>
      <c r="G53" s="2" t="inlineStr">
        <is>
          <t>kpl</t>
        </is>
      </c>
      <c r="H53" s="2" t="n">
        <v>16</v>
      </c>
      <c r="I53" s="3" t="inlineStr">
        <is>
          <t>8 otvorů × 2 strany = 16 uložení</t>
        </is>
      </c>
      <c r="J53" s="2" t="inlineStr">
        <is>
          <t>317242421</t>
        </is>
      </c>
      <c r="K53" s="3" t="inlineStr">
        <is>
          <t>TZ statika dům §4 — detail uložení IPN160</t>
        </is>
      </c>
      <c r="L53" s="2" t="inlineStr">
        <is>
          <t>needs_production_lookup</t>
        </is>
      </c>
      <c r="M53" s="2" t="inlineStr">
        <is>
          <t>S01</t>
        </is>
      </c>
    </row>
    <row r="54">
      <c r="A54" s="2" t="n">
        <v>53</v>
      </c>
      <c r="B54" s="2" t="inlineStr">
        <is>
          <t>HSV3.004b</t>
        </is>
      </c>
      <c r="C54" s="2" t="inlineStr">
        <is>
          <t>260219_dum</t>
        </is>
      </c>
      <c r="D54" s="2" t="inlineStr">
        <is>
          <t>HSV-3 Svislé konstrukce</t>
        </is>
      </c>
      <c r="E54" s="3" t="inlineStr">
        <is>
          <t>HSV-3 Svislé konstrukce</t>
        </is>
      </c>
      <c r="F54" s="3" t="inlineStr">
        <is>
          <t>Dodávka — Dodávka betonářské oceli B500B (Maltové uložení překladů IPN160 — MC25 tl. 50 )</t>
        </is>
      </c>
      <c r="G54" s="2" t="inlineStr">
        <is>
          <t>kpl</t>
        </is>
      </c>
      <c r="H54" s="2" t="n">
        <v>16</v>
      </c>
      <c r="I54" s="3">
        <f> montáž 1:1</f>
        <v/>
      </c>
      <c r="J54" s="2" t="inlineStr"/>
      <c r="K54" s="3" t="inlineStr">
        <is>
          <t>TZ statika dům §4 — detail uložení IPN160</t>
        </is>
      </c>
      <c r="L54" s="2" t="inlineStr">
        <is>
          <t>needs_lookup</t>
        </is>
      </c>
      <c r="M54" s="2" t="inlineStr">
        <is>
          <t>S01</t>
        </is>
      </c>
    </row>
    <row r="55">
      <c r="A55" s="2" t="n">
        <v>54</v>
      </c>
      <c r="B55" s="2" t="inlineStr">
        <is>
          <t>HSV3.005a</t>
        </is>
      </c>
      <c r="C55" s="2" t="inlineStr">
        <is>
          <t>260219_dum</t>
        </is>
      </c>
      <c r="D55" s="2" t="inlineStr">
        <is>
          <t>HSV-3 Svislé konstrukce</t>
        </is>
      </c>
      <c r="E55" s="3" t="inlineStr">
        <is>
          <t>HSV-3 Svislé konstrukce</t>
        </is>
      </c>
      <c r="F55" s="3" t="inlineStr">
        <is>
          <t>Montáž — Zesílení ostění úhelníky L100/10 dvojicí u otvoru u komínového tělesa (statická limitace)</t>
        </is>
      </c>
      <c r="G55" s="2" t="inlineStr">
        <is>
          <t>ks</t>
        </is>
      </c>
      <c r="H55" s="2" t="n">
        <v>4</v>
      </c>
      <c r="I55" s="3" t="inlineStr">
        <is>
          <t>TZ statika §4 — 2× L100/10 (dvojice) na 2 strany otvoru = 4 ks</t>
        </is>
      </c>
      <c r="J55" s="2" t="inlineStr">
        <is>
          <t>767131120</t>
        </is>
      </c>
      <c r="K55" s="3" t="inlineStr">
        <is>
          <t>TZ statika dům §4 — zesílení ostění u komínu</t>
        </is>
      </c>
      <c r="L55" s="2" t="inlineStr">
        <is>
          <t>matched_websearch_cross_discipline_legitimate</t>
        </is>
      </c>
      <c r="M55" s="2" t="inlineStr">
        <is>
          <t>S01</t>
        </is>
      </c>
    </row>
    <row r="56">
      <c r="A56" s="2" t="n">
        <v>55</v>
      </c>
      <c r="B56" s="2" t="inlineStr">
        <is>
          <t>HSV3.005b</t>
        </is>
      </c>
      <c r="C56" s="2" t="inlineStr">
        <is>
          <t>260219_dum</t>
        </is>
      </c>
      <c r="D56" s="2" t="inlineStr">
        <is>
          <t>HSV-3 Svislé konstrukce</t>
        </is>
      </c>
      <c r="E56" s="3" t="inlineStr">
        <is>
          <t>HSV-3 Svislé konstrukce</t>
        </is>
      </c>
      <c r="F56" s="3" t="inlineStr">
        <is>
          <t>Dodávka — Dodávka oceli S235 (válcované profily) (Zesílení ostění úhelníky L100/10 dvojicí u otv)</t>
        </is>
      </c>
      <c r="G56" s="2" t="inlineStr">
        <is>
          <t>ks</t>
        </is>
      </c>
      <c r="H56" s="2" t="n">
        <v>4.12</v>
      </c>
      <c r="I56" s="3">
        <f> montáž × 1.03</f>
        <v/>
      </c>
      <c r="J56" s="2" t="inlineStr"/>
      <c r="K56" s="3" t="inlineStr">
        <is>
          <t>TZ statika dům §4 — zesílení ostění u komínu</t>
        </is>
      </c>
      <c r="L56" s="2" t="inlineStr">
        <is>
          <t>needs_lookup</t>
        </is>
      </c>
      <c r="M56" s="2" t="inlineStr">
        <is>
          <t>S01</t>
        </is>
      </c>
    </row>
    <row r="57">
      <c r="A57" s="2" t="n">
        <v>56</v>
      </c>
      <c r="B57" s="2" t="inlineStr">
        <is>
          <t>HSV3.006</t>
        </is>
      </c>
      <c r="C57" s="2" t="inlineStr">
        <is>
          <t>260219_dum</t>
        </is>
      </c>
      <c r="D57" s="2" t="inlineStr">
        <is>
          <t>HSV-3 Svislé konstrukce</t>
        </is>
      </c>
      <c r="E57" s="3" t="inlineStr">
        <is>
          <t>HSV-3 Svislé konstrukce</t>
        </is>
      </c>
      <c r="F57" s="3" t="inlineStr">
        <is>
          <t>Dočasné podstojkování stávajících přiléhajících stropů při osazování IPN překladů (8 otvorů)</t>
        </is>
      </c>
      <c r="G57" s="2" t="inlineStr">
        <is>
          <t>kpl</t>
        </is>
      </c>
      <c r="H57" s="2" t="n">
        <v>8</v>
      </c>
      <c r="I57" s="3">
        <f> počet překladů (po jednom podstojkování per otvor)</f>
        <v/>
      </c>
      <c r="J57" s="2" t="inlineStr">
        <is>
          <t>962081120</t>
        </is>
      </c>
      <c r="K57" s="3" t="inlineStr">
        <is>
          <t>BOZP + technologický postup výměny překladů ve zděné stavbě</t>
        </is>
      </c>
      <c r="L57" s="2" t="inlineStr">
        <is>
          <t>FAMILY_VERIFIED</t>
        </is>
      </c>
      <c r="M57" s="2" t="inlineStr"/>
    </row>
    <row r="58">
      <c r="A58" s="2" t="n">
        <v>57</v>
      </c>
      <c r="B58" s="2" t="inlineStr">
        <is>
          <t>HSV3.007</t>
        </is>
      </c>
      <c r="C58" s="2" t="inlineStr">
        <is>
          <t>260219_dum</t>
        </is>
      </c>
      <c r="D58" s="2" t="inlineStr">
        <is>
          <t>HSV-3 Svislé konstrukce</t>
        </is>
      </c>
      <c r="E58" s="3" t="inlineStr">
        <is>
          <t>HSV-3 Svislé konstrukce</t>
        </is>
      </c>
      <c r="F58" s="3" t="inlineStr">
        <is>
          <t>Nové příčky z pórobetonových tvárnic 150 mm na lepidlo + dilatovány od stropu</t>
        </is>
      </c>
      <c r="G58" s="2" t="inlineStr">
        <is>
          <t>m²</t>
        </is>
      </c>
      <c r="H58" s="2" t="n">
        <v>87.7</v>
      </c>
      <c r="I58" s="3" t="inlineStr">
        <is>
          <t>podlahova_plocha × 0.4 (typický rozsah příček 30-50%)</t>
        </is>
      </c>
      <c r="J58" s="2" t="inlineStr">
        <is>
          <t>342241211</t>
        </is>
      </c>
      <c r="K58" s="3" t="inlineStr">
        <is>
          <t>TZ ARS — příčky pórobetonové dilatované od stropu</t>
        </is>
      </c>
      <c r="L58" s="2" t="inlineStr">
        <is>
          <t>FAMILY_VERIFIED</t>
        </is>
      </c>
      <c r="M58" s="2" t="inlineStr">
        <is>
          <t>S02</t>
        </is>
      </c>
    </row>
    <row r="59">
      <c r="A59" s="2" t="n">
        <v>58</v>
      </c>
      <c r="B59" s="2" t="inlineStr">
        <is>
          <t>HSV3.001</t>
        </is>
      </c>
      <c r="C59" s="2" t="inlineStr">
        <is>
          <t>260217_sklad</t>
        </is>
      </c>
      <c r="D59" s="2" t="inlineStr">
        <is>
          <t>HSV-3 Svislé konstrukce</t>
        </is>
      </c>
      <c r="E59" s="3" t="inlineStr">
        <is>
          <t>HSV-3 Svislé konstrukce</t>
        </is>
      </c>
      <c r="F59" s="3" t="inlineStr">
        <is>
          <t>Zadní opěrná stěna — prefabrikované betonové bloky Herkul H-BLOK Standard, vazba běhounová s posunem 0.5</t>
        </is>
      </c>
      <c r="G59" s="2" t="inlineStr">
        <is>
          <t>ks</t>
        </is>
      </c>
      <c r="H59" s="2" t="n">
        <v>18</v>
      </c>
      <c r="I59" s="3" t="inlineStr">
        <is>
          <t>S04 líc 6.35 × 3.0 m = 19.05 m² ÷ 1.08 m²/blok (H-BLOK Standard 1800×600mm líc, web-ověřeno) = 17.6 → 18 ks; layout: 4 bloky/řada × 5 řad = 20 ks (s řezy) — použito 18 ks plocha-přesné</t>
        </is>
      </c>
      <c r="J59" s="2" t="inlineStr">
        <is>
          <t>311233815</t>
        </is>
      </c>
      <c r="K59" s="3" t="inlineStr">
        <is>
          <t>TZ statika sklad §[19] + web: H-BLOK Standard Herkul (Obrnice) líc 1800×600 mm = 1.08 m²/blok; ověřit definitiv z tech. listu dodavatele</t>
        </is>
      </c>
      <c r="L59" s="2" t="inlineStr">
        <is>
          <t>needs_production_lookup</t>
        </is>
      </c>
      <c r="M59" s="2" t="inlineStr">
        <is>
          <t>S04_sklad</t>
        </is>
      </c>
    </row>
    <row r="60">
      <c r="A60" s="2" t="n">
        <v>59</v>
      </c>
      <c r="B60" s="2" t="inlineStr">
        <is>
          <t>HSV3.002a</t>
        </is>
      </c>
      <c r="C60" s="2" t="inlineStr">
        <is>
          <t>260217_sklad</t>
        </is>
      </c>
      <c r="D60" s="2" t="inlineStr">
        <is>
          <t>HSV-3 Svislé konstrukce</t>
        </is>
      </c>
      <c r="E60" s="3" t="inlineStr">
        <is>
          <t>HSV-3 Svislé konstrukce</t>
        </is>
      </c>
      <c r="F60" s="3" t="inlineStr">
        <is>
          <t>Montáž — Obvodové stěny skladu — tvarovky ztraceného bednění tl. 250 mm × výška 2.4 m + zalití C25/30</t>
        </is>
      </c>
      <c r="G60" s="2" t="inlineStr">
        <is>
          <t>m²</t>
        </is>
      </c>
      <c r="H60" s="2" t="n">
        <v>46.5</v>
      </c>
      <c r="I60" s="3" t="inlineStr">
        <is>
          <t>obvod 19.4 m × výška 2.4 m = 46.6</t>
        </is>
      </c>
      <c r="J60" s="2" t="inlineStr">
        <is>
          <t>311233811</t>
        </is>
      </c>
      <c r="K60" s="3" t="inlineStr">
        <is>
          <t>TZ statika sklad §4 + DXF DIMENSION obvod</t>
        </is>
      </c>
      <c r="L60" s="2" t="inlineStr">
        <is>
          <t>needs_production_lookup</t>
        </is>
      </c>
      <c r="M60" s="2" t="inlineStr">
        <is>
          <t>S03a_sklad, S03b_sklad</t>
        </is>
      </c>
    </row>
    <row r="61">
      <c r="A61" s="2" t="n">
        <v>60</v>
      </c>
      <c r="B61" s="2" t="inlineStr">
        <is>
          <t>HSV3.002b</t>
        </is>
      </c>
      <c r="C61" s="2" t="inlineStr">
        <is>
          <t>260217_sklad</t>
        </is>
      </c>
      <c r="D61" s="2" t="inlineStr">
        <is>
          <t>HSV-3 Svislé konstrukce</t>
        </is>
      </c>
      <c r="E61" s="3" t="inlineStr">
        <is>
          <t>HSV-3 Svislé konstrukce</t>
        </is>
      </c>
      <c r="F61" s="3" t="inlineStr">
        <is>
          <t>Dodávka — Pronájem bednění (Obvodové stěny skladu — tvarovky ztraceného be)</t>
        </is>
      </c>
      <c r="G61" s="2" t="inlineStr">
        <is>
          <t>m²</t>
        </is>
      </c>
      <c r="H61" s="2" t="n">
        <v>46.5</v>
      </c>
      <c r="I61" s="3">
        <f> montáž 1:1</f>
        <v/>
      </c>
      <c r="J61" s="2" t="inlineStr"/>
      <c r="K61" s="3" t="inlineStr">
        <is>
          <t>TZ statika sklad §4 + DXF DIMENSION obvod</t>
        </is>
      </c>
      <c r="L61" s="2" t="inlineStr">
        <is>
          <t>needs_lookup</t>
        </is>
      </c>
      <c r="M61" s="2" t="inlineStr">
        <is>
          <t>S03a_sklad, S03b_sklad</t>
        </is>
      </c>
    </row>
    <row r="62">
      <c r="A62" s="2" t="n">
        <v>61</v>
      </c>
      <c r="B62" s="2" t="inlineStr">
        <is>
          <t>HSV3.003a</t>
        </is>
      </c>
      <c r="C62" s="2" t="inlineStr">
        <is>
          <t>260217_sklad</t>
        </is>
      </c>
      <c r="D62" s="2" t="inlineStr">
        <is>
          <t>HSV-3 Svislé konstrukce</t>
        </is>
      </c>
      <c r="E62" s="3" t="inlineStr">
        <is>
          <t>HSV-3 Svislé konstrukce</t>
        </is>
      </c>
      <c r="F62" s="3" t="inlineStr">
        <is>
          <t>Montáž — Výztuž B500B do tvarovek ztraceného bednění (~30 kg/m² stěny při zalití C25/30)</t>
        </is>
      </c>
      <c r="G62" s="2" t="inlineStr">
        <is>
          <t>kg</t>
        </is>
      </c>
      <c r="H62" s="2" t="n">
        <v>1398</v>
      </c>
      <c r="I62" s="3" t="inlineStr">
        <is>
          <t>46.6 × 30 kg/m² = 1398</t>
        </is>
      </c>
      <c r="J62" s="2" t="inlineStr">
        <is>
          <t>273361821</t>
        </is>
      </c>
      <c r="K62" s="3" t="inlineStr">
        <is>
          <t>B4_productivity Methvin — výztuž do ZB tvarovek tl. 250 mm</t>
        </is>
      </c>
      <c r="L62" s="2" t="inlineStr">
        <is>
          <t>family_verified_leaf_needs_production_lookup</t>
        </is>
      </c>
      <c r="M62" s="2" t="inlineStr">
        <is>
          <t>S03a_sklad, S03b_sklad</t>
        </is>
      </c>
    </row>
    <row r="63">
      <c r="A63" s="2" t="n">
        <v>62</v>
      </c>
      <c r="B63" s="2" t="inlineStr">
        <is>
          <t>HSV3.003b</t>
        </is>
      </c>
      <c r="C63" s="2" t="inlineStr">
        <is>
          <t>260217_sklad</t>
        </is>
      </c>
      <c r="D63" s="2" t="inlineStr">
        <is>
          <t>HSV-3 Svislé konstrukce</t>
        </is>
      </c>
      <c r="E63" s="3" t="inlineStr">
        <is>
          <t>HSV-3 Svislé konstrukce</t>
        </is>
      </c>
      <c r="F63" s="3" t="inlineStr">
        <is>
          <t>Dodávka — Dodávka betonářské oceli B500B (Výztuž B500B do tvarovek ztraceného bednění (~)</t>
        </is>
      </c>
      <c r="G63" s="2" t="inlineStr">
        <is>
          <t>kg</t>
        </is>
      </c>
      <c r="H63" s="2" t="n">
        <v>1398</v>
      </c>
      <c r="I63" s="3">
        <f> montáž 1:1</f>
        <v/>
      </c>
      <c r="J63" s="2" t="inlineStr"/>
      <c r="K63" s="3" t="inlineStr">
        <is>
          <t>B4_productivity Methvin — výztuž do ZB tvarovek tl. 250 mm</t>
        </is>
      </c>
      <c r="L63" s="2" t="inlineStr">
        <is>
          <t>needs_lookup</t>
        </is>
      </c>
      <c r="M63" s="2" t="inlineStr">
        <is>
          <t>S03a_sklad, S03b_sklad</t>
        </is>
      </c>
    </row>
    <row r="64">
      <c r="A64" s="2" t="n">
        <v>63</v>
      </c>
      <c r="B64" s="2" t="inlineStr">
        <is>
          <t>HSV4.001</t>
        </is>
      </c>
      <c r="C64" s="2" t="inlineStr">
        <is>
          <t>260219_dum</t>
        </is>
      </c>
      <c r="D64" s="2" t="inlineStr">
        <is>
          <t>HSV-4 Vodorovné</t>
        </is>
      </c>
      <c r="E64" s="3" t="inlineStr">
        <is>
          <t>HSV-4 Vodorovné</t>
        </is>
      </c>
      <c r="F64" s="3" t="inlineStr">
        <is>
          <t>Ocelová stropnice IPE180 1.NP v pozici nové příčky 2.NP — dodávka + montáž (1 ks × ~5 m)</t>
        </is>
      </c>
      <c r="G64" s="2" t="inlineStr">
        <is>
          <t>kg</t>
        </is>
      </c>
      <c r="H64" s="2" t="n">
        <v>94</v>
      </c>
      <c r="I64" s="3" t="inlineStr">
        <is>
          <t>1 ks × 5 m × 18.8 kg/m (IPE180 hmotnost) = 94</t>
        </is>
      </c>
      <c r="J64" s="2" t="inlineStr">
        <is>
          <t>411321414</t>
        </is>
      </c>
      <c r="K64" s="3" t="inlineStr">
        <is>
          <t>TZ statika dům §4 — IPE180 v 1.NP pod novou příčkou 2.NP</t>
        </is>
      </c>
      <c r="L64" s="2" t="inlineStr">
        <is>
          <t>FAMILY_VERIFIED</t>
        </is>
      </c>
      <c r="M64" s="2" t="inlineStr"/>
    </row>
    <row r="65">
      <c r="A65" s="2" t="n">
        <v>64</v>
      </c>
      <c r="B65" s="2" t="inlineStr">
        <is>
          <t>HSV4.002</t>
        </is>
      </c>
      <c r="C65" s="2" t="inlineStr">
        <is>
          <t>260219_dum</t>
        </is>
      </c>
      <c r="D65" s="2" t="inlineStr">
        <is>
          <t>HSV-4 Vodorovné</t>
        </is>
      </c>
      <c r="E65" s="3" t="inlineStr">
        <is>
          <t>HSV-4 Vodorovné</t>
        </is>
      </c>
      <c r="F65" s="3" t="inlineStr">
        <is>
          <t>Ocelobetonový strop 2.NP/3.NP — stropnice IPE180 á 1000 mm × rozpon ~8 m × ~8 ks</t>
        </is>
      </c>
      <c r="G65" s="2" t="inlineStr">
        <is>
          <t>kg</t>
        </is>
      </c>
      <c r="H65" s="2" t="n">
        <v>1203</v>
      </c>
      <c r="I65" s="3" t="inlineStr">
        <is>
          <t>8 ks × 8 m × 18.8 kg/m = 1203</t>
        </is>
      </c>
      <c r="J65" s="2" t="inlineStr">
        <is>
          <t>411321414</t>
        </is>
      </c>
      <c r="K65" s="3" t="inlineStr">
        <is>
          <t>TZ statika §4 — IPE180 stropnice á 1000 mm + zastavěna 104.4 m² → ~8 stropnic</t>
        </is>
      </c>
      <c r="L65" s="2" t="inlineStr">
        <is>
          <t>FAMILY_VERIFIED</t>
        </is>
      </c>
      <c r="M65" s="2" t="inlineStr">
        <is>
          <t>S09</t>
        </is>
      </c>
    </row>
    <row r="66">
      <c r="A66" s="2" t="n">
        <v>65</v>
      </c>
      <c r="B66" s="2" t="inlineStr">
        <is>
          <t>HSV4.003</t>
        </is>
      </c>
      <c r="C66" s="2" t="inlineStr">
        <is>
          <t>260219_dum</t>
        </is>
      </c>
      <c r="D66" s="2" t="inlineStr">
        <is>
          <t>HSV-4 Vodorovné</t>
        </is>
      </c>
      <c r="E66" s="3" t="inlineStr">
        <is>
          <t>HSV-4 Vodorovné</t>
        </is>
      </c>
      <c r="F66" s="3" t="inlineStr">
        <is>
          <t>Ocelobetonový strop — výztuha 2×HEA180 trakt do ulice (Fibichova), dl. ~10 m</t>
        </is>
      </c>
      <c r="G66" s="2" t="inlineStr">
        <is>
          <t>kg</t>
        </is>
      </c>
      <c r="H66" s="2" t="n">
        <v>710</v>
      </c>
      <c r="I66" s="3" t="inlineStr">
        <is>
          <t>2 ks × 10 m × 35.5 kg/m (HEA180) = 710</t>
        </is>
      </c>
      <c r="J66" s="2" t="inlineStr">
        <is>
          <t>411321414</t>
        </is>
      </c>
      <c r="K66" s="3" t="inlineStr">
        <is>
          <t>TZ statika dům §4 — 2×HEA180 trakt ulice</t>
        </is>
      </c>
      <c r="L66" s="2" t="inlineStr">
        <is>
          <t>FAMILY_VERIFIED</t>
        </is>
      </c>
      <c r="M66" s="2" t="inlineStr">
        <is>
          <t>S09</t>
        </is>
      </c>
    </row>
    <row r="67">
      <c r="A67" s="2" t="n">
        <v>66</v>
      </c>
      <c r="B67" s="2" t="inlineStr">
        <is>
          <t>HSV4.004</t>
        </is>
      </c>
      <c r="C67" s="2" t="inlineStr">
        <is>
          <t>260219_dum</t>
        </is>
      </c>
      <c r="D67" s="2" t="inlineStr">
        <is>
          <t>HSV-4 Vodorovné</t>
        </is>
      </c>
      <c r="E67" s="3" t="inlineStr">
        <is>
          <t>HSV-4 Vodorovné</t>
        </is>
      </c>
      <c r="F67" s="3" t="inlineStr">
        <is>
          <t>Ocelobetonový strop — výztuha HEA200 dvorní trakt, dl. ~10 m</t>
        </is>
      </c>
      <c r="G67" s="2" t="inlineStr">
        <is>
          <t>kg</t>
        </is>
      </c>
      <c r="H67" s="2" t="n">
        <v>423</v>
      </c>
      <c r="I67" s="3" t="inlineStr">
        <is>
          <t>1 ks × 10 m × 42.3 kg/m (HEA200) = 423</t>
        </is>
      </c>
      <c r="J67" s="2" t="inlineStr">
        <is>
          <t>411321414</t>
        </is>
      </c>
      <c r="K67" s="3" t="inlineStr">
        <is>
          <t>TZ statika dům §4 — HEA200 dvorní trakt</t>
        </is>
      </c>
      <c r="L67" s="2" t="inlineStr">
        <is>
          <t>needs_production_lookup</t>
        </is>
      </c>
      <c r="M67" s="2" t="inlineStr">
        <is>
          <t>S09</t>
        </is>
      </c>
    </row>
    <row r="68">
      <c r="A68" s="2" t="n">
        <v>67</v>
      </c>
      <c r="B68" s="2" t="inlineStr">
        <is>
          <t>HSV4.005a</t>
        </is>
      </c>
      <c r="C68" s="2" t="inlineStr">
        <is>
          <t>260219_dum</t>
        </is>
      </c>
      <c r="D68" s="2" t="inlineStr">
        <is>
          <t>HSV-4 Vodorovné</t>
        </is>
      </c>
      <c r="E68" s="3" t="inlineStr">
        <is>
          <t>HSV-4 Vodorovné</t>
        </is>
      </c>
      <c r="F68" s="3" t="inlineStr">
        <is>
          <t>Montáž — Trapézový plech 40S/160 tl. 0.75 mm — dodávka + montáž na stropnice IPE180</t>
        </is>
      </c>
      <c r="G68" s="2" t="inlineStr">
        <is>
          <t>m²</t>
        </is>
      </c>
      <c r="H68" s="2" t="n">
        <v>104.4</v>
      </c>
      <c r="I68" s="3">
        <f> zastavěna plocha 104.4 m² (celý strop 2.NP/3.NP)</f>
        <v/>
      </c>
      <c r="J68" s="2" t="inlineStr">
        <is>
          <t>411321414</t>
        </is>
      </c>
      <c r="K68" s="3" t="inlineStr">
        <is>
          <t>TZ statika dům §4 — trapéz 40S/160 nad IPE180</t>
        </is>
      </c>
      <c r="L68" s="2" t="inlineStr">
        <is>
          <t>family_verified_leaf_needs_production_lookup</t>
        </is>
      </c>
      <c r="M68" s="2" t="inlineStr">
        <is>
          <t>S09</t>
        </is>
      </c>
    </row>
    <row r="69">
      <c r="A69" s="2" t="n">
        <v>68</v>
      </c>
      <c r="B69" s="2" t="inlineStr">
        <is>
          <t>HSV4.005b</t>
        </is>
      </c>
      <c r="C69" s="2" t="inlineStr">
        <is>
          <t>260219_dum</t>
        </is>
      </c>
      <c r="D69" s="2" t="inlineStr">
        <is>
          <t>HSV-4 Vodorovné</t>
        </is>
      </c>
      <c r="E69" s="3" t="inlineStr">
        <is>
          <t>HSV-4 Vodorovné</t>
        </is>
      </c>
      <c r="F69" s="3" t="inlineStr">
        <is>
          <t>Dodávka — Dodávka oceli S235 (válcované profily) (Trapézový plech 40S/160 tl. 0.75 mm — dodávka )</t>
        </is>
      </c>
      <c r="G69" s="2" t="inlineStr">
        <is>
          <t>m²</t>
        </is>
      </c>
      <c r="H69" s="2" t="n">
        <v>107.53</v>
      </c>
      <c r="I69" s="3">
        <f> montáž × 1.03</f>
        <v/>
      </c>
      <c r="J69" s="2" t="inlineStr"/>
      <c r="K69" s="3" t="inlineStr">
        <is>
          <t>TZ statika dům §4 — trapéz 40S/160 nad IPE180</t>
        </is>
      </c>
      <c r="L69" s="2" t="inlineStr">
        <is>
          <t>needs_lookup</t>
        </is>
      </c>
      <c r="M69" s="2" t="inlineStr">
        <is>
          <t>S09</t>
        </is>
      </c>
    </row>
    <row r="70">
      <c r="A70" s="2" t="n">
        <v>69</v>
      </c>
      <c r="B70" s="2" t="inlineStr">
        <is>
          <t>HSV4.006</t>
        </is>
      </c>
      <c r="C70" s="2" t="inlineStr">
        <is>
          <t>260219_dum</t>
        </is>
      </c>
      <c r="D70" s="2" t="inlineStr">
        <is>
          <t>HSV-4 Vodorovné</t>
        </is>
      </c>
      <c r="E70" s="3" t="inlineStr">
        <is>
          <t>HSV-4 Vodorovné</t>
        </is>
      </c>
      <c r="F70" s="3" t="inlineStr">
        <is>
          <t>Protipožární SDK podhled pod trapézovým plechem (EI 30 dle PBŘ — ocelobeton + SDK)</t>
        </is>
      </c>
      <c r="G70" s="2" t="inlineStr">
        <is>
          <t>m²</t>
        </is>
      </c>
      <c r="H70" s="2" t="n">
        <v>104.4</v>
      </c>
      <c r="I70" s="3">
        <f> plocha trapézu 104.4 m²</f>
        <v/>
      </c>
      <c r="J70" s="2" t="inlineStr">
        <is>
          <t>342213131</t>
        </is>
      </c>
      <c r="K70" s="3" t="inlineStr">
        <is>
          <t>TZ PBŘ + statika §4 — ochrana ocelobetonu</t>
        </is>
      </c>
      <c r="L70" s="2" t="inlineStr">
        <is>
          <t>FAMILY_VERIFIED</t>
        </is>
      </c>
      <c r="M70" s="2" t="inlineStr">
        <is>
          <t>S09</t>
        </is>
      </c>
    </row>
    <row r="71">
      <c r="A71" s="2" t="n">
        <v>70</v>
      </c>
      <c r="B71" s="2" t="inlineStr">
        <is>
          <t>HSV4.007</t>
        </is>
      </c>
      <c r="C71" s="2" t="inlineStr">
        <is>
          <t>260219_dum</t>
        </is>
      </c>
      <c r="D71" s="2" t="inlineStr">
        <is>
          <t>HSV-4 Vodorovné</t>
        </is>
      </c>
      <c r="E71" s="3" t="inlineStr">
        <is>
          <t>HSV-4 Vodorovné</t>
        </is>
      </c>
      <c r="F71" s="3" t="inlineStr">
        <is>
          <t>Vyvezení původního zásypu z cihelné klenby 1.PP/1.NP — manuálně + odvoz</t>
        </is>
      </c>
      <c r="G71" s="2" t="inlineStr">
        <is>
          <t>m³</t>
        </is>
      </c>
      <c r="H71" s="2" t="n">
        <v>8</v>
      </c>
      <c r="I71" s="3" t="inlineStr">
        <is>
          <t>klenba ~50 m² × tl. zásypu 0.15 m = 7.5 (round 8)</t>
        </is>
      </c>
      <c r="J71" s="2" t="inlineStr">
        <is>
          <t>974031150</t>
        </is>
      </c>
      <c r="K71" s="3" t="inlineStr">
        <is>
          <t>TZ ARS dům §4 — klenba zachována, zásyp vyměnit</t>
        </is>
      </c>
      <c r="L71" s="2" t="inlineStr">
        <is>
          <t>CROSS_DISCIPLINE_OK</t>
        </is>
      </c>
      <c r="M71" s="2" t="inlineStr">
        <is>
          <t>S06</t>
        </is>
      </c>
    </row>
    <row r="72">
      <c r="A72" s="2" t="n">
        <v>71</v>
      </c>
      <c r="B72" s="2" t="inlineStr">
        <is>
          <t>HSV4.008</t>
        </is>
      </c>
      <c r="C72" s="2" t="inlineStr">
        <is>
          <t>260219_dum</t>
        </is>
      </c>
      <c r="D72" s="2" t="inlineStr">
        <is>
          <t>HSV-4 Vodorovné</t>
        </is>
      </c>
      <c r="E72" s="3" t="inlineStr">
        <is>
          <t>HSV-4 Vodorovné</t>
        </is>
      </c>
      <c r="F72" s="3" t="inlineStr">
        <is>
          <t>Nový zásyp klenby 1.PP/1.NP — perlitbeton (lehký zásyp) tl. 100 mm</t>
        </is>
      </c>
      <c r="G72" s="2" t="inlineStr">
        <is>
          <t>m³</t>
        </is>
      </c>
      <c r="H72" s="2" t="n">
        <v>5</v>
      </c>
      <c r="I72" s="3" t="inlineStr">
        <is>
          <t>klenba 50 m² × 0.10 m perlitbeton = 5.0</t>
        </is>
      </c>
      <c r="J72" s="2" t="inlineStr">
        <is>
          <t>271223111</t>
        </is>
      </c>
      <c r="K72" s="3" t="inlineStr">
        <is>
          <t>TZ ARS dům §4 — perlitbeton + plastická roznášecí vrstva</t>
        </is>
      </c>
      <c r="L72" s="2" t="inlineStr">
        <is>
          <t>needs_production_lookup</t>
        </is>
      </c>
      <c r="M72" s="2" t="inlineStr">
        <is>
          <t>S06</t>
        </is>
      </c>
    </row>
    <row r="73">
      <c r="A73" s="2" t="n">
        <v>72</v>
      </c>
      <c r="B73" s="2" t="inlineStr">
        <is>
          <t>HSV4.009</t>
        </is>
      </c>
      <c r="C73" s="2" t="inlineStr">
        <is>
          <t>260219_dum</t>
        </is>
      </c>
      <c r="D73" s="2" t="inlineStr">
        <is>
          <t>HSV-4 Vodorovné</t>
        </is>
      </c>
      <c r="E73" s="3" t="inlineStr">
        <is>
          <t>HSV-4 Vodorovné</t>
        </is>
      </c>
      <c r="F73" s="3" t="inlineStr">
        <is>
          <t>Plastická perlitbetonová roznášecí vrstva tl. 50 mm nad zásypem klenby</t>
        </is>
      </c>
      <c r="G73" s="2" t="inlineStr">
        <is>
          <t>m²</t>
        </is>
      </c>
      <c r="H73" s="2" t="n">
        <v>50</v>
      </c>
      <c r="I73" s="3" t="inlineStr">
        <is>
          <t>klenba 1.PP/1.NP plocha ~50 m²</t>
        </is>
      </c>
      <c r="J73" s="2" t="inlineStr">
        <is>
          <t>631321311</t>
        </is>
      </c>
      <c r="K73" s="3" t="inlineStr">
        <is>
          <t>TZ ARS dům §4 — roznášecí vrstva pod podlahou 1.NP nad klenbou</t>
        </is>
      </c>
      <c r="L73" s="2" t="inlineStr">
        <is>
          <t>needs_production_lookup</t>
        </is>
      </c>
      <c r="M73" s="2" t="inlineStr">
        <is>
          <t>S06</t>
        </is>
      </c>
    </row>
    <row r="74">
      <c r="A74" s="2" t="n">
        <v>73</v>
      </c>
      <c r="B74" s="2" t="inlineStr">
        <is>
          <t>HSV4.010</t>
        </is>
      </c>
      <c r="C74" s="2" t="inlineStr">
        <is>
          <t>260219_dum</t>
        </is>
      </c>
      <c r="D74" s="2" t="inlineStr">
        <is>
          <t>HSV-4 Vodorovné</t>
        </is>
      </c>
      <c r="E74" s="3" t="inlineStr">
        <is>
          <t>HSV-4 Vodorovné</t>
        </is>
      </c>
      <c r="F74" s="3" t="inlineStr">
        <is>
          <t>Strop trámový 1.NP/2.NP — sejmutí podlah, demontáž záklopu a zásypu shora (zachovat prkenný záklop na trámech)</t>
        </is>
      </c>
      <c r="G74" s="2" t="inlineStr">
        <is>
          <t>m²</t>
        </is>
      </c>
      <c r="H74" s="2" t="n">
        <v>100</v>
      </c>
      <c r="I74" s="3" t="inlineStr">
        <is>
          <t>podlahova_plocha_1NP+2NP ~100 m²</t>
        </is>
      </c>
      <c r="J74" s="2" t="inlineStr">
        <is>
          <t>974041141</t>
        </is>
      </c>
      <c r="K74" s="3" t="inlineStr">
        <is>
          <t>TZ ARS dům §4 — strop trámový zachován, vrstvy nahradit</t>
        </is>
      </c>
      <c r="L74" s="2" t="inlineStr">
        <is>
          <t>needs_production_lookup</t>
        </is>
      </c>
      <c r="M74" s="2" t="inlineStr">
        <is>
          <t>S07</t>
        </is>
      </c>
    </row>
    <row r="75">
      <c r="A75" s="2" t="n">
        <v>74</v>
      </c>
      <c r="B75" s="2" t="inlineStr">
        <is>
          <t>HSV4.011a</t>
        </is>
      </c>
      <c r="C75" s="2" t="inlineStr">
        <is>
          <t>260219_dum</t>
        </is>
      </c>
      <c r="D75" s="2" t="inlineStr">
        <is>
          <t>HSV-4 Vodorovné</t>
        </is>
      </c>
      <c r="E75" s="3" t="inlineStr">
        <is>
          <t>HSV-4 Vodorovné</t>
        </is>
      </c>
      <c r="F75" s="3" t="inlineStr">
        <is>
          <t>Montáž — Tepelná izolace minerální vata mezi trámy stropu 1.NP/2.NP, tl. 180 mm (= trám 60/180)</t>
        </is>
      </c>
      <c r="G75" s="2" t="inlineStr">
        <is>
          <t>m²</t>
        </is>
      </c>
      <c r="H75" s="2" t="n">
        <v>100</v>
      </c>
      <c r="I75" s="3">
        <f> plocha stropu</f>
        <v/>
      </c>
      <c r="J75" s="2" t="inlineStr">
        <is>
          <t>713121121</t>
        </is>
      </c>
      <c r="K75" s="3" t="inlineStr">
        <is>
          <t>TZ ARS dům §4 — minerální vata mezi trámy + protipož. SDK zespodu</t>
        </is>
      </c>
      <c r="L75" s="2" t="inlineStr">
        <is>
          <t>family_verified_leaf_needs_production_lookup</t>
        </is>
      </c>
      <c r="M75" s="2" t="inlineStr">
        <is>
          <t>S07</t>
        </is>
      </c>
    </row>
    <row r="76">
      <c r="A76" s="2" t="n">
        <v>75</v>
      </c>
      <c r="B76" s="2" t="inlineStr">
        <is>
          <t>HSV4.011b</t>
        </is>
      </c>
      <c r="C76" s="2" t="inlineStr">
        <is>
          <t>260219_dum</t>
        </is>
      </c>
      <c r="D76" s="2" t="inlineStr">
        <is>
          <t>HSV-4 Vodorovné</t>
        </is>
      </c>
      <c r="E76" s="3" t="inlineStr">
        <is>
          <t>HSV-4 Vodorovné</t>
        </is>
      </c>
      <c r="F76" s="3" t="inlineStr">
        <is>
          <t>Dodávka — Dodávka izolačních desek/rohoží (Tepelná izolace minerální vata mezi trámy stro)</t>
        </is>
      </c>
      <c r="G76" s="2" t="inlineStr">
        <is>
          <t>m²</t>
        </is>
      </c>
      <c r="H76" s="2" t="n">
        <v>105</v>
      </c>
      <c r="I76" s="3">
        <f> montáž × 1.05</f>
        <v/>
      </c>
      <c r="J76" s="2" t="inlineStr"/>
      <c r="K76" s="3" t="inlineStr">
        <is>
          <t>TZ ARS dům §4 — minerální vata mezi trámy + protipož. SDK zespodu</t>
        </is>
      </c>
      <c r="L76" s="2" t="inlineStr">
        <is>
          <t>needs_lookup</t>
        </is>
      </c>
      <c r="M76" s="2" t="inlineStr">
        <is>
          <t>S07</t>
        </is>
      </c>
    </row>
    <row r="77">
      <c r="A77" s="2" t="n">
        <v>76</v>
      </c>
      <c r="B77" s="2" t="inlineStr">
        <is>
          <t>HSV4.012a</t>
        </is>
      </c>
      <c r="C77" s="2" t="inlineStr">
        <is>
          <t>260219_dum</t>
        </is>
      </c>
      <c r="D77" s="2" t="inlineStr">
        <is>
          <t>HSV-4 Vodorovné</t>
        </is>
      </c>
      <c r="E77" s="3" t="inlineStr">
        <is>
          <t>HSV-4 Vodorovné</t>
        </is>
      </c>
      <c r="F77" s="3" t="inlineStr">
        <is>
          <t>Montáž — Protipožární SDK podhled zespodu trámového stropu (EI 30 dle PBŘ)</t>
        </is>
      </c>
      <c r="G77" s="2" t="inlineStr">
        <is>
          <t>m²</t>
        </is>
      </c>
      <c r="H77" s="2" t="n">
        <v>100</v>
      </c>
      <c r="I77" s="3">
        <f> plocha stropu</f>
        <v/>
      </c>
      <c r="J77" s="2" t="inlineStr">
        <is>
          <t>342213131</t>
        </is>
      </c>
      <c r="K77" s="3" t="inlineStr">
        <is>
          <t>TZ ARS + PBŘ — SDK protipožární RF</t>
        </is>
      </c>
      <c r="L77" s="2" t="inlineStr">
        <is>
          <t>needs_production_lookup</t>
        </is>
      </c>
      <c r="M77" s="2" t="inlineStr">
        <is>
          <t>S07</t>
        </is>
      </c>
    </row>
    <row r="78">
      <c r="A78" s="2" t="n">
        <v>77</v>
      </c>
      <c r="B78" s="2" t="inlineStr">
        <is>
          <t>HSV4.012b</t>
        </is>
      </c>
      <c r="C78" s="2" t="inlineStr">
        <is>
          <t>260219_dum</t>
        </is>
      </c>
      <c r="D78" s="2" t="inlineStr">
        <is>
          <t>HSV-4 Vodorovné</t>
        </is>
      </c>
      <c r="E78" s="3" t="inlineStr">
        <is>
          <t>HSV-4 Vodorovné</t>
        </is>
      </c>
      <c r="F78" s="3" t="inlineStr">
        <is>
          <t>Dodávka — Dodávka řeziva C24 (impregnované) (Protipožární SDK podhled zespodu trámového str)</t>
        </is>
      </c>
      <c r="G78" s="2" t="inlineStr">
        <is>
          <t>m²</t>
        </is>
      </c>
      <c r="H78" s="2" t="n">
        <v>110</v>
      </c>
      <c r="I78" s="3">
        <f> montáž × 1.10</f>
        <v/>
      </c>
      <c r="J78" s="2" t="inlineStr"/>
      <c r="K78" s="3" t="inlineStr">
        <is>
          <t>TZ ARS + PBŘ — SDK protipožární RF</t>
        </is>
      </c>
      <c r="L78" s="2" t="inlineStr">
        <is>
          <t>needs_lookup</t>
        </is>
      </c>
      <c r="M78" s="2" t="inlineStr">
        <is>
          <t>S07</t>
        </is>
      </c>
    </row>
    <row r="79">
      <c r="A79" s="2" t="n">
        <v>78</v>
      </c>
      <c r="B79" s="2" t="inlineStr">
        <is>
          <t>HSV4.013</t>
        </is>
      </c>
      <c r="C79" s="2" t="inlineStr">
        <is>
          <t>260219_dum</t>
        </is>
      </c>
      <c r="D79" s="2" t="inlineStr">
        <is>
          <t>HSV-4 Vodorovné</t>
        </is>
      </c>
      <c r="E79" s="3" t="inlineStr">
        <is>
          <t>HSV-4 Vodorovné</t>
        </is>
      </c>
      <c r="F79" s="3" t="inlineStr">
        <is>
          <t>Suchá podlahová skladba 1.NP/2.NP — zásyp Liapor pro vyrovnání tl. 50 mm</t>
        </is>
      </c>
      <c r="G79" s="2" t="inlineStr">
        <is>
          <t>m³</t>
        </is>
      </c>
      <c r="H79" s="2" t="n">
        <v>5</v>
      </c>
      <c r="I79" s="3" t="inlineStr">
        <is>
          <t>100 m² × 0.05 m = 5</t>
        </is>
      </c>
      <c r="J79" s="2" t="inlineStr">
        <is>
          <t>631311114</t>
        </is>
      </c>
      <c r="K79" s="3" t="inlineStr">
        <is>
          <t>TZ ARS dům §4 — suchá podlahová skladba shora</t>
        </is>
      </c>
      <c r="L79" s="2" t="inlineStr">
        <is>
          <t>needs_production_lookup</t>
        </is>
      </c>
      <c r="M79" s="2" t="inlineStr">
        <is>
          <t>S07</t>
        </is>
      </c>
    </row>
    <row r="80">
      <c r="A80" s="2" t="n">
        <v>79</v>
      </c>
      <c r="B80" s="2" t="inlineStr">
        <is>
          <t>HSV4.014a</t>
        </is>
      </c>
      <c r="C80" s="2" t="inlineStr">
        <is>
          <t>260219_dum</t>
        </is>
      </c>
      <c r="D80" s="2" t="inlineStr">
        <is>
          <t>HSV-4 Vodorovné</t>
        </is>
      </c>
      <c r="E80" s="3" t="inlineStr">
        <is>
          <t>HSV-4 Vodorovné</t>
        </is>
      </c>
      <c r="F80" s="3" t="inlineStr">
        <is>
          <t>Montáž — Suchá podlahová skladba — sádrovláknité dílce Fermacell tl. 25 mm (dva 12.5 mm vrstvy)</t>
        </is>
      </c>
      <c r="G80" s="2" t="inlineStr">
        <is>
          <t>m²</t>
        </is>
      </c>
      <c r="H80" s="2" t="n">
        <v>100</v>
      </c>
      <c r="I80" s="3">
        <f> plocha stropu</f>
        <v/>
      </c>
      <c r="J80" s="2" t="inlineStr">
        <is>
          <t>771421111</t>
        </is>
      </c>
      <c r="K80" s="3" t="inlineStr">
        <is>
          <t>TZ ARS dům §4 — Fermacell / Rigistabil</t>
        </is>
      </c>
      <c r="L80" s="2" t="inlineStr">
        <is>
          <t>needs_production_lookup</t>
        </is>
      </c>
      <c r="M80" s="2" t="inlineStr">
        <is>
          <t>S07</t>
        </is>
      </c>
    </row>
    <row r="81">
      <c r="A81" s="2" t="n">
        <v>80</v>
      </c>
      <c r="B81" s="2" t="inlineStr">
        <is>
          <t>HSV4.014b</t>
        </is>
      </c>
      <c r="C81" s="2" t="inlineStr">
        <is>
          <t>260219_dum</t>
        </is>
      </c>
      <c r="D81" s="2" t="inlineStr">
        <is>
          <t>HSV-4 Vodorovné</t>
        </is>
      </c>
      <c r="E81" s="3" t="inlineStr">
        <is>
          <t>HSV-4 Vodorovné</t>
        </is>
      </c>
      <c r="F81" s="3" t="inlineStr">
        <is>
          <t>Dodávka — Dodávka SDK desek + profilů (Suchá podlahová skladba — sádrovláknité dílce )</t>
        </is>
      </c>
      <c r="G81" s="2" t="inlineStr">
        <is>
          <t>m²</t>
        </is>
      </c>
      <c r="H81" s="2" t="n">
        <v>110</v>
      </c>
      <c r="I81" s="3">
        <f> montáž × 1.10</f>
        <v/>
      </c>
      <c r="J81" s="2" t="inlineStr"/>
      <c r="K81" s="3" t="inlineStr">
        <is>
          <t>TZ ARS dům §4 — Fermacell / Rigistabil</t>
        </is>
      </c>
      <c r="L81" s="2" t="inlineStr">
        <is>
          <t>needs_lookup</t>
        </is>
      </c>
      <c r="M81" s="2" t="inlineStr">
        <is>
          <t>S07</t>
        </is>
      </c>
    </row>
    <row r="82">
      <c r="A82" s="2" t="n">
        <v>81</v>
      </c>
      <c r="B82" s="2" t="inlineStr">
        <is>
          <t>HSV4.001a</t>
        </is>
      </c>
      <c r="C82" s="2" t="inlineStr">
        <is>
          <t>260217_sklad</t>
        </is>
      </c>
      <c r="D82" s="2" t="inlineStr">
        <is>
          <t>HSV-4 Vodorovné</t>
        </is>
      </c>
      <c r="E82" s="3" t="inlineStr">
        <is>
          <t>HSV-4 Vodorovné</t>
        </is>
      </c>
      <c r="F82" s="3" t="inlineStr">
        <is>
          <t>Montáž — Dřevěné stropnice 100/160 mm á 625 mm primární zastřešení skladu — rezivo C24 fungicidní</t>
        </is>
      </c>
      <c r="G82" s="2" t="inlineStr">
        <is>
          <t>bm</t>
        </is>
      </c>
      <c r="H82" s="2" t="n">
        <v>36.74</v>
      </c>
      <c r="I82" s="3" t="inlineStr">
        <is>
          <t>6.35/0.625 = 10.16 → 11 ks × 3.34 m (rozpon 3.1 + uložení) = 36.74 bm</t>
        </is>
      </c>
      <c r="J82" s="2" t="inlineStr">
        <is>
          <t>762341110</t>
        </is>
      </c>
      <c r="K82" s="3" t="inlineStr">
        <is>
          <t>TZ statika sklad §4 + DXF DIMENSION</t>
        </is>
      </c>
      <c r="L82" s="2" t="inlineStr">
        <is>
          <t>needs_production_lookup</t>
        </is>
      </c>
      <c r="M82" s="2" t="inlineStr">
        <is>
          <t>S02_sklad</t>
        </is>
      </c>
    </row>
    <row r="83">
      <c r="A83" s="2" t="n">
        <v>82</v>
      </c>
      <c r="B83" s="2" t="inlineStr">
        <is>
          <t>HSV4.001b</t>
        </is>
      </c>
      <c r="C83" s="2" t="inlineStr">
        <is>
          <t>260217_sklad</t>
        </is>
      </c>
      <c r="D83" s="2" t="inlineStr">
        <is>
          <t>HSV-4 Vodorovné</t>
        </is>
      </c>
      <c r="E83" s="3" t="inlineStr">
        <is>
          <t>HSV-4 Vodorovné</t>
        </is>
      </c>
      <c r="F83" s="3" t="inlineStr">
        <is>
          <t>Dodávka — Dodávka řeziva C24 (impregnované) (Dřevěné stropnice 100/160 mm á 625 mm primární)</t>
        </is>
      </c>
      <c r="G83" s="2" t="inlineStr">
        <is>
          <t>bm</t>
        </is>
      </c>
      <c r="H83" s="2" t="n">
        <v>40.41</v>
      </c>
      <c r="I83" s="3">
        <f> montáž × 1.10</f>
        <v/>
      </c>
      <c r="J83" s="2" t="inlineStr"/>
      <c r="K83" s="3" t="inlineStr">
        <is>
          <t>TZ statika sklad §4 + DXF DIMENSION</t>
        </is>
      </c>
      <c r="L83" s="2" t="inlineStr">
        <is>
          <t>needs_lookup</t>
        </is>
      </c>
      <c r="M83" s="2" t="inlineStr">
        <is>
          <t>S02_sklad</t>
        </is>
      </c>
    </row>
    <row r="84">
      <c r="A84" s="2" t="n">
        <v>83</v>
      </c>
      <c r="B84" s="2" t="inlineStr">
        <is>
          <t>HSV4.002</t>
        </is>
      </c>
      <c r="C84" s="2" t="inlineStr">
        <is>
          <t>260217_sklad</t>
        </is>
      </c>
      <c r="D84" s="2" t="inlineStr">
        <is>
          <t>HSV-4 Vodorovné</t>
        </is>
      </c>
      <c r="E84" s="3" t="inlineStr">
        <is>
          <t>HSV-4 Vodorovné</t>
        </is>
      </c>
      <c r="F84" s="3" t="inlineStr">
        <is>
          <t>Prkenný záklop stropnic skladu tl. 20 mm + impregnace</t>
        </is>
      </c>
      <c r="G84" s="2" t="inlineStr">
        <is>
          <t>m²</t>
        </is>
      </c>
      <c r="H84" s="2" t="n">
        <v>21.209</v>
      </c>
      <c r="I84" s="3">
        <f> 21.2 m² strop skladu</f>
        <v/>
      </c>
      <c r="J84" s="2" t="inlineStr">
        <is>
          <t>762331110</t>
        </is>
      </c>
      <c r="K84" s="3" t="inlineStr">
        <is>
          <t>TZ statika sklad §4 + DXF</t>
        </is>
      </c>
      <c r="L84" s="2" t="inlineStr">
        <is>
          <t>needs_production_lookup</t>
        </is>
      </c>
      <c r="M84" s="2" t="inlineStr">
        <is>
          <t>S02_sklad</t>
        </is>
      </c>
    </row>
    <row r="85">
      <c r="A85" s="2" t="n">
        <v>84</v>
      </c>
      <c r="B85" s="2" t="inlineStr">
        <is>
          <t>HSV4.003a</t>
        </is>
      </c>
      <c r="C85" s="2" t="inlineStr">
        <is>
          <t>260217_sklad</t>
        </is>
      </c>
      <c r="D85" s="2" t="inlineStr">
        <is>
          <t>HSV-4 Vodorovné</t>
        </is>
      </c>
      <c r="E85" s="3" t="inlineStr">
        <is>
          <t>HSV-4 Vodorovné</t>
        </is>
      </c>
      <c r="F85" s="3" t="inlineStr">
        <is>
          <t>Montáž — Hydroizolační střešní souvrství skladu (modifikovaný asfaltový pás SBS + ochranná vrstva)</t>
        </is>
      </c>
      <c r="G85" s="2" t="inlineStr">
        <is>
          <t>m²</t>
        </is>
      </c>
      <c r="H85" s="2" t="n">
        <v>22.26945</v>
      </c>
      <c r="I85" s="3" t="inlineStr">
        <is>
          <t>21.2 × 1.05 přesah</t>
        </is>
      </c>
      <c r="J85" s="2" t="inlineStr">
        <is>
          <t>712331101</t>
        </is>
      </c>
      <c r="K85" s="3" t="inlineStr">
        <is>
          <t>TZ statika sklad §4 — HI souvrství</t>
        </is>
      </c>
      <c r="L85" s="2" t="inlineStr">
        <is>
          <t>needs_production_lookup</t>
        </is>
      </c>
      <c r="M85" s="2" t="inlineStr">
        <is>
          <t>S02_sklad</t>
        </is>
      </c>
    </row>
    <row r="86">
      <c r="A86" s="2" t="n">
        <v>85</v>
      </c>
      <c r="B86" s="2" t="inlineStr">
        <is>
          <t>HSV4.003b</t>
        </is>
      </c>
      <c r="C86" s="2" t="inlineStr">
        <is>
          <t>260217_sklad</t>
        </is>
      </c>
      <c r="D86" s="2" t="inlineStr">
        <is>
          <t>HSV-4 Vodorovné</t>
        </is>
      </c>
      <c r="E86" s="3" t="inlineStr">
        <is>
          <t>HSV-4 Vodorovné</t>
        </is>
      </c>
      <c r="F86" s="3" t="inlineStr">
        <is>
          <t>Dodávka — Dodávka folie/pásu (Hydroizolační střešní souvrství skladu (modifi)</t>
        </is>
      </c>
      <c r="G86" s="2" t="inlineStr">
        <is>
          <t>m²</t>
        </is>
      </c>
      <c r="H86" s="2" t="n">
        <v>24.5</v>
      </c>
      <c r="I86" s="3">
        <f> montáž × 1.10</f>
        <v/>
      </c>
      <c r="J86" s="2" t="inlineStr"/>
      <c r="K86" s="3" t="inlineStr">
        <is>
          <t>TZ statika sklad §4 — HI souvrství</t>
        </is>
      </c>
      <c r="L86" s="2" t="inlineStr">
        <is>
          <t>needs_lookup</t>
        </is>
      </c>
      <c r="M86" s="2" t="inlineStr">
        <is>
          <t>S02_sklad</t>
        </is>
      </c>
    </row>
    <row r="87">
      <c r="A87" s="2" t="n">
        <v>86</v>
      </c>
      <c r="B87" s="2" t="inlineStr">
        <is>
          <t>HSV4.004a</t>
        </is>
      </c>
      <c r="C87" s="2" t="inlineStr">
        <is>
          <t>260217_sklad</t>
        </is>
      </c>
      <c r="D87" s="2" t="inlineStr">
        <is>
          <t>HSV-4 Vodorovné</t>
        </is>
      </c>
      <c r="E87" s="3" t="inlineStr">
        <is>
          <t>HSV-4 Vodorovné</t>
        </is>
      </c>
      <c r="F87" s="3" t="inlineStr">
        <is>
          <t>Montáž — Sekundární zastřešení parkingu — IPE180 v rozteči 1000 mm × délka 7 m × 7 ks</t>
        </is>
      </c>
      <c r="G87" s="2" t="inlineStr">
        <is>
          <t>kg</t>
        </is>
      </c>
      <c r="H87" s="2" t="n">
        <v>921</v>
      </c>
      <c r="I87" s="3" t="inlineStr">
        <is>
          <t>7 ks × 7 m × 18.8 kg/m = 921</t>
        </is>
      </c>
      <c r="J87" s="2" t="inlineStr">
        <is>
          <t>411321414</t>
        </is>
      </c>
      <c r="K87" s="3" t="inlineStr">
        <is>
          <t>TZ statika sklad §1.4 + DXF LWPOLYLINE 7000 mm + rozteč 1000 mm</t>
        </is>
      </c>
      <c r="L87" s="2" t="inlineStr">
        <is>
          <t>needs_production_lookup</t>
        </is>
      </c>
      <c r="M87" s="2" t="inlineStr">
        <is>
          <t>S02_sklad</t>
        </is>
      </c>
    </row>
    <row r="88">
      <c r="A88" s="2" t="n">
        <v>87</v>
      </c>
      <c r="B88" s="2" t="inlineStr">
        <is>
          <t>HSV4.004b</t>
        </is>
      </c>
      <c r="C88" s="2" t="inlineStr">
        <is>
          <t>260217_sklad</t>
        </is>
      </c>
      <c r="D88" s="2" t="inlineStr">
        <is>
          <t>HSV-4 Vodorovné</t>
        </is>
      </c>
      <c r="E88" s="3" t="inlineStr">
        <is>
          <t>HSV-4 Vodorovné</t>
        </is>
      </c>
      <c r="F88" s="3" t="inlineStr">
        <is>
          <t>Dodávka — Dodávka oceli S235 (válcované profily) (Sekundární zastřešení parkingu — IPE180 v rozt)</t>
        </is>
      </c>
      <c r="G88" s="2" t="inlineStr">
        <is>
          <t>kg</t>
        </is>
      </c>
      <c r="H88" s="2" t="n">
        <v>948.63</v>
      </c>
      <c r="I88" s="3">
        <f> montáž × 1.03</f>
        <v/>
      </c>
      <c r="J88" s="2" t="inlineStr"/>
      <c r="K88" s="3" t="inlineStr">
        <is>
          <t>TZ statika sklad §1.4 + DXF LWPOLYLINE 7000 mm + rozteč 1000 mm</t>
        </is>
      </c>
      <c r="L88" s="2" t="inlineStr">
        <is>
          <t>needs_lookup</t>
        </is>
      </c>
      <c r="M88" s="2" t="inlineStr">
        <is>
          <t>S02_sklad</t>
        </is>
      </c>
    </row>
    <row r="89">
      <c r="A89" s="2" t="n">
        <v>88</v>
      </c>
      <c r="B89" s="2" t="inlineStr">
        <is>
          <t>HSV4.005</t>
        </is>
      </c>
      <c r="C89" s="2" t="inlineStr">
        <is>
          <t>260217_sklad</t>
        </is>
      </c>
      <c r="D89" s="2" t="inlineStr">
        <is>
          <t>HSV-4 Vodorovné</t>
        </is>
      </c>
      <c r="E89" s="3" t="inlineStr">
        <is>
          <t>HSV-4 Vodorovné</t>
        </is>
      </c>
      <c r="F89" s="3" t="inlineStr">
        <is>
          <t>Pojezdové ocelové pororošty demontovatelné — povrch parkingu (žárově zinkováno)</t>
        </is>
      </c>
      <c r="G89" s="2" t="inlineStr">
        <is>
          <t>m²</t>
        </is>
      </c>
      <c r="H89" s="2" t="n">
        <v>44.6</v>
      </c>
      <c r="I89" s="3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J89" s="2" t="inlineStr">
        <is>
          <t>411321515</t>
        </is>
      </c>
      <c r="K89" s="3" t="inlineStr">
        <is>
          <t>DXF sklad_DPZ km_tabulka místností + Phase 3.5 sklad qty crosscheck (Pattern 17 Phase 0a Layer 2 + Pattern 31 CEV Matrix D.2)</t>
        </is>
      </c>
      <c r="L89" s="2" t="inlineStr">
        <is>
          <t>FAMILY_VERIFIED</t>
        </is>
      </c>
      <c r="M89" s="2" t="inlineStr">
        <is>
          <t>S02_sklad</t>
        </is>
      </c>
    </row>
    <row r="90">
      <c r="A90" s="2" t="n">
        <v>89</v>
      </c>
      <c r="B90" s="2" t="inlineStr">
        <is>
          <t>HSV4.006a</t>
        </is>
      </c>
      <c r="C90" s="2" t="inlineStr">
        <is>
          <t>260217_sklad</t>
        </is>
      </c>
      <c r="D90" s="2" t="inlineStr">
        <is>
          <t>HSV-4 Vodorovné</t>
        </is>
      </c>
      <c r="E90" s="3" t="inlineStr">
        <is>
          <t>HSV-4 Vodorovné</t>
        </is>
      </c>
      <c r="F90" s="3" t="inlineStr">
        <is>
          <t>Montáž — Žárově zinková povrchová úprava IPE180 + pororoštů dle ČSN EN ISO 12944 (C3 prostředí)</t>
        </is>
      </c>
      <c r="G90" s="2" t="inlineStr">
        <is>
          <t>kg</t>
        </is>
      </c>
      <c r="H90" s="2" t="n">
        <v>1551</v>
      </c>
      <c r="I90" s="3">
        <f> hmotnost IPE180 (921 kg) + odhad pororoštů (21 m² × 30 kg/m²) = ~1551</f>
        <v/>
      </c>
      <c r="J90" s="2" t="inlineStr">
        <is>
          <t>783201001</t>
        </is>
      </c>
      <c r="K90" s="3" t="inlineStr">
        <is>
          <t>TZ statika sklad §1.4 + ČSN EN ISO 12944 — žárový zinek pro pojezdové ocel</t>
        </is>
      </c>
      <c r="L90" s="2" t="inlineStr">
        <is>
          <t>needs_production_lookup</t>
        </is>
      </c>
      <c r="M90" s="2" t="inlineStr">
        <is>
          <t>S02_sklad</t>
        </is>
      </c>
    </row>
    <row r="91">
      <c r="A91" s="2" t="n">
        <v>90</v>
      </c>
      <c r="B91" s="2" t="inlineStr">
        <is>
          <t>HSV4.006b</t>
        </is>
      </c>
      <c r="C91" s="2" t="inlineStr">
        <is>
          <t>260217_sklad</t>
        </is>
      </c>
      <c r="D91" s="2" t="inlineStr">
        <is>
          <t>HSV-4 Vodorovné</t>
        </is>
      </c>
      <c r="E91" s="3" t="inlineStr">
        <is>
          <t>HSV-4 Vodorovné</t>
        </is>
      </c>
      <c r="F91" s="3" t="inlineStr">
        <is>
          <t>Dodávka — Dodávka ocelových pororoštů (Žárově zinková povrchová úprava IPE180 + poror)</t>
        </is>
      </c>
      <c r="G91" s="2" t="inlineStr">
        <is>
          <t>kg</t>
        </is>
      </c>
      <c r="H91" s="2" t="n">
        <v>1582.02</v>
      </c>
      <c r="I91" s="3">
        <f> montáž × 1.02</f>
        <v/>
      </c>
      <c r="J91" s="2" t="inlineStr"/>
      <c r="K91" s="3" t="inlineStr">
        <is>
          <t>TZ statika sklad §1.4 + ČSN EN ISO 12944 — žárový zinek pro pojezdové ocel</t>
        </is>
      </c>
      <c r="L91" s="2" t="inlineStr">
        <is>
          <t>needs_lookup</t>
        </is>
      </c>
      <c r="M91" s="2" t="inlineStr">
        <is>
          <t>S02_sklad</t>
        </is>
      </c>
    </row>
    <row r="92">
      <c r="A92" s="2" t="n">
        <v>91</v>
      </c>
      <c r="B92" s="2" t="inlineStr">
        <is>
          <t>HSV5.001a</t>
        </is>
      </c>
      <c r="C92" s="2" t="inlineStr">
        <is>
          <t>260219_dum</t>
        </is>
      </c>
      <c r="D92" s="2" t="inlineStr">
        <is>
          <t>HSV-5 Krov + střecha</t>
        </is>
      </c>
      <c r="E92" s="3" t="inlineStr">
        <is>
          <t>HSV-5 Krov + střecha</t>
        </is>
      </c>
      <c r="F92" s="3" t="inlineStr">
        <is>
          <t>Montáž krokví 100/180 mm — vázaná konstrukce krovu pomocí ocelových spojek, hraněné řezivo (průřez 180 cm², přes 120 do 224)</t>
        </is>
      </c>
      <c r="G92" s="2" t="inlineStr">
        <is>
          <t>m</t>
        </is>
      </c>
      <c r="H92" s="2" t="n">
        <v>156</v>
      </c>
      <c r="I92" s="3">
        <f> HSV5.001 délka krokví 156 bm</f>
        <v/>
      </c>
      <c r="J92" s="2" t="inlineStr">
        <is>
          <t>762332122</t>
        </is>
      </c>
      <c r="K92" s="3" t="inlineStr">
        <is>
          <t>TZ ARS dům §4 + statika §4 — krokve 100/180; DXF KR=111 INSERTs corroborates (krokve+sloupky+námětky combined)</t>
        </is>
      </c>
      <c r="L92" s="2" t="inlineStr">
        <is>
          <t>carried_verified</t>
        </is>
      </c>
      <c r="M92" s="2" t="inlineStr"/>
    </row>
    <row r="93">
      <c r="A93" s="2" t="n">
        <v>92</v>
      </c>
      <c r="B93" s="2" t="inlineStr">
        <is>
          <t>HSV5.001b</t>
        </is>
      </c>
      <c r="C93" s="2" t="inlineStr">
        <is>
          <t>260219_dum</t>
        </is>
      </c>
      <c r="D93" s="2" t="inlineStr">
        <is>
          <t>HSV-5 Krov + střecha</t>
        </is>
      </c>
      <c r="E93" s="3" t="inlineStr">
        <is>
          <t>HSV-5 Krov + střecha</t>
        </is>
      </c>
      <c r="F93" s="3" t="inlineStr">
        <is>
          <t>Dodávka hranolového řeziva C24 pro krokve 100/180 mm vč. 10 % prořezu (fungicidní + protihmyzí impregnace)</t>
        </is>
      </c>
      <c r="G93" s="2" t="inlineStr">
        <is>
          <t>m³</t>
        </is>
      </c>
      <c r="H93" s="2" t="n">
        <v>3.09</v>
      </c>
      <c r="I93" s="3">
        <f> 156 × 0.10 × 0.18 × 1.10 = 3.09 m³</f>
        <v/>
      </c>
      <c r="J93" s="2" t="inlineStr">
        <is>
          <t>60512136</t>
        </is>
      </c>
      <c r="K93" s="3" t="inlineStr">
        <is>
          <t>TZ ARS dům §4 + statika §4 — krokve 100/180; DXF KR=111 INSERTs corroborates (krokve+sloupky+námětky combined)</t>
        </is>
      </c>
      <c r="L93" s="2" t="inlineStr">
        <is>
          <t>family_only</t>
        </is>
      </c>
      <c r="M93" s="2" t="inlineStr"/>
    </row>
    <row r="94">
      <c r="A94" s="2" t="n">
        <v>93</v>
      </c>
      <c r="B94" s="2" t="inlineStr">
        <is>
          <t>HSV5.002a</t>
        </is>
      </c>
      <c r="C94" s="2" t="inlineStr">
        <is>
          <t>260219_dum</t>
        </is>
      </c>
      <c r="D94" s="2" t="inlineStr">
        <is>
          <t>HSV-5 Krov + střecha</t>
        </is>
      </c>
      <c r="E94" s="3" t="inlineStr">
        <is>
          <t>HSV-5 Krov + střecha</t>
        </is>
      </c>
      <c r="F94" s="3" t="inlineStr">
        <is>
          <t>Montáž kleštin 2×60/180 mm — vázaná konstrukce krovu pomocí ocelových spojek (průřez 216 cm², přes 120 do 224)</t>
        </is>
      </c>
      <c r="G94" s="2" t="inlineStr">
        <is>
          <t>m</t>
        </is>
      </c>
      <c r="H94" s="2" t="n">
        <v>110</v>
      </c>
      <c r="I94" s="3">
        <f> HSV5.002 délka kleštin 110 bm</f>
        <v/>
      </c>
      <c r="J94" s="2" t="inlineStr">
        <is>
          <t>762332122</t>
        </is>
      </c>
      <c r="K94" s="3" t="inlineStr">
        <is>
          <t>TZ statika dům §4 — 2× 60/180 kleštiny</t>
        </is>
      </c>
      <c r="L94" s="2" t="inlineStr">
        <is>
          <t>carried_verified</t>
        </is>
      </c>
      <c r="M94" s="2" t="inlineStr"/>
    </row>
    <row r="95">
      <c r="A95" s="2" t="n">
        <v>94</v>
      </c>
      <c r="B95" s="2" t="inlineStr">
        <is>
          <t>HSV5.002b</t>
        </is>
      </c>
      <c r="C95" s="2" t="inlineStr">
        <is>
          <t>260219_dum</t>
        </is>
      </c>
      <c r="D95" s="2" t="inlineStr">
        <is>
          <t>HSV-5 Krov + střecha</t>
        </is>
      </c>
      <c r="E95" s="3" t="inlineStr">
        <is>
          <t>HSV-5 Krov + střecha</t>
        </is>
      </c>
      <c r="F95" s="3" t="inlineStr">
        <is>
          <t>Dodávka hranolového řeziva C24 pro kleštiny 2×60/180 mm vč. 10 % prořezu + impregnace</t>
        </is>
      </c>
      <c r="G95" s="2" t="inlineStr">
        <is>
          <t>m³</t>
        </is>
      </c>
      <c r="H95" s="2" t="n">
        <v>1.31</v>
      </c>
      <c r="I95" s="3">
        <f> 110 × 0.06 × 0.18 × 1.10 = 1.31 m³</f>
        <v/>
      </c>
      <c r="J95" s="2" t="inlineStr">
        <is>
          <t>60512136</t>
        </is>
      </c>
      <c r="K95" s="3" t="inlineStr">
        <is>
          <t>TZ statika dům §4 — 2× 60/180 kleštiny</t>
        </is>
      </c>
      <c r="L95" s="2" t="inlineStr">
        <is>
          <t>family_only</t>
        </is>
      </c>
      <c r="M95" s="2" t="inlineStr"/>
    </row>
    <row r="96">
      <c r="A96" s="2" t="n">
        <v>95</v>
      </c>
      <c r="B96" s="2" t="inlineStr">
        <is>
          <t>HSV5.003a</t>
        </is>
      </c>
      <c r="C96" s="2" t="inlineStr">
        <is>
          <t>260219_dum</t>
        </is>
      </c>
      <c r="D96" s="2" t="inlineStr">
        <is>
          <t>HSV-5 Krov + střecha</t>
        </is>
      </c>
      <c r="E96" s="3" t="inlineStr">
        <is>
          <t>HSV-5 Krov + střecha</t>
        </is>
      </c>
      <c r="F96" s="3" t="inlineStr">
        <is>
          <t>Montáž pozednic 140/160 mm — vázaná konstrukce krovu pomocí ocelových spojek (průřez 224 cm², přes 120 do 224)</t>
        </is>
      </c>
      <c r="G96" s="2" t="inlineStr">
        <is>
          <t>m</t>
        </is>
      </c>
      <c r="H96" s="2" t="n">
        <v>19.4</v>
      </c>
      <c r="I96" s="3">
        <f> HSV5.003 délka pozednic ~19.4 bm</f>
        <v/>
      </c>
      <c r="J96" s="2" t="inlineStr">
        <is>
          <t>762332122</t>
        </is>
      </c>
      <c r="K96" s="3" t="inlineStr">
        <is>
          <t>TZ ARS + statika — pozednice kotvené do věnce</t>
        </is>
      </c>
      <c r="L96" s="2" t="inlineStr">
        <is>
          <t>carried_verified</t>
        </is>
      </c>
      <c r="M96" s="2" t="inlineStr"/>
    </row>
    <row r="97">
      <c r="A97" s="2" t="n">
        <v>96</v>
      </c>
      <c r="B97" s="2" t="inlineStr">
        <is>
          <t>HSV5.003b</t>
        </is>
      </c>
      <c r="C97" s="2" t="inlineStr">
        <is>
          <t>260219_dum</t>
        </is>
      </c>
      <c r="D97" s="2" t="inlineStr">
        <is>
          <t>HSV-5 Krov + střecha</t>
        </is>
      </c>
      <c r="E97" s="3" t="inlineStr">
        <is>
          <t>HSV-5 Krov + střecha</t>
        </is>
      </c>
      <c r="F97" s="3" t="inlineStr">
        <is>
          <t>Dodávka hranolového řeziva C24 pro pozednice 140/160 mm vč. 10 % prořezu + impregnace</t>
        </is>
      </c>
      <c r="G97" s="2" t="inlineStr">
        <is>
          <t>m³</t>
        </is>
      </c>
      <c r="H97" s="2" t="n">
        <v>0.48</v>
      </c>
      <c r="I97" s="3">
        <f> 19.4 × 0.14 × 0.16 × 1.10 = 0.48 m³</f>
        <v/>
      </c>
      <c r="J97" s="2" t="inlineStr">
        <is>
          <t>60512136</t>
        </is>
      </c>
      <c r="K97" s="3" t="inlineStr">
        <is>
          <t>TZ ARS + statika — pozednice kotvené do věnce</t>
        </is>
      </c>
      <c r="L97" s="2" t="inlineStr">
        <is>
          <t>family_only</t>
        </is>
      </c>
      <c r="M97" s="2" t="inlineStr"/>
    </row>
    <row r="98">
      <c r="A98" s="2" t="n">
        <v>97</v>
      </c>
      <c r="B98" s="2" t="inlineStr">
        <is>
          <t>HSV5.004a</t>
        </is>
      </c>
      <c r="C98" s="2" t="inlineStr">
        <is>
          <t>260219_dum</t>
        </is>
      </c>
      <c r="D98" s="2" t="inlineStr">
        <is>
          <t>HSV-5 Krov + střecha</t>
        </is>
      </c>
      <c r="E98" s="3" t="inlineStr">
        <is>
          <t>HSV-5 Krov + střecha</t>
        </is>
      </c>
      <c r="F98" s="3" t="inlineStr">
        <is>
          <t>Montáž námětků 60/100 mm — vázaná konstrukce krovu pomocí ocelových spojek (průřez 60 cm², přes 50 do 120)</t>
        </is>
      </c>
      <c r="G98" s="2" t="inlineStr">
        <is>
          <t>m</t>
        </is>
      </c>
      <c r="H98" s="2" t="n">
        <v>19.2</v>
      </c>
      <c r="I98" s="3">
        <f> HSV5.004 délka námětků 19.2 bm</f>
        <v/>
      </c>
      <c r="J98" s="2" t="inlineStr">
        <is>
          <t>762332121</t>
        </is>
      </c>
      <c r="K98" s="3" t="inlineStr">
        <is>
          <t>TZ ARS dům §4 — námětky v dolní části pro přesah</t>
        </is>
      </c>
      <c r="L98" s="2" t="inlineStr">
        <is>
          <t>carried_verified</t>
        </is>
      </c>
      <c r="M98" s="2" t="inlineStr"/>
    </row>
    <row r="99">
      <c r="A99" s="2" t="n">
        <v>98</v>
      </c>
      <c r="B99" s="2" t="inlineStr">
        <is>
          <t>HSV5.004b</t>
        </is>
      </c>
      <c r="C99" s="2" t="inlineStr">
        <is>
          <t>260219_dum</t>
        </is>
      </c>
      <c r="D99" s="2" t="inlineStr">
        <is>
          <t>HSV-5 Krov + střecha</t>
        </is>
      </c>
      <c r="E99" s="3" t="inlineStr">
        <is>
          <t>HSV-5 Krov + střecha</t>
        </is>
      </c>
      <c r="F99" s="3" t="inlineStr">
        <is>
          <t>Dodávka hranolového řeziva C24 pro námětky 60/100 mm vč. 10 % prořezu + impregnace</t>
        </is>
      </c>
      <c r="G99" s="2" t="inlineStr">
        <is>
          <t>m³</t>
        </is>
      </c>
      <c r="H99" s="2" t="n">
        <v>0.127</v>
      </c>
      <c r="I99" s="3">
        <f> 19.2 × 0.06 × 0.10 × 1.10 = 0.127 m³</f>
        <v/>
      </c>
      <c r="J99" s="2" t="inlineStr">
        <is>
          <t>605</t>
        </is>
      </c>
      <c r="K99" s="3" t="inlineStr">
        <is>
          <t>TZ ARS dům §4 — námětky v dolní části pro přesah</t>
        </is>
      </c>
      <c r="L99" s="2" t="inlineStr">
        <is>
          <t>needs_lookup</t>
        </is>
      </c>
      <c r="M99" s="2" t="inlineStr"/>
    </row>
    <row r="100">
      <c r="A100" s="2" t="n">
        <v>99</v>
      </c>
      <c r="B100" s="2" t="inlineStr">
        <is>
          <t>HSV5.005a</t>
        </is>
      </c>
      <c r="C100" s="2" t="inlineStr">
        <is>
          <t>260219_dum</t>
        </is>
      </c>
      <c r="D100" s="2" t="inlineStr">
        <is>
          <t>HSV-5 Krov + střecha</t>
        </is>
      </c>
      <c r="E100" s="3" t="inlineStr">
        <is>
          <t>HSV-5 Krov + střecha</t>
        </is>
      </c>
      <c r="F100" s="3" t="inlineStr">
        <is>
          <t>Montáž — Ocelová středová vaznice HEA160 — 2 ks × cca 10 m délka</t>
        </is>
      </c>
      <c r="G100" s="2" t="inlineStr">
        <is>
          <t>kg</t>
        </is>
      </c>
      <c r="H100" s="2" t="n">
        <v>608</v>
      </c>
      <c r="I100" s="3" t="inlineStr">
        <is>
          <t>2 × 10 × 30.4 kg/m (HEA160) = 608</t>
        </is>
      </c>
      <c r="J100" s="2" t="inlineStr">
        <is>
          <t>411321414</t>
        </is>
      </c>
      <c r="K100" s="3" t="inlineStr">
        <is>
          <t>TZ statika dům §4 — HEA160 vaznice</t>
        </is>
      </c>
      <c r="L100" s="2" t="inlineStr">
        <is>
          <t>family_verified_leaf_needs_production_lookup</t>
        </is>
      </c>
      <c r="M100" s="2" t="inlineStr"/>
    </row>
    <row r="101">
      <c r="A101" s="2" t="n">
        <v>100</v>
      </c>
      <c r="B101" s="2" t="inlineStr">
        <is>
          <t>HSV5.005b</t>
        </is>
      </c>
      <c r="C101" s="2" t="inlineStr">
        <is>
          <t>260219_dum</t>
        </is>
      </c>
      <c r="D101" s="2" t="inlineStr">
        <is>
          <t>HSV-5 Krov + střecha</t>
        </is>
      </c>
      <c r="E101" s="3" t="inlineStr">
        <is>
          <t>HSV-5 Krov + střecha</t>
        </is>
      </c>
      <c r="F101" s="3" t="inlineStr">
        <is>
          <t>Dodávka — Dodávka oceli S235 (válcované profily) (Ocelová středová vaznice HEA160 — 2 ks × cca 1)</t>
        </is>
      </c>
      <c r="G101" s="2" t="inlineStr">
        <is>
          <t>kg</t>
        </is>
      </c>
      <c r="H101" s="2" t="n">
        <v>626.24</v>
      </c>
      <c r="I101" s="3">
        <f> montáž × 1.03</f>
        <v/>
      </c>
      <c r="J101" s="2" t="inlineStr"/>
      <c r="K101" s="3" t="inlineStr">
        <is>
          <t>TZ statika dům §4 — HEA160 vaznice</t>
        </is>
      </c>
      <c r="L101" s="2" t="inlineStr">
        <is>
          <t>needs_lookup</t>
        </is>
      </c>
      <c r="M101" s="2" t="inlineStr"/>
    </row>
    <row r="102">
      <c r="A102" s="2" t="n">
        <v>101</v>
      </c>
      <c r="B102" s="2" t="inlineStr">
        <is>
          <t>HSV5.006a</t>
        </is>
      </c>
      <c r="C102" s="2" t="inlineStr">
        <is>
          <t>260219_dum</t>
        </is>
      </c>
      <c r="D102" s="2" t="inlineStr">
        <is>
          <t>HSV-5 Krov + střecha</t>
        </is>
      </c>
      <c r="E102" s="3" t="inlineStr">
        <is>
          <t>HSV-5 Krov + střecha</t>
        </is>
      </c>
      <c r="F102" s="3" t="inlineStr">
        <is>
          <t>Montáž — Ocelové sloupky uzavřený profil 100×100×4 mm pod vaznice HEA160 (~6 ks × ~2.5 m výška)</t>
        </is>
      </c>
      <c r="G102" s="2" t="inlineStr">
        <is>
          <t>kg</t>
        </is>
      </c>
      <c r="H102" s="2" t="n">
        <v>176</v>
      </c>
      <c r="I102" s="3" t="inlineStr">
        <is>
          <t>6 × 2.5 × 11.7 kg/m (RHS 100×100×4) = 176</t>
        </is>
      </c>
      <c r="J102" s="2" t="inlineStr">
        <is>
          <t>411321414</t>
        </is>
      </c>
      <c r="K102" s="3" t="inlineStr">
        <is>
          <t>TZ statika dům §4 — 'sloupky z jeklu 100/4'; korekce nomenklatury (vyjasnění #17)</t>
        </is>
      </c>
      <c r="L102" s="2" t="inlineStr">
        <is>
          <t>needs_production_lookup</t>
        </is>
      </c>
      <c r="M102" s="2" t="inlineStr"/>
    </row>
    <row r="103">
      <c r="A103" s="2" t="n">
        <v>102</v>
      </c>
      <c r="B103" s="2" t="inlineStr">
        <is>
          <t>HSV5.006b</t>
        </is>
      </c>
      <c r="C103" s="2" t="inlineStr">
        <is>
          <t>260219_dum</t>
        </is>
      </c>
      <c r="D103" s="2" t="inlineStr">
        <is>
          <t>HSV-5 Krov + střecha</t>
        </is>
      </c>
      <c r="E103" s="3" t="inlineStr">
        <is>
          <t>HSV-5 Krov + střecha</t>
        </is>
      </c>
      <c r="F103" s="3" t="inlineStr">
        <is>
          <t>Dodávka — Dodávka oceli S235 (válcované profily) (Ocelové sloupky uzavřený profil 100×100×4 mm p)</t>
        </is>
      </c>
      <c r="G103" s="2" t="inlineStr">
        <is>
          <t>kg</t>
        </is>
      </c>
      <c r="H103" s="2" t="n">
        <v>181.28</v>
      </c>
      <c r="I103" s="3">
        <f> montáž × 1.03</f>
        <v/>
      </c>
      <c r="J103" s="2" t="inlineStr"/>
      <c r="K103" s="3" t="inlineStr">
        <is>
          <t>TZ statika dům §4 — 'sloupky z jeklu 100/4'; korekce nomenklatury (vyjasnění #17)</t>
        </is>
      </c>
      <c r="L103" s="2" t="inlineStr">
        <is>
          <t>needs_lookup</t>
        </is>
      </c>
      <c r="M103" s="2" t="inlineStr"/>
    </row>
    <row r="104">
      <c r="A104" s="2" t="n">
        <v>103</v>
      </c>
      <c r="B104" s="2" t="inlineStr">
        <is>
          <t>HSV5.007a</t>
        </is>
      </c>
      <c r="C104" s="2" t="inlineStr">
        <is>
          <t>260219_dum</t>
        </is>
      </c>
      <c r="D104" s="2" t="inlineStr">
        <is>
          <t>HSV-5 Krov + střecha</t>
        </is>
      </c>
      <c r="E104" s="3" t="inlineStr">
        <is>
          <t>HSV-5 Krov + střecha</t>
        </is>
      </c>
      <c r="F104" s="3" t="inlineStr">
        <is>
          <t>Montáž — Bednění z prken tl. 20 mm pod nadkrokevní PIR (biodeska/palubka)</t>
        </is>
      </c>
      <c r="G104" s="2" t="inlineStr">
        <is>
          <t>m²</t>
        </is>
      </c>
      <c r="H104" s="2" t="n">
        <v>140.94</v>
      </c>
      <c r="I104" s="3">
        <f> 141 m² (plocha střechy včetně sklonu + přesahy)</f>
        <v/>
      </c>
      <c r="J104" s="2" t="inlineStr">
        <is>
          <t>762341711</t>
        </is>
      </c>
      <c r="K104" s="3" t="inlineStr">
        <is>
          <t>TZ ARS dům §4 — biodeska/palubka tl.≥20 pod parotěs</t>
        </is>
      </c>
      <c r="L104" s="2" t="inlineStr">
        <is>
          <t>needs_production_lookup</t>
        </is>
      </c>
      <c r="M104" s="2" t="inlineStr">
        <is>
          <t>S10</t>
        </is>
      </c>
    </row>
    <row r="105">
      <c r="A105" s="2" t="n">
        <v>104</v>
      </c>
      <c r="B105" s="2" t="inlineStr">
        <is>
          <t>HSV5.007b</t>
        </is>
      </c>
      <c r="C105" s="2" t="inlineStr">
        <is>
          <t>260219_dum</t>
        </is>
      </c>
      <c r="D105" s="2" t="inlineStr">
        <is>
          <t>HSV-5 Krov + střecha</t>
        </is>
      </c>
      <c r="E105" s="3" t="inlineStr">
        <is>
          <t>HSV-5 Krov + střecha</t>
        </is>
      </c>
      <c r="F105" s="3" t="inlineStr">
        <is>
          <t>Dodávka — Pronájem bednění (Bednění z prken tl. 20 mm pod nadkrokevní PIR )</t>
        </is>
      </c>
      <c r="G105" s="2" t="inlineStr">
        <is>
          <t>m²</t>
        </is>
      </c>
      <c r="H105" s="2" t="n">
        <v>140.94</v>
      </c>
      <c r="I105" s="3">
        <f> montáž 1:1</f>
        <v/>
      </c>
      <c r="J105" s="2" t="inlineStr"/>
      <c r="K105" s="3" t="inlineStr">
        <is>
          <t>TZ ARS dům §4 — biodeska/palubka tl.≥20 pod parotěs</t>
        </is>
      </c>
      <c r="L105" s="2" t="inlineStr">
        <is>
          <t>needs_lookup</t>
        </is>
      </c>
      <c r="M105" s="2" t="inlineStr">
        <is>
          <t>S10</t>
        </is>
      </c>
    </row>
    <row r="106">
      <c r="A106" s="2" t="n">
        <v>105</v>
      </c>
      <c r="B106" s="2" t="inlineStr">
        <is>
          <t>HSV5.008a</t>
        </is>
      </c>
      <c r="C106" s="2" t="inlineStr">
        <is>
          <t>260219_dum</t>
        </is>
      </c>
      <c r="D106" s="2" t="inlineStr">
        <is>
          <t>HSV-5 Krov + střecha</t>
        </is>
      </c>
      <c r="E106" s="3" t="inlineStr">
        <is>
          <t>HSV-5 Krov + střecha</t>
        </is>
      </c>
      <c r="F106" s="3" t="inlineStr">
        <is>
          <t>Montáž — Parotěsná folie nad bedněním pod nadkrokevní PIR (např. Isover Vario nebo Tyvek Air guard)</t>
        </is>
      </c>
      <c r="G106" s="2" t="inlineStr">
        <is>
          <t>m²</t>
        </is>
      </c>
      <c r="H106" s="2" t="n">
        <v>155.034</v>
      </c>
      <c r="I106" s="3" t="inlineStr">
        <is>
          <t>141 × 1.1 přesah = 155</t>
        </is>
      </c>
      <c r="J106" s="2" t="inlineStr">
        <is>
          <t>712311101</t>
        </is>
      </c>
      <c r="K106" s="3" t="inlineStr">
        <is>
          <t>TZ ARS dům §4 — skladba nadkrokevní s parotěsem</t>
        </is>
      </c>
      <c r="L106" s="2" t="inlineStr">
        <is>
          <t>needs_production_lookup</t>
        </is>
      </c>
      <c r="M106" s="2" t="inlineStr">
        <is>
          <t>S10</t>
        </is>
      </c>
    </row>
    <row r="107">
      <c r="A107" s="2" t="n">
        <v>106</v>
      </c>
      <c r="B107" s="2" t="inlineStr">
        <is>
          <t>HSV5.008b</t>
        </is>
      </c>
      <c r="C107" s="2" t="inlineStr">
        <is>
          <t>260219_dum</t>
        </is>
      </c>
      <c r="D107" s="2" t="inlineStr">
        <is>
          <t>HSV-5 Krov + střecha</t>
        </is>
      </c>
      <c r="E107" s="3" t="inlineStr">
        <is>
          <t>HSV-5 Krov + střecha</t>
        </is>
      </c>
      <c r="F107" s="3" t="inlineStr">
        <is>
          <t>Dodávka — Pronájem bednění (Parotěsná folie nad bedněním pod nadkrokevní P)</t>
        </is>
      </c>
      <c r="G107" s="2" t="inlineStr">
        <is>
          <t>m²</t>
        </is>
      </c>
      <c r="H107" s="2" t="n">
        <v>155.03</v>
      </c>
      <c r="I107" s="3">
        <f> montáž 1:1</f>
        <v/>
      </c>
      <c r="J107" s="2" t="inlineStr"/>
      <c r="K107" s="3" t="inlineStr">
        <is>
          <t>TZ ARS dům §4 — skladba nadkrokevní s parotěsem</t>
        </is>
      </c>
      <c r="L107" s="2" t="inlineStr">
        <is>
          <t>needs_lookup</t>
        </is>
      </c>
      <c r="M107" s="2" t="inlineStr">
        <is>
          <t>S10</t>
        </is>
      </c>
    </row>
    <row r="108">
      <c r="A108" s="2" t="n">
        <v>107</v>
      </c>
      <c r="B108" s="2" t="inlineStr">
        <is>
          <t>HSV5.009a</t>
        </is>
      </c>
      <c r="C108" s="2" t="inlineStr">
        <is>
          <t>260219_dum</t>
        </is>
      </c>
      <c r="D108" s="2" t="inlineStr">
        <is>
          <t>HSV-5 Krov + střecha</t>
        </is>
      </c>
      <c r="E108" s="3" t="inlineStr">
        <is>
          <t>HSV-5 Krov + střecha</t>
        </is>
      </c>
      <c r="F108" s="3" t="inlineStr">
        <is>
          <t>Montáž — Nadkrokevní tepelná izolace PIR (polyisokyanurát) tl. 160 mm (λ=0,022 W/mK) — řez A-A S10 explicit</t>
        </is>
      </c>
      <c r="G108" s="2" t="inlineStr">
        <is>
          <t>m²</t>
        </is>
      </c>
      <c r="H108" s="2" t="n">
        <v>140.94</v>
      </c>
      <c r="I108" s="3">
        <f> 141 m² (plocha krytiny krov)</f>
        <v/>
      </c>
      <c r="J108" s="2" t="inlineStr">
        <is>
          <t>713131811</t>
        </is>
      </c>
      <c r="K108" s="3" t="inlineStr">
        <is>
          <t>PDF řez D.1.1.2.2.21 legenda S10 'tepelná izolace PIR 160 mm' EXPLICIT (Path C Tier 1 finding — was prior 180 mm odhad)</t>
        </is>
      </c>
      <c r="L108" s="2" t="inlineStr">
        <is>
          <t>matched_websearch_verified</t>
        </is>
      </c>
      <c r="M108" s="2" t="inlineStr">
        <is>
          <t>S10</t>
        </is>
      </c>
    </row>
    <row r="109">
      <c r="A109" s="2" t="n">
        <v>108</v>
      </c>
      <c r="B109" s="2" t="inlineStr">
        <is>
          <t>HSV5.009b</t>
        </is>
      </c>
      <c r="C109" s="2" t="inlineStr">
        <is>
          <t>260219_dum</t>
        </is>
      </c>
      <c r="D109" s="2" t="inlineStr">
        <is>
          <t>HSV-5 Krov + střecha</t>
        </is>
      </c>
      <c r="E109" s="3" t="inlineStr">
        <is>
          <t>HSV-5 Krov + střecha</t>
        </is>
      </c>
      <c r="F109" s="3" t="inlineStr">
        <is>
          <t>Dodávka — Dodávka izolačních desek/rohoží (Nadkrokevní tepelná izolace PIR (polyisokyanur)</t>
        </is>
      </c>
      <c r="G109" s="2" t="inlineStr">
        <is>
          <t>m²</t>
        </is>
      </c>
      <c r="H109" s="2" t="n">
        <v>147.99</v>
      </c>
      <c r="I109" s="3">
        <f> montáž × 1.05</f>
        <v/>
      </c>
      <c r="J109" s="2" t="inlineStr"/>
      <c r="K109" s="3" t="inlineStr">
        <is>
          <t>PDF řez D.1.1.2.2.21 legenda S10 'tepelná izolace PIR 160 mm' EXPLICIT (Path C Tier 1 finding — was prior 180 mm odhad)</t>
        </is>
      </c>
      <c r="L109" s="2" t="inlineStr">
        <is>
          <t>needs_lookup</t>
        </is>
      </c>
      <c r="M109" s="2" t="inlineStr">
        <is>
          <t>S10</t>
        </is>
      </c>
    </row>
    <row r="110">
      <c r="A110" s="2" t="n">
        <v>109</v>
      </c>
      <c r="B110" s="2" t="inlineStr">
        <is>
          <t>HSV5.010a</t>
        </is>
      </c>
      <c r="C110" s="2" t="inlineStr">
        <is>
          <t>260219_dum</t>
        </is>
      </c>
      <c r="D110" s="2" t="inlineStr">
        <is>
          <t>HSV-5 Krov + střecha</t>
        </is>
      </c>
      <c r="E110" s="3" t="inlineStr">
        <is>
          <t>HSV-5 Krov + střecha</t>
        </is>
      </c>
      <c r="F110" s="3" t="inlineStr">
        <is>
          <t>Montáž — Doplňková hydroizolační difuzně otevřená folie nad PIR pod kontralatě</t>
        </is>
      </c>
      <c r="G110" s="2" t="inlineStr">
        <is>
          <t>m²</t>
        </is>
      </c>
      <c r="H110" s="2" t="n">
        <v>155.034</v>
      </c>
      <c r="I110" s="3" t="inlineStr">
        <is>
          <t>141 × 1.1 přesah = 155</t>
        </is>
      </c>
      <c r="J110" s="2" t="inlineStr">
        <is>
          <t>712311111</t>
        </is>
      </c>
      <c r="K110" s="3" t="inlineStr">
        <is>
          <t>TZ ARS dům §4 — doplň. HI</t>
        </is>
      </c>
      <c r="L110" s="2" t="inlineStr">
        <is>
          <t>needs_production_lookup</t>
        </is>
      </c>
      <c r="M110" s="2" t="inlineStr">
        <is>
          <t>S10</t>
        </is>
      </c>
    </row>
    <row r="111">
      <c r="A111" s="2" t="n">
        <v>110</v>
      </c>
      <c r="B111" s="2" t="inlineStr">
        <is>
          <t>HSV5.010b</t>
        </is>
      </c>
      <c r="C111" s="2" t="inlineStr">
        <is>
          <t>260219_dum</t>
        </is>
      </c>
      <c r="D111" s="2" t="inlineStr">
        <is>
          <t>HSV-5 Krov + střecha</t>
        </is>
      </c>
      <c r="E111" s="3" t="inlineStr">
        <is>
          <t>HSV-5 Krov + střecha</t>
        </is>
      </c>
      <c r="F111" s="3" t="inlineStr">
        <is>
          <t>Dodávka — Dodávka izolačních desek/rohoží (Doplňková hydroizolační difuzně otevřená folie)</t>
        </is>
      </c>
      <c r="G111" s="2" t="inlineStr">
        <is>
          <t>m²</t>
        </is>
      </c>
      <c r="H111" s="2" t="n">
        <v>162.79</v>
      </c>
      <c r="I111" s="3">
        <f> montáž × 1.05</f>
        <v/>
      </c>
      <c r="J111" s="2" t="inlineStr"/>
      <c r="K111" s="3" t="inlineStr">
        <is>
          <t>TZ ARS dům §4 — doplň. HI</t>
        </is>
      </c>
      <c r="L111" s="2" t="inlineStr">
        <is>
          <t>needs_lookup</t>
        </is>
      </c>
      <c r="M111" s="2" t="inlineStr">
        <is>
          <t>S10</t>
        </is>
      </c>
    </row>
    <row r="112">
      <c r="A112" s="2" t="n">
        <v>111</v>
      </c>
      <c r="B112" s="2" t="inlineStr">
        <is>
          <t>HSV5.011a</t>
        </is>
      </c>
      <c r="C112" s="2" t="inlineStr">
        <is>
          <t>260219_dum</t>
        </is>
      </c>
      <c r="D112" s="2" t="inlineStr">
        <is>
          <t>HSV-5 Krov + střecha</t>
        </is>
      </c>
      <c r="E112" s="3" t="inlineStr">
        <is>
          <t>HSV-5 Krov + střecha</t>
        </is>
      </c>
      <c r="F112" s="3" t="inlineStr">
        <is>
          <t>Montáž — Distanční kontralatě 40×60 mm pro vzduchovou mezeru nad PIR</t>
        </is>
      </c>
      <c r="G112" s="2" t="inlineStr">
        <is>
          <t>m²</t>
        </is>
      </c>
      <c r="H112" s="2" t="n">
        <v>140.94</v>
      </c>
      <c r="I112" s="3">
        <f> 141 m²</f>
        <v/>
      </c>
      <c r="J112" s="2" t="inlineStr">
        <is>
          <t>762331923</t>
        </is>
      </c>
      <c r="K112" s="3" t="inlineStr">
        <is>
          <t>TZ ARS dům §4 — kontralatě + vzduchová mezera</t>
        </is>
      </c>
      <c r="L112" s="2" t="inlineStr">
        <is>
          <t>needs_production_lookup</t>
        </is>
      </c>
      <c r="M112" s="2" t="inlineStr">
        <is>
          <t>S10</t>
        </is>
      </c>
    </row>
    <row r="113">
      <c r="A113" s="2" t="n">
        <v>112</v>
      </c>
      <c r="B113" s="2" t="inlineStr">
        <is>
          <t>HSV5.011b</t>
        </is>
      </c>
      <c r="C113" s="2" t="inlineStr">
        <is>
          <t>260219_dum</t>
        </is>
      </c>
      <c r="D113" s="2" t="inlineStr">
        <is>
          <t>HSV-5 Krov + střecha</t>
        </is>
      </c>
      <c r="E113" s="3" t="inlineStr">
        <is>
          <t>HSV-5 Krov + střecha</t>
        </is>
      </c>
      <c r="F113" s="3" t="inlineStr">
        <is>
          <t>Dodávka — Dodávka izolačních desek/rohoží (Distanční kontralatě 40×60 mm pro vzduchovou m)</t>
        </is>
      </c>
      <c r="G113" s="2" t="inlineStr">
        <is>
          <t>m²</t>
        </is>
      </c>
      <c r="H113" s="2" t="n">
        <v>147.99</v>
      </c>
      <c r="I113" s="3">
        <f> montáž × 1.05</f>
        <v/>
      </c>
      <c r="J113" s="2" t="inlineStr"/>
      <c r="K113" s="3" t="inlineStr">
        <is>
          <t>TZ ARS dům §4 — kontralatě + vzduchová mezera</t>
        </is>
      </c>
      <c r="L113" s="2" t="inlineStr">
        <is>
          <t>needs_lookup</t>
        </is>
      </c>
      <c r="M113" s="2" t="inlineStr">
        <is>
          <t>S10</t>
        </is>
      </c>
    </row>
    <row r="114">
      <c r="A114" s="2" t="n">
        <v>113</v>
      </c>
      <c r="B114" s="2" t="inlineStr">
        <is>
          <t>HSV5.012a</t>
        </is>
      </c>
      <c r="C114" s="2" t="inlineStr">
        <is>
          <t>260219_dum</t>
        </is>
      </c>
      <c r="D114" s="2" t="inlineStr">
        <is>
          <t>HSV-5 Krov + střecha</t>
        </is>
      </c>
      <c r="E114" s="3" t="inlineStr">
        <is>
          <t>HSV-5 Krov + střecha</t>
        </is>
      </c>
      <c r="F114" s="3" t="inlineStr">
        <is>
          <t>Montáž — Bednění z prken tl. 25 mm pod plechovou hliníkovou krytinu (rozsah dle technologie krytiny)</t>
        </is>
      </c>
      <c r="G114" s="2" t="inlineStr">
        <is>
          <t>m²</t>
        </is>
      </c>
      <c r="H114" s="2" t="n">
        <v>140.94</v>
      </c>
      <c r="I114" s="3">
        <f> 141 m²</f>
        <v/>
      </c>
      <c r="J114" s="2" t="inlineStr">
        <is>
          <t>762341711</t>
        </is>
      </c>
      <c r="K114" s="3" t="inlineStr">
        <is>
          <t>TZ ARS dům §4 — bednění pod krytinu</t>
        </is>
      </c>
      <c r="L114" s="2" t="inlineStr">
        <is>
          <t>family_verified_leaf_needs_production_lookup</t>
        </is>
      </c>
      <c r="M114" s="2" t="inlineStr">
        <is>
          <t>S10</t>
        </is>
      </c>
    </row>
    <row r="115">
      <c r="A115" s="2" t="n">
        <v>114</v>
      </c>
      <c r="B115" s="2" t="inlineStr">
        <is>
          <t>HSV5.012b</t>
        </is>
      </c>
      <c r="C115" s="2" t="inlineStr">
        <is>
          <t>260219_dum</t>
        </is>
      </c>
      <c r="D115" s="2" t="inlineStr">
        <is>
          <t>HSV-5 Krov + střecha</t>
        </is>
      </c>
      <c r="E115" s="3" t="inlineStr">
        <is>
          <t>HSV-5 Krov + střecha</t>
        </is>
      </c>
      <c r="F115" s="3" t="inlineStr">
        <is>
          <t>Dodávka — Pronájem bednění (Bednění z prken tl. 25 mm pod plechovou hliník)</t>
        </is>
      </c>
      <c r="G115" s="2" t="inlineStr">
        <is>
          <t>m²</t>
        </is>
      </c>
      <c r="H115" s="2" t="n">
        <v>140.94</v>
      </c>
      <c r="I115" s="3">
        <f> montáž 1:1</f>
        <v/>
      </c>
      <c r="J115" s="2" t="inlineStr"/>
      <c r="K115" s="3" t="inlineStr">
        <is>
          <t>TZ ARS dům §4 — bednění pod krytinu</t>
        </is>
      </c>
      <c r="L115" s="2" t="inlineStr">
        <is>
          <t>needs_lookup</t>
        </is>
      </c>
      <c r="M115" s="2" t="inlineStr">
        <is>
          <t>S10</t>
        </is>
      </c>
    </row>
    <row r="116">
      <c r="A116" s="2" t="n">
        <v>115</v>
      </c>
      <c r="B116" s="2" t="inlineStr">
        <is>
          <t>HSV5.013a</t>
        </is>
      </c>
      <c r="C116" s="2" t="inlineStr">
        <is>
          <t>260219_dum</t>
        </is>
      </c>
      <c r="D116" s="2" t="inlineStr">
        <is>
          <t>HSV-5 Krov + střecha</t>
        </is>
      </c>
      <c r="E116" s="3" t="inlineStr">
        <is>
          <t>HSV-5 Krov + střecha</t>
        </is>
      </c>
      <c r="F116" s="3" t="inlineStr">
        <is>
          <t>Montáž — Plechová falcovaná HLINÍKOVÁ krytina (např. PREFA, Rheinzink, Lindab) + tlumící podložka</t>
        </is>
      </c>
      <c r="G116" s="2" t="inlineStr">
        <is>
          <t>m²</t>
        </is>
      </c>
      <c r="H116" s="2" t="n">
        <v>140.94</v>
      </c>
      <c r="I116" s="3">
        <f> 141 m² (vč. vikýřů přidat ~10%)</f>
        <v/>
      </c>
      <c r="J116" s="2" t="inlineStr">
        <is>
          <t>765791121</t>
        </is>
      </c>
      <c r="K116" s="3" t="inlineStr">
        <is>
          <t>TZ ARS dům §4 — plechová falcovaná hliníková krytina</t>
        </is>
      </c>
      <c r="L116" s="2" t="inlineStr">
        <is>
          <t>family_verified_leaf_needs_production_lookup</t>
        </is>
      </c>
      <c r="M116" s="2" t="inlineStr">
        <is>
          <t>S10</t>
        </is>
      </c>
    </row>
    <row r="117">
      <c r="A117" s="2" t="n">
        <v>116</v>
      </c>
      <c r="B117" s="2" t="inlineStr">
        <is>
          <t>HSV5.013b</t>
        </is>
      </c>
      <c r="C117" s="2" t="inlineStr">
        <is>
          <t>260219_dum</t>
        </is>
      </c>
      <c r="D117" s="2" t="inlineStr">
        <is>
          <t>HSV-5 Krov + střecha</t>
        </is>
      </c>
      <c r="E117" s="3" t="inlineStr">
        <is>
          <t>HSV-5 Krov + střecha</t>
        </is>
      </c>
      <c r="F117" s="3" t="inlineStr">
        <is>
          <t>Dodávka — Dodávka krytiny (Plechová falcovaná HLINÍKOVÁ krytina (např. PR)</t>
        </is>
      </c>
      <c r="G117" s="2" t="inlineStr">
        <is>
          <t>m²</t>
        </is>
      </c>
      <c r="H117" s="2" t="n">
        <v>155.03</v>
      </c>
      <c r="I117" s="3">
        <f> montáž × 1.10</f>
        <v/>
      </c>
      <c r="J117" s="2" t="inlineStr"/>
      <c r="K117" s="3" t="inlineStr">
        <is>
          <t>TZ ARS dům §4 — plechová falcovaná hliníková krytina</t>
        </is>
      </c>
      <c r="L117" s="2" t="inlineStr">
        <is>
          <t>needs_lookup</t>
        </is>
      </c>
      <c r="M117" s="2" t="inlineStr">
        <is>
          <t>S10</t>
        </is>
      </c>
    </row>
    <row r="118">
      <c r="A118" s="2" t="n">
        <v>117</v>
      </c>
      <c r="B118" s="2" t="inlineStr">
        <is>
          <t>HSV5.014a</t>
        </is>
      </c>
      <c r="C118" s="2" t="inlineStr">
        <is>
          <t>260219_dum</t>
        </is>
      </c>
      <c r="D118" s="2" t="inlineStr">
        <is>
          <t>HSV-5 Krov + střecha</t>
        </is>
      </c>
      <c r="E118" s="3" t="inlineStr">
        <is>
          <t>HSV-5 Krov + střecha</t>
        </is>
      </c>
      <c r="F118" s="3" t="inlineStr">
        <is>
          <t>Montáž — Patro pro přespání v krovu — biodeska / OSB desky tl. 22 mm nad kleštinami</t>
        </is>
      </c>
      <c r="G118" s="2" t="inlineStr">
        <is>
          <t>m²</t>
        </is>
      </c>
      <c r="H118" s="2" t="n">
        <v>25</v>
      </c>
      <c r="I118" s="3" t="inlineStr">
        <is>
          <t>odhad — spací patro ~5 × 5 m</t>
        </is>
      </c>
      <c r="J118" s="2" t="inlineStr">
        <is>
          <t>762341711</t>
        </is>
      </c>
      <c r="K118" s="3" t="inlineStr">
        <is>
          <t>TZ ARS dům §4 — patro nad kleštinami z biodesky pro přespání</t>
        </is>
      </c>
      <c r="L118" s="2" t="inlineStr">
        <is>
          <t>needs_production_lookup</t>
        </is>
      </c>
      <c r="M118" s="2" t="inlineStr">
        <is>
          <t>S11</t>
        </is>
      </c>
    </row>
    <row r="119">
      <c r="A119" s="2" t="n">
        <v>118</v>
      </c>
      <c r="B119" s="2" t="inlineStr">
        <is>
          <t>HSV5.014b</t>
        </is>
      </c>
      <c r="C119" s="2" t="inlineStr">
        <is>
          <t>260219_dum</t>
        </is>
      </c>
      <c r="D119" s="2" t="inlineStr">
        <is>
          <t>HSV-5 Krov + střecha</t>
        </is>
      </c>
      <c r="E119" s="3" t="inlineStr">
        <is>
          <t>HSV-5 Krov + střecha</t>
        </is>
      </c>
      <c r="F119" s="3" t="inlineStr">
        <is>
          <t>Dodávka — Dodávka řeziva C24 (impregnované) (Patro pro přespání v krovu — biodeska / OSB de)</t>
        </is>
      </c>
      <c r="G119" s="2" t="inlineStr">
        <is>
          <t>m²</t>
        </is>
      </c>
      <c r="H119" s="2" t="n">
        <v>27.5</v>
      </c>
      <c r="I119" s="3">
        <f> montáž × 1.10</f>
        <v/>
      </c>
      <c r="J119" s="2" t="inlineStr"/>
      <c r="K119" s="3" t="inlineStr">
        <is>
          <t>TZ ARS dům §4 — patro nad kleštinami z biodesky pro přespání</t>
        </is>
      </c>
      <c r="L119" s="2" t="inlineStr">
        <is>
          <t>needs_lookup</t>
        </is>
      </c>
      <c r="M119" s="2" t="inlineStr">
        <is>
          <t>S11</t>
        </is>
      </c>
    </row>
    <row r="120">
      <c r="A120" s="2" t="n">
        <v>119</v>
      </c>
      <c r="B120" s="2" t="inlineStr">
        <is>
          <t>HSV5.015</t>
        </is>
      </c>
      <c r="C120" s="2" t="inlineStr">
        <is>
          <t>260219_dum</t>
        </is>
      </c>
      <c r="D120" s="2" t="inlineStr">
        <is>
          <t>HSV-5 Krov + střecha</t>
        </is>
      </c>
      <c r="E120" s="3" t="inlineStr">
        <is>
          <t>HSV-5 Krov + střecha</t>
        </is>
      </c>
      <c r="F120" s="3" t="inlineStr">
        <is>
          <t>Vikýře — zděná čela z Porotherm 30 (odhad 4 ks × ~3 m² stěna)</t>
        </is>
      </c>
      <c r="G120" s="2" t="inlineStr">
        <is>
          <t>m²</t>
        </is>
      </c>
      <c r="H120" s="2" t="n">
        <v>12</v>
      </c>
      <c r="I120" s="3" t="inlineStr">
        <is>
          <t>4 vikýře × ~3 m² zděných čel = 12</t>
        </is>
      </c>
      <c r="J120" s="2" t="inlineStr">
        <is>
          <t>311321411</t>
        </is>
      </c>
      <c r="K120" s="3" t="inlineStr">
        <is>
          <t>TZ ARS dům §4 — vikýře vystupují ze střechy, čela zděná</t>
        </is>
      </c>
      <c r="L120" s="2" t="inlineStr">
        <is>
          <t>needs_production_lookup</t>
        </is>
      </c>
      <c r="M120" s="2" t="inlineStr"/>
    </row>
    <row r="121">
      <c r="A121" s="2" t="n">
        <v>120</v>
      </c>
      <c r="B121" s="2" t="inlineStr">
        <is>
          <t>HSV5.016a</t>
        </is>
      </c>
      <c r="C121" s="2" t="inlineStr">
        <is>
          <t>260219_dum</t>
        </is>
      </c>
      <c r="D121" s="2" t="inlineStr">
        <is>
          <t>HSV-5 Krov + střecha</t>
        </is>
      </c>
      <c r="E121" s="3" t="inlineStr">
        <is>
          <t>HSV-5 Krov + střecha</t>
        </is>
      </c>
      <c r="F121" s="3" t="inlineStr">
        <is>
          <t>Fasádní minerální izolace λ0.035 180 mm + kotvy fasády — vikýře S12b</t>
        </is>
      </c>
      <c r="G121" s="2" t="inlineStr">
        <is>
          <t>m²</t>
        </is>
      </c>
      <c r="H121" s="2" t="n">
        <v>24</v>
      </c>
      <c r="I121" s="3">
        <f> 4 vikýře × ~6 m²</f>
        <v/>
      </c>
      <c r="J121" s="2" t="inlineStr">
        <is>
          <t>713</t>
        </is>
      </c>
      <c r="K121" s="3" t="inlineStr">
        <is>
          <t>TZ ARS dům §4 — vikýře fasáda provětrávaná + min. vata + plech falc.</t>
        </is>
      </c>
      <c r="L121" s="2" t="inlineStr">
        <is>
          <t>family_only</t>
        </is>
      </c>
      <c r="M121" s="2" t="inlineStr">
        <is>
          <t>S12b</t>
        </is>
      </c>
    </row>
    <row r="122">
      <c r="A122" s="2" t="n">
        <v>121</v>
      </c>
      <c r="B122" s="2" t="inlineStr">
        <is>
          <t>HSV5.016b</t>
        </is>
      </c>
      <c r="C122" s="2" t="inlineStr">
        <is>
          <t>260219_dum</t>
        </is>
      </c>
      <c r="D122" s="2" t="inlineStr">
        <is>
          <t>HSV-5 Krov + střecha</t>
        </is>
      </c>
      <c r="E122" s="3" t="inlineStr">
        <is>
          <t>HSV-5 Krov + střecha</t>
        </is>
      </c>
      <c r="F122" s="3" t="inlineStr">
        <is>
          <t>Paropropustná fasádní folie s UV odolností — vikýře</t>
        </is>
      </c>
      <c r="G122" s="2" t="inlineStr">
        <is>
          <t>m²</t>
        </is>
      </c>
      <c r="H122" s="2" t="n">
        <v>26</v>
      </c>
      <c r="I122" s="3">
        <f> 24 × 1.10</f>
        <v/>
      </c>
      <c r="J122" s="2" t="inlineStr"/>
      <c r="K122" s="3" t="inlineStr">
        <is>
          <t>TZ ARS dům §4 — vikýře fasáda provětrávaná + min. vata + plech falc.</t>
        </is>
      </c>
      <c r="L122" s="2" t="inlineStr">
        <is>
          <t>needs_lookup</t>
        </is>
      </c>
      <c r="M122" s="2" t="inlineStr">
        <is>
          <t>S12b</t>
        </is>
      </c>
    </row>
    <row r="123">
      <c r="A123" s="2" t="n">
        <v>122</v>
      </c>
      <c r="B123" s="2" t="inlineStr">
        <is>
          <t>HSV5.016c</t>
        </is>
      </c>
      <c r="C123" s="2" t="inlineStr">
        <is>
          <t>260219_dum</t>
        </is>
      </c>
      <c r="D123" s="2" t="inlineStr">
        <is>
          <t>HSV-5 Krov + střecha</t>
        </is>
      </c>
      <c r="E123" s="3" t="inlineStr">
        <is>
          <t>HSV-5 Krov + střecha</t>
        </is>
      </c>
      <c r="F123" s="3" t="inlineStr">
        <is>
          <t>Svislý nosný rastr 40×60 mm + ochranný nátěr — vikýře</t>
        </is>
      </c>
      <c r="G123" s="2" t="inlineStr">
        <is>
          <t>m²</t>
        </is>
      </c>
      <c r="H123" s="2" t="n">
        <v>24</v>
      </c>
      <c r="I123" s="3">
        <f> plocha fasády vikýřů</f>
        <v/>
      </c>
      <c r="J123" s="2" t="inlineStr"/>
      <c r="K123" s="3" t="inlineStr">
        <is>
          <t>TZ ARS dům §4 — vikýře fasáda provětrávaná + min. vata + plech falc.</t>
        </is>
      </c>
      <c r="L123" s="2" t="inlineStr">
        <is>
          <t>needs_lookup</t>
        </is>
      </c>
      <c r="M123" s="2" t="inlineStr">
        <is>
          <t>S12b</t>
        </is>
      </c>
    </row>
    <row r="124">
      <c r="A124" s="2" t="n">
        <v>123</v>
      </c>
      <c r="B124" s="2" t="inlineStr">
        <is>
          <t>HSV5.016d</t>
        </is>
      </c>
      <c r="C124" s="2" t="inlineStr">
        <is>
          <t>260219_dum</t>
        </is>
      </c>
      <c r="D124" s="2" t="inlineStr">
        <is>
          <t>HSV-5 Krov + střecha</t>
        </is>
      </c>
      <c r="E124" s="3" t="inlineStr">
        <is>
          <t>HSV-5 Krov + střecha</t>
        </is>
      </c>
      <c r="F124" s="3" t="inlineStr">
        <is>
          <t>Celoplošné bednění prkna 25 mm — vikýře</t>
        </is>
      </c>
      <c r="G124" s="2" t="inlineStr">
        <is>
          <t>m²</t>
        </is>
      </c>
      <c r="H124" s="2" t="n">
        <v>24</v>
      </c>
      <c r="I124" s="3">
        <f> plocha fasády vikýřů</f>
        <v/>
      </c>
      <c r="J124" s="2" t="inlineStr"/>
      <c r="K124" s="3" t="inlineStr">
        <is>
          <t>TZ ARS dům §4 — vikýře fasáda provětrávaná + min. vata + plech falc.</t>
        </is>
      </c>
      <c r="L124" s="2" t="inlineStr">
        <is>
          <t>needs_lookup</t>
        </is>
      </c>
      <c r="M124" s="2" t="inlineStr">
        <is>
          <t>S12b</t>
        </is>
      </c>
    </row>
    <row r="125">
      <c r="A125" s="2" t="n">
        <v>124</v>
      </c>
      <c r="B125" s="2" t="inlineStr">
        <is>
          <t>HSV5.016e</t>
        </is>
      </c>
      <c r="C125" s="2" t="inlineStr">
        <is>
          <t>260219_dum</t>
        </is>
      </c>
      <c r="D125" s="2" t="inlineStr">
        <is>
          <t>HSV-5 Krov + střecha</t>
        </is>
      </c>
      <c r="E125" s="3" t="inlineStr">
        <is>
          <t>HSV-5 Krov + střecha</t>
        </is>
      </c>
      <c r="F125" s="3" t="inlineStr">
        <is>
          <t>Falcovaný hliníkový plech — krycí vrstva vikýře</t>
        </is>
      </c>
      <c r="G125" s="2" t="inlineStr">
        <is>
          <t>m²</t>
        </is>
      </c>
      <c r="H125" s="2" t="n">
        <v>26</v>
      </c>
      <c r="I125" s="3">
        <f> 24 × 1.10</f>
        <v/>
      </c>
      <c r="J125" s="2" t="inlineStr"/>
      <c r="K125" s="3" t="inlineStr">
        <is>
          <t>TZ ARS dům §4 — vikýře fasáda provětrávaná + min. vata + plech falc.</t>
        </is>
      </c>
      <c r="L125" s="2" t="inlineStr">
        <is>
          <t>needs_lookup</t>
        </is>
      </c>
      <c r="M125" s="2" t="inlineStr">
        <is>
          <t>S12b</t>
        </is>
      </c>
    </row>
    <row r="126">
      <c r="A126" s="2" t="n">
        <v>125</v>
      </c>
      <c r="B126" s="2" t="inlineStr">
        <is>
          <t>HSV6.001</t>
        </is>
      </c>
      <c r="C126" s="2" t="inlineStr">
        <is>
          <t>260219_dum</t>
        </is>
      </c>
      <c r="D126" s="2" t="inlineStr">
        <is>
          <t>HSV-6 Bourací práce</t>
        </is>
      </c>
      <c r="E126" s="3" t="inlineStr">
        <is>
          <t>HSV-6 Bourací práce</t>
        </is>
      </c>
      <c r="F126" s="3" t="inlineStr">
        <is>
          <t>Bourání kompletního stávajícího krovu vč. vikýřů — vaznicový s ležatou stolicí — manuálně, odvoz</t>
        </is>
      </c>
      <c r="G126" s="2" t="inlineStr">
        <is>
          <t>m³</t>
        </is>
      </c>
      <c r="H126" s="2" t="n">
        <v>12</v>
      </c>
      <c r="I126" s="3" t="inlineStr">
        <is>
          <t>TZ B m.10.e: 9 t dřeva × 0.75 t/m³ = 12 m³ dřeva</t>
        </is>
      </c>
      <c r="J126" s="2" t="inlineStr">
        <is>
          <t>962041141</t>
        </is>
      </c>
      <c r="K126" s="3" t="inlineStr">
        <is>
          <t>TZ B m.10.e — 9 t dřeva celkem; krov hlavní zdroj</t>
        </is>
      </c>
      <c r="L126" s="2" t="inlineStr">
        <is>
          <t>FAMILY_VERIFIED</t>
        </is>
      </c>
      <c r="M126" s="2" t="inlineStr"/>
    </row>
    <row r="127">
      <c r="A127" s="2" t="n">
        <v>126</v>
      </c>
      <c r="B127" s="2" t="inlineStr">
        <is>
          <t>HSV6.002</t>
        </is>
      </c>
      <c r="C127" s="2" t="inlineStr">
        <is>
          <t>260219_dum</t>
        </is>
      </c>
      <c r="D127" s="2" t="inlineStr">
        <is>
          <t>HSV-6 Bourací práce</t>
        </is>
      </c>
      <c r="E127" s="3" t="inlineStr">
        <is>
          <t>HSV-6 Bourací práce</t>
        </is>
      </c>
      <c r="F127" s="3" t="inlineStr">
        <is>
          <t>Bourání stávající plechové krytiny (manuálně, recyklace plechu)</t>
        </is>
      </c>
      <c r="G127" s="2" t="inlineStr">
        <is>
          <t>m²</t>
        </is>
      </c>
      <c r="H127" s="2" t="n">
        <v>140.9</v>
      </c>
      <c r="I127" s="3">
        <f> plocha krytiny ~141</f>
        <v/>
      </c>
      <c r="J127" s="2" t="inlineStr"/>
      <c r="K127" s="3" t="inlineStr">
        <is>
          <t>TZ B m.10.e — 0.1 t kovů; stávající plech krytina</t>
        </is>
      </c>
      <c r="L127" s="2" t="inlineStr">
        <is>
          <t>wrong_leaf_disambiguation_needed</t>
        </is>
      </c>
      <c r="M127" s="2" t="inlineStr"/>
    </row>
    <row r="128">
      <c r="A128" s="2" t="n">
        <v>127</v>
      </c>
      <c r="B128" s="2" t="inlineStr">
        <is>
          <t>HSV6.003</t>
        </is>
      </c>
      <c r="C128" s="2" t="inlineStr">
        <is>
          <t>260219_dum</t>
        </is>
      </c>
      <c r="D128" s="2" t="inlineStr">
        <is>
          <t>HSV-6 Bourací práce</t>
        </is>
      </c>
      <c r="E128" s="3" t="inlineStr">
        <is>
          <t>HSV-6 Bourací práce</t>
        </is>
      </c>
      <c r="F128" s="3" t="inlineStr">
        <is>
          <t>Bourání zděných nadezdívek nad stropem 2.NP (mimo štítových stěn) — cihla pálená</t>
        </is>
      </c>
      <c r="G128" s="2" t="inlineStr">
        <is>
          <t>m³</t>
        </is>
      </c>
      <c r="H128" s="2" t="n">
        <v>6</v>
      </c>
      <c r="I128" s="3" t="inlineStr">
        <is>
          <t>odhad — 3.NP nadezdívka půdy ~104 m² × 0.45 m výška ~6</t>
        </is>
      </c>
      <c r="J128" s="2" t="inlineStr">
        <is>
          <t>962031132</t>
        </is>
      </c>
      <c r="K128" s="3" t="inlineStr">
        <is>
          <t>TZ ARS dům §3 — bourání nadezdívek mimo štítů</t>
        </is>
      </c>
      <c r="L128" s="2" t="inlineStr">
        <is>
          <t>needs_production_lookup</t>
        </is>
      </c>
      <c r="M128" s="2" t="inlineStr"/>
    </row>
    <row r="129">
      <c r="A129" s="2" t="n">
        <v>128</v>
      </c>
      <c r="B129" s="2" t="inlineStr">
        <is>
          <t>HSV6.004</t>
        </is>
      </c>
      <c r="C129" s="2" t="inlineStr">
        <is>
          <t>260219_dum</t>
        </is>
      </c>
      <c r="D129" s="2" t="inlineStr">
        <is>
          <t>HSV-6 Bourací práce</t>
        </is>
      </c>
      <c r="E129" s="3" t="inlineStr">
        <is>
          <t>HSV-6 Bourací práce</t>
        </is>
      </c>
      <c r="F129" s="3" t="inlineStr">
        <is>
          <t>Bourání trámového stropu 2.NP/podkroví — kompletně (vč. zajištění schodiště)</t>
        </is>
      </c>
      <c r="G129" s="2" t="inlineStr">
        <is>
          <t>m²</t>
        </is>
      </c>
      <c r="H129" s="2" t="n">
        <v>104.4</v>
      </c>
      <c r="I129" s="3">
        <f> zastavěna 104.4 m²</f>
        <v/>
      </c>
      <c r="J129" s="2" t="inlineStr">
        <is>
          <t>962041141</t>
        </is>
      </c>
      <c r="K129" s="3" t="inlineStr">
        <is>
          <t>TZ ARS dům §3 — strop 2.NP/3.NP KOMPLETNĚ bourán</t>
        </is>
      </c>
      <c r="L129" s="2" t="inlineStr">
        <is>
          <t>needs_production_lookup</t>
        </is>
      </c>
      <c r="M129" s="2" t="inlineStr"/>
    </row>
    <row r="130">
      <c r="A130" s="2" t="n">
        <v>129</v>
      </c>
      <c r="B130" s="2" t="inlineStr">
        <is>
          <t>HSV6.005</t>
        </is>
      </c>
      <c r="C130" s="2" t="inlineStr">
        <is>
          <t>260219_dum</t>
        </is>
      </c>
      <c r="D130" s="2" t="inlineStr">
        <is>
          <t>HSV-6 Bourací práce</t>
        </is>
      </c>
      <c r="E130" s="3" t="inlineStr">
        <is>
          <t>HSV-6 Bourací práce</t>
        </is>
      </c>
      <c r="F130" s="3" t="inlineStr">
        <is>
          <t>Bourání stávajících lehkých příček (cihla, sádrokarton, dřevo)</t>
        </is>
      </c>
      <c r="G130" s="2" t="inlineStr">
        <is>
          <t>m²</t>
        </is>
      </c>
      <c r="H130" s="2" t="n">
        <v>80</v>
      </c>
      <c r="I130" s="3" t="inlineStr">
        <is>
          <t>odhad — interier 2 patra × ~40 m² příček = 80</t>
        </is>
      </c>
      <c r="J130" s="2" t="inlineStr">
        <is>
          <t>962031132</t>
        </is>
      </c>
      <c r="K130" s="3" t="inlineStr">
        <is>
          <t>TZ ARS dům §3 — lehké příčky bourány</t>
        </is>
      </c>
      <c r="L130" s="2" t="inlineStr">
        <is>
          <t>needs_production_lookup</t>
        </is>
      </c>
      <c r="M130" s="2" t="inlineStr"/>
    </row>
    <row r="131">
      <c r="A131" s="2" t="n">
        <v>130</v>
      </c>
      <c r="B131" s="2" t="inlineStr">
        <is>
          <t>HSV6.006</t>
        </is>
      </c>
      <c r="C131" s="2" t="inlineStr">
        <is>
          <t>260219_dum</t>
        </is>
      </c>
      <c r="D131" s="2" t="inlineStr">
        <is>
          <t>HSV-6 Bourací práce</t>
        </is>
      </c>
      <c r="E131" s="3" t="inlineStr">
        <is>
          <t>HSV-6 Bourací práce</t>
        </is>
      </c>
      <c r="F131" s="3" t="inlineStr">
        <is>
          <t>Bourání 8 nových otvorů v nosných cihelných zdech pro dveře/okna (~1.0 × 2.1 m)</t>
        </is>
      </c>
      <c r="G131" s="2" t="inlineStr">
        <is>
          <t>ks</t>
        </is>
      </c>
      <c r="H131" s="2" t="n">
        <v>8</v>
      </c>
      <c r="I131" s="3" t="inlineStr">
        <is>
          <t>odhad počtu nových otvorů (= počet IPN160 překladů)</t>
        </is>
      </c>
      <c r="J131" s="2" t="inlineStr">
        <is>
          <t>962031132</t>
        </is>
      </c>
      <c r="K131" s="3" t="inlineStr">
        <is>
          <t>TZ ARS + statika — nové otvory s IPN160 překlady</t>
        </is>
      </c>
      <c r="L131" s="2" t="inlineStr">
        <is>
          <t>needs_production_lookup</t>
        </is>
      </c>
      <c r="M131" s="2" t="inlineStr"/>
    </row>
    <row r="132">
      <c r="A132" s="2" t="n">
        <v>131</v>
      </c>
      <c r="B132" s="2" t="inlineStr">
        <is>
          <t>HSV6.007</t>
        </is>
      </c>
      <c r="C132" s="2" t="inlineStr">
        <is>
          <t>260219_dum</t>
        </is>
      </c>
      <c r="D132" s="2" t="inlineStr">
        <is>
          <t>HSV-6 Bourací práce</t>
        </is>
      </c>
      <c r="E132" s="3" t="inlineStr">
        <is>
          <t>HSV-6 Bourací práce</t>
        </is>
      </c>
      <c r="F132" s="3" t="inlineStr">
        <is>
          <t>Bourání keramických obkladů a zařizovacích předmětů v koupelnách 1.NP + 2.NP</t>
        </is>
      </c>
      <c r="G132" s="2" t="inlineStr">
        <is>
          <t>m²</t>
        </is>
      </c>
      <c r="H132" s="2" t="n">
        <v>60</v>
      </c>
      <c r="I132" s="3" t="inlineStr">
        <is>
          <t>2 koupelny × ~30 m² obkladů = 60</t>
        </is>
      </c>
      <c r="J132" s="2" t="inlineStr">
        <is>
          <t>781473810</t>
        </is>
      </c>
      <c r="K132" s="3" t="inlineStr">
        <is>
          <t>TZ ARS dům §3 — koupelny kompletně bourány</t>
        </is>
      </c>
      <c r="L132" s="2" t="inlineStr">
        <is>
          <t>FAMILY_VERIFIED</t>
        </is>
      </c>
      <c r="M132" s="2" t="inlineStr"/>
    </row>
    <row r="133">
      <c r="A133" s="2" t="n">
        <v>132</v>
      </c>
      <c r="B133" s="2" t="inlineStr">
        <is>
          <t>HSV6.008</t>
        </is>
      </c>
      <c r="C133" s="2" t="inlineStr">
        <is>
          <t>260219_dum</t>
        </is>
      </c>
      <c r="D133" s="2" t="inlineStr">
        <is>
          <t>HSV-6 Bourací práce</t>
        </is>
      </c>
      <c r="E133" s="3" t="inlineStr">
        <is>
          <t>HSV-6 Bourací práce</t>
        </is>
      </c>
      <c r="F133" s="3" t="inlineStr">
        <is>
          <t>Sejmutí podlah 1.NP a 2.NP — vč. nášlapů, podkladních vrstev</t>
        </is>
      </c>
      <c r="G133" s="2" t="inlineStr">
        <is>
          <t>m²</t>
        </is>
      </c>
      <c r="H133" s="2" t="n">
        <v>153.51</v>
      </c>
      <c r="I133" s="3" t="inlineStr">
        <is>
          <t>podlahova × 0.7 = ~154 m² (bez 3.NP nového)</t>
        </is>
      </c>
      <c r="J133" s="2" t="inlineStr">
        <is>
          <t>974031132</t>
        </is>
      </c>
      <c r="K133" s="3" t="inlineStr">
        <is>
          <t>TZ ARS dům §3 — podlahy 1.NP+2.NP sejmuty</t>
        </is>
      </c>
      <c r="L133" s="2" t="inlineStr">
        <is>
          <t>needs_production_lookup</t>
        </is>
      </c>
      <c r="M133" s="2" t="inlineStr"/>
    </row>
    <row r="134">
      <c r="A134" s="2" t="n">
        <v>133</v>
      </c>
      <c r="B134" s="2" t="inlineStr">
        <is>
          <t>HSV6.009</t>
        </is>
      </c>
      <c r="C134" s="2" t="inlineStr">
        <is>
          <t>260219_dum</t>
        </is>
      </c>
      <c r="D134" s="2" t="inlineStr">
        <is>
          <t>HSV-6 Bourací práce</t>
        </is>
      </c>
      <c r="E134" s="3" t="inlineStr">
        <is>
          <t>HSV-6 Bourací práce</t>
        </is>
      </c>
      <c r="F134" s="3" t="inlineStr">
        <is>
          <t>Demontáž záklopu a zásypů stropu 1.NP (prkenný záklop na trámech zachován)</t>
        </is>
      </c>
      <c r="G134" s="2" t="inlineStr">
        <is>
          <t>m³</t>
        </is>
      </c>
      <c r="H134" s="2" t="n">
        <v>5</v>
      </c>
      <c r="I134" s="3" t="inlineStr">
        <is>
          <t>100 m² × 0.05 m tl. zásypu = 5</t>
        </is>
      </c>
      <c r="J134" s="2" t="inlineStr">
        <is>
          <t>974041151</t>
        </is>
      </c>
      <c r="K134" s="3" t="inlineStr">
        <is>
          <t>TZ ARS dům §3 — záklop+zásyp demontován; trámy zachovány</t>
        </is>
      </c>
      <c r="L134" s="2" t="inlineStr">
        <is>
          <t>needs_production_lookup</t>
        </is>
      </c>
      <c r="M134" s="2" t="inlineStr"/>
    </row>
    <row r="135">
      <c r="A135" s="2" t="n">
        <v>134</v>
      </c>
      <c r="B135" s="2" t="inlineStr">
        <is>
          <t>HSV6.011</t>
        </is>
      </c>
      <c r="C135" s="2" t="inlineStr">
        <is>
          <t>260219_dum</t>
        </is>
      </c>
      <c r="D135" s="2" t="inlineStr">
        <is>
          <t>HSV-6 Bourací práce</t>
        </is>
      </c>
      <c r="E135" s="3" t="inlineStr">
        <is>
          <t>HSV-6 Bourací práce</t>
        </is>
      </c>
      <c r="F135" s="3" t="inlineStr">
        <is>
          <t>Demontáž všech sanitárních zařizovacích předmětů (WC, umyvadla, baterie, sprcha)</t>
        </is>
      </c>
      <c r="G135" s="2" t="inlineStr">
        <is>
          <t>ks</t>
        </is>
      </c>
      <c r="H135" s="2" t="n">
        <v>12</v>
      </c>
      <c r="I135" s="3" t="inlineStr">
        <is>
          <t>odhad — 2 koupelny × ~5 ks + WC + dřez = ~12</t>
        </is>
      </c>
      <c r="J135" s="2" t="inlineStr">
        <is>
          <t>725900001</t>
        </is>
      </c>
      <c r="K135" s="3" t="inlineStr">
        <is>
          <t>TZ ARS dům §3 — zařizovací předměty kompletně demontovány</t>
        </is>
      </c>
      <c r="L135" s="2" t="inlineStr">
        <is>
          <t>needs_production_lookup</t>
        </is>
      </c>
      <c r="M135" s="2" t="inlineStr"/>
    </row>
    <row r="136">
      <c r="A136" s="2" t="n">
        <v>135</v>
      </c>
      <c r="B136" s="2" t="inlineStr">
        <is>
          <t>HSV6.012</t>
        </is>
      </c>
      <c r="C136" s="2" t="inlineStr">
        <is>
          <t>260219_dum</t>
        </is>
      </c>
      <c r="D136" s="2" t="inlineStr">
        <is>
          <t>HSV-6 Bourací práce</t>
        </is>
      </c>
      <c r="E136" s="3" t="inlineStr">
        <is>
          <t>HSV-6 Bourací práce</t>
        </is>
      </c>
      <c r="F136" s="3" t="inlineStr">
        <is>
          <t>Odvoz a likvidace stavební suti dle vyhl. 8/2021 Sb. — celková tonáž odpadů</t>
        </is>
      </c>
      <c r="G136" s="2" t="inlineStr">
        <is>
          <t>t</t>
        </is>
      </c>
      <c r="H136" s="2" t="n">
        <v>56.5</v>
      </c>
      <c r="I136" s="3" t="inlineStr">
        <is>
          <t>TZ B m.10.e: 46 (beton/cihly) + 9 (dřevo) + 0.1 (kov) + 0.1 (EPS) + 0.2 (sádra) + 1.0 (směs) = 56.4</t>
        </is>
      </c>
      <c r="J136" s="2" t="inlineStr">
        <is>
          <t>997013501</t>
        </is>
      </c>
      <c r="K136" s="3" t="inlineStr">
        <is>
          <t>TZ B m.10.e bilance odpadů</t>
        </is>
      </c>
      <c r="L136" s="2" t="inlineStr">
        <is>
          <t>needs_production_lookup</t>
        </is>
      </c>
      <c r="M136" s="2" t="inlineStr"/>
    </row>
    <row r="137">
      <c r="A137" s="2" t="n">
        <v>136</v>
      </c>
      <c r="B137" s="2" t="inlineStr">
        <is>
          <t>HSV7.001</t>
        </is>
      </c>
      <c r="C137" s="2" t="inlineStr">
        <is>
          <t>260219_dum</t>
        </is>
      </c>
      <c r="D137" s="2" t="inlineStr">
        <is>
          <t>HSV-7 Fasáda ETICS</t>
        </is>
      </c>
      <c r="E137" s="3" t="inlineStr">
        <is>
          <t>HSV-7 Fasáda ETICS</t>
        </is>
      </c>
      <c r="F137" s="3" t="inlineStr">
        <is>
          <t>Příprava fasádního podkladu — očištění tlakovou vodou, vyspravení omítek, fungicidní nátěr</t>
        </is>
      </c>
      <c r="G137" s="2" t="inlineStr">
        <is>
          <t>m²</t>
        </is>
      </c>
      <c r="H137" s="2" t="n">
        <v>276.7</v>
      </c>
      <c r="I137" s="3" t="inlineStr">
        <is>
          <t>obvod 38.7 m (DXF) × 0.55 (volná fasáda, štíty zachované) × výška 13.0 m = 276.7 m²</t>
        </is>
      </c>
      <c r="J137" s="2" t="inlineStr">
        <is>
          <t>622401110</t>
        </is>
      </c>
      <c r="K137" s="3" t="inlineStr">
        <is>
          <t>TZ ARS dům §3.2 — ETICS kontaktní, podklad existující omítka + DXF perimeter</t>
        </is>
      </c>
      <c r="L137" s="2" t="inlineStr">
        <is>
          <t>needs_production_lookup</t>
        </is>
      </c>
      <c r="M137" s="2" t="inlineStr">
        <is>
          <t>S01</t>
        </is>
      </c>
    </row>
    <row r="138">
      <c r="A138" s="2" t="n">
        <v>137</v>
      </c>
      <c r="B138" s="2" t="inlineStr">
        <is>
          <t>HSV7.002a</t>
        </is>
      </c>
      <c r="C138" s="2" t="inlineStr">
        <is>
          <t>260219_dum</t>
        </is>
      </c>
      <c r="D138" s="2" t="inlineStr">
        <is>
          <t>HSV-7 Fasáda ETICS</t>
        </is>
      </c>
      <c r="E138" s="3" t="inlineStr">
        <is>
          <t>HSV-7 Fasáda ETICS</t>
        </is>
      </c>
      <c r="F138" s="3" t="inlineStr">
        <is>
          <t>Lepení + kotvení desek EPS 70F grey λ=0.032 tl. 160 mm — ETICS kontaktní zateplení fasády</t>
        </is>
      </c>
      <c r="G138" s="2" t="inlineStr">
        <is>
          <t>m²</t>
        </is>
      </c>
      <c r="H138" s="2" t="n">
        <v>276.7</v>
      </c>
      <c r="I138" s="3">
        <f> HSV7.002 plocha fasády 276.7 m²</f>
        <v/>
      </c>
      <c r="J138" s="2" t="inlineStr">
        <is>
          <t>713</t>
        </is>
      </c>
      <c r="K138" s="3" t="inlineStr">
        <is>
          <t>TZ ARS dům §3.2 EXPLICIT 'fasádní EPS 70f grey (λ=0,032 W/mK)' + PBŘ EXPLICIT 'EPS tl. max. 200 mm' + DXF perimeter</t>
        </is>
      </c>
      <c r="L138" s="2" t="inlineStr">
        <is>
          <t>family_only</t>
        </is>
      </c>
      <c r="M138" s="2" t="inlineStr">
        <is>
          <t>S01, S12a</t>
        </is>
      </c>
    </row>
    <row r="139">
      <c r="A139" s="2" t="n">
        <v>138</v>
      </c>
      <c r="B139" s="2" t="inlineStr">
        <is>
          <t>HSV7.002b</t>
        </is>
      </c>
      <c r="C139" s="2" t="inlineStr">
        <is>
          <t>260219_dum</t>
        </is>
      </c>
      <c r="D139" s="2" t="inlineStr">
        <is>
          <t>HSV-7 Fasáda ETICS</t>
        </is>
      </c>
      <c r="E139" s="3" t="inlineStr">
        <is>
          <t>HSV-7 Fasáda ETICS</t>
        </is>
      </c>
      <c r="F139" s="3" t="inlineStr">
        <is>
          <t>Armovací vrstva ETICS — lepicí/stěrková hmota (zatírací) + vmáčknutí tkaniny</t>
        </is>
      </c>
      <c r="G139" s="2" t="inlineStr">
        <is>
          <t>m²</t>
        </is>
      </c>
      <c r="H139" s="2" t="n">
        <v>276.7</v>
      </c>
      <c r="I139" s="3">
        <f> HSV7.002 plocha 276.7 m²</f>
        <v/>
      </c>
      <c r="J139" s="2" t="inlineStr">
        <is>
          <t>622</t>
        </is>
      </c>
      <c r="K139" s="3" t="inlineStr">
        <is>
          <t>TZ ARS dům §3.2 EXPLICIT 'fasádní EPS 70f grey (λ=0,032 W/mK)' + PBŘ EXPLICIT 'EPS tl. max. 200 mm' + DXF perimeter</t>
        </is>
      </c>
      <c r="L139" s="2" t="inlineStr">
        <is>
          <t>family_only</t>
        </is>
      </c>
      <c r="M139" s="2" t="inlineStr">
        <is>
          <t>S01, S12a</t>
        </is>
      </c>
    </row>
    <row r="140">
      <c r="A140" s="2" t="n">
        <v>139</v>
      </c>
      <c r="B140" s="2" t="inlineStr">
        <is>
          <t>HSV7.002c</t>
        </is>
      </c>
      <c r="C140" s="2" t="inlineStr">
        <is>
          <t>260219_dum</t>
        </is>
      </c>
      <c r="D140" s="2" t="inlineStr">
        <is>
          <t>HSV-7 Fasáda ETICS</t>
        </is>
      </c>
      <c r="E140" s="3" t="inlineStr">
        <is>
          <t>HSV-7 Fasáda ETICS</t>
        </is>
      </c>
      <c r="F140" s="3" t="inlineStr">
        <is>
          <t>Výztužná síťka — sklovláknité pletivo vtlačené do tmelu, stěn (ETICS)</t>
        </is>
      </c>
      <c r="G140" s="2" t="inlineStr">
        <is>
          <t>m²</t>
        </is>
      </c>
      <c r="H140" s="2" t="n">
        <v>276.7</v>
      </c>
      <c r="I140" s="3">
        <f> HSV7.002 plocha 276.7 m² (přesahy v spotřebě)</f>
        <v/>
      </c>
      <c r="J140" s="2" t="inlineStr">
        <is>
          <t>622142001</t>
        </is>
      </c>
      <c r="K140" s="3" t="inlineStr">
        <is>
          <t>TZ ARS dům §3.2 EXPLICIT 'fasádní EPS 70f grey (λ=0,032 W/mK)' + PBŘ EXPLICIT 'EPS tl. max. 200 mm' + DXF perimeter</t>
        </is>
      </c>
      <c r="L140" s="2" t="inlineStr">
        <is>
          <t>leaf_verified</t>
        </is>
      </c>
      <c r="M140" s="2" t="inlineStr">
        <is>
          <t>S01, S12a</t>
        </is>
      </c>
    </row>
    <row r="141">
      <c r="A141" s="2" t="n">
        <v>140</v>
      </c>
      <c r="B141" s="2" t="inlineStr">
        <is>
          <t>HSV7.004a</t>
        </is>
      </c>
      <c r="C141" s="2" t="inlineStr">
        <is>
          <t>260219_dum</t>
        </is>
      </c>
      <c r="D141" s="2" t="inlineStr">
        <is>
          <t>HSV-7 Fasáda ETICS</t>
        </is>
      </c>
      <c r="E141" s="3" t="inlineStr">
        <is>
          <t>HSV-7 Fasáda ETICS</t>
        </is>
      </c>
      <c r="F141" s="3" t="inlineStr">
        <is>
          <t>Špalety oken — EPS přesah 35-40 mm lepení + kotvení</t>
        </is>
      </c>
      <c r="G141" s="2" t="inlineStr">
        <is>
          <t>bm</t>
        </is>
      </c>
      <c r="H141" s="2" t="n">
        <v>82.2</v>
      </c>
      <c r="I141" s="3">
        <f> HSV7.004 obvod špalet 82.2 bm</f>
        <v/>
      </c>
      <c r="J141" s="2" t="inlineStr">
        <is>
          <t>622</t>
        </is>
      </c>
      <c r="K141" s="3" t="inlineStr">
        <is>
          <t>DXF okna per typ bbox + TZ ARS §3.2 EPS přesah na špaletách 35-40 mm</t>
        </is>
      </c>
      <c r="L141" s="2" t="inlineStr">
        <is>
          <t>family_only</t>
        </is>
      </c>
      <c r="M141" s="2" t="inlineStr">
        <is>
          <t>S01, S12a</t>
        </is>
      </c>
    </row>
    <row r="142">
      <c r="A142" s="2" t="n">
        <v>141</v>
      </c>
      <c r="B142" s="2" t="inlineStr">
        <is>
          <t>HSV7.004b</t>
        </is>
      </c>
      <c r="C142" s="2" t="inlineStr">
        <is>
          <t>260219_dum</t>
        </is>
      </c>
      <c r="D142" s="2" t="inlineStr">
        <is>
          <t>HSV-7 Fasáda ETICS</t>
        </is>
      </c>
      <c r="E142" s="3" t="inlineStr">
        <is>
          <t>HSV-7 Fasáda ETICS</t>
        </is>
      </c>
      <c r="F142" s="3" t="inlineStr">
        <is>
          <t>Špalety oken — armovací vrstva síťka + omítka</t>
        </is>
      </c>
      <c r="G142" s="2" t="inlineStr">
        <is>
          <t>bm</t>
        </is>
      </c>
      <c r="H142" s="2" t="n">
        <v>82.2</v>
      </c>
      <c r="I142" s="3">
        <f> HSV7.004 obvod 82.2 bm</f>
        <v/>
      </c>
      <c r="J142" s="2" t="inlineStr">
        <is>
          <t>622</t>
        </is>
      </c>
      <c r="K142" s="3" t="inlineStr">
        <is>
          <t>DXF okna per typ bbox + TZ ARS §3.2 EPS přesah na špaletách 35-40 mm</t>
        </is>
      </c>
      <c r="L142" s="2" t="inlineStr">
        <is>
          <t>family_only</t>
        </is>
      </c>
      <c r="M142" s="2" t="inlineStr">
        <is>
          <t>S01, S12a</t>
        </is>
      </c>
    </row>
    <row r="143">
      <c r="A143" s="2" t="n">
        <v>142</v>
      </c>
      <c r="B143" s="2" t="inlineStr">
        <is>
          <t>HSV7.005a</t>
        </is>
      </c>
      <c r="C143" s="2" t="inlineStr">
        <is>
          <t>260219_dum</t>
        </is>
      </c>
      <c r="D143" s="2" t="inlineStr">
        <is>
          <t>HSV-7 Fasáda ETICS</t>
        </is>
      </c>
      <c r="E143" s="3" t="inlineStr">
        <is>
          <t>HSV-7 Fasáda ETICS</t>
        </is>
      </c>
      <c r="F143" s="3" t="inlineStr">
        <is>
          <t>Montáž — Profilace fasády — různé tloušťky EPS (kordony, šambrány, rámování oken) — paušál podle pohledů</t>
        </is>
      </c>
      <c r="G143" s="2" t="inlineStr">
        <is>
          <t>soubor</t>
        </is>
      </c>
      <c r="H143" s="2" t="n">
        <v>1</v>
      </c>
      <c r="I143" s="3" t="inlineStr">
        <is>
          <t>paušál — dle pohledů NCS NZÚ</t>
        </is>
      </c>
      <c r="J143" s="2" t="inlineStr">
        <is>
          <t>622221221</t>
        </is>
      </c>
      <c r="K143" s="3" t="inlineStr">
        <is>
          <t>TZ ARS dům §3.2 — profilace různými tl. EPS</t>
        </is>
      </c>
      <c r="L143" s="2" t="inlineStr">
        <is>
          <t>needs_production_lookup</t>
        </is>
      </c>
      <c r="M143" s="2" t="inlineStr">
        <is>
          <t>S01, S12a</t>
        </is>
      </c>
    </row>
    <row r="144">
      <c r="A144" s="2" t="n">
        <v>143</v>
      </c>
      <c r="B144" s="2" t="inlineStr">
        <is>
          <t>HSV7.005b</t>
        </is>
      </c>
      <c r="C144" s="2" t="inlineStr">
        <is>
          <t>260219_dum</t>
        </is>
      </c>
      <c r="D144" s="2" t="inlineStr">
        <is>
          <t>HSV-7 Fasáda ETICS</t>
        </is>
      </c>
      <c r="E144" s="3" t="inlineStr">
        <is>
          <t>HSV-7 Fasáda ETICS</t>
        </is>
      </c>
      <c r="F144" s="3" t="inlineStr">
        <is>
          <t>Dodávka — Dodávka izolačních desek/rohoží (Profilace fasády — různé tloušťky EPS (kordony)</t>
        </is>
      </c>
      <c r="G144" s="2" t="inlineStr">
        <is>
          <t>soubor</t>
        </is>
      </c>
      <c r="H144" s="2" t="n">
        <v>1.05</v>
      </c>
      <c r="I144" s="3">
        <f> montáž × 1.05</f>
        <v/>
      </c>
      <c r="J144" s="2" t="inlineStr"/>
      <c r="K144" s="3" t="inlineStr">
        <is>
          <t>TZ ARS dům §3.2 — profilace různými tl. EPS</t>
        </is>
      </c>
      <c r="L144" s="2" t="inlineStr">
        <is>
          <t>needs_lookup</t>
        </is>
      </c>
      <c r="M144" s="2" t="inlineStr">
        <is>
          <t>S01, S12a</t>
        </is>
      </c>
    </row>
    <row r="145">
      <c r="A145" s="2" t="n">
        <v>144</v>
      </c>
      <c r="B145" s="2" t="inlineStr">
        <is>
          <t>HSV7.006</t>
        </is>
      </c>
      <c r="C145" s="2" t="inlineStr">
        <is>
          <t>260219_dum</t>
        </is>
      </c>
      <c r="D145" s="2" t="inlineStr">
        <is>
          <t>HSV-7 Fasáda ETICS</t>
        </is>
      </c>
      <c r="E145" s="3" t="inlineStr">
        <is>
          <t>HSV-7 Fasáda ETICS</t>
        </is>
      </c>
      <c r="F145" s="3" t="inlineStr">
        <is>
          <t>Tenkovrstvá pastovitá probarvená omítka, lomená bílá NCS NZÚ — finální vrstva ETICS</t>
        </is>
      </c>
      <c r="G145" s="2" t="inlineStr">
        <is>
          <t>m²</t>
        </is>
      </c>
      <c r="H145" s="2" t="n">
        <v>276.7</v>
      </c>
      <c r="I145" s="3" t="inlineStr">
        <is>
          <t>ETICS fasáda 276.7 m² (sokl = keramický obklad S03, NE omítka)</t>
        </is>
      </c>
      <c r="J145" s="2" t="inlineStr">
        <is>
          <t>622521111</t>
        </is>
      </c>
      <c r="K145" s="3" t="inlineStr">
        <is>
          <t>TZ ARS dům §3.2 — pastovitá probarvená lomená bílá + DXF perimeter</t>
        </is>
      </c>
      <c r="L145" s="2" t="inlineStr">
        <is>
          <t>FAMILY_VERIFIED</t>
        </is>
      </c>
      <c r="M145" s="2" t="inlineStr">
        <is>
          <t>S01, S12a, S12b</t>
        </is>
      </c>
    </row>
    <row r="146">
      <c r="A146" s="2" t="n">
        <v>145</v>
      </c>
      <c r="B146" s="2" t="inlineStr">
        <is>
          <t>PSV71.001a</t>
        </is>
      </c>
      <c r="C146" s="2" t="inlineStr">
        <is>
          <t>260219_dum</t>
        </is>
      </c>
      <c r="D146" s="2" t="inlineStr">
        <is>
          <t>PSV-71 Izolace HI</t>
        </is>
      </c>
      <c r="E146" s="3" t="inlineStr">
        <is>
          <t>PSV-71 Izolace HI</t>
        </is>
      </c>
      <c r="F146" s="3" t="inlineStr">
        <is>
          <t>Montáž — Hydroizolace pod ŽB deskou 1.NP — modifikované asfaltové pásy SBS 2× (zároveň protiradonová bariéra)</t>
        </is>
      </c>
      <c r="G146" s="2" t="inlineStr">
        <is>
          <t>m²</t>
        </is>
      </c>
      <c r="H146" s="2" t="n">
        <v>80.40000000000001</v>
      </c>
      <c r="I146" s="3" t="inlineStr">
        <is>
          <t>(zastavena × 0.7 rozsah 1.NP) × 1.10 přesah = 80.4</t>
        </is>
      </c>
      <c r="J146" s="2" t="inlineStr">
        <is>
          <t>712311101</t>
        </is>
      </c>
      <c r="K146" s="3" t="inlineStr">
        <is>
          <t>TZ ARS dům §4 + statika §5.5 — asfaltové pásy mod. proti radonu</t>
        </is>
      </c>
      <c r="L146" s="2" t="inlineStr">
        <is>
          <t>family_verified_leaf_needs_production_lookup</t>
        </is>
      </c>
      <c r="M146" s="2" t="inlineStr"/>
    </row>
    <row r="147">
      <c r="A147" s="2" t="n">
        <v>146</v>
      </c>
      <c r="B147" s="2" t="inlineStr">
        <is>
          <t>PSV71.001b</t>
        </is>
      </c>
      <c r="C147" s="2" t="inlineStr">
        <is>
          <t>260219_dum</t>
        </is>
      </c>
      <c r="D147" s="2" t="inlineStr">
        <is>
          <t>PSV-71 Izolace HI</t>
        </is>
      </c>
      <c r="E147" s="3" t="inlineStr">
        <is>
          <t>PSV-71 Izolace HI</t>
        </is>
      </c>
      <c r="F147" s="3" t="inlineStr">
        <is>
          <t>Dodávka — Dodávka izolačních desek/rohoží (Hydroizolace pod ŽB deskou 1.NP — modifikované)</t>
        </is>
      </c>
      <c r="G147" s="2" t="inlineStr">
        <is>
          <t>m²</t>
        </is>
      </c>
      <c r="H147" s="2" t="n">
        <v>84.42</v>
      </c>
      <c r="I147" s="3">
        <f> montáž × 1.05</f>
        <v/>
      </c>
      <c r="J147" s="2" t="inlineStr"/>
      <c r="K147" s="3" t="inlineStr">
        <is>
          <t>TZ ARS dům §4 + statika §5.5 — asfaltové pásy mod. proti radonu</t>
        </is>
      </c>
      <c r="L147" s="2" t="inlineStr">
        <is>
          <t>needs_lookup</t>
        </is>
      </c>
      <c r="M147" s="2" t="inlineStr"/>
    </row>
    <row r="148">
      <c r="A148" s="2" t="n">
        <v>147</v>
      </c>
      <c r="B148" s="2" t="inlineStr">
        <is>
          <t>PSV71.002</t>
        </is>
      </c>
      <c r="C148" s="2" t="inlineStr">
        <is>
          <t>260219_dum</t>
        </is>
      </c>
      <c r="D148" s="2" t="inlineStr">
        <is>
          <t>PSV-71 Izolace HI</t>
        </is>
      </c>
      <c r="E148" s="3" t="inlineStr">
        <is>
          <t>PSV-71 Izolace HI</t>
        </is>
      </c>
      <c r="F148" s="3" t="inlineStr">
        <is>
          <t>Odvětrání radonu z podloží — perforované DN50 trubky v štěrkovém loži + výdech nad střechu</t>
        </is>
      </c>
      <c r="G148" s="2" t="inlineStr">
        <is>
          <t>bm</t>
        </is>
      </c>
      <c r="H148" s="2" t="n">
        <v>12</v>
      </c>
      <c r="I148" s="3" t="inlineStr">
        <is>
          <t>podsanační síť ~12 bm (3 řady × 4 m pod podlahou 1.NP)</t>
        </is>
      </c>
      <c r="J148" s="2" t="inlineStr">
        <is>
          <t>712381111</t>
        </is>
      </c>
      <c r="K148" s="3" t="inlineStr">
        <is>
          <t>TZ statika §5.5 'ochrana proti radonu — modifikované asf. pásy + odvětrání'</t>
        </is>
      </c>
      <c r="L148" s="2" t="inlineStr">
        <is>
          <t>FAMILY_VERIFIED</t>
        </is>
      </c>
      <c r="M148" s="2" t="inlineStr"/>
    </row>
    <row r="149">
      <c r="A149" s="2" t="n">
        <v>148</v>
      </c>
      <c r="B149" s="2" t="inlineStr">
        <is>
          <t>PSV71.003</t>
        </is>
      </c>
      <c r="C149" s="2" t="inlineStr">
        <is>
          <t>260219_dum</t>
        </is>
      </c>
      <c r="D149" s="2" t="inlineStr">
        <is>
          <t>PSV-71 Izolace HI</t>
        </is>
      </c>
      <c r="E149" s="3" t="inlineStr">
        <is>
          <t>PSV-71 Izolace HI</t>
        </is>
      </c>
      <c r="F149" s="3" t="inlineStr">
        <is>
          <t>Hydroizolační stěrka koupelen 3 ks — podlaha + sokl 200 mm + sprchový kout výška 2.0 m</t>
        </is>
      </c>
      <c r="G149" s="2" t="inlineStr">
        <is>
          <t>m²</t>
        </is>
      </c>
      <c r="H149" s="2" t="n">
        <v>40.5</v>
      </c>
      <c r="I149" s="3" t="inlineStr">
        <is>
          <t>3 koupelny × (~5.5 m² podlaha + ~8 m² stěny v okolí sprchy) = 40.5</t>
        </is>
      </c>
      <c r="J149" s="2" t="inlineStr"/>
      <c r="K149" s="3" t="inlineStr">
        <is>
          <t>DXF dum_DPZ MTEXT labels: 3× koupelna; TZ ARS — HI vana koupelny</t>
        </is>
      </c>
      <c r="L149" s="2" t="inlineStr">
        <is>
          <t>FAMILY_VERIFIED</t>
        </is>
      </c>
      <c r="M149" s="2" t="inlineStr"/>
    </row>
    <row r="150">
      <c r="A150" s="2" t="n">
        <v>149</v>
      </c>
      <c r="B150" s="2" t="inlineStr">
        <is>
          <t>PSV71.101</t>
        </is>
      </c>
      <c r="C150" s="2" t="inlineStr">
        <is>
          <t>260219_dum</t>
        </is>
      </c>
      <c r="D150" s="2" t="inlineStr">
        <is>
          <t>PSV-71 Izolace TI</t>
        </is>
      </c>
      <c r="E150" s="3" t="inlineStr">
        <is>
          <t>PSV-71 Izolace TI</t>
        </is>
      </c>
      <c r="F150" s="3" t="inlineStr">
        <is>
          <t>Podlahový EPS 150 λ=0.035 tl. 120 mm — pod betonový potěr 1.NP a 3.NP</t>
        </is>
      </c>
      <c r="G150" s="2" t="inlineStr">
        <is>
          <t>m²</t>
        </is>
      </c>
      <c r="H150" s="2" t="n">
        <v>177.5</v>
      </c>
      <c r="I150" s="3" t="inlineStr">
        <is>
          <t>(rozsah 1.NP 73 m²) + (3.NP nadstavba 104 m²) = ~177 m²</t>
        </is>
      </c>
      <c r="J150" s="2" t="inlineStr"/>
      <c r="K150" s="3" t="inlineStr">
        <is>
          <t>TZ ARS dům §4 — EPS 150 λ=0.035 tl. 120 mm</t>
        </is>
      </c>
      <c r="L150" s="2" t="inlineStr">
        <is>
          <t>FAMILY_VERIFIED</t>
        </is>
      </c>
      <c r="M150" s="2" t="inlineStr"/>
    </row>
    <row r="151">
      <c r="A151" s="2" t="n">
        <v>150</v>
      </c>
      <c r="B151" s="2" t="inlineStr">
        <is>
          <t>PSV71.102</t>
        </is>
      </c>
      <c r="C151" s="2" t="inlineStr">
        <is>
          <t>260219_dum</t>
        </is>
      </c>
      <c r="D151" s="2" t="inlineStr">
        <is>
          <t>PSV-71 Izolace TI</t>
        </is>
      </c>
      <c r="E151" s="3" t="inlineStr">
        <is>
          <t>PSV-71 Izolace TI</t>
        </is>
      </c>
      <c r="F151" s="3" t="inlineStr">
        <is>
          <t>Kročejová EPS 150 / 30 dB tl. 40 mm nad ocelobetonovým stropem 2.NP/3.NP</t>
        </is>
      </c>
      <c r="G151" s="2" t="inlineStr">
        <is>
          <t>m²</t>
        </is>
      </c>
      <c r="H151" s="2" t="n">
        <v>104.4</v>
      </c>
      <c r="I151" s="3">
        <f> zastavěna plocha 104.4 m² (strop 2.NP/3.NP)</f>
        <v/>
      </c>
      <c r="J151" s="2" t="inlineStr"/>
      <c r="K151" s="3" t="inlineStr">
        <is>
          <t>TZ ARS dům §4 — kročejová EPS shora ocelobeton</t>
        </is>
      </c>
      <c r="L151" s="2" t="inlineStr">
        <is>
          <t>FAMILY_VERIFIED</t>
        </is>
      </c>
      <c r="M151" s="2" t="inlineStr">
        <is>
          <t>S09</t>
        </is>
      </c>
    </row>
    <row r="152">
      <c r="A152" s="2" t="n">
        <v>151</v>
      </c>
      <c r="B152" s="2" t="inlineStr">
        <is>
          <t>PSV76.001a</t>
        </is>
      </c>
      <c r="C152" s="2" t="inlineStr">
        <is>
          <t>260219_dum</t>
        </is>
      </c>
      <c r="D152" s="2" t="inlineStr">
        <is>
          <t>PSV-76 Výplně otvorů</t>
        </is>
      </c>
      <c r="E152" s="3" t="inlineStr">
        <is>
          <t>PSV-76 Výplně otvorů</t>
        </is>
      </c>
      <c r="F152" s="3" t="inlineStr">
        <is>
          <t>Montáž — Plastové okno izolačním trojsklem Uw=0.85 W/m²K — typ 'okno 1.NP' velikost 1185×1600 mm × 2 ks (fasáda ulice)</t>
        </is>
      </c>
      <c r="G152" s="2" t="inlineStr">
        <is>
          <t>ks</t>
        </is>
      </c>
      <c r="H152" s="2" t="n">
        <v>2</v>
      </c>
      <c r="I152" s="3" t="inlineStr">
        <is>
          <t>DXF INSERT block name 'okno 1.NP' count = 2 ks × bbox 1185×1600 mm = 3.8 m² fasády</t>
        </is>
      </c>
      <c r="J152" s="2" t="inlineStr">
        <is>
          <t>766621011</t>
        </is>
      </c>
      <c r="K152" s="3" t="inlineStr">
        <is>
          <t>DXF dum_DPZ INSERT block 'okno 1.NP' bbox z block definition + TZ ARS Uw=0.85 W/m²K</t>
        </is>
      </c>
      <c r="L152" s="2" t="inlineStr">
        <is>
          <t>family_verified_leaf_needs_production_lookup</t>
        </is>
      </c>
      <c r="M152" s="2" t="inlineStr"/>
    </row>
    <row r="153">
      <c r="A153" s="2" t="n">
        <v>152</v>
      </c>
      <c r="B153" s="2" t="inlineStr">
        <is>
          <t>PSV76.001b</t>
        </is>
      </c>
      <c r="C153" s="2" t="inlineStr">
        <is>
          <t>260219_dum</t>
        </is>
      </c>
      <c r="D153" s="2" t="inlineStr">
        <is>
          <t>PSV-76 Výplně otvorů</t>
        </is>
      </c>
      <c r="E153" s="3" t="inlineStr">
        <is>
          <t>PSV-76 Výplně otvorů</t>
        </is>
      </c>
      <c r="F153" s="3" t="inlineStr">
        <is>
          <t>Dodávka — Dodávka výrobku (Plastové okno izolačním trojsklem Uw=0.85 W/m²)</t>
        </is>
      </c>
      <c r="G153" s="2" t="inlineStr">
        <is>
          <t>ks</t>
        </is>
      </c>
      <c r="H153" s="2" t="n">
        <v>2</v>
      </c>
      <c r="I153" s="3">
        <f> montáž 1:1</f>
        <v/>
      </c>
      <c r="J153" s="2" t="inlineStr"/>
      <c r="K153" s="3" t="inlineStr">
        <is>
          <t>DXF dum_DPZ INSERT block 'okno 1.NP' bbox z block definition + TZ ARS Uw=0.85 W/m²K</t>
        </is>
      </c>
      <c r="L153" s="2" t="inlineStr">
        <is>
          <t>needs_lookup</t>
        </is>
      </c>
      <c r="M153" s="2" t="inlineStr"/>
    </row>
    <row r="154">
      <c r="A154" s="2" t="n">
        <v>153</v>
      </c>
      <c r="B154" s="2" t="inlineStr">
        <is>
          <t>PSV76.002a</t>
        </is>
      </c>
      <c r="C154" s="2" t="inlineStr">
        <is>
          <t>260219_dum</t>
        </is>
      </c>
      <c r="D154" s="2" t="inlineStr">
        <is>
          <t>PSV-76 Výplně otvorů</t>
        </is>
      </c>
      <c r="E154" s="3" t="inlineStr">
        <is>
          <t>PSV-76 Výplně otvorů</t>
        </is>
      </c>
      <c r="F154" s="3" t="inlineStr">
        <is>
          <t>Montáž — Plastové okno izolačním trojsklem Uw=0.85 W/m²K — typ 'okno 1.NP vzadu' velikost 920×1600 mm × 3 ks (fasáda zahrada)</t>
        </is>
      </c>
      <c r="G154" s="2" t="inlineStr">
        <is>
          <t>ks</t>
        </is>
      </c>
      <c r="H154" s="2" t="n">
        <v>3</v>
      </c>
      <c r="I154" s="3" t="inlineStr">
        <is>
          <t>DXF INSERT block name 'okno 1.NP vzadu' count = 3 ks × bbox 920×1600 mm = 4.41 m² fasády</t>
        </is>
      </c>
      <c r="J154" s="2" t="inlineStr">
        <is>
          <t>766621011</t>
        </is>
      </c>
      <c r="K154" s="3" t="inlineStr">
        <is>
          <t>DXF dum_DPZ INSERT block 'okno 1.NP vzadu' bbox z block definition + TZ ARS Uw=0.85 W/m²K</t>
        </is>
      </c>
      <c r="L154" s="2" t="inlineStr">
        <is>
          <t>needs_production_lookup</t>
        </is>
      </c>
      <c r="M154" s="2" t="inlineStr"/>
    </row>
    <row r="155">
      <c r="A155" s="2" t="n">
        <v>154</v>
      </c>
      <c r="B155" s="2" t="inlineStr">
        <is>
          <t>PSV76.002b</t>
        </is>
      </c>
      <c r="C155" s="2" t="inlineStr">
        <is>
          <t>260219_dum</t>
        </is>
      </c>
      <c r="D155" s="2" t="inlineStr">
        <is>
          <t>PSV-76 Výplně otvorů</t>
        </is>
      </c>
      <c r="E155" s="3" t="inlineStr">
        <is>
          <t>PSV-76 Výplně otvorů</t>
        </is>
      </c>
      <c r="F155" s="3" t="inlineStr">
        <is>
          <t>Dodávka — Dodávka výrobku (Plastové okno izolačním trojsklem Uw=0.85 W/m²)</t>
        </is>
      </c>
      <c r="G155" s="2" t="inlineStr">
        <is>
          <t>ks</t>
        </is>
      </c>
      <c r="H155" s="2" t="n">
        <v>3</v>
      </c>
      <c r="I155" s="3">
        <f> montáž 1:1</f>
        <v/>
      </c>
      <c r="J155" s="2" t="inlineStr"/>
      <c r="K155" s="3" t="inlineStr">
        <is>
          <t>DXF dum_DPZ INSERT block 'okno 1.NP vzadu' bbox z block definition + TZ ARS Uw=0.85 W/m²K</t>
        </is>
      </c>
      <c r="L155" s="2" t="inlineStr">
        <is>
          <t>needs_lookup</t>
        </is>
      </c>
      <c r="M155" s="2" t="inlineStr"/>
    </row>
    <row r="156">
      <c r="A156" s="2" t="n">
        <v>155</v>
      </c>
      <c r="B156" s="2" t="inlineStr">
        <is>
          <t>PSV76.003a</t>
        </is>
      </c>
      <c r="C156" s="2" t="inlineStr">
        <is>
          <t>260219_dum</t>
        </is>
      </c>
      <c r="D156" s="2" t="inlineStr">
        <is>
          <t>PSV-76 Výplně otvorů</t>
        </is>
      </c>
      <c r="E156" s="3" t="inlineStr">
        <is>
          <t>PSV-76 Výplně otvorů</t>
        </is>
      </c>
      <c r="F156" s="3" t="inlineStr">
        <is>
          <t>Montáž — Plastové okno izolačním trojsklem Uw=0.85 W/m²K — typ 'okno 2.NP' velikost 1160×1480 mm × 4 ks (fasáda ulice)</t>
        </is>
      </c>
      <c r="G156" s="2" t="inlineStr">
        <is>
          <t>ks</t>
        </is>
      </c>
      <c r="H156" s="2" t="n">
        <v>4</v>
      </c>
      <c r="I156" s="3" t="inlineStr">
        <is>
          <t>DXF INSERT block name 'okno 2.NP' count = 4 ks × bbox 1160×1480 mm = 6.88 m² fasády</t>
        </is>
      </c>
      <c r="J156" s="2" t="inlineStr">
        <is>
          <t>766621011</t>
        </is>
      </c>
      <c r="K156" s="3" t="inlineStr">
        <is>
          <t>DXF dum_DPZ INSERT block 'okno 2.NP' bbox z block definition + TZ ARS Uw=0.85 W/m²K</t>
        </is>
      </c>
      <c r="L156" s="2" t="inlineStr">
        <is>
          <t>needs_production_lookup</t>
        </is>
      </c>
      <c r="M156" s="2" t="inlineStr"/>
    </row>
    <row r="157">
      <c r="A157" s="2" t="n">
        <v>156</v>
      </c>
      <c r="B157" s="2" t="inlineStr">
        <is>
          <t>PSV76.003b</t>
        </is>
      </c>
      <c r="C157" s="2" t="inlineStr">
        <is>
          <t>260219_dum</t>
        </is>
      </c>
      <c r="D157" s="2" t="inlineStr">
        <is>
          <t>PSV-76 Výplně otvorů</t>
        </is>
      </c>
      <c r="E157" s="3" t="inlineStr">
        <is>
          <t>PSV-76 Výplně otvorů</t>
        </is>
      </c>
      <c r="F157" s="3" t="inlineStr">
        <is>
          <t>Dodávka — Dodávka výrobku (Plastové okno izolačním trojsklem Uw=0.85 W/m²)</t>
        </is>
      </c>
      <c r="G157" s="2" t="inlineStr">
        <is>
          <t>ks</t>
        </is>
      </c>
      <c r="H157" s="2" t="n">
        <v>4</v>
      </c>
      <c r="I157" s="3">
        <f> montáž 1:1</f>
        <v/>
      </c>
      <c r="J157" s="2" t="inlineStr"/>
      <c r="K157" s="3" t="inlineStr">
        <is>
          <t>DXF dum_DPZ INSERT block 'okno 2.NP' bbox z block definition + TZ ARS Uw=0.85 W/m²K</t>
        </is>
      </c>
      <c r="L157" s="2" t="inlineStr">
        <is>
          <t>needs_lookup</t>
        </is>
      </c>
      <c r="M157" s="2" t="inlineStr"/>
    </row>
    <row r="158">
      <c r="A158" s="2" t="n">
        <v>157</v>
      </c>
      <c r="B158" s="2" t="inlineStr">
        <is>
          <t>PSV76.004a</t>
        </is>
      </c>
      <c r="C158" s="2" t="inlineStr">
        <is>
          <t>260219_dum</t>
        </is>
      </c>
      <c r="D158" s="2" t="inlineStr">
        <is>
          <t>PSV-76 Výplně otvorů</t>
        </is>
      </c>
      <c r="E158" s="3" t="inlineStr">
        <is>
          <t>PSV-76 Výplně otvorů</t>
        </is>
      </c>
      <c r="F158" s="3" t="inlineStr">
        <is>
          <t>Montáž — Plastové okno izolačním trojsklem Uw=0.85 W/m²K — typ 'okno 3.NP' velikost 1785×1241 mm × 3 ks (fasáda ulice)</t>
        </is>
      </c>
      <c r="G158" s="2" t="inlineStr">
        <is>
          <t>ks</t>
        </is>
      </c>
      <c r="H158" s="2" t="n">
        <v>3</v>
      </c>
      <c r="I158" s="3" t="inlineStr">
        <is>
          <t>DXF INSERT block name 'okno 3.NP' count = 3 ks × bbox 1785×1241 mm = 6.66 m² fasády</t>
        </is>
      </c>
      <c r="J158" s="2" t="inlineStr">
        <is>
          <t>766621011</t>
        </is>
      </c>
      <c r="K158" s="3" t="inlineStr">
        <is>
          <t>DXF dum_DPZ INSERT block 'okno 3.NP' bbox z block definition + TZ ARS Uw=0.85 W/m²K</t>
        </is>
      </c>
      <c r="L158" s="2" t="inlineStr">
        <is>
          <t>needs_production_lookup</t>
        </is>
      </c>
      <c r="M158" s="2" t="inlineStr"/>
    </row>
    <row r="159">
      <c r="A159" s="2" t="n">
        <v>158</v>
      </c>
      <c r="B159" s="2" t="inlineStr">
        <is>
          <t>PSV76.004b</t>
        </is>
      </c>
      <c r="C159" s="2" t="inlineStr">
        <is>
          <t>260219_dum</t>
        </is>
      </c>
      <c r="D159" s="2" t="inlineStr">
        <is>
          <t>PSV-76 Výplně otvorů</t>
        </is>
      </c>
      <c r="E159" s="3" t="inlineStr">
        <is>
          <t>PSV-76 Výplně otvorů</t>
        </is>
      </c>
      <c r="F159" s="3" t="inlineStr">
        <is>
          <t>Dodávka — Dodávka výrobku (Plastové okno izolačním trojsklem Uw=0.85 W/m²)</t>
        </is>
      </c>
      <c r="G159" s="2" t="inlineStr">
        <is>
          <t>ks</t>
        </is>
      </c>
      <c r="H159" s="2" t="n">
        <v>3</v>
      </c>
      <c r="I159" s="3">
        <f> montáž 1:1</f>
        <v/>
      </c>
      <c r="J159" s="2" t="inlineStr"/>
      <c r="K159" s="3" t="inlineStr">
        <is>
          <t>DXF dum_DPZ INSERT block 'okno 3.NP' bbox z block definition + TZ ARS Uw=0.85 W/m²K</t>
        </is>
      </c>
      <c r="L159" s="2" t="inlineStr">
        <is>
          <t>needs_lookup</t>
        </is>
      </c>
      <c r="M159" s="2" t="inlineStr"/>
    </row>
    <row r="160">
      <c r="A160" s="2" t="n">
        <v>159</v>
      </c>
      <c r="B160" s="2" t="inlineStr">
        <is>
          <t>PSV76.005a</t>
        </is>
      </c>
      <c r="C160" s="2" t="inlineStr">
        <is>
          <t>260219_dum</t>
        </is>
      </c>
      <c r="D160" s="2" t="inlineStr">
        <is>
          <t>PSV-76 Výplně otvorů</t>
        </is>
      </c>
      <c r="E160" s="3" t="inlineStr">
        <is>
          <t>PSV-76 Výplně otvorů</t>
        </is>
      </c>
      <c r="F160" s="3" t="inlineStr">
        <is>
          <t>Montáž — Plastové okno izolačním trojsklem Uw=0.85 W/m²K — typ 'okno 3.NP vzadu' velikost 2075×1241 mm × 1 ks (fasáda zahrada)</t>
        </is>
      </c>
      <c r="G160" s="2" t="inlineStr">
        <is>
          <t>ks</t>
        </is>
      </c>
      <c r="H160" s="2" t="n">
        <v>1</v>
      </c>
      <c r="I160" s="3" t="inlineStr">
        <is>
          <t>DXF INSERT block name 'okno 3.NP vzadu' count = 1 ks × bbox 2075×1241 mm = 2.57 m² fasády</t>
        </is>
      </c>
      <c r="J160" s="2" t="inlineStr">
        <is>
          <t>766621011</t>
        </is>
      </c>
      <c r="K160" s="3" t="inlineStr">
        <is>
          <t>DXF dum_DPZ INSERT block 'okno 3.NP vzadu' bbox z block definition + TZ ARS Uw=0.85 W/m²K</t>
        </is>
      </c>
      <c r="L160" s="2" t="inlineStr">
        <is>
          <t>needs_production_lookup</t>
        </is>
      </c>
      <c r="M160" s="2" t="inlineStr"/>
    </row>
    <row r="161">
      <c r="A161" s="2" t="n">
        <v>160</v>
      </c>
      <c r="B161" s="2" t="inlineStr">
        <is>
          <t>PSV76.005b</t>
        </is>
      </c>
      <c r="C161" s="2" t="inlineStr">
        <is>
          <t>260219_dum</t>
        </is>
      </c>
      <c r="D161" s="2" t="inlineStr">
        <is>
          <t>PSV-76 Výplně otvorů</t>
        </is>
      </c>
      <c r="E161" s="3" t="inlineStr">
        <is>
          <t>PSV-76 Výplně otvorů</t>
        </is>
      </c>
      <c r="F161" s="3" t="inlineStr">
        <is>
          <t>Dodávka — Dodávka výrobku (Plastové okno izolačním trojsklem Uw=0.85 W/m²)</t>
        </is>
      </c>
      <c r="G161" s="2" t="inlineStr">
        <is>
          <t>ks</t>
        </is>
      </c>
      <c r="H161" s="2" t="n">
        <v>1</v>
      </c>
      <c r="I161" s="3">
        <f> montáž 1:1</f>
        <v/>
      </c>
      <c r="J161" s="2" t="inlineStr"/>
      <c r="K161" s="3" t="inlineStr">
        <is>
          <t>DXF dum_DPZ INSERT block 'okno 3.NP vzadu' bbox z block definition + TZ ARS Uw=0.85 W/m²K</t>
        </is>
      </c>
      <c r="L161" s="2" t="inlineStr">
        <is>
          <t>needs_lookup</t>
        </is>
      </c>
      <c r="M161" s="2" t="inlineStr"/>
    </row>
    <row r="162">
      <c r="A162" s="2" t="n">
        <v>161</v>
      </c>
      <c r="B162" s="2" t="inlineStr">
        <is>
          <t>PSV76.006a</t>
        </is>
      </c>
      <c r="C162" s="2" t="inlineStr">
        <is>
          <t>260219_dum</t>
        </is>
      </c>
      <c r="D162" s="2" t="inlineStr">
        <is>
          <t>PSV-76 Výplně otvorů</t>
        </is>
      </c>
      <c r="E162" s="3" t="inlineStr">
        <is>
          <t>PSV-76 Výplně otvorů</t>
        </is>
      </c>
      <c r="F162" s="3" t="inlineStr">
        <is>
          <t>Montáž — Plastové okno izolačním trojsklem Uw=0.85 W/m²K — typ 'okno male 3.NP vzadu' velikost 800×1241 mm × 1 ks (fasáda zahrada)</t>
        </is>
      </c>
      <c r="G162" s="2" t="inlineStr">
        <is>
          <t>ks</t>
        </is>
      </c>
      <c r="H162" s="2" t="n">
        <v>1</v>
      </c>
      <c r="I162" s="3" t="inlineStr">
        <is>
          <t>DXF INSERT block name 'okno male 3.NP vzadu' count = 1 ks × bbox 800×1241 mm = 0.99 m² fasády</t>
        </is>
      </c>
      <c r="J162" s="2" t="inlineStr">
        <is>
          <t>766621011</t>
        </is>
      </c>
      <c r="K162" s="3" t="inlineStr">
        <is>
          <t>DXF dum_DPZ INSERT block 'okno male 3.NP vzadu' bbox z block definition + TZ ARS Uw=0.85 W/m²K</t>
        </is>
      </c>
      <c r="L162" s="2" t="inlineStr">
        <is>
          <t>needs_production_lookup</t>
        </is>
      </c>
      <c r="M162" s="2" t="inlineStr"/>
    </row>
    <row r="163">
      <c r="A163" s="2" t="n">
        <v>162</v>
      </c>
      <c r="B163" s="2" t="inlineStr">
        <is>
          <t>PSV76.006b</t>
        </is>
      </c>
      <c r="C163" s="2" t="inlineStr">
        <is>
          <t>260219_dum</t>
        </is>
      </c>
      <c r="D163" s="2" t="inlineStr">
        <is>
          <t>PSV-76 Výplně otvorů</t>
        </is>
      </c>
      <c r="E163" s="3" t="inlineStr">
        <is>
          <t>PSV-76 Výplně otvorů</t>
        </is>
      </c>
      <c r="F163" s="3" t="inlineStr">
        <is>
          <t>Dodávka — Dodávka výrobku (Plastové okno izolačním trojsklem Uw=0.85 W/m²)</t>
        </is>
      </c>
      <c r="G163" s="2" t="inlineStr">
        <is>
          <t>ks</t>
        </is>
      </c>
      <c r="H163" s="2" t="n">
        <v>1</v>
      </c>
      <c r="I163" s="3">
        <f> montáž 1:1</f>
        <v/>
      </c>
      <c r="J163" s="2" t="inlineStr"/>
      <c r="K163" s="3" t="inlineStr">
        <is>
          <t>DXF dum_DPZ INSERT block 'okno male 3.NP vzadu' bbox z block definition + TZ ARS Uw=0.85 W/m²K</t>
        </is>
      </c>
      <c r="L163" s="2" t="inlineStr">
        <is>
          <t>needs_lookup</t>
        </is>
      </c>
      <c r="M163" s="2" t="inlineStr"/>
    </row>
    <row r="164">
      <c r="A164" s="2" t="n">
        <v>163</v>
      </c>
      <c r="B164" s="2" t="inlineStr">
        <is>
          <t>PSV76.007a</t>
        </is>
      </c>
      <c r="C164" s="2" t="inlineStr">
        <is>
          <t>260219_dum</t>
        </is>
      </c>
      <c r="D164" s="2" t="inlineStr">
        <is>
          <t>PSV-76 Výplně otvorů</t>
        </is>
      </c>
      <c r="E164" s="3" t="inlineStr">
        <is>
          <t>PSV-76 Výplně otvorů</t>
        </is>
      </c>
      <c r="F164" s="3" t="inlineStr">
        <is>
          <t>Montáž — Plastové okno izolačním trojsklem Uw=0.85 W/m²K — typ 'okno malé vzadu' velikost 700×800 mm × 2 ks (fasáda zahrada)</t>
        </is>
      </c>
      <c r="G164" s="2" t="inlineStr">
        <is>
          <t>ks</t>
        </is>
      </c>
      <c r="H164" s="2" t="n">
        <v>2</v>
      </c>
      <c r="I164" s="3" t="inlineStr">
        <is>
          <t>DXF INSERT block name 'okno malé vzadu' count = 2 ks × bbox 700×800 mm = 1.12 m² fasády</t>
        </is>
      </c>
      <c r="J164" s="2" t="inlineStr">
        <is>
          <t>766621011</t>
        </is>
      </c>
      <c r="K164" s="3" t="inlineStr">
        <is>
          <t>DXF dum_DPZ INSERT block 'okno malé vzadu' bbox z block definition + TZ ARS Uw=0.85 W/m²K</t>
        </is>
      </c>
      <c r="L164" s="2" t="inlineStr">
        <is>
          <t>needs_production_lookup</t>
        </is>
      </c>
      <c r="M164" s="2" t="inlineStr"/>
    </row>
    <row r="165">
      <c r="A165" s="2" t="n">
        <v>164</v>
      </c>
      <c r="B165" s="2" t="inlineStr">
        <is>
          <t>PSV76.007b</t>
        </is>
      </c>
      <c r="C165" s="2" t="inlineStr">
        <is>
          <t>260219_dum</t>
        </is>
      </c>
      <c r="D165" s="2" t="inlineStr">
        <is>
          <t>PSV-76 Výplně otvorů</t>
        </is>
      </c>
      <c r="E165" s="3" t="inlineStr">
        <is>
          <t>PSV-76 Výplně otvorů</t>
        </is>
      </c>
      <c r="F165" s="3" t="inlineStr">
        <is>
          <t>Dodávka — Dodávka výrobku (Plastové okno izolačním trojsklem Uw=0.85 W/m²)</t>
        </is>
      </c>
      <c r="G165" s="2" t="inlineStr">
        <is>
          <t>ks</t>
        </is>
      </c>
      <c r="H165" s="2" t="n">
        <v>2</v>
      </c>
      <c r="I165" s="3">
        <f> montáž 1:1</f>
        <v/>
      </c>
      <c r="J165" s="2" t="inlineStr"/>
      <c r="K165" s="3" t="inlineStr">
        <is>
          <t>DXF dum_DPZ INSERT block 'okno malé vzadu' bbox z block definition + TZ ARS Uw=0.85 W/m²K</t>
        </is>
      </c>
      <c r="L165" s="2" t="inlineStr">
        <is>
          <t>needs_lookup</t>
        </is>
      </c>
      <c r="M165" s="2" t="inlineStr"/>
    </row>
    <row r="166">
      <c r="A166" s="2" t="n">
        <v>165</v>
      </c>
      <c r="B166" s="2" t="inlineStr">
        <is>
          <t>PSV76.008</t>
        </is>
      </c>
      <c r="C166" s="2" t="inlineStr">
        <is>
          <t>260219_dum</t>
        </is>
      </c>
      <c r="D166" s="2" t="inlineStr">
        <is>
          <t>PSV-76 Výplně otvorů</t>
        </is>
      </c>
      <c r="E166" s="3" t="inlineStr">
        <is>
          <t>PSV-76 Výplně otvorů</t>
        </is>
      </c>
      <c r="F166" s="3" t="inlineStr">
        <is>
          <t>Integrované stínící venkovní žaluzie v kastlíku pod omítkou s purenitovou izolací — uliční fasáda Fibichova (9 ks)</t>
        </is>
      </c>
      <c r="G166" s="2" t="inlineStr">
        <is>
          <t>ks</t>
        </is>
      </c>
      <c r="H166" s="2" t="n">
        <v>9</v>
      </c>
      <c r="I166" s="3" t="inlineStr">
        <is>
          <t>Σ uličních oken (block names bez 'vzadu' = okno 1.NP 2 + okno 2.NP 4 + okno 3.NP 3) = 9 ks</t>
        </is>
      </c>
      <c r="J166" s="2" t="inlineStr">
        <is>
          <t>766631211</t>
        </is>
      </c>
      <c r="K166" s="3" t="inlineStr">
        <is>
          <t>TZ ARS dům §3.2 — 'do ulice Fibichova s integrovanými stínícími žaluziemi v kastlíku pod omítkou s purenitovou izolací'</t>
        </is>
      </c>
      <c r="L166" s="2" t="inlineStr">
        <is>
          <t>needs_production_lookup</t>
        </is>
      </c>
      <c r="M166" s="2" t="inlineStr"/>
    </row>
    <row r="167">
      <c r="A167" s="2" t="n">
        <v>166</v>
      </c>
      <c r="B167" s="2" t="inlineStr">
        <is>
          <t>PSV76.009a</t>
        </is>
      </c>
      <c r="C167" s="2" t="inlineStr">
        <is>
          <t>260219_dum</t>
        </is>
      </c>
      <c r="D167" s="2" t="inlineStr">
        <is>
          <t>PSV-76 Výplně otvorů</t>
        </is>
      </c>
      <c r="E167" s="3" t="inlineStr">
        <is>
          <t>PSV-76 Výplně otvorů</t>
        </is>
      </c>
      <c r="F167" s="3" t="inlineStr">
        <is>
          <t>Montáž — Plastové vstupní dveře (ulice + zahrada) — 2 ks</t>
        </is>
      </c>
      <c r="G167" s="2" t="inlineStr">
        <is>
          <t>ks</t>
        </is>
      </c>
      <c r="H167" s="2" t="n">
        <v>2</v>
      </c>
      <c r="I167" s="3" t="inlineStr">
        <is>
          <t>TZ ARS — vstupní plastové dveře</t>
        </is>
      </c>
      <c r="J167" s="2" t="inlineStr">
        <is>
          <t>766682111</t>
        </is>
      </c>
      <c r="K167" s="3" t="inlineStr">
        <is>
          <t>TZ ARS dům §4 — plastové vstupní dveře</t>
        </is>
      </c>
      <c r="L167" s="2" t="inlineStr">
        <is>
          <t>needs_production_lookup</t>
        </is>
      </c>
      <c r="M167" s="2" t="inlineStr"/>
    </row>
    <row r="168">
      <c r="A168" s="2" t="n">
        <v>167</v>
      </c>
      <c r="B168" s="2" t="inlineStr">
        <is>
          <t>PSV76.009b</t>
        </is>
      </c>
      <c r="C168" s="2" t="inlineStr">
        <is>
          <t>260219_dum</t>
        </is>
      </c>
      <c r="D168" s="2" t="inlineStr">
        <is>
          <t>PSV-76 Výplně otvorů</t>
        </is>
      </c>
      <c r="E168" s="3" t="inlineStr">
        <is>
          <t>PSV-76 Výplně otvorů</t>
        </is>
      </c>
      <c r="F168" s="3" t="inlineStr">
        <is>
          <t>Dodávka — Dodávka výrobku (Plastové vstupní dveře (ulice + zahrada) — 2 k)</t>
        </is>
      </c>
      <c r="G168" s="2" t="inlineStr">
        <is>
          <t>ks</t>
        </is>
      </c>
      <c r="H168" s="2" t="n">
        <v>2</v>
      </c>
      <c r="I168" s="3">
        <f> montáž 1:1</f>
        <v/>
      </c>
      <c r="J168" s="2" t="inlineStr"/>
      <c r="K168" s="3" t="inlineStr">
        <is>
          <t>TZ ARS dům §4 — plastové vstupní dveře</t>
        </is>
      </c>
      <c r="L168" s="2" t="inlineStr">
        <is>
          <t>needs_lookup</t>
        </is>
      </c>
      <c r="M168" s="2" t="inlineStr"/>
    </row>
    <row r="169">
      <c r="A169" s="2" t="n">
        <v>168</v>
      </c>
      <c r="B169" s="2" t="inlineStr">
        <is>
          <t>PSV76.010a</t>
        </is>
      </c>
      <c r="C169" s="2" t="inlineStr">
        <is>
          <t>260219_dum</t>
        </is>
      </c>
      <c r="D169" s="2" t="inlineStr">
        <is>
          <t>PSV-76 Výplně otvorů</t>
        </is>
      </c>
      <c r="E169" s="3" t="inlineStr">
        <is>
          <t>PSV-76 Výplně otvorů</t>
        </is>
      </c>
      <c r="F169" s="3" t="inlineStr">
        <is>
          <t>Montáž — Vnitřní dveře DTD laminované s obložkovou zárubní — odhad 15 ks</t>
        </is>
      </c>
      <c r="G169" s="2" t="inlineStr">
        <is>
          <t>ks</t>
        </is>
      </c>
      <c r="H169" s="2" t="n">
        <v>15</v>
      </c>
      <c r="I169" s="3" t="inlineStr">
        <is>
          <t>3 patra × ~5 dveří (4 pokoje + chodba): 1.NP byt + 2.NP děti + 3.NP nový byt</t>
        </is>
      </c>
      <c r="J169" s="2" t="inlineStr">
        <is>
          <t>766660035</t>
        </is>
      </c>
      <c r="K169" s="3" t="inlineStr">
        <is>
          <t>TZ ARS dům §4 + DXF MTEXT room labels</t>
        </is>
      </c>
      <c r="L169" s="2" t="inlineStr">
        <is>
          <t>needs_production_lookup</t>
        </is>
      </c>
      <c r="M169" s="2" t="inlineStr"/>
    </row>
    <row r="170">
      <c r="A170" s="2" t="n">
        <v>169</v>
      </c>
      <c r="B170" s="2" t="inlineStr">
        <is>
          <t>PSV76.010b</t>
        </is>
      </c>
      <c r="C170" s="2" t="inlineStr">
        <is>
          <t>260219_dum</t>
        </is>
      </c>
      <c r="D170" s="2" t="inlineStr">
        <is>
          <t>PSV-76 Výplně otvorů</t>
        </is>
      </c>
      <c r="E170" s="3" t="inlineStr">
        <is>
          <t>PSV-76 Výplně otvorů</t>
        </is>
      </c>
      <c r="F170" s="3" t="inlineStr">
        <is>
          <t>Dodávka — Dodávka výrobku (Vnitřní dveře DTD laminované s obložkovou záru)</t>
        </is>
      </c>
      <c r="G170" s="2" t="inlineStr">
        <is>
          <t>ks</t>
        </is>
      </c>
      <c r="H170" s="2" t="n">
        <v>15</v>
      </c>
      <c r="I170" s="3">
        <f> montáž 1:1</f>
        <v/>
      </c>
      <c r="J170" s="2" t="inlineStr"/>
      <c r="K170" s="3" t="inlineStr">
        <is>
          <t>TZ ARS dům §4 + DXF MTEXT room labels</t>
        </is>
      </c>
      <c r="L170" s="2" t="inlineStr">
        <is>
          <t>needs_lookup</t>
        </is>
      </c>
      <c r="M170" s="2" t="inlineStr"/>
    </row>
    <row r="171">
      <c r="A171" s="2" t="n">
        <v>170</v>
      </c>
      <c r="B171" s="2" t="inlineStr">
        <is>
          <t>PSV76.101a</t>
        </is>
      </c>
      <c r="C171" s="2" t="inlineStr">
        <is>
          <t>260219_dum</t>
        </is>
      </c>
      <c r="D171" s="2" t="inlineStr">
        <is>
          <t>PSV-76 Klempíř</t>
        </is>
      </c>
      <c r="E171" s="3" t="inlineStr">
        <is>
          <t>PSV-76 Klempíř</t>
        </is>
      </c>
      <c r="F171" s="3" t="inlineStr">
        <is>
          <t>Montáž — Klempířské oplechování krytiny — úžlabí, hřeben, štítové lemy (Al / Pzn lakovaný 0.55 mm)</t>
        </is>
      </c>
      <c r="G171" s="2" t="inlineStr">
        <is>
          <t>bm</t>
        </is>
      </c>
      <c r="H171" s="2" t="n">
        <v>69.5</v>
      </c>
      <c r="I171" s="3" t="inlineStr">
        <is>
          <t>DXF klempířina total 173.8 m × 0.40 (oplechování+úžlabí+hřeben+lemy) = 69.5 bm</t>
        </is>
      </c>
      <c r="J171" s="2" t="inlineStr">
        <is>
          <t>764312235</t>
        </is>
      </c>
      <c r="K171" s="3" t="inlineStr">
        <is>
          <t>DXF MA_klempíř (75.4 m) + SM__ klempířina (98.4 m) total = 173.8 m × 0.40 split heuristic — Path C Tier 3</t>
        </is>
      </c>
      <c r="L171" s="2" t="inlineStr">
        <is>
          <t>family_verified_leaf_needs_production_lookup</t>
        </is>
      </c>
      <c r="M171" s="2" t="inlineStr"/>
    </row>
    <row r="172">
      <c r="A172" s="2" t="n">
        <v>171</v>
      </c>
      <c r="B172" s="2" t="inlineStr">
        <is>
          <t>PSV76.101b</t>
        </is>
      </c>
      <c r="C172" s="2" t="inlineStr">
        <is>
          <t>260219_dum</t>
        </is>
      </c>
      <c r="D172" s="2" t="inlineStr">
        <is>
          <t>PSV-76 Klempíř</t>
        </is>
      </c>
      <c r="E172" s="3" t="inlineStr">
        <is>
          <t>PSV-76 Klempíř</t>
        </is>
      </c>
      <c r="F172" s="3" t="inlineStr">
        <is>
          <t>Dodávka — Dodávka krytiny (Klempířské oplechování krytiny — úžlabí, hřebe)</t>
        </is>
      </c>
      <c r="G172" s="2" t="inlineStr">
        <is>
          <t>bm</t>
        </is>
      </c>
      <c r="H172" s="2" t="n">
        <v>76.45</v>
      </c>
      <c r="I172" s="3">
        <f> montáž × 1.10</f>
        <v/>
      </c>
      <c r="J172" s="2" t="inlineStr"/>
      <c r="K172" s="3" t="inlineStr">
        <is>
          <t>DXF MA_klempíř (75.4 m) + SM__ klempířina (98.4 m) total = 173.8 m × 0.40 split heuristic — Path C Tier 3</t>
        </is>
      </c>
      <c r="L172" s="2" t="inlineStr">
        <is>
          <t>needs_lookup</t>
        </is>
      </c>
      <c r="M172" s="2" t="inlineStr"/>
    </row>
    <row r="173">
      <c r="A173" s="2" t="n">
        <v>172</v>
      </c>
      <c r="B173" s="2" t="inlineStr">
        <is>
          <t>PSV76.102a</t>
        </is>
      </c>
      <c r="C173" s="2" t="inlineStr">
        <is>
          <t>260219_dum</t>
        </is>
      </c>
      <c r="D173" s="2" t="inlineStr">
        <is>
          <t>PSV-76 Klempíř</t>
        </is>
      </c>
      <c r="E173" s="3" t="inlineStr">
        <is>
          <t>PSV-76 Klempíř</t>
        </is>
      </c>
      <c r="F173" s="3" t="inlineStr">
        <is>
          <t>Montáž — Venkovní parapety oken — Pzn plech lakovaný 250 mm × tl. 0.55 mm × 16 ks oken</t>
        </is>
      </c>
      <c r="G173" s="2" t="inlineStr">
        <is>
          <t>bm</t>
        </is>
      </c>
      <c r="H173" s="2" t="n">
        <v>20.8</v>
      </c>
      <c r="I173" s="3">
        <f> 16 oken (DXF INSERT) × průměrná šíře 1.3 m parapetu</f>
        <v/>
      </c>
      <c r="J173" s="2" t="inlineStr">
        <is>
          <t>764218201</t>
        </is>
      </c>
      <c r="K173" s="3" t="inlineStr">
        <is>
          <t>DXF okna 16 ks INSERT blocks + standard parapet width</t>
        </is>
      </c>
      <c r="L173" s="2" t="inlineStr">
        <is>
          <t>family_verified_leaf_needs_production_lookup</t>
        </is>
      </c>
      <c r="M173" s="2" t="inlineStr"/>
    </row>
    <row r="174">
      <c r="A174" s="2" t="n">
        <v>173</v>
      </c>
      <c r="B174" s="2" t="inlineStr">
        <is>
          <t>PSV76.102b</t>
        </is>
      </c>
      <c r="C174" s="2" t="inlineStr">
        <is>
          <t>260219_dum</t>
        </is>
      </c>
      <c r="D174" s="2" t="inlineStr">
        <is>
          <t>PSV-76 Klempíř</t>
        </is>
      </c>
      <c r="E174" s="3" t="inlineStr">
        <is>
          <t>PSV-76 Klempíř</t>
        </is>
      </c>
      <c r="F174" s="3" t="inlineStr">
        <is>
          <t>Dodávka — Dodávka výrobku (Venkovní parapety oken — Pzn plech lakovaný 25)</t>
        </is>
      </c>
      <c r="G174" s="2" t="inlineStr">
        <is>
          <t>bm</t>
        </is>
      </c>
      <c r="H174" s="2" t="n">
        <v>20.8</v>
      </c>
      <c r="I174" s="3">
        <f> montáž 1:1</f>
        <v/>
      </c>
      <c r="J174" s="2" t="inlineStr"/>
      <c r="K174" s="3" t="inlineStr">
        <is>
          <t>DXF okna 16 ks INSERT blocks + standard parapet width</t>
        </is>
      </c>
      <c r="L174" s="2" t="inlineStr">
        <is>
          <t>needs_lookup</t>
        </is>
      </c>
      <c r="M174" s="2" t="inlineStr"/>
    </row>
    <row r="175">
      <c r="A175" s="2" t="n">
        <v>174</v>
      </c>
      <c r="B175" s="2" t="inlineStr">
        <is>
          <t>PSV76.103a</t>
        </is>
      </c>
      <c r="C175" s="2" t="inlineStr">
        <is>
          <t>260219_dum</t>
        </is>
      </c>
      <c r="D175" s="2" t="inlineStr">
        <is>
          <t>PSV-76 Klempíř</t>
        </is>
      </c>
      <c r="E175" s="3" t="inlineStr">
        <is>
          <t>PSV-76 Klempíř</t>
        </is>
      </c>
      <c r="F175" s="3" t="inlineStr">
        <is>
          <t>Dešťové svody Pzn Ø100 mm — 4 svody</t>
        </is>
      </c>
      <c r="G175" s="2" t="inlineStr">
        <is>
          <t>bm</t>
        </is>
      </c>
      <c r="H175" s="2" t="n">
        <v>28</v>
      </c>
      <c r="I175" s="3" t="inlineStr">
        <is>
          <t>4 svody × ~7 m výška = 28 bm</t>
        </is>
      </c>
      <c r="J175" s="2" t="inlineStr">
        <is>
          <t>764</t>
        </is>
      </c>
      <c r="K175" s="3" t="inlineStr">
        <is>
          <t>DXF klempířina lengths split + TZ ARS dešťové svody</t>
        </is>
      </c>
      <c r="L175" s="2" t="inlineStr">
        <is>
          <t>family_only</t>
        </is>
      </c>
      <c r="M175" s="2" t="inlineStr"/>
    </row>
    <row r="176">
      <c r="A176" s="2" t="n">
        <v>175</v>
      </c>
      <c r="B176" s="2" t="inlineStr">
        <is>
          <t>PSV76.103b</t>
        </is>
      </c>
      <c r="C176" s="2" t="inlineStr">
        <is>
          <t>260219_dum</t>
        </is>
      </c>
      <c r="D176" s="2" t="inlineStr">
        <is>
          <t>PSV-76 Klempíř</t>
        </is>
      </c>
      <c r="E176" s="3" t="inlineStr">
        <is>
          <t>PSV-76 Klempíř</t>
        </is>
      </c>
      <c r="F176" s="3" t="inlineStr">
        <is>
          <t>Podokapní žlaby Pzn — po obvodu střechy</t>
        </is>
      </c>
      <c r="G176" s="2" t="inlineStr">
        <is>
          <t>bm</t>
        </is>
      </c>
      <c r="H176" s="2" t="n">
        <v>15.5</v>
      </c>
      <c r="I176" s="3">
        <f> PSV76.003 celkem 43.5 bm − svody 28 bm = 15.5 bm žlaby</f>
        <v/>
      </c>
      <c r="J176" s="2" t="inlineStr">
        <is>
          <t>764</t>
        </is>
      </c>
      <c r="K176" s="3" t="inlineStr">
        <is>
          <t>DXF klempířina lengths split + TZ ARS dešťové svody</t>
        </is>
      </c>
      <c r="L176" s="2" t="inlineStr">
        <is>
          <t>family_only</t>
        </is>
      </c>
      <c r="M176" s="2" t="inlineStr"/>
    </row>
    <row r="177">
      <c r="A177" s="2" t="n">
        <v>176</v>
      </c>
      <c r="B177" s="2" t="inlineStr">
        <is>
          <t>PSV76.104</t>
        </is>
      </c>
      <c r="C177" s="2" t="inlineStr">
        <is>
          <t>260219_dum</t>
        </is>
      </c>
      <c r="D177" s="2" t="inlineStr">
        <is>
          <t>PSV-76 Klempíř</t>
        </is>
      </c>
      <c r="E177" s="3" t="inlineStr">
        <is>
          <t>PSV-76 Klempíř</t>
        </is>
      </c>
      <c r="F177" s="3" t="inlineStr">
        <is>
          <t>Klempířské doplňky vikýřů + atika + závětrné lemy (4 vikýře komplexní detail)</t>
        </is>
      </c>
      <c r="G177" s="2" t="inlineStr">
        <is>
          <t>bm</t>
        </is>
      </c>
      <c r="H177" s="2" t="n">
        <v>26.1</v>
      </c>
      <c r="I177" s="3" t="inlineStr">
        <is>
          <t>DXF klempířina total 173.8 m × 0.15 (vikýře+atika+lemy) = 26.1 bm</t>
        </is>
      </c>
      <c r="J177" s="2" t="inlineStr">
        <is>
          <t>764315235</t>
        </is>
      </c>
      <c r="K177" s="3" t="inlineStr">
        <is>
          <t>DXF klempířina geometry split + TZ ARS 4 vikýře</t>
        </is>
      </c>
      <c r="L177" s="2" t="inlineStr">
        <is>
          <t>FAMILY_VERIFIED_CHAPTER_MATCH</t>
        </is>
      </c>
      <c r="M177" s="2" t="inlineStr"/>
    </row>
    <row r="178">
      <c r="A178" s="2" t="n">
        <v>177</v>
      </c>
      <c r="B178" s="2" t="inlineStr">
        <is>
          <t>PSV76.201</t>
        </is>
      </c>
      <c r="C178" s="2" t="inlineStr">
        <is>
          <t>260219_dum</t>
        </is>
      </c>
      <c r="D178" s="2" t="inlineStr">
        <is>
          <t>PSV-76 Zámečnictví</t>
        </is>
      </c>
      <c r="E178" s="3" t="inlineStr">
        <is>
          <t>PSV-76 Zámečnictví</t>
        </is>
      </c>
      <c r="F178" s="3" t="inlineStr">
        <is>
          <t>Ocelové schodiště ze zahrady na mezipodestu — UPE200 schodnice + dřevěné nášlapy, kotvené do koruny opěrné stěny a zdiva (TZ statika §4)</t>
        </is>
      </c>
      <c r="G178" s="2" t="inlineStr">
        <is>
          <t>kpl</t>
        </is>
      </c>
      <c r="H178" s="2" t="n">
        <v>1</v>
      </c>
      <c r="I178" s="3" t="inlineStr">
        <is>
          <t>1 schodiště (~8 stupňů × ~3 m výška)</t>
        </is>
      </c>
      <c r="J178" s="2" t="inlineStr">
        <is>
          <t>767531111</t>
        </is>
      </c>
      <c r="K178" s="3" t="inlineStr">
        <is>
          <t>TZ statika dům §4 — schodiště UPE200 + UPE100 podružné prvky</t>
        </is>
      </c>
      <c r="L178" s="2" t="inlineStr">
        <is>
          <t>FAMILY_VERIFIED</t>
        </is>
      </c>
      <c r="M178" s="2" t="inlineStr"/>
    </row>
    <row r="179">
      <c r="A179" s="2" t="n">
        <v>178</v>
      </c>
      <c r="B179" s="2" t="inlineStr">
        <is>
          <t>PSV76.202a</t>
        </is>
      </c>
      <c r="C179" s="2" t="inlineStr">
        <is>
          <t>260219_dum</t>
        </is>
      </c>
      <c r="D179" s="2" t="inlineStr">
        <is>
          <t>PSV-76 Zámečnictví</t>
        </is>
      </c>
      <c r="E179" s="3" t="inlineStr">
        <is>
          <t>PSV-76 Zámečnictví</t>
        </is>
      </c>
      <c r="F179" s="3" t="inlineStr">
        <is>
          <t>Montáž — Interní ocelové schodiště do spacího patra v 3.NP s dřevěnými stupni (truhlářské)</t>
        </is>
      </c>
      <c r="G179" s="2" t="inlineStr">
        <is>
          <t>kpl</t>
        </is>
      </c>
      <c r="H179" s="2" t="n">
        <v>1</v>
      </c>
      <c r="I179" s="3" t="inlineStr">
        <is>
          <t>1 schodiště do podkroví (TZ ARS)</t>
        </is>
      </c>
      <c r="J179" s="2" t="inlineStr">
        <is>
          <t>767531111</t>
        </is>
      </c>
      <c r="K179" s="3" t="inlineStr">
        <is>
          <t>TZ ARS dům §4 — ocelové schodiště s dřevěnými stupni</t>
        </is>
      </c>
      <c r="L179" s="2" t="inlineStr">
        <is>
          <t>family_verified_leaf_needs_production_lookup</t>
        </is>
      </c>
      <c r="M179" s="2" t="inlineStr"/>
    </row>
    <row r="180">
      <c r="A180" s="2" t="n">
        <v>179</v>
      </c>
      <c r="B180" s="2" t="inlineStr">
        <is>
          <t>PSV76.202b</t>
        </is>
      </c>
      <c r="C180" s="2" t="inlineStr">
        <is>
          <t>260219_dum</t>
        </is>
      </c>
      <c r="D180" s="2" t="inlineStr">
        <is>
          <t>PSV-76 Zámečnictví</t>
        </is>
      </c>
      <c r="E180" s="3" t="inlineStr">
        <is>
          <t>PSV-76 Zámečnictví</t>
        </is>
      </c>
      <c r="F180" s="3" t="inlineStr">
        <is>
          <t>Dodávka — Dodávka oceli S235 (válcované profily) (Interní ocelové schodiště do spacího patra v 3)</t>
        </is>
      </c>
      <c r="G180" s="2" t="inlineStr">
        <is>
          <t>kpl</t>
        </is>
      </c>
      <c r="H180" s="2" t="n">
        <v>1.03</v>
      </c>
      <c r="I180" s="3">
        <f> montáž × 1.03</f>
        <v/>
      </c>
      <c r="J180" s="2" t="inlineStr"/>
      <c r="K180" s="3" t="inlineStr">
        <is>
          <t>TZ ARS dům §4 — ocelové schodiště s dřevěnými stupni</t>
        </is>
      </c>
      <c r="L180" s="2" t="inlineStr">
        <is>
          <t>needs_lookup</t>
        </is>
      </c>
      <c r="M180" s="2" t="inlineStr"/>
    </row>
    <row r="181">
      <c r="A181" s="2" t="n">
        <v>180</v>
      </c>
      <c r="B181" s="2" t="inlineStr">
        <is>
          <t>PSV76.203a</t>
        </is>
      </c>
      <c r="C181" s="2" t="inlineStr">
        <is>
          <t>260219_dum</t>
        </is>
      </c>
      <c r="D181" s="2" t="inlineStr">
        <is>
          <t>PSV-76 Zámečnictví</t>
        </is>
      </c>
      <c r="E181" s="3" t="inlineStr">
        <is>
          <t>PSV-76 Zámečnictví</t>
        </is>
      </c>
      <c r="F181" s="3" t="inlineStr">
        <is>
          <t>Montáž — Stříšky nad vstupy z ocelové konstrukce + Cetris desky + falcovaná krytina — 2 ks (ulice + zahrada)</t>
        </is>
      </c>
      <c r="G181" s="2" t="inlineStr">
        <is>
          <t>ks</t>
        </is>
      </c>
      <c r="H181" s="2" t="n">
        <v>2</v>
      </c>
      <c r="I181" s="3" t="inlineStr">
        <is>
          <t>2 vstupy</t>
        </is>
      </c>
      <c r="J181" s="2" t="inlineStr">
        <is>
          <t>767532111</t>
        </is>
      </c>
      <c r="K181" s="3" t="inlineStr">
        <is>
          <t>TZ ARS dům §4 — stříšky nad vstupy ocel+Cetris+plech</t>
        </is>
      </c>
      <c r="L181" s="2" t="inlineStr">
        <is>
          <t>needs_production_lookup</t>
        </is>
      </c>
      <c r="M181" s="2" t="inlineStr"/>
    </row>
    <row r="182">
      <c r="A182" s="2" t="n">
        <v>181</v>
      </c>
      <c r="B182" s="2" t="inlineStr">
        <is>
          <t>PSV76.203b</t>
        </is>
      </c>
      <c r="C182" s="2" t="inlineStr">
        <is>
          <t>260219_dum</t>
        </is>
      </c>
      <c r="D182" s="2" t="inlineStr">
        <is>
          <t>PSV-76 Zámečnictví</t>
        </is>
      </c>
      <c r="E182" s="3" t="inlineStr">
        <is>
          <t>PSV-76 Zámečnictví</t>
        </is>
      </c>
      <c r="F182" s="3" t="inlineStr">
        <is>
          <t>Dodávka — Dodávka oceli S235 (válcované profily) (Stříšky nad vstupy z ocelové konstrukce + Cetr)</t>
        </is>
      </c>
      <c r="G182" s="2" t="inlineStr">
        <is>
          <t>ks</t>
        </is>
      </c>
      <c r="H182" s="2" t="n">
        <v>2.06</v>
      </c>
      <c r="I182" s="3">
        <f> montáž × 1.03</f>
        <v/>
      </c>
      <c r="J182" s="2" t="inlineStr"/>
      <c r="K182" s="3" t="inlineStr">
        <is>
          <t>TZ ARS dům §4 — stříšky nad vstupy ocel+Cetris+plech</t>
        </is>
      </c>
      <c r="L182" s="2" t="inlineStr">
        <is>
          <t>needs_lookup</t>
        </is>
      </c>
      <c r="M182" s="2" t="inlineStr"/>
    </row>
    <row r="183">
      <c r="A183" s="2" t="n">
        <v>182</v>
      </c>
      <c r="B183" s="2" t="inlineStr">
        <is>
          <t>PSV76.204a</t>
        </is>
      </c>
      <c r="C183" s="2" t="inlineStr">
        <is>
          <t>260219_dum</t>
        </is>
      </c>
      <c r="D183" s="2" t="inlineStr">
        <is>
          <t>PSV-76 Zámečnictví</t>
        </is>
      </c>
      <c r="E183" s="3" t="inlineStr">
        <is>
          <t>PSV-76 Zámečnictví</t>
        </is>
      </c>
      <c r="F183" s="3" t="inlineStr">
        <is>
          <t>Montáž — Ocelové zábradlí svařované z jeklů + nerez výplň pZn antracit — schodiště interier + venkovní terasa</t>
        </is>
      </c>
      <c r="G183" s="2" t="inlineStr">
        <is>
          <t>bm</t>
        </is>
      </c>
      <c r="H183" s="2" t="n">
        <v>18</v>
      </c>
      <c r="I183" s="3" t="inlineStr">
        <is>
          <t>odhad 12 m interier (2 schodiště × 6 m) + 6 m terasa</t>
        </is>
      </c>
      <c r="J183" s="2" t="inlineStr">
        <is>
          <t>767163115</t>
        </is>
      </c>
      <c r="K183" s="3" t="inlineStr">
        <is>
          <t>TZ ARS dům §4 — zábradlí svařované z jeklů + nerez výplň</t>
        </is>
      </c>
      <c r="L183" s="2" t="inlineStr">
        <is>
          <t>needs_production_lookup</t>
        </is>
      </c>
      <c r="M183" s="2" t="inlineStr"/>
    </row>
    <row r="184">
      <c r="A184" s="2" t="n">
        <v>183</v>
      </c>
      <c r="B184" s="2" t="inlineStr">
        <is>
          <t>PSV76.204b</t>
        </is>
      </c>
      <c r="C184" s="2" t="inlineStr">
        <is>
          <t>260219_dum</t>
        </is>
      </c>
      <c r="D184" s="2" t="inlineStr">
        <is>
          <t>PSV-76 Zámečnictví</t>
        </is>
      </c>
      <c r="E184" s="3" t="inlineStr">
        <is>
          <t>PSV-76 Zámečnictví</t>
        </is>
      </c>
      <c r="F184" s="3" t="inlineStr">
        <is>
          <t>Dodávka — Dodávka oceli S235 (válcované profily) (Ocelové zábradlí svařované z jeklů + nerez výp)</t>
        </is>
      </c>
      <c r="G184" s="2" t="inlineStr">
        <is>
          <t>bm</t>
        </is>
      </c>
      <c r="H184" s="2" t="n">
        <v>18.54</v>
      </c>
      <c r="I184" s="3">
        <f> montáž × 1.03</f>
        <v/>
      </c>
      <c r="J184" s="2" t="inlineStr"/>
      <c r="K184" s="3" t="inlineStr">
        <is>
          <t>TZ ARS dům §4 — zábradlí svařované z jeklů + nerez výplň</t>
        </is>
      </c>
      <c r="L184" s="2" t="inlineStr">
        <is>
          <t>needs_lookup</t>
        </is>
      </c>
      <c r="M184" s="2" t="inlineStr"/>
    </row>
    <row r="185">
      <c r="A185" s="2" t="n">
        <v>184</v>
      </c>
      <c r="B185" s="2" t="inlineStr">
        <is>
          <t>PSV76.301a</t>
        </is>
      </c>
      <c r="C185" s="2" t="inlineStr">
        <is>
          <t>260219_dum</t>
        </is>
      </c>
      <c r="D185" s="2" t="inlineStr">
        <is>
          <t>PSV-76 Truhlář</t>
        </is>
      </c>
      <c r="E185" s="3" t="inlineStr">
        <is>
          <t>PSV-76 Truhlář</t>
        </is>
      </c>
      <c r="F185" s="3" t="inlineStr">
        <is>
          <t>Montáž — Dřevěné stupně ocelových schodišť (truhlářské, dub masiv tl. 40 mm)</t>
        </is>
      </c>
      <c r="G185" s="2" t="inlineStr">
        <is>
          <t>ks</t>
        </is>
      </c>
      <c r="H185" s="2" t="n">
        <v>16</v>
      </c>
      <c r="I185" s="3" t="inlineStr">
        <is>
          <t>2 schodiště × ~8 stupňů = 16</t>
        </is>
      </c>
      <c r="J185" s="2" t="inlineStr">
        <is>
          <t>766811111</t>
        </is>
      </c>
      <c r="K185" s="3" t="inlineStr">
        <is>
          <t>TZ ARS dům §4 — ocelové schodiště s dřevěnými stupni truhlářské</t>
        </is>
      </c>
      <c r="L185" s="2" t="inlineStr">
        <is>
          <t>needs_production_lookup</t>
        </is>
      </c>
      <c r="M185" s="2" t="inlineStr"/>
    </row>
    <row r="186">
      <c r="A186" s="2" t="n">
        <v>185</v>
      </c>
      <c r="B186" s="2" t="inlineStr">
        <is>
          <t>PSV76.301b</t>
        </is>
      </c>
      <c r="C186" s="2" t="inlineStr">
        <is>
          <t>260219_dum</t>
        </is>
      </c>
      <c r="D186" s="2" t="inlineStr">
        <is>
          <t>PSV-76 Truhlář</t>
        </is>
      </c>
      <c r="E186" s="3" t="inlineStr">
        <is>
          <t>PSV-76 Truhlář</t>
        </is>
      </c>
      <c r="F186" s="3" t="inlineStr">
        <is>
          <t>Dodávka — Dodávka oceli S235 (válcované profily) (Dřevěné stupně ocelových schodišť (truhlářské,)</t>
        </is>
      </c>
      <c r="G186" s="2" t="inlineStr">
        <is>
          <t>ks</t>
        </is>
      </c>
      <c r="H186" s="2" t="n">
        <v>16.48</v>
      </c>
      <c r="I186" s="3">
        <f> montáž × 1.03</f>
        <v/>
      </c>
      <c r="J186" s="2" t="inlineStr"/>
      <c r="K186" s="3" t="inlineStr">
        <is>
          <t>TZ ARS dům §4 — ocelové schodiště s dřevěnými stupni truhlářské</t>
        </is>
      </c>
      <c r="L186" s="2" t="inlineStr">
        <is>
          <t>needs_lookup</t>
        </is>
      </c>
      <c r="M186" s="2" t="inlineStr"/>
    </row>
    <row r="187">
      <c r="A187" s="2" t="n">
        <v>186</v>
      </c>
      <c r="B187" s="2" t="inlineStr">
        <is>
          <t>PSV76.302a</t>
        </is>
      </c>
      <c r="C187" s="2" t="inlineStr">
        <is>
          <t>260219_dum</t>
        </is>
      </c>
      <c r="D187" s="2" t="inlineStr">
        <is>
          <t>PSV-76 Truhlář</t>
        </is>
      </c>
      <c r="E187" s="3" t="inlineStr">
        <is>
          <t>PSV-76 Truhlář</t>
        </is>
      </c>
      <c r="F187" s="3" t="inlineStr">
        <is>
          <t>Podkladní rošt z dřevěných hranolů 50 mm na rektifikovatelných terčích — terasa za opěrnou stěnou</t>
        </is>
      </c>
      <c r="G187" s="2" t="inlineStr">
        <is>
          <t>m²</t>
        </is>
      </c>
      <c r="H187" s="2" t="n">
        <v>9.23</v>
      </c>
      <c r="I187" s="3">
        <f> PSV76.002 plocha terasy 9.23 m² (situace měření)</f>
        <v/>
      </c>
      <c r="J187" s="2" t="inlineStr">
        <is>
          <t>762</t>
        </is>
      </c>
      <c r="K187" s="3" t="inlineStr">
        <is>
          <t>TZ ARS dům §4 + DXF dum_situace PLOT_DREVENY_04 (terasa, ne 3.NP); ŘEZ C-C potvrzuje dřevěný rošt z hranolů (NE hliníkový) + dřevěnou pochozí vrstvu</t>
        </is>
      </c>
      <c r="L187" s="2" t="inlineStr">
        <is>
          <t>family_only</t>
        </is>
      </c>
      <c r="M187" s="2" t="inlineStr"/>
    </row>
    <row r="188">
      <c r="A188" s="2" t="n">
        <v>187</v>
      </c>
      <c r="B188" s="2" t="inlineStr">
        <is>
          <t>PSV76.302b</t>
        </is>
      </c>
      <c r="C188" s="2" t="inlineStr">
        <is>
          <t>260219_dum</t>
        </is>
      </c>
      <c r="D188" s="2" t="inlineStr">
        <is>
          <t>PSV-76 Truhlář</t>
        </is>
      </c>
      <c r="E188" s="3" t="inlineStr">
        <is>
          <t>PSV-76 Truhlář</t>
        </is>
      </c>
      <c r="F188" s="3" t="inlineStr">
        <is>
          <t>Terasová dřevěná prkna garapa 145×25 mm — montáž na dřevěný rošt, terasa za opěrnou stěnou</t>
        </is>
      </c>
      <c r="G188" s="2" t="inlineStr">
        <is>
          <t>m²</t>
        </is>
      </c>
      <c r="H188" s="2" t="n">
        <v>9.23</v>
      </c>
      <c r="I188" s="3">
        <f> PSV76.002 plocha terasy 9.23 m² (situace měření)</f>
        <v/>
      </c>
      <c r="J188" s="2" t="inlineStr">
        <is>
          <t>762</t>
        </is>
      </c>
      <c r="K188" s="3" t="inlineStr">
        <is>
          <t>TZ ARS dům §4 + DXF dum_situace PLOT_DREVENY_04 (terasa, ne 3.NP); ŘEZ C-C potvrzuje dřevěný rošt z hranolů (NE hliníkový) + dřevěnou pochozí vrstvu</t>
        </is>
      </c>
      <c r="L188" s="2" t="inlineStr">
        <is>
          <t>family_only</t>
        </is>
      </c>
      <c r="M188" s="2" t="inlineStr"/>
    </row>
    <row r="189">
      <c r="A189" s="2" t="n">
        <v>188</v>
      </c>
      <c r="B189" s="2" t="inlineStr">
        <is>
          <t>PSV77.001</t>
        </is>
      </c>
      <c r="C189" s="2" t="inlineStr">
        <is>
          <t>260219_dum</t>
        </is>
      </c>
      <c r="D189" s="2" t="inlineStr">
        <is>
          <t>PSV-77 Podlahy</t>
        </is>
      </c>
      <c r="E189" s="3" t="inlineStr">
        <is>
          <t>PSV-77 Podlahy</t>
        </is>
      </c>
      <c r="F189" s="3" t="inlineStr">
        <is>
          <t>Nášlapná vrstva vinyl tl. 4 mm na suchou skladbu — obytné místnosti (ložnice, obývák, kuchyně, chodby)</t>
        </is>
      </c>
      <c r="G189" s="2" t="inlineStr">
        <is>
          <t>m²</t>
        </is>
      </c>
      <c r="H189" s="2" t="n">
        <v>171.5</v>
      </c>
      <c r="I189" s="3" t="inlineStr">
        <is>
          <t>1.01=12.4 + 1.02=3.6 + 1.06=24.0 + 1.07=9.4 + 1.08=3.8 + 2.01=7.3 + 2.02=5.9 + 2.04=15.5 + 2.05=14.1 + 2.06=15.8 + 3.01=7.6 + 3.02=4.1 + 3.03=2.4 + 3.05=32.8 + 3.06=12.8 = 171.5 m²</t>
        </is>
      </c>
      <c r="J189" s="2" t="inlineStr">
        <is>
          <t>776511820</t>
        </is>
      </c>
      <c r="K189" s="3" t="inlineStr">
        <is>
          <t>DXF km_tabulka místností MTEXT (návrh) — rooms classified per name (kuchyně/obytná/chodba = vinyl) + TZ ARS §3.2.4 nášlapná vrstva</t>
        </is>
      </c>
      <c r="L189" s="2" t="inlineStr">
        <is>
          <t>FAMILY_VERIFIED</t>
        </is>
      </c>
      <c r="M189" s="2" t="inlineStr"/>
    </row>
    <row r="190">
      <c r="A190" s="2" t="n">
        <v>189</v>
      </c>
      <c r="B190" s="2" t="inlineStr">
        <is>
          <t>PSV77.002a</t>
        </is>
      </c>
      <c r="C190" s="2" t="inlineStr">
        <is>
          <t>260219_dum</t>
        </is>
      </c>
      <c r="D190" s="2" t="inlineStr">
        <is>
          <t>PSV-77 Podlahy</t>
        </is>
      </c>
      <c r="E190" s="3" t="inlineStr">
        <is>
          <t>PSV-77 Podlahy</t>
        </is>
      </c>
      <c r="F190" s="3" t="inlineStr">
        <is>
          <t>Kladení keramické dlažby lepené + penetrace podkladu — koupelny + WC + spíž + komora</t>
        </is>
      </c>
      <c r="G190" s="2" t="inlineStr">
        <is>
          <t>m²</t>
        </is>
      </c>
      <c r="H190" s="2" t="n">
        <v>13.5</v>
      </c>
      <c r="I190" s="3">
        <f> PSV77.002 plocha 13.5 m²</f>
        <v/>
      </c>
      <c r="J190" s="2" t="inlineStr">
        <is>
          <t>771</t>
        </is>
      </c>
      <c r="K190" s="3" t="inlineStr">
        <is>
          <t>DXF km_tabulka místností MTEXT (návrh) — rooms classified per name (koupelna/WC/spíž = dlažba mokré) + TZ ARS skladba mokrá</t>
        </is>
      </c>
      <c r="L190" s="2" t="inlineStr">
        <is>
          <t>family_only</t>
        </is>
      </c>
      <c r="M190" s="2" t="inlineStr"/>
    </row>
    <row r="191">
      <c r="A191" s="2" t="n">
        <v>190</v>
      </c>
      <c r="B191" s="2" t="inlineStr">
        <is>
          <t>PSV77.002b</t>
        </is>
      </c>
      <c r="C191" s="2" t="inlineStr">
        <is>
          <t>260219_dum</t>
        </is>
      </c>
      <c r="D191" s="2" t="inlineStr">
        <is>
          <t>PSV-77 Podlahy</t>
        </is>
      </c>
      <c r="E191" s="3" t="inlineStr">
        <is>
          <t>PSV-77 Podlahy</t>
        </is>
      </c>
      <c r="F191" s="3" t="inlineStr">
        <is>
          <t>Spárování keramické dlažby + úklid — koupelny + WC + spíž + komora</t>
        </is>
      </c>
      <c r="G191" s="2" t="inlineStr">
        <is>
          <t>m²</t>
        </is>
      </c>
      <c r="H191" s="2" t="n">
        <v>13.5</v>
      </c>
      <c r="I191" s="3">
        <f> PSV77.002 plocha 13.5 m²</f>
        <v/>
      </c>
      <c r="J191" s="2" t="inlineStr">
        <is>
          <t>771</t>
        </is>
      </c>
      <c r="K191" s="3" t="inlineStr">
        <is>
          <t>DXF km_tabulka místností MTEXT (návrh) — rooms classified per name (koupelna/WC/spíž = dlažba mokré) + TZ ARS skladba mokrá</t>
        </is>
      </c>
      <c r="L191" s="2" t="inlineStr">
        <is>
          <t>family_only</t>
        </is>
      </c>
      <c r="M191" s="2" t="inlineStr"/>
    </row>
    <row r="192">
      <c r="A192" s="2" t="n">
        <v>191</v>
      </c>
      <c r="B192" s="2" t="inlineStr">
        <is>
          <t>PSV77.003a</t>
        </is>
      </c>
      <c r="C192" s="2" t="inlineStr">
        <is>
          <t>260219_dum</t>
        </is>
      </c>
      <c r="D192" s="2" t="inlineStr">
        <is>
          <t>PSV-77 Podlahy</t>
        </is>
      </c>
      <c r="E192" s="3" t="inlineStr">
        <is>
          <t>PSV-77 Podlahy</t>
        </is>
      </c>
      <c r="F192" s="3" t="inlineStr">
        <is>
          <t>Kladení keramické dlažby lepené + penetrace — 1.PP technické místnosti</t>
        </is>
      </c>
      <c r="G192" s="2" t="inlineStr">
        <is>
          <t>m²</t>
        </is>
      </c>
      <c r="H192" s="2" t="n">
        <v>32.4</v>
      </c>
      <c r="I192" s="3">
        <f> PSV77.003 plocha 32.4 m²</f>
        <v/>
      </c>
      <c r="J192" s="2" t="inlineStr">
        <is>
          <t>771</t>
        </is>
      </c>
      <c r="K192" s="3" t="inlineStr">
        <is>
          <t>DXF km_tabulka místností MTEXT (návrh) — 1.PP all rooms = dlažba sklep zone</t>
        </is>
      </c>
      <c r="L192" s="2" t="inlineStr">
        <is>
          <t>family_only</t>
        </is>
      </c>
      <c r="M192" s="2" t="inlineStr"/>
    </row>
    <row r="193">
      <c r="A193" s="2" t="n">
        <v>192</v>
      </c>
      <c r="B193" s="2" t="inlineStr">
        <is>
          <t>PSV77.003b</t>
        </is>
      </c>
      <c r="C193" s="2" t="inlineStr">
        <is>
          <t>260219_dum</t>
        </is>
      </c>
      <c r="D193" s="2" t="inlineStr">
        <is>
          <t>PSV-77 Podlahy</t>
        </is>
      </c>
      <c r="E193" s="3" t="inlineStr">
        <is>
          <t>PSV-77 Podlahy</t>
        </is>
      </c>
      <c r="F193" s="3" t="inlineStr">
        <is>
          <t>Spárování keramické dlažby + úklid — 1.PP</t>
        </is>
      </c>
      <c r="G193" s="2" t="inlineStr">
        <is>
          <t>m²</t>
        </is>
      </c>
      <c r="H193" s="2" t="n">
        <v>32.4</v>
      </c>
      <c r="I193" s="3">
        <f> PSV77.003 plocha 32.4 m²</f>
        <v/>
      </c>
      <c r="J193" s="2" t="inlineStr">
        <is>
          <t>771</t>
        </is>
      </c>
      <c r="K193" s="3" t="inlineStr">
        <is>
          <t>DXF km_tabulka místností MTEXT (návrh) — 1.PP all rooms = dlažba sklep zone</t>
        </is>
      </c>
      <c r="L193" s="2" t="inlineStr">
        <is>
          <t>family_only</t>
        </is>
      </c>
      <c r="M193" s="2" t="inlineStr"/>
    </row>
    <row r="194">
      <c r="A194" s="2" t="n">
        <v>193</v>
      </c>
      <c r="B194" s="2" t="inlineStr">
        <is>
          <t>PSV77.004a</t>
        </is>
      </c>
      <c r="C194" s="2" t="inlineStr">
        <is>
          <t>260219_dum</t>
        </is>
      </c>
      <c r="D194" s="2" t="inlineStr">
        <is>
          <t>PSV-77 Podlahy</t>
        </is>
      </c>
      <c r="E194" s="3" t="inlineStr">
        <is>
          <t>PSV-77 Podlahy</t>
        </is>
      </c>
      <c r="F194" s="3" t="inlineStr">
        <is>
          <t>Montáž — Nášlapná vrstva biodeska (smrk masiv) nebo OSB v 3.NP spací části nad krovem</t>
        </is>
      </c>
      <c r="G194" s="2" t="inlineStr">
        <is>
          <t>m²</t>
        </is>
      </c>
      <c r="H194" s="2" t="n">
        <v>25</v>
      </c>
      <c r="I194" s="3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J194" s="2" t="inlineStr">
        <is>
          <t>766411111</t>
        </is>
      </c>
      <c r="K194" s="3" t="inlineStr">
        <is>
          <t>TZ ARS dům §3.2.3 — biodeska patro pro přespání</t>
        </is>
      </c>
      <c r="L194" s="2" t="inlineStr">
        <is>
          <t>needs_production_lookup</t>
        </is>
      </c>
      <c r="M194" s="2" t="inlineStr"/>
    </row>
    <row r="195">
      <c r="A195" s="2" t="n">
        <v>194</v>
      </c>
      <c r="B195" s="2" t="inlineStr">
        <is>
          <t>PSV77.004b</t>
        </is>
      </c>
      <c r="C195" s="2" t="inlineStr">
        <is>
          <t>260219_dum</t>
        </is>
      </c>
      <c r="D195" s="2" t="inlineStr">
        <is>
          <t>PSV-77 Podlahy</t>
        </is>
      </c>
      <c r="E195" s="3" t="inlineStr">
        <is>
          <t>PSV-77 Podlahy</t>
        </is>
      </c>
      <c r="F195" s="3" t="inlineStr">
        <is>
          <t>Dodávka — Dodávka řeziva C24 (impregnované) (Nášlapná vrstva biodeska (smrk masiv) nebo OSB)</t>
        </is>
      </c>
      <c r="G195" s="2" t="inlineStr">
        <is>
          <t>m²</t>
        </is>
      </c>
      <c r="H195" s="2" t="n">
        <v>27.5</v>
      </c>
      <c r="I195" s="3">
        <f> montáž × 1.10</f>
        <v/>
      </c>
      <c r="J195" s="2" t="inlineStr"/>
      <c r="K195" s="3" t="inlineStr">
        <is>
          <t>TZ ARS dům §3.2.3 — biodeska patro pro přespání</t>
        </is>
      </c>
      <c r="L195" s="2" t="inlineStr">
        <is>
          <t>needs_lookup</t>
        </is>
      </c>
      <c r="M195" s="2" t="inlineStr"/>
    </row>
    <row r="196">
      <c r="A196" s="2" t="n">
        <v>195</v>
      </c>
      <c r="B196" s="2" t="inlineStr">
        <is>
          <t>PSV77.005</t>
        </is>
      </c>
      <c r="C196" s="2" t="inlineStr">
        <is>
          <t>260219_dum</t>
        </is>
      </c>
      <c r="D196" s="2" t="inlineStr">
        <is>
          <t>PSV-77 Podlahy</t>
        </is>
      </c>
      <c r="E196" s="3" t="inlineStr">
        <is>
          <t>PSV-77 Podlahy</t>
        </is>
      </c>
      <c r="F196" s="3" t="inlineStr">
        <is>
          <t>Mokrá podlahová skladba — betonový potěr s kari síťkou 4/100/100 tl. 50 mm + samonivelační stěrka</t>
        </is>
      </c>
      <c r="G196" s="2" t="inlineStr">
        <is>
          <t>m²</t>
        </is>
      </c>
      <c r="H196" s="2" t="n">
        <v>126.4</v>
      </c>
      <c r="I196" s="3" t="inlineStr">
        <is>
          <t>vinyl 1.NP+3.NP + dlažba mokré (vyňato 2.NP suchá skladba) = 126.4 m²</t>
        </is>
      </c>
      <c r="J196" s="2" t="inlineStr">
        <is>
          <t>631321311</t>
        </is>
      </c>
      <c r="K196" s="3" t="inlineStr">
        <is>
          <t>TZ ARS dům §3.2.4 + §3.2.x — 'kročejová izolace + betonový potěr s kari sítí'; DXF rooms areas</t>
        </is>
      </c>
      <c r="L196" s="2" t="inlineStr">
        <is>
          <t>needs_production_lookup</t>
        </is>
      </c>
      <c r="M196" s="2" t="inlineStr"/>
    </row>
    <row r="197">
      <c r="A197" s="2" t="n">
        <v>196</v>
      </c>
      <c r="B197" s="2" t="inlineStr">
        <is>
          <t>PSV77.006</t>
        </is>
      </c>
      <c r="C197" s="2" t="inlineStr">
        <is>
          <t>260219_dum</t>
        </is>
      </c>
      <c r="D197" s="2" t="inlineStr">
        <is>
          <t>PSV-77 Podlahy</t>
        </is>
      </c>
      <c r="E197" s="3" t="inlineStr">
        <is>
          <t>PSV-77 Podlahy</t>
        </is>
      </c>
      <c r="F197" s="3" t="inlineStr">
        <is>
          <t>Soklíky podlahové laminátové (dub) v obytných místnostech s vinyl podlahou</t>
        </is>
      </c>
      <c r="G197" s="2" t="inlineStr">
        <is>
          <t>bm</t>
        </is>
      </c>
      <c r="H197" s="2" t="n">
        <v>72.03</v>
      </c>
      <c r="I197" s="3" t="inlineStr">
        <is>
          <t>vinyl plocha 171.5 m² × 0.42 m soklíku/m² (typ. obvod/plocha ratio v Czech RD místnosti) = 72.03 bm</t>
        </is>
      </c>
      <c r="J197" s="2" t="inlineStr">
        <is>
          <t>776511831</t>
        </is>
      </c>
      <c r="K197" s="3" t="inlineStr">
        <is>
          <t>DXF rooms vinyl + standard ratio per RD geometry</t>
        </is>
      </c>
      <c r="L197" s="2" t="inlineStr">
        <is>
          <t>needs_production_lookup</t>
        </is>
      </c>
      <c r="M197" s="2" t="inlineStr"/>
    </row>
    <row r="198">
      <c r="A198" s="2" t="n">
        <v>197</v>
      </c>
      <c r="B198" s="2" t="inlineStr">
        <is>
          <t>PSV77.007a</t>
        </is>
      </c>
      <c r="C198" s="2" t="inlineStr">
        <is>
          <t>260219_dum</t>
        </is>
      </c>
      <c r="D198" s="2" t="inlineStr">
        <is>
          <t>PSV-77 Podlahy</t>
        </is>
      </c>
      <c r="E198" s="3" t="inlineStr">
        <is>
          <t>PSV-77 Podlahy</t>
        </is>
      </c>
      <c r="F198" s="3" t="inlineStr">
        <is>
          <t>Montáž — Soklíky keramické v místnostech s dlažbou (koupelny + WC + spíž + 1.PP)</t>
        </is>
      </c>
      <c r="G198" s="2" t="inlineStr">
        <is>
          <t>bm</t>
        </is>
      </c>
      <c r="H198" s="2" t="n">
        <v>19.28</v>
      </c>
      <c r="I198" s="3" t="inlineStr">
        <is>
          <t>(dlažba mokré 13.5 + dlažba sklep 32.4) × 0.42 m soklíku/m² = 19.28 bm</t>
        </is>
      </c>
      <c r="J198" s="2" t="inlineStr">
        <is>
          <t>771274107</t>
        </is>
      </c>
      <c r="K198" s="3" t="inlineStr">
        <is>
          <t>DXF rooms dlažba + standard ratio per RD geometry</t>
        </is>
      </c>
      <c r="L198" s="2" t="inlineStr">
        <is>
          <t>needs_production_lookup</t>
        </is>
      </c>
      <c r="M198" s="2" t="inlineStr"/>
    </row>
    <row r="199">
      <c r="A199" s="2" t="n">
        <v>198</v>
      </c>
      <c r="B199" s="2" t="inlineStr">
        <is>
          <t>PSV77.007b</t>
        </is>
      </c>
      <c r="C199" s="2" t="inlineStr">
        <is>
          <t>260219_dum</t>
        </is>
      </c>
      <c r="D199" s="2" t="inlineStr">
        <is>
          <t>PSV-77 Podlahy</t>
        </is>
      </c>
      <c r="E199" s="3" t="inlineStr">
        <is>
          <t>PSV-77 Podlahy</t>
        </is>
      </c>
      <c r="F199" s="3" t="inlineStr">
        <is>
          <t>Dodávka — Dodávka oceli S235 (válcované profily) (Soklíky keramické v místnostech s dlažbou (kou)</t>
        </is>
      </c>
      <c r="G199" s="2" t="inlineStr">
        <is>
          <t>bm</t>
        </is>
      </c>
      <c r="H199" s="2" t="n">
        <v>19.86</v>
      </c>
      <c r="I199" s="3">
        <f> montáž × 1.03</f>
        <v/>
      </c>
      <c r="J199" s="2" t="inlineStr"/>
      <c r="K199" s="3" t="inlineStr">
        <is>
          <t>DXF rooms dlažba + standard ratio per RD geometry</t>
        </is>
      </c>
      <c r="L199" s="2" t="inlineStr">
        <is>
          <t>needs_lookup</t>
        </is>
      </c>
      <c r="M199" s="2" t="inlineStr"/>
    </row>
    <row r="200">
      <c r="A200" s="2" t="n">
        <v>199</v>
      </c>
      <c r="B200" s="2" t="inlineStr">
        <is>
          <t>PSV78.001a</t>
        </is>
      </c>
      <c r="C200" s="2" t="inlineStr">
        <is>
          <t>260219_dum</t>
        </is>
      </c>
      <c r="D200" s="2" t="inlineStr">
        <is>
          <t>PSV-78 Povrchové úpravy</t>
        </is>
      </c>
      <c r="E200" s="3" t="inlineStr">
        <is>
          <t>PSV-78 Povrchové úpravy</t>
        </is>
      </c>
      <c r="F200" s="3" t="inlineStr">
        <is>
          <t>Omítka jádrová vápenocementová tl. 15 mm na stěnách 1.PP (vč. vyspravení stávajících)</t>
        </is>
      </c>
      <c r="G200" s="2" t="inlineStr">
        <is>
          <t>m²</t>
        </is>
      </c>
      <c r="H200" s="2" t="n">
        <v>78.2</v>
      </c>
      <c r="I200" s="3">
        <f> PSV78.001 plocha stěn 1.PP 78.2 m²</f>
        <v/>
      </c>
      <c r="J200" s="2" t="inlineStr">
        <is>
          <t>612</t>
        </is>
      </c>
      <c r="K200" s="3" t="inlineStr">
        <is>
          <t>DXF rooms 1.PP obvod + výška podlaží 2.1 m (DXF SM_kóty + řez A-A Path C Tier 1) − okenní plocha (DXF) − odpočet dveří 3%</t>
        </is>
      </c>
      <c r="L200" s="2" t="inlineStr">
        <is>
          <t>family_only</t>
        </is>
      </c>
      <c r="M200" s="2" t="inlineStr"/>
    </row>
    <row r="201">
      <c r="A201" s="2" t="n">
        <v>200</v>
      </c>
      <c r="B201" s="2" t="inlineStr">
        <is>
          <t>PSV78.001b</t>
        </is>
      </c>
      <c r="C201" s="2" t="inlineStr">
        <is>
          <t>260219_dum</t>
        </is>
      </c>
      <c r="D201" s="2" t="inlineStr">
        <is>
          <t>PSV-78 Povrchové úpravy</t>
        </is>
      </c>
      <c r="E201" s="3" t="inlineStr">
        <is>
          <t>PSV-78 Povrchové úpravy</t>
        </is>
      </c>
      <c r="F201" s="3" t="inlineStr">
        <is>
          <t>Štuková povrchová úprava (štuk) na jádrové omítce — stěny 1.PP</t>
        </is>
      </c>
      <c r="G201" s="2" t="inlineStr">
        <is>
          <t>m²</t>
        </is>
      </c>
      <c r="H201" s="2" t="n">
        <v>78.2</v>
      </c>
      <c r="I201" s="3">
        <f> PSV78.001 plocha 78.2 m²</f>
        <v/>
      </c>
      <c r="J201" s="2" t="inlineStr">
        <is>
          <t>612</t>
        </is>
      </c>
      <c r="K201" s="3" t="inlineStr">
        <is>
          <t>DXF rooms 1.PP obvod + výška podlaží 2.1 m (DXF SM_kóty + řez A-A Path C Tier 1) − okenní plocha (DXF) − odpočet dveří 3%</t>
        </is>
      </c>
      <c r="L201" s="2" t="inlineStr">
        <is>
          <t>family_only</t>
        </is>
      </c>
      <c r="M201" s="2" t="inlineStr"/>
    </row>
    <row r="202">
      <c r="A202" s="2" t="n">
        <v>201</v>
      </c>
      <c r="B202" s="2" t="inlineStr">
        <is>
          <t>PSV78.002a</t>
        </is>
      </c>
      <c r="C202" s="2" t="inlineStr">
        <is>
          <t>260219_dum</t>
        </is>
      </c>
      <c r="D202" s="2" t="inlineStr">
        <is>
          <t>PSV-78 Povrchové úpravy</t>
        </is>
      </c>
      <c r="E202" s="3" t="inlineStr">
        <is>
          <t>PSV-78 Povrchové úpravy</t>
        </is>
      </c>
      <c r="F202" s="3" t="inlineStr">
        <is>
          <t>Omítka jádrová vápenocementová tl. 15 mm na stěnách 1.NP</t>
        </is>
      </c>
      <c r="G202" s="2" t="inlineStr">
        <is>
          <t>m²</t>
        </is>
      </c>
      <c r="H202" s="2" t="n">
        <v>208.4</v>
      </c>
      <c r="I202" s="3">
        <f> PSV78.002 plocha stěn 1.NP 208.4 m²</f>
        <v/>
      </c>
      <c r="J202" s="2" t="inlineStr">
        <is>
          <t>612</t>
        </is>
      </c>
      <c r="K202" s="3" t="inlineStr">
        <is>
          <t>DXF rooms 1.NP obvod + výška podlaží 2.795 m (DXF SM_kóty + řez A-A Path C Tier 1) − okenní plocha (DXF) − odpočet dveří 3%</t>
        </is>
      </c>
      <c r="L202" s="2" t="inlineStr">
        <is>
          <t>family_only</t>
        </is>
      </c>
      <c r="M202" s="2" t="inlineStr"/>
    </row>
    <row r="203">
      <c r="A203" s="2" t="n">
        <v>202</v>
      </c>
      <c r="B203" s="2" t="inlineStr">
        <is>
          <t>PSV78.002b</t>
        </is>
      </c>
      <c r="C203" s="2" t="inlineStr">
        <is>
          <t>260219_dum</t>
        </is>
      </c>
      <c r="D203" s="2" t="inlineStr">
        <is>
          <t>PSV-78 Povrchové úpravy</t>
        </is>
      </c>
      <c r="E203" s="3" t="inlineStr">
        <is>
          <t>PSV-78 Povrchové úpravy</t>
        </is>
      </c>
      <c r="F203" s="3" t="inlineStr">
        <is>
          <t>Štuková povrchová úprava na jádrové omítce — stěny 1.NP</t>
        </is>
      </c>
      <c r="G203" s="2" t="inlineStr">
        <is>
          <t>m²</t>
        </is>
      </c>
      <c r="H203" s="2" t="n">
        <v>208.4</v>
      </c>
      <c r="I203" s="3">
        <f> PSV78.002 plocha 208.4 m²</f>
        <v/>
      </c>
      <c r="J203" s="2" t="inlineStr">
        <is>
          <t>612</t>
        </is>
      </c>
      <c r="K203" s="3" t="inlineStr">
        <is>
          <t>DXF rooms 1.NP obvod + výška podlaží 2.795 m (DXF SM_kóty + řez A-A Path C Tier 1) − okenní plocha (DXF) − odpočet dveří 3%</t>
        </is>
      </c>
      <c r="L203" s="2" t="inlineStr">
        <is>
          <t>family_only</t>
        </is>
      </c>
      <c r="M203" s="2" t="inlineStr"/>
    </row>
    <row r="204">
      <c r="A204" s="2" t="n">
        <v>203</v>
      </c>
      <c r="B204" s="2" t="inlineStr">
        <is>
          <t>PSV78.003a</t>
        </is>
      </c>
      <c r="C204" s="2" t="inlineStr">
        <is>
          <t>260219_dum</t>
        </is>
      </c>
      <c r="D204" s="2" t="inlineStr">
        <is>
          <t>PSV-78 Povrchové úpravy</t>
        </is>
      </c>
      <c r="E204" s="3" t="inlineStr">
        <is>
          <t>PSV-78 Povrchové úpravy</t>
        </is>
      </c>
      <c r="F204" s="3" t="inlineStr">
        <is>
          <t>Omítka jádrová vápenocementová tl. 15 mm na stěnách 2.NP</t>
        </is>
      </c>
      <c r="G204" s="2" t="inlineStr">
        <is>
          <t>m²</t>
        </is>
      </c>
      <c r="H204" s="2" t="n">
        <v>201.6</v>
      </c>
      <c r="I204" s="3">
        <f> PSV78.003 plocha stěn 2.NP 201.6 m²</f>
        <v/>
      </c>
      <c r="J204" s="2" t="inlineStr">
        <is>
          <t>612</t>
        </is>
      </c>
      <c r="K204" s="3" t="inlineStr">
        <is>
          <t>DXF rooms 2.NP obvod + výška podlaží 2.865 m (DXF SM_kóty + řez A-A Path C Tier 1) − okenní plocha (DXF) − odpočet dveří 3%</t>
        </is>
      </c>
      <c r="L204" s="2" t="inlineStr">
        <is>
          <t>family_only</t>
        </is>
      </c>
      <c r="M204" s="2" t="inlineStr"/>
    </row>
    <row r="205">
      <c r="A205" s="2" t="n">
        <v>204</v>
      </c>
      <c r="B205" s="2" t="inlineStr">
        <is>
          <t>PSV78.003b</t>
        </is>
      </c>
      <c r="C205" s="2" t="inlineStr">
        <is>
          <t>260219_dum</t>
        </is>
      </c>
      <c r="D205" s="2" t="inlineStr">
        <is>
          <t>PSV-78 Povrchové úpravy</t>
        </is>
      </c>
      <c r="E205" s="3" t="inlineStr">
        <is>
          <t>PSV-78 Povrchové úpravy</t>
        </is>
      </c>
      <c r="F205" s="3" t="inlineStr">
        <is>
          <t>Štuková povrchová úprava na jádrové omítce — stěny 2.NP</t>
        </is>
      </c>
      <c r="G205" s="2" t="inlineStr">
        <is>
          <t>m²</t>
        </is>
      </c>
      <c r="H205" s="2" t="n">
        <v>201.6</v>
      </c>
      <c r="I205" s="3">
        <f> PSV78.003 plocha 201.6 m²</f>
        <v/>
      </c>
      <c r="J205" s="2" t="inlineStr">
        <is>
          <t>612</t>
        </is>
      </c>
      <c r="K205" s="3" t="inlineStr">
        <is>
          <t>DXF rooms 2.NP obvod + výška podlaží 2.865 m (DXF SM_kóty + řez A-A Path C Tier 1) − okenní plocha (DXF) − odpočet dveří 3%</t>
        </is>
      </c>
      <c r="L205" s="2" t="inlineStr">
        <is>
          <t>family_only</t>
        </is>
      </c>
      <c r="M205" s="2" t="inlineStr"/>
    </row>
    <row r="206">
      <c r="A206" s="2" t="n">
        <v>205</v>
      </c>
      <c r="B206" s="2" t="inlineStr">
        <is>
          <t>PSV78.004a</t>
        </is>
      </c>
      <c r="C206" s="2" t="inlineStr">
        <is>
          <t>260219_dum</t>
        </is>
      </c>
      <c r="D206" s="2" t="inlineStr">
        <is>
          <t>PSV-78 Povrchové úpravy</t>
        </is>
      </c>
      <c r="E206" s="3" t="inlineStr">
        <is>
          <t>PSV-78 Povrchové úpravy</t>
        </is>
      </c>
      <c r="F206" s="3" t="inlineStr">
        <is>
          <t>Omítka jádrová vápenocementová tl. 15 mm na stěnách 3.NP</t>
        </is>
      </c>
      <c r="G206" s="2" t="inlineStr">
        <is>
          <t>m²</t>
        </is>
      </c>
      <c r="H206" s="2" t="n">
        <v>179.1</v>
      </c>
      <c r="I206" s="3">
        <f> PSV78.004 plocha stěn 3.NP 179.1 m²</f>
        <v/>
      </c>
      <c r="J206" s="2" t="inlineStr">
        <is>
          <t>612</t>
        </is>
      </c>
      <c r="K206" s="3" t="inlineStr">
        <is>
          <t>DXF rooms 3.NP obvod + výška podlaží 2.63 m (DXF SM_kóty + řez A-A Path C Tier 1) − okenní plocha (DXF) − odpočet dveří 3%</t>
        </is>
      </c>
      <c r="L206" s="2" t="inlineStr">
        <is>
          <t>family_only</t>
        </is>
      </c>
      <c r="M206" s="2" t="inlineStr"/>
    </row>
    <row r="207">
      <c r="A207" s="2" t="n">
        <v>206</v>
      </c>
      <c r="B207" s="2" t="inlineStr">
        <is>
          <t>PSV78.004b</t>
        </is>
      </c>
      <c r="C207" s="2" t="inlineStr">
        <is>
          <t>260219_dum</t>
        </is>
      </c>
      <c r="D207" s="2" t="inlineStr">
        <is>
          <t>PSV-78 Povrchové úpravy</t>
        </is>
      </c>
      <c r="E207" s="3" t="inlineStr">
        <is>
          <t>PSV-78 Povrchové úpravy</t>
        </is>
      </c>
      <c r="F207" s="3" t="inlineStr">
        <is>
          <t>Štuková povrchová úprava na jádrové omítce — stěny 3.NP</t>
        </is>
      </c>
      <c r="G207" s="2" t="inlineStr">
        <is>
          <t>m²</t>
        </is>
      </c>
      <c r="H207" s="2" t="n">
        <v>179.1</v>
      </c>
      <c r="I207" s="3">
        <f> PSV78.004 plocha 179.1 m²</f>
        <v/>
      </c>
      <c r="J207" s="2" t="inlineStr">
        <is>
          <t>612</t>
        </is>
      </c>
      <c r="K207" s="3" t="inlineStr">
        <is>
          <t>DXF rooms 3.NP obvod + výška podlaží 2.63 m (DXF SM_kóty + řez A-A Path C Tier 1) − okenní plocha (DXF) − odpočet dveří 3%</t>
        </is>
      </c>
      <c r="L207" s="2" t="inlineStr">
        <is>
          <t>family_only</t>
        </is>
      </c>
      <c r="M207" s="2" t="inlineStr"/>
    </row>
    <row r="208">
      <c r="A208" s="2" t="n">
        <v>207</v>
      </c>
      <c r="B208" s="2" t="inlineStr">
        <is>
          <t>PSV78.005</t>
        </is>
      </c>
      <c r="C208" s="2" t="inlineStr">
        <is>
          <t>260219_dum</t>
        </is>
      </c>
      <c r="D208" s="2" t="inlineStr">
        <is>
          <t>PSV-78 Povrchové úpravy</t>
        </is>
      </c>
      <c r="E208" s="3" t="inlineStr">
        <is>
          <t>PSV-78 Povrchové úpravy</t>
        </is>
      </c>
      <c r="F208" s="3" t="inlineStr">
        <is>
          <t>SDK podhled + případné předstěny — tmelení spojů Q3 + povrchová úprava před výmalbou (1.NP)</t>
        </is>
      </c>
      <c r="G208" s="2" t="inlineStr">
        <is>
          <t>m²</t>
        </is>
      </c>
      <c r="H208" s="2" t="n">
        <v>59.5</v>
      </c>
      <c r="I208" s="3" t="inlineStr">
        <is>
          <t>1.01=12.4 + 1.02=3.6 + 1.03=0.7 + 1.04=1.5 + 1.05=4.1 + 1.06=24.0 + 1.07=9.4 + 1.08=3.8 = 59.5 m²</t>
        </is>
      </c>
      <c r="J208" s="2" t="inlineStr">
        <is>
          <t>612471141</t>
        </is>
      </c>
      <c r="K208" s="3" t="inlineStr">
        <is>
          <t>DXF km_tabulka místností MTEXT — plocha 1.NP = plocha podhledu (flat ceiling assumption)</t>
        </is>
      </c>
      <c r="L208" s="2" t="inlineStr">
        <is>
          <t>needs_production_lookup</t>
        </is>
      </c>
      <c r="M208" s="2" t="inlineStr"/>
    </row>
    <row r="209">
      <c r="A209" s="2" t="n">
        <v>208</v>
      </c>
      <c r="B209" s="2" t="inlineStr">
        <is>
          <t>PSV78.006</t>
        </is>
      </c>
      <c r="C209" s="2" t="inlineStr">
        <is>
          <t>260219_dum</t>
        </is>
      </c>
      <c r="D209" s="2" t="inlineStr">
        <is>
          <t>PSV-78 Povrchové úpravy</t>
        </is>
      </c>
      <c r="E209" s="3" t="inlineStr">
        <is>
          <t>PSV-78 Povrchové úpravy</t>
        </is>
      </c>
      <c r="F209" s="3" t="inlineStr">
        <is>
          <t>SDK podhled + případné předstěny — tmelení spojů Q3 + povrchová úprava před výmalbou (2.NP)</t>
        </is>
      </c>
      <c r="G209" s="2" t="inlineStr">
        <is>
          <t>m²</t>
        </is>
      </c>
      <c r="H209" s="2" t="n">
        <v>61.1</v>
      </c>
      <c r="I209" s="3" t="inlineStr">
        <is>
          <t>2.01=7.3 + 2.02=5.9 + 2.03=2.4 + 2.04=15.5 + 2.05=14.1 + 2.06=15.8 = 61.1 m²</t>
        </is>
      </c>
      <c r="J209" s="2" t="inlineStr">
        <is>
          <t>612471141</t>
        </is>
      </c>
      <c r="K209" s="3" t="inlineStr">
        <is>
          <t>DXF km_tabulka místností MTEXT — plocha 2.NP = plocha podhledu (flat ceiling assumption)</t>
        </is>
      </c>
      <c r="L209" s="2" t="inlineStr">
        <is>
          <t>needs_production_lookup</t>
        </is>
      </c>
      <c r="M209" s="2" t="inlineStr"/>
    </row>
    <row r="210">
      <c r="A210" s="2" t="n">
        <v>209</v>
      </c>
      <c r="B210" s="2" t="inlineStr">
        <is>
          <t>PSV78.007</t>
        </is>
      </c>
      <c r="C210" s="2" t="inlineStr">
        <is>
          <t>260219_dum</t>
        </is>
      </c>
      <c r="D210" s="2" t="inlineStr">
        <is>
          <t>PSV-78 Povrchové úpravy</t>
        </is>
      </c>
      <c r="E210" s="3" t="inlineStr">
        <is>
          <t>PSV-78 Povrchové úpravy</t>
        </is>
      </c>
      <c r="F210" s="3" t="inlineStr">
        <is>
          <t>SDK podhled + případné předstěny — tmelení spojů Q3 + povrchová úprava před výmalbou (3.NP)</t>
        </is>
      </c>
      <c r="G210" s="2" t="inlineStr">
        <is>
          <t>m²</t>
        </is>
      </c>
      <c r="H210" s="2" t="n">
        <v>64.5</v>
      </c>
      <c r="I210" s="3" t="inlineStr">
        <is>
          <t>3.01=7.6 + 3.02=4.1 + 3.03=2.4 + 3.04=4.8 + 3.05=32.8 + 3.06=12.8 = 64.5 m²</t>
        </is>
      </c>
      <c r="J210" s="2" t="inlineStr">
        <is>
          <t>612471141</t>
        </is>
      </c>
      <c r="K210" s="3" t="inlineStr">
        <is>
          <t>DXF km_tabulka místností MTEXT — plocha 3.NP = plocha podhledu (flat ceiling assumption)</t>
        </is>
      </c>
      <c r="L210" s="2" t="inlineStr">
        <is>
          <t>needs_production_lookup</t>
        </is>
      </c>
      <c r="M210" s="2" t="inlineStr"/>
    </row>
    <row r="211">
      <c r="A211" s="2" t="n">
        <v>210</v>
      </c>
      <c r="B211" s="2" t="inlineStr">
        <is>
          <t>PSV78.008a</t>
        </is>
      </c>
      <c r="C211" s="2" t="inlineStr">
        <is>
          <t>260219_dum</t>
        </is>
      </c>
      <c r="D211" s="2" t="inlineStr">
        <is>
          <t>PSV-78 Povrchové úpravy</t>
        </is>
      </c>
      <c r="E211" s="3" t="inlineStr">
        <is>
          <t>PSV-78 Povrchové úpravy</t>
        </is>
      </c>
      <c r="F211" s="3" t="inlineStr">
        <is>
          <t>Montáž — Keramický obklad stěn koupelny 1.05 1.NP — výška obkladu 1.6 m (z DXF km Obklady layer)</t>
        </is>
      </c>
      <c r="G211" s="2" t="inlineStr">
        <is>
          <t>m²</t>
        </is>
      </c>
      <c r="H211" s="2" t="n">
        <v>13.4</v>
      </c>
      <c r="I211" s="3" t="inlineStr">
        <is>
          <t>DXF IP_obrysy místností room 1.05 perimeter 8.4 bm × DXF km Obklady layer výška 1.6 m (per-koupelna explicit, NE uniform 2.0 m fallback) = 13.4 m²</t>
        </is>
      </c>
      <c r="J211" s="2" t="inlineStr">
        <is>
          <t>781447001</t>
        </is>
      </c>
      <c r="K211" s="3" t="inlineStr">
        <is>
          <t>DXF rooms PIP perimeter 1.05 + DXF km Obklady layer (11 LWPOLYLINE markers s bbox heights 1600/2450/2610-2715 mm) — Path C Tier 1</t>
        </is>
      </c>
      <c r="L211" s="2" t="inlineStr">
        <is>
          <t>needs_production_lookup</t>
        </is>
      </c>
      <c r="M211" s="2" t="inlineStr"/>
    </row>
    <row r="212">
      <c r="A212" s="2" t="n">
        <v>211</v>
      </c>
      <c r="B212" s="2" t="inlineStr">
        <is>
          <t>PSV78.008b</t>
        </is>
      </c>
      <c r="C212" s="2" t="inlineStr">
        <is>
          <t>260219_dum</t>
        </is>
      </c>
      <c r="D212" s="2" t="inlineStr">
        <is>
          <t>PSV-78 Povrchové úpravy</t>
        </is>
      </c>
      <c r="E212" s="3" t="inlineStr">
        <is>
          <t>PSV-78 Povrchové úpravy</t>
        </is>
      </c>
      <c r="F212" s="3" t="inlineStr">
        <is>
          <t>Dodávka — Dodávka oceli S235 (válcované profily) (Keramický obklad stěn koupelny 1.05 1.NP — výš)</t>
        </is>
      </c>
      <c r="G212" s="2" t="inlineStr">
        <is>
          <t>m²</t>
        </is>
      </c>
      <c r="H212" s="2" t="n">
        <v>13.8</v>
      </c>
      <c r="I212" s="3">
        <f> montáž × 1.03</f>
        <v/>
      </c>
      <c r="J212" s="2" t="inlineStr"/>
      <c r="K212" s="3" t="inlineStr">
        <is>
          <t>DXF rooms PIP perimeter 1.05 + DXF km Obklady layer (11 LWPOLYLINE markers s bbox heights 1600/2450/2610-2715 mm) — Path C Tier 1</t>
        </is>
      </c>
      <c r="L212" s="2" t="inlineStr">
        <is>
          <t>needs_lookup</t>
        </is>
      </c>
      <c r="M212" s="2" t="inlineStr"/>
    </row>
    <row r="213">
      <c r="A213" s="2" t="n">
        <v>212</v>
      </c>
      <c r="B213" s="2" t="inlineStr">
        <is>
          <t>PSV78.009a</t>
        </is>
      </c>
      <c r="C213" s="2" t="inlineStr">
        <is>
          <t>260219_dum</t>
        </is>
      </c>
      <c r="D213" s="2" t="inlineStr">
        <is>
          <t>PSV-78 Povrchové úpravy</t>
        </is>
      </c>
      <c r="E213" s="3" t="inlineStr">
        <is>
          <t>PSV-78 Povrchové úpravy</t>
        </is>
      </c>
      <c r="F213" s="3" t="inlineStr">
        <is>
          <t>Montáž — Keramický obklad stěn koupelny 2.03 2.NP — výška obkladu 2.45 m (z DXF km Obklady layer)</t>
        </is>
      </c>
      <c r="G213" s="2" t="inlineStr">
        <is>
          <t>m²</t>
        </is>
      </c>
      <c r="H213" s="2" t="n">
        <v>15.2</v>
      </c>
      <c r="I213" s="3" t="inlineStr">
        <is>
          <t>DXF IP_obrysy místností room 2.03 perimeter 6.2 bm × DXF km Obklady layer výška 2.45 m (per-koupelna explicit, NE uniform 2.0 m fallback) = 15.2 m²</t>
        </is>
      </c>
      <c r="J213" s="2" t="inlineStr">
        <is>
          <t>781447001</t>
        </is>
      </c>
      <c r="K213" s="3" t="inlineStr">
        <is>
          <t>DXF rooms PIP perimeter 2.03 + DXF km Obklady layer (11 LWPOLYLINE markers s bbox heights 1600/2450/2610-2715 mm) — Path C Tier 1</t>
        </is>
      </c>
      <c r="L213" s="2" t="inlineStr">
        <is>
          <t>needs_production_lookup</t>
        </is>
      </c>
      <c r="M213" s="2" t="inlineStr"/>
    </row>
    <row r="214">
      <c r="A214" s="2" t="n">
        <v>213</v>
      </c>
      <c r="B214" s="2" t="inlineStr">
        <is>
          <t>PSV78.009b</t>
        </is>
      </c>
      <c r="C214" s="2" t="inlineStr">
        <is>
          <t>260219_dum</t>
        </is>
      </c>
      <c r="D214" s="2" t="inlineStr">
        <is>
          <t>PSV-78 Povrchové úpravy</t>
        </is>
      </c>
      <c r="E214" s="3" t="inlineStr">
        <is>
          <t>PSV-78 Povrchové úpravy</t>
        </is>
      </c>
      <c r="F214" s="3" t="inlineStr">
        <is>
          <t>Dodávka — Dodávka oceli S235 (válcované profily) (Keramický obklad stěn koupelny 2.03 2.NP — výš)</t>
        </is>
      </c>
      <c r="G214" s="2" t="inlineStr">
        <is>
          <t>m²</t>
        </is>
      </c>
      <c r="H214" s="2" t="n">
        <v>15.66</v>
      </c>
      <c r="I214" s="3">
        <f> montáž × 1.03</f>
        <v/>
      </c>
      <c r="J214" s="2" t="inlineStr"/>
      <c r="K214" s="3" t="inlineStr">
        <is>
          <t>DXF rooms PIP perimeter 2.03 + DXF km Obklady layer (11 LWPOLYLINE markers s bbox heights 1600/2450/2610-2715 mm) — Path C Tier 1</t>
        </is>
      </c>
      <c r="L214" s="2" t="inlineStr">
        <is>
          <t>needs_lookup</t>
        </is>
      </c>
      <c r="M214" s="2" t="inlineStr"/>
    </row>
    <row r="215">
      <c r="A215" s="2" t="n">
        <v>214</v>
      </c>
      <c r="B215" s="2" t="inlineStr">
        <is>
          <t>PSV78.010a</t>
        </is>
      </c>
      <c r="C215" s="2" t="inlineStr">
        <is>
          <t>260219_dum</t>
        </is>
      </c>
      <c r="D215" s="2" t="inlineStr">
        <is>
          <t>PSV-78 Povrchové úpravy</t>
        </is>
      </c>
      <c r="E215" s="3" t="inlineStr">
        <is>
          <t>PSV-78 Povrchové úpravy</t>
        </is>
      </c>
      <c r="F215" s="3" t="inlineStr">
        <is>
          <t>Montáž — Keramický obklad stěn koupelny 3.04 3.NP — výška obkladu 2.7 m (z DXF km Obklady layer)</t>
        </is>
      </c>
      <c r="G215" s="2" t="inlineStr">
        <is>
          <t>m²</t>
        </is>
      </c>
      <c r="H215" s="2" t="n">
        <v>24.3</v>
      </c>
      <c r="I215" s="3" t="inlineStr">
        <is>
          <t>DXF IP_obrysy místností room 3.04 perimeter 9.0 bm × DXF km Obklady layer výška 2.7 m (per-koupelna explicit, NE uniform 2.0 m fallback) = 24.3 m²</t>
        </is>
      </c>
      <c r="J215" s="2" t="inlineStr">
        <is>
          <t>781447001</t>
        </is>
      </c>
      <c r="K215" s="3" t="inlineStr">
        <is>
          <t>DXF rooms PIP perimeter 3.04 + DXF km Obklady layer (11 LWPOLYLINE markers s bbox heights 1600/2450/2610-2715 mm) — Path C Tier 1</t>
        </is>
      </c>
      <c r="L215" s="2" t="inlineStr">
        <is>
          <t>needs_production_lookup</t>
        </is>
      </c>
      <c r="M215" s="2" t="inlineStr"/>
    </row>
    <row r="216">
      <c r="A216" s="2" t="n">
        <v>215</v>
      </c>
      <c r="B216" s="2" t="inlineStr">
        <is>
          <t>PSV78.010b</t>
        </is>
      </c>
      <c r="C216" s="2" t="inlineStr">
        <is>
          <t>260219_dum</t>
        </is>
      </c>
      <c r="D216" s="2" t="inlineStr">
        <is>
          <t>PSV-78 Povrchové úpravy</t>
        </is>
      </c>
      <c r="E216" s="3" t="inlineStr">
        <is>
          <t>PSV-78 Povrchové úpravy</t>
        </is>
      </c>
      <c r="F216" s="3" t="inlineStr">
        <is>
          <t>Dodávka — Dodávka oceli S235 (válcované profily) (Keramický obklad stěn koupelny 3.04 3.NP — výš)</t>
        </is>
      </c>
      <c r="G216" s="2" t="inlineStr">
        <is>
          <t>m²</t>
        </is>
      </c>
      <c r="H216" s="2" t="n">
        <v>25.03</v>
      </c>
      <c r="I216" s="3">
        <f> montáž × 1.03</f>
        <v/>
      </c>
      <c r="J216" s="2" t="inlineStr"/>
      <c r="K216" s="3" t="inlineStr">
        <is>
          <t>DXF rooms PIP perimeter 3.04 + DXF km Obklady layer (11 LWPOLYLINE markers s bbox heights 1600/2450/2610-2715 mm) — Path C Tier 1</t>
        </is>
      </c>
      <c r="L216" s="2" t="inlineStr">
        <is>
          <t>needs_lookup</t>
        </is>
      </c>
      <c r="M216" s="2" t="inlineStr"/>
    </row>
    <row r="217">
      <c r="A217" s="2" t="n">
        <v>216</v>
      </c>
      <c r="B217" s="2" t="inlineStr">
        <is>
          <t>PSV78.011a</t>
        </is>
      </c>
      <c r="C217" s="2" t="inlineStr">
        <is>
          <t>260219_dum</t>
        </is>
      </c>
      <c r="D217" s="2" t="inlineStr">
        <is>
          <t>PSV-78 Povrchové úpravy</t>
        </is>
      </c>
      <c r="E217" s="3" t="inlineStr">
        <is>
          <t>PSV-78 Povrchové úpravy</t>
        </is>
      </c>
      <c r="F217" s="3" t="inlineStr">
        <is>
          <t>Montáž — Keramický obklad za kuchyňskou linkou nad pracovní deskou — 2 kuchyně × ~5 m² (1.06 byt rodičů + 3.05 byt 3.NP)</t>
        </is>
      </c>
      <c r="G217" s="2" t="inlineStr">
        <is>
          <t>m²</t>
        </is>
      </c>
      <c r="H217" s="2" t="n">
        <v>10</v>
      </c>
      <c r="I217" s="3" t="inlineStr">
        <is>
          <t>DXF dum_DPZ 2× kuchyně MTEXT (rooms 1.06 obyt+kuchyně + 3.05 obyt+kuchyně) × 5 m² obklad za linkou = 10 m²</t>
        </is>
      </c>
      <c r="J217" s="2" t="inlineStr">
        <is>
          <t>781447001</t>
        </is>
      </c>
      <c r="K217" s="3" t="inlineStr">
        <is>
          <t>DXF dum_DPZ 2× kuchyně MTEXT + TZ ARS</t>
        </is>
      </c>
      <c r="L217" s="2" t="inlineStr">
        <is>
          <t>needs_production_lookup</t>
        </is>
      </c>
      <c r="M217" s="2" t="inlineStr"/>
    </row>
    <row r="218">
      <c r="A218" s="2" t="n">
        <v>217</v>
      </c>
      <c r="B218" s="2" t="inlineStr">
        <is>
          <t>PSV78.011b</t>
        </is>
      </c>
      <c r="C218" s="2" t="inlineStr">
        <is>
          <t>260219_dum</t>
        </is>
      </c>
      <c r="D218" s="2" t="inlineStr">
        <is>
          <t>PSV-78 Povrchové úpravy</t>
        </is>
      </c>
      <c r="E218" s="3" t="inlineStr">
        <is>
          <t>PSV-78 Povrchové úpravy</t>
        </is>
      </c>
      <c r="F218" s="3" t="inlineStr">
        <is>
          <t>Dodávka — Dodávka obkladu/dlažby (Keramický obklad za kuchyňskou linkou nad prac)</t>
        </is>
      </c>
      <c r="G218" s="2" t="inlineStr">
        <is>
          <t>m²</t>
        </is>
      </c>
      <c r="H218" s="2" t="n">
        <v>11</v>
      </c>
      <c r="I218" s="3">
        <f> montáž × 1.10</f>
        <v/>
      </c>
      <c r="J218" s="2" t="inlineStr"/>
      <c r="K218" s="3" t="inlineStr">
        <is>
          <t>DXF dum_DPZ 2× kuchyně MTEXT + TZ ARS</t>
        </is>
      </c>
      <c r="L218" s="2" t="inlineStr">
        <is>
          <t>needs_lookup</t>
        </is>
      </c>
      <c r="M218" s="2" t="inlineStr"/>
    </row>
    <row r="219">
      <c r="A219" s="2" t="n">
        <v>218</v>
      </c>
      <c r="B219" s="2" t="inlineStr">
        <is>
          <t>PSV78.012</t>
        </is>
      </c>
      <c r="C219" s="2" t="inlineStr">
        <is>
          <t>260219_dum</t>
        </is>
      </c>
      <c r="D219" s="2" t="inlineStr">
        <is>
          <t>PSV-78 Povrchové úpravy</t>
        </is>
      </c>
      <c r="E219" s="3" t="inlineStr">
        <is>
          <t>PSV-78 Povrchové úpravy</t>
        </is>
      </c>
      <c r="F219" s="3" t="inlineStr">
        <is>
          <t>Interiérová výmalba akrylátová bílá 2× — všechny stěny + podhledy mimo obklad</t>
        </is>
      </c>
      <c r="G219" s="2" t="inlineStr">
        <is>
          <t>m²</t>
        </is>
      </c>
      <c r="H219" s="2" t="n">
        <v>0</v>
      </c>
      <c r="I219" s="3" t="inlineStr">
        <is>
          <t>Σ ploch 1.NP+2.NP+3.NP × 2.5 (stěny per ratio) − obklady 70 + SDK podhledy = ~628 m²</t>
        </is>
      </c>
      <c r="J219" s="2" t="inlineStr">
        <is>
          <t>784121011</t>
        </is>
      </c>
      <c r="K219" s="3" t="inlineStr">
        <is>
          <t>TZ ARS — interiérová výmalba (aggregate, no TZ per-room directive)</t>
        </is>
      </c>
      <c r="L219" s="2" t="inlineStr">
        <is>
          <t>needs_production_lookup</t>
        </is>
      </c>
      <c r="M219" s="2" t="inlineStr"/>
    </row>
    <row r="220">
      <c r="A220" s="2" t="n">
        <v>219</v>
      </c>
      <c r="B220" s="2" t="inlineStr">
        <is>
          <t>PSV95.001a</t>
        </is>
      </c>
      <c r="C220" s="2" t="inlineStr">
        <is>
          <t>260219_dum</t>
        </is>
      </c>
      <c r="D220" s="2" t="inlineStr">
        <is>
          <t>PSV-95 Detekce požární</t>
        </is>
      </c>
      <c r="E220" s="3" t="inlineStr">
        <is>
          <t>PSV-95 Detekce požární</t>
        </is>
      </c>
      <c r="F220" s="3" t="inlineStr">
        <is>
          <t>Montáž — Autonomní hlásič kouře dle ČSN EN 14604 — 4 ks v místnostech 1.01, 1.02, 2.04, 3.03 dle PBŘ</t>
        </is>
      </c>
      <c r="G220" s="2" t="inlineStr">
        <is>
          <t>ks</t>
        </is>
      </c>
      <c r="H220" s="2" t="n">
        <v>4</v>
      </c>
      <c r="I220" s="3" t="inlineStr">
        <is>
          <t>TZ PBŘ — 4 hlásiče v daných místnostech</t>
        </is>
      </c>
      <c r="J220" s="2" t="inlineStr">
        <is>
          <t>375211101</t>
        </is>
      </c>
      <c r="K220" s="3" t="inlineStr">
        <is>
          <t>TZ PBŘ dům — ČSN EN 14604 autonomní hlásič kouře 4 ks</t>
        </is>
      </c>
      <c r="L220" s="2" t="inlineStr">
        <is>
          <t>family_verified_leaf_needs_production_lookup</t>
        </is>
      </c>
      <c r="M220" s="2" t="inlineStr"/>
    </row>
    <row r="221">
      <c r="A221" s="2" t="n">
        <v>220</v>
      </c>
      <c r="B221" s="2" t="inlineStr">
        <is>
          <t>PSV95.001b</t>
        </is>
      </c>
      <c r="C221" s="2" t="inlineStr">
        <is>
          <t>260219_dum</t>
        </is>
      </c>
      <c r="D221" s="2" t="inlineStr">
        <is>
          <t>PSV-95 Detekce požární</t>
        </is>
      </c>
      <c r="E221" s="3" t="inlineStr">
        <is>
          <t>PSV-95 Detekce požární</t>
        </is>
      </c>
      <c r="F221" s="3" t="inlineStr">
        <is>
          <t>Dodávka — Dodávka výrobku (Autonomní hlásič kouře dle ČSN EN 14604 — 4 ks)</t>
        </is>
      </c>
      <c r="G221" s="2" t="inlineStr">
        <is>
          <t>ks</t>
        </is>
      </c>
      <c r="H221" s="2" t="n">
        <v>4</v>
      </c>
      <c r="I221" s="3">
        <f> montáž 1:1</f>
        <v/>
      </c>
      <c r="J221" s="2" t="inlineStr"/>
      <c r="K221" s="3" t="inlineStr">
        <is>
          <t>TZ PBŘ dům — ČSN EN 14604 autonomní hlásič kouře 4 ks</t>
        </is>
      </c>
      <c r="L221" s="2" t="inlineStr">
        <is>
          <t>needs_lookup</t>
        </is>
      </c>
      <c r="M221" s="2" t="inlineStr"/>
    </row>
    <row r="222">
      <c r="A222" s="2" t="n">
        <v>221</v>
      </c>
      <c r="B222" s="2" t="inlineStr">
        <is>
          <t>PSV95.002a</t>
        </is>
      </c>
      <c r="C222" s="2" t="inlineStr">
        <is>
          <t>260219_dum</t>
        </is>
      </c>
      <c r="D222" s="2" t="inlineStr">
        <is>
          <t>PSV-95 Detekce požární</t>
        </is>
      </c>
      <c r="E222" s="3" t="inlineStr">
        <is>
          <t>PSV-95 Detekce požární</t>
        </is>
      </c>
      <c r="F222" s="3" t="inlineStr">
        <is>
          <t>Montáž — Přenosný hasicí přístroj 34A dle PBŘ — min. 1 ks na společné chodbě</t>
        </is>
      </c>
      <c r="G222" s="2" t="inlineStr">
        <is>
          <t>ks</t>
        </is>
      </c>
      <c r="H222" s="2" t="n">
        <v>1</v>
      </c>
      <c r="I222" s="3" t="inlineStr">
        <is>
          <t>TZ PBŘ — min. 1 ks 34A</t>
        </is>
      </c>
      <c r="J222" s="2" t="inlineStr">
        <is>
          <t>966067121</t>
        </is>
      </c>
      <c r="K222" s="3" t="inlineStr">
        <is>
          <t>TZ PBŘ dům — PHP 34A 1 ks minimum</t>
        </is>
      </c>
      <c r="L222" s="2" t="inlineStr">
        <is>
          <t>needs_production_lookup</t>
        </is>
      </c>
      <c r="M222" s="2" t="inlineStr"/>
    </row>
    <row r="223">
      <c r="A223" s="2" t="n">
        <v>222</v>
      </c>
      <c r="B223" s="2" t="inlineStr">
        <is>
          <t>PSV95.002b</t>
        </is>
      </c>
      <c r="C223" s="2" t="inlineStr">
        <is>
          <t>260219_dum</t>
        </is>
      </c>
      <c r="D223" s="2" t="inlineStr">
        <is>
          <t>PSV-95 Detekce požární</t>
        </is>
      </c>
      <c r="E223" s="3" t="inlineStr">
        <is>
          <t>PSV-95 Detekce požární</t>
        </is>
      </c>
      <c r="F223" s="3" t="inlineStr">
        <is>
          <t>Dodávka — Dodávka výrobku (Přenosný hasicí přístroj 34A dle PBŘ — min. 1 )</t>
        </is>
      </c>
      <c r="G223" s="2" t="inlineStr">
        <is>
          <t>ks</t>
        </is>
      </c>
      <c r="H223" s="2" t="n">
        <v>1</v>
      </c>
      <c r="I223" s="3">
        <f> montáž 1:1</f>
        <v/>
      </c>
      <c r="J223" s="2" t="inlineStr"/>
      <c r="K223" s="3" t="inlineStr">
        <is>
          <t>TZ PBŘ dům — PHP 34A 1 ks minimum</t>
        </is>
      </c>
      <c r="L223" s="2" t="inlineStr">
        <is>
          <t>needs_lookup</t>
        </is>
      </c>
      <c r="M223" s="2" t="inlineStr"/>
    </row>
    <row r="224">
      <c r="A224" s="2" t="n">
        <v>223</v>
      </c>
      <c r="B224" s="2" t="inlineStr">
        <is>
          <t>PSV76.001a</t>
        </is>
      </c>
      <c r="C224" s="2" t="inlineStr">
        <is>
          <t>260217_sklad</t>
        </is>
      </c>
      <c r="D224" s="2" t="inlineStr">
        <is>
          <t>PSV-76 Výplně otvorů</t>
        </is>
      </c>
      <c r="E224" s="3" t="inlineStr">
        <is>
          <t>PSV-76 Výplně otvorů</t>
        </is>
      </c>
      <c r="F224" s="3" t="inlineStr">
        <is>
          <t>Montáž — Bezpečnostní dveře RC3 v ocelové zárubni — vrata skladu (TZ statika §1.4 RC3 certifikované)</t>
        </is>
      </c>
      <c r="G224" s="2" t="inlineStr">
        <is>
          <t>ks</t>
        </is>
      </c>
      <c r="H224" s="2" t="n">
        <v>1</v>
      </c>
      <c r="I224" s="3" t="inlineStr">
        <is>
          <t>1 ks vstupní dveře skladu</t>
        </is>
      </c>
      <c r="J224" s="2" t="inlineStr">
        <is>
          <t>766682111</t>
        </is>
      </c>
      <c r="K224" s="3" t="inlineStr">
        <is>
          <t>TZ statika sklad §1.4 — RC3 bezpečnostní dveře v ocelové zárubni</t>
        </is>
      </c>
      <c r="L224" s="2" t="inlineStr">
        <is>
          <t>needs_production_lookup</t>
        </is>
      </c>
      <c r="M224" s="2" t="inlineStr"/>
    </row>
    <row r="225">
      <c r="A225" s="2" t="n">
        <v>224</v>
      </c>
      <c r="B225" s="2" t="inlineStr">
        <is>
          <t>PSV76.001b</t>
        </is>
      </c>
      <c r="C225" s="2" t="inlineStr">
        <is>
          <t>260217_sklad</t>
        </is>
      </c>
      <c r="D225" s="2" t="inlineStr">
        <is>
          <t>PSV-76 Výplně otvorů</t>
        </is>
      </c>
      <c r="E225" s="3" t="inlineStr">
        <is>
          <t>PSV-76 Výplně otvorů</t>
        </is>
      </c>
      <c r="F225" s="3" t="inlineStr">
        <is>
          <t>Dodávka — Dodávka oceli S235 (válcované profily) (Bezpečnostní dveře RC3 v ocelové zárubni — vra)</t>
        </is>
      </c>
      <c r="G225" s="2" t="inlineStr">
        <is>
          <t>ks</t>
        </is>
      </c>
      <c r="H225" s="2" t="n">
        <v>1.03</v>
      </c>
      <c r="I225" s="3">
        <f> montáž × 1.03</f>
        <v/>
      </c>
      <c r="J225" s="2" t="inlineStr"/>
      <c r="K225" s="3" t="inlineStr">
        <is>
          <t>TZ statika sklad §1.4 — RC3 bezpečnostní dveře v ocelové zárubni</t>
        </is>
      </c>
      <c r="L225" s="2" t="inlineStr">
        <is>
          <t>needs_lookup</t>
        </is>
      </c>
      <c r="M225" s="2" t="inlineStr"/>
    </row>
    <row r="226">
      <c r="A226" s="2" t="n">
        <v>225</v>
      </c>
      <c r="B226" s="2" t="inlineStr">
        <is>
          <t>PSV77.001</t>
        </is>
      </c>
      <c r="C226" s="2" t="inlineStr">
        <is>
          <t>260217_sklad</t>
        </is>
      </c>
      <c r="D226" s="2" t="inlineStr">
        <is>
          <t>PSV-77 Podlahy</t>
        </is>
      </c>
      <c r="E226" s="3" t="inlineStr">
        <is>
          <t>PSV-77 Podlahy</t>
        </is>
      </c>
      <c r="F226" s="3" t="inlineStr">
        <is>
          <t>Betonová dlažba do pískového lože — povrch podlahy skladu (~21 m²)</t>
        </is>
      </c>
      <c r="G226" s="2" t="inlineStr">
        <is>
          <t>m²</t>
        </is>
      </c>
      <c r="H226" s="2" t="n">
        <v>17.6</v>
      </c>
      <c r="I226" s="3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J226" s="2" t="inlineStr"/>
      <c r="K226" s="3" t="inlineStr">
        <is>
          <t>DXF sklad_DPZ km_tabulka místností + Phase 3.5 sklad qty crosscheck (Pattern 17 Phase 0a Layer 2 + Pattern 31 CEV Matrix D.2)</t>
        </is>
      </c>
      <c r="L226" s="2" t="inlineStr">
        <is>
          <t>wrong_leaf_disambiguation_needed</t>
        </is>
      </c>
      <c r="M226" s="2" t="inlineStr">
        <is>
          <t>S01_sklad</t>
        </is>
      </c>
    </row>
    <row r="227">
      <c r="A227" s="2" t="n">
        <v>226</v>
      </c>
      <c r="B227" s="2" t="inlineStr">
        <is>
          <t>PSV72.001</t>
        </is>
      </c>
      <c r="C227" s="2" t="inlineStr">
        <is>
          <t>260219_dum</t>
        </is>
      </c>
      <c r="D227" s="2" t="inlineStr">
        <is>
          <t>PSV-72 ZTI</t>
        </is>
      </c>
      <c r="E227" s="3" t="inlineStr">
        <is>
          <t>PSV-72 ZTI</t>
        </is>
      </c>
      <c r="F227" s="3" t="inlineStr">
        <is>
          <t>Revize stávajícího napojení vodovodu + kanalizace na pozemku — kontrola stavu, čištění, tlaková zkouška</t>
        </is>
      </c>
      <c r="G227" s="2" t="inlineStr">
        <is>
          <t>kpl</t>
        </is>
      </c>
      <c r="H227" s="2" t="n">
        <v>1</v>
      </c>
      <c r="I227" s="3" t="inlineStr">
        <is>
          <t>TZ ARS dům §4 — stávající přípojka zachována bez změny</t>
        </is>
      </c>
      <c r="J227" s="2" t="inlineStr">
        <is>
          <t>722290515</t>
        </is>
      </c>
      <c r="K227" s="3" t="inlineStr">
        <is>
          <t>TZ ARS dům §4 — vodovod + kanalizace stávající, bez změny</t>
        </is>
      </c>
      <c r="L227" s="2" t="inlineStr">
        <is>
          <t>FAMILY_VERIFIED</t>
        </is>
      </c>
      <c r="M227" s="2" t="inlineStr"/>
    </row>
    <row r="228">
      <c r="A228" s="2" t="n">
        <v>227</v>
      </c>
      <c r="B228" s="2" t="inlineStr">
        <is>
          <t>PSV72.002a</t>
        </is>
      </c>
      <c r="C228" s="2" t="inlineStr">
        <is>
          <t>260219_dum</t>
        </is>
      </c>
      <c r="D228" s="2" t="inlineStr">
        <is>
          <t>PSV-72 ZTI</t>
        </is>
      </c>
      <c r="E228" s="3" t="inlineStr">
        <is>
          <t>PSV-72 ZTI</t>
        </is>
      </c>
      <c r="F228" s="3" t="inlineStr">
        <is>
          <t>Montáž — Nové rozvody studené + teplé vody do koupelen 1.NP + 2.NP + 3.NP a kuchyní (PEX/Cu, dimenze DN15-25)</t>
        </is>
      </c>
      <c r="G228" s="2" t="inlineStr">
        <is>
          <t>bm</t>
        </is>
      </c>
      <c r="H228" s="2" t="n">
        <v>80</v>
      </c>
      <c r="I228" s="3" t="inlineStr">
        <is>
          <t>3 patra × ~25 bm rozvodů (koupelny + kuchyně + bojler 3.NP) = 75 (round 80)</t>
        </is>
      </c>
      <c r="J228" s="2" t="inlineStr">
        <is>
          <t>722172011</t>
        </is>
      </c>
      <c r="K228" s="3" t="inlineStr">
        <is>
          <t>TZ ARS dům §4 — nové koupelny + kuchyně, vyjasnění #6 working assumption</t>
        </is>
      </c>
      <c r="L228" s="2" t="inlineStr">
        <is>
          <t>family_verified_leaf_needs_production_lookup</t>
        </is>
      </c>
      <c r="M228" s="2" t="inlineStr"/>
    </row>
    <row r="229">
      <c r="A229" s="2" t="n">
        <v>228</v>
      </c>
      <c r="B229" s="2" t="inlineStr">
        <is>
          <t>PSV72.002b</t>
        </is>
      </c>
      <c r="C229" s="2" t="inlineStr">
        <is>
          <t>260219_dum</t>
        </is>
      </c>
      <c r="D229" s="2" t="inlineStr">
        <is>
          <t>PSV-72 ZTI</t>
        </is>
      </c>
      <c r="E229" s="3" t="inlineStr">
        <is>
          <t>PSV-72 ZTI</t>
        </is>
      </c>
      <c r="F229" s="3" t="inlineStr">
        <is>
          <t>Dodávka — Dodávka oceli S235 (válcované profily) (Nové rozvody studené + teplé vody do koupelen )</t>
        </is>
      </c>
      <c r="G229" s="2" t="inlineStr">
        <is>
          <t>bm</t>
        </is>
      </c>
      <c r="H229" s="2" t="n">
        <v>82.40000000000001</v>
      </c>
      <c r="I229" s="3">
        <f> montáž × 1.03</f>
        <v/>
      </c>
      <c r="J229" s="2" t="inlineStr"/>
      <c r="K229" s="3" t="inlineStr">
        <is>
          <t>TZ ARS dům §4 — nové koupelny + kuchyně, vyjasnění #6 working assumption</t>
        </is>
      </c>
      <c r="L229" s="2" t="inlineStr">
        <is>
          <t>needs_lookup</t>
        </is>
      </c>
      <c r="M229" s="2" t="inlineStr"/>
    </row>
    <row r="230">
      <c r="A230" s="2" t="n">
        <v>229</v>
      </c>
      <c r="B230" s="2" t="inlineStr">
        <is>
          <t>PSV72.003a</t>
        </is>
      </c>
      <c r="C230" s="2" t="inlineStr">
        <is>
          <t>260219_dum</t>
        </is>
      </c>
      <c r="D230" s="2" t="inlineStr">
        <is>
          <t>PSV-72 ZTI</t>
        </is>
      </c>
      <c r="E230" s="3" t="inlineStr">
        <is>
          <t>PSV-72 ZTI</t>
        </is>
      </c>
      <c r="F230" s="3" t="inlineStr">
        <is>
          <t>Montáž — Nové odpadní rozvody PVC-HT DN40-DN110 ke koupelnám 1.NP, 2.NP, 3.NP a kuchyním + napojení na stávající</t>
        </is>
      </c>
      <c r="G230" s="2" t="inlineStr">
        <is>
          <t>bm</t>
        </is>
      </c>
      <c r="H230" s="2" t="n">
        <v>60</v>
      </c>
      <c r="I230" s="3" t="inlineStr">
        <is>
          <t>3 patra × ~20 bm odpadní + svislé propojení = 60</t>
        </is>
      </c>
      <c r="J230" s="2" t="inlineStr">
        <is>
          <t>721174021</t>
        </is>
      </c>
      <c r="K230" s="3" t="inlineStr">
        <is>
          <t>TZ ARS dům §4 — nové koupelny + kuchyně, odpad do stávající kanalizace</t>
        </is>
      </c>
      <c r="L230" s="2" t="inlineStr">
        <is>
          <t>needs_production_lookup</t>
        </is>
      </c>
      <c r="M230" s="2" t="inlineStr"/>
    </row>
    <row r="231">
      <c r="A231" s="2" t="n">
        <v>230</v>
      </c>
      <c r="B231" s="2" t="inlineStr">
        <is>
          <t>PSV72.003b</t>
        </is>
      </c>
      <c r="C231" s="2" t="inlineStr">
        <is>
          <t>260219_dum</t>
        </is>
      </c>
      <c r="D231" s="2" t="inlineStr">
        <is>
          <t>PSV-72 ZTI</t>
        </is>
      </c>
      <c r="E231" s="3" t="inlineStr">
        <is>
          <t>PSV-72 ZTI</t>
        </is>
      </c>
      <c r="F231" s="3" t="inlineStr">
        <is>
          <t>Dodávka — Dodávka oceli S235 (válcované profily) (Nové odpadní rozvody PVC-HT DN40-DN110 ke koup)</t>
        </is>
      </c>
      <c r="G231" s="2" t="inlineStr">
        <is>
          <t>bm</t>
        </is>
      </c>
      <c r="H231" s="2" t="n">
        <v>61.8</v>
      </c>
      <c r="I231" s="3">
        <f> montáž × 1.03</f>
        <v/>
      </c>
      <c r="J231" s="2" t="inlineStr"/>
      <c r="K231" s="3" t="inlineStr">
        <is>
          <t>TZ ARS dům §4 — nové koupelny + kuchyně, odpad do stávající kanalizace</t>
        </is>
      </c>
      <c r="L231" s="2" t="inlineStr">
        <is>
          <t>needs_lookup</t>
        </is>
      </c>
      <c r="M231" s="2" t="inlineStr"/>
    </row>
    <row r="232">
      <c r="A232" s="2" t="n">
        <v>231</v>
      </c>
      <c r="B232" s="2" t="inlineStr">
        <is>
          <t>PSV72.004a</t>
        </is>
      </c>
      <c r="C232" s="2" t="inlineStr">
        <is>
          <t>260219_dum</t>
        </is>
      </c>
      <c r="D232" s="2" t="inlineStr">
        <is>
          <t>PSV-72 ZTI</t>
        </is>
      </c>
      <c r="E232" s="3" t="inlineStr">
        <is>
          <t>PSV-72 ZTI</t>
        </is>
      </c>
      <c r="F232" s="3" t="inlineStr">
        <is>
          <t>Vana — dodávka + montáž, koupelna 1.05 1.NP</t>
        </is>
      </c>
      <c r="G232" s="2" t="inlineStr">
        <is>
          <t>ks</t>
        </is>
      </c>
      <c r="H232" s="2" t="n">
        <v>1</v>
      </c>
      <c r="I232" s="3" t="inlineStr">
        <is>
          <t>1× vana (DXF sanit_vana)</t>
        </is>
      </c>
      <c r="J232" s="2" t="inlineStr">
        <is>
          <t>725</t>
        </is>
      </c>
      <c r="K232" s="3" t="inlineStr">
        <is>
          <t>DXF dum_DPZ INSERT positions PIP do room 1.05 polygon (partial — 4/13 fixtures matched celkem) + TZ ARS § koupelny standard pattern</t>
        </is>
      </c>
      <c r="L232" s="2" t="inlineStr">
        <is>
          <t>family_only</t>
        </is>
      </c>
      <c r="M232" s="2" t="inlineStr"/>
    </row>
    <row r="233">
      <c r="A233" s="2" t="n">
        <v>232</v>
      </c>
      <c r="B233" s="2" t="inlineStr">
        <is>
          <t>PSV72.004b</t>
        </is>
      </c>
      <c r="C233" s="2" t="inlineStr">
        <is>
          <t>260219_dum</t>
        </is>
      </c>
      <c r="D233" s="2" t="inlineStr">
        <is>
          <t>PSV-72 ZTI</t>
        </is>
      </c>
      <c r="E233" s="3" t="inlineStr">
        <is>
          <t>PSV-72 ZTI</t>
        </is>
      </c>
      <c r="F233" s="3" t="inlineStr">
        <is>
          <t>Umyvadlo — dodávka + montáž, koupelna 1.05 1.NP</t>
        </is>
      </c>
      <c r="G233" s="2" t="inlineStr">
        <is>
          <t>ks</t>
        </is>
      </c>
      <c r="H233" s="2" t="n">
        <v>1</v>
      </c>
      <c r="I233" s="3" t="inlineStr">
        <is>
          <t>1× umyvadlo (DXF sanit_umyvadlo)</t>
        </is>
      </c>
      <c r="J233" s="2" t="inlineStr">
        <is>
          <t>725</t>
        </is>
      </c>
      <c r="K233" s="3" t="inlineStr">
        <is>
          <t>DXF dum_DPZ INSERT positions PIP do room 1.05 polygon (partial — 4/13 fixtures matched celkem) + TZ ARS § koupelny standard pattern</t>
        </is>
      </c>
      <c r="L233" s="2" t="inlineStr">
        <is>
          <t>family_only</t>
        </is>
      </c>
      <c r="M233" s="2" t="inlineStr"/>
    </row>
    <row r="234">
      <c r="A234" s="2" t="n">
        <v>233</v>
      </c>
      <c r="B234" s="2" t="inlineStr">
        <is>
          <t>PSV72.004c</t>
        </is>
      </c>
      <c r="C234" s="2" t="inlineStr">
        <is>
          <t>260219_dum</t>
        </is>
      </c>
      <c r="D234" s="2" t="inlineStr">
        <is>
          <t>PSV-72 ZTI</t>
        </is>
      </c>
      <c r="E234" s="3" t="inlineStr">
        <is>
          <t>PSV-72 ZTI</t>
        </is>
      </c>
      <c r="F234" s="3" t="inlineStr">
        <is>
          <t>WC mísa závěsná + nádržka — dodávka + montáž, koupelna 1.05 1.NP</t>
        </is>
      </c>
      <c r="G234" s="2" t="inlineStr">
        <is>
          <t>ks</t>
        </is>
      </c>
      <c r="H234" s="2" t="n">
        <v>1</v>
      </c>
      <c r="I234" s="3" t="inlineStr">
        <is>
          <t>1× WC (TZ standard)</t>
        </is>
      </c>
      <c r="J234" s="2" t="inlineStr">
        <is>
          <t>725</t>
        </is>
      </c>
      <c r="K234" s="3" t="inlineStr">
        <is>
          <t>DXF dum_DPZ INSERT positions PIP do room 1.05 polygon (partial — 4/13 fixtures matched celkem) + TZ ARS § koupelny standard pattern</t>
        </is>
      </c>
      <c r="L234" s="2" t="inlineStr">
        <is>
          <t>family_only</t>
        </is>
      </c>
      <c r="M234" s="2" t="inlineStr"/>
    </row>
    <row r="235">
      <c r="A235" s="2" t="n">
        <v>234</v>
      </c>
      <c r="B235" s="2" t="inlineStr">
        <is>
          <t>PSV72.005a</t>
        </is>
      </c>
      <c r="C235" s="2" t="inlineStr">
        <is>
          <t>260219_dum</t>
        </is>
      </c>
      <c r="D235" s="2" t="inlineStr">
        <is>
          <t>PSV-72 ZTI</t>
        </is>
      </c>
      <c r="E235" s="3" t="inlineStr">
        <is>
          <t>PSV-72 ZTI</t>
        </is>
      </c>
      <c r="F235" s="3" t="inlineStr">
        <is>
          <t>Umyvadlo — dodávka + montáž, koupelna 2.03 2.NP</t>
        </is>
      </c>
      <c r="G235" s="2" t="inlineStr">
        <is>
          <t>ks</t>
        </is>
      </c>
      <c r="H235" s="2" t="n">
        <v>1</v>
      </c>
      <c r="I235" s="3" t="inlineStr">
        <is>
          <t>1× umyvadlo (DXF)</t>
        </is>
      </c>
      <c r="J235" s="2" t="inlineStr">
        <is>
          <t>725</t>
        </is>
      </c>
      <c r="K235" s="3" t="inlineStr">
        <is>
          <t>DXF dum_DPZ INSERT positions PIP do room 2.03 polygon (partial — 4/13 fixtures matched celkem) + TZ ARS § koupelny standard pattern</t>
        </is>
      </c>
      <c r="L235" s="2" t="inlineStr">
        <is>
          <t>family_only</t>
        </is>
      </c>
      <c r="M235" s="2" t="inlineStr"/>
    </row>
    <row r="236">
      <c r="A236" s="2" t="n">
        <v>235</v>
      </c>
      <c r="B236" s="2" t="inlineStr">
        <is>
          <t>PSV72.005b</t>
        </is>
      </c>
      <c r="C236" s="2" t="inlineStr">
        <is>
          <t>260219_dum</t>
        </is>
      </c>
      <c r="D236" s="2" t="inlineStr">
        <is>
          <t>PSV-72 ZTI</t>
        </is>
      </c>
      <c r="E236" s="3" t="inlineStr">
        <is>
          <t>PSV-72 ZTI</t>
        </is>
      </c>
      <c r="F236" s="3" t="inlineStr">
        <is>
          <t>WC mísa závěsná + nádržka — dodávka + montáž, koupelna 2.03 2.NP</t>
        </is>
      </c>
      <c r="G236" s="2" t="inlineStr">
        <is>
          <t>ks</t>
        </is>
      </c>
      <c r="H236" s="2" t="n">
        <v>1</v>
      </c>
      <c r="I236" s="3" t="inlineStr">
        <is>
          <t>1× WC (TZ standard)</t>
        </is>
      </c>
      <c r="J236" s="2" t="inlineStr">
        <is>
          <t>725</t>
        </is>
      </c>
      <c r="K236" s="3" t="inlineStr">
        <is>
          <t>DXF dum_DPZ INSERT positions PIP do room 2.03 polygon (partial — 4/13 fixtures matched celkem) + TZ ARS § koupelny standard pattern</t>
        </is>
      </c>
      <c r="L236" s="2" t="inlineStr">
        <is>
          <t>family_only</t>
        </is>
      </c>
      <c r="M236" s="2" t="inlineStr"/>
    </row>
    <row r="237">
      <c r="A237" s="2" t="n">
        <v>236</v>
      </c>
      <c r="B237" s="2" t="inlineStr">
        <is>
          <t>PSV72.005c</t>
        </is>
      </c>
      <c r="C237" s="2" t="inlineStr">
        <is>
          <t>260219_dum</t>
        </is>
      </c>
      <c r="D237" s="2" t="inlineStr">
        <is>
          <t>PSV-72 ZTI</t>
        </is>
      </c>
      <c r="E237" s="3" t="inlineStr">
        <is>
          <t>PSV-72 ZTI</t>
        </is>
      </c>
      <c r="F237" s="3" t="inlineStr">
        <is>
          <t>Sprchový kout + vanička — dodávka + montáž, koupelna 2.03 2.NP</t>
        </is>
      </c>
      <c r="G237" s="2" t="inlineStr">
        <is>
          <t>ks</t>
        </is>
      </c>
      <c r="H237" s="2" t="n">
        <v>1</v>
      </c>
      <c r="I237" s="3" t="inlineStr">
        <is>
          <t>1× sprcha (TZ standard)</t>
        </is>
      </c>
      <c r="J237" s="2" t="inlineStr">
        <is>
          <t>725</t>
        </is>
      </c>
      <c r="K237" s="3" t="inlineStr">
        <is>
          <t>DXF dum_DPZ INSERT positions PIP do room 2.03 polygon (partial — 4/13 fixtures matched celkem) + TZ ARS § koupelny standard pattern</t>
        </is>
      </c>
      <c r="L237" s="2" t="inlineStr">
        <is>
          <t>family_only</t>
        </is>
      </c>
      <c r="M237" s="2" t="inlineStr"/>
    </row>
    <row r="238">
      <c r="A238" s="2" t="n">
        <v>237</v>
      </c>
      <c r="B238" s="2" t="inlineStr">
        <is>
          <t>PSV72.006a</t>
        </is>
      </c>
      <c r="C238" s="2" t="inlineStr">
        <is>
          <t>260219_dum</t>
        </is>
      </c>
      <c r="D238" s="2" t="inlineStr">
        <is>
          <t>PSV-72 ZTI</t>
        </is>
      </c>
      <c r="E238" s="3" t="inlineStr">
        <is>
          <t>PSV-72 ZTI</t>
        </is>
      </c>
      <c r="F238" s="3" t="inlineStr">
        <is>
          <t>WC mísa závěsná + nádržka — dodávka + montáž, koupelna 3.04 3.NP</t>
        </is>
      </c>
      <c r="G238" s="2" t="inlineStr">
        <is>
          <t>ks</t>
        </is>
      </c>
      <c r="H238" s="2" t="n">
        <v>1</v>
      </c>
      <c r="I238" s="3" t="inlineStr">
        <is>
          <t>1× WC (DXF)</t>
        </is>
      </c>
      <c r="J238" s="2" t="inlineStr">
        <is>
          <t>725</t>
        </is>
      </c>
      <c r="K238" s="3" t="inlineStr">
        <is>
          <t>DXF dum_DPZ INSERT positions PIP do room 3.04 polygon (partial — 4/13 fixtures matched celkem) + TZ ARS § koupelny standard pattern</t>
        </is>
      </c>
      <c r="L238" s="2" t="inlineStr">
        <is>
          <t>family_only</t>
        </is>
      </c>
      <c r="M238" s="2" t="inlineStr"/>
    </row>
    <row r="239">
      <c r="A239" s="2" t="n">
        <v>238</v>
      </c>
      <c r="B239" s="2" t="inlineStr">
        <is>
          <t>PSV72.006b</t>
        </is>
      </c>
      <c r="C239" s="2" t="inlineStr">
        <is>
          <t>260219_dum</t>
        </is>
      </c>
      <c r="D239" s="2" t="inlineStr">
        <is>
          <t>PSV-72 ZTI</t>
        </is>
      </c>
      <c r="E239" s="3" t="inlineStr">
        <is>
          <t>PSV-72 ZTI</t>
        </is>
      </c>
      <c r="F239" s="3" t="inlineStr">
        <is>
          <t>Umyvadlo — dodávka + montáž, koupelna 3.04 3.NP</t>
        </is>
      </c>
      <c r="G239" s="2" t="inlineStr">
        <is>
          <t>ks</t>
        </is>
      </c>
      <c r="H239" s="2" t="n">
        <v>1</v>
      </c>
      <c r="I239" s="3" t="inlineStr">
        <is>
          <t>1× umyvadlo (TZ standard)</t>
        </is>
      </c>
      <c r="J239" s="2" t="inlineStr">
        <is>
          <t>725</t>
        </is>
      </c>
      <c r="K239" s="3" t="inlineStr">
        <is>
          <t>DXF dum_DPZ INSERT positions PIP do room 3.04 polygon (partial — 4/13 fixtures matched celkem) + TZ ARS § koupelny standard pattern</t>
        </is>
      </c>
      <c r="L239" s="2" t="inlineStr">
        <is>
          <t>family_only</t>
        </is>
      </c>
      <c r="M239" s="2" t="inlineStr"/>
    </row>
    <row r="240">
      <c r="A240" s="2" t="n">
        <v>239</v>
      </c>
      <c r="B240" s="2" t="inlineStr">
        <is>
          <t>PSV72.006c</t>
        </is>
      </c>
      <c r="C240" s="2" t="inlineStr">
        <is>
          <t>260219_dum</t>
        </is>
      </c>
      <c r="D240" s="2" t="inlineStr">
        <is>
          <t>PSV-72 ZTI</t>
        </is>
      </c>
      <c r="E240" s="3" t="inlineStr">
        <is>
          <t>PSV-72 ZTI</t>
        </is>
      </c>
      <c r="F240" s="3" t="inlineStr">
        <is>
          <t>Sprchový kout + vanička — dodávka + montáž, koupelna 3.04 3.NP</t>
        </is>
      </c>
      <c r="G240" s="2" t="inlineStr">
        <is>
          <t>ks</t>
        </is>
      </c>
      <c r="H240" s="2" t="n">
        <v>1</v>
      </c>
      <c r="I240" s="3" t="inlineStr">
        <is>
          <t>1× sprcha (TZ standard)</t>
        </is>
      </c>
      <c r="J240" s="2" t="inlineStr">
        <is>
          <t>725</t>
        </is>
      </c>
      <c r="K240" s="3" t="inlineStr">
        <is>
          <t>DXF dum_DPZ INSERT positions PIP do room 3.04 polygon (partial — 4/13 fixtures matched celkem) + TZ ARS § koupelny standard pattern</t>
        </is>
      </c>
      <c r="L240" s="2" t="inlineStr">
        <is>
          <t>family_only</t>
        </is>
      </c>
      <c r="M240" s="2" t="inlineStr"/>
    </row>
    <row r="241">
      <c r="A241" s="2" t="n">
        <v>240</v>
      </c>
      <c r="B241" s="2" t="inlineStr">
        <is>
          <t>PSV72.007a</t>
        </is>
      </c>
      <c r="C241" s="2" t="inlineStr">
        <is>
          <t>260219_dum</t>
        </is>
      </c>
      <c r="D241" s="2" t="inlineStr">
        <is>
          <t>PSV-72 ZTI</t>
        </is>
      </c>
      <c r="E241" s="3" t="inlineStr">
        <is>
          <t>PSV-72 ZTI</t>
        </is>
      </c>
      <c r="F241" s="3" t="inlineStr">
        <is>
          <t>Montáž — Kuchyňský dřez nerez + montáž — 2 ks (kuchyně 1.06 byt rodičů + kuchyně 3.05 byt 3.NP)</t>
        </is>
      </c>
      <c r="G241" s="2" t="inlineStr">
        <is>
          <t>ks</t>
        </is>
      </c>
      <c r="H241" s="2" t="n">
        <v>2</v>
      </c>
      <c r="I241" s="3" t="inlineStr">
        <is>
          <t>DXF rooms 1.06 + 3.05 kuchyně MTEXT (každá obytná místnost + kuchyně) = 2 dřezy</t>
        </is>
      </c>
      <c r="J241" s="2" t="inlineStr">
        <is>
          <t>725840111</t>
        </is>
      </c>
      <c r="K241" s="3" t="inlineStr">
        <is>
          <t>DXF kuchyně MTEXT 2× + TZ ARS — dispozice byty</t>
        </is>
      </c>
      <c r="L241" s="2" t="inlineStr">
        <is>
          <t>needs_production_lookup</t>
        </is>
      </c>
      <c r="M241" s="2" t="inlineStr"/>
    </row>
    <row r="242">
      <c r="A242" s="2" t="n">
        <v>241</v>
      </c>
      <c r="B242" s="2" t="inlineStr">
        <is>
          <t>PSV72.007b</t>
        </is>
      </c>
      <c r="C242" s="2" t="inlineStr">
        <is>
          <t>260219_dum</t>
        </is>
      </c>
      <c r="D242" s="2" t="inlineStr">
        <is>
          <t>PSV-72 ZTI</t>
        </is>
      </c>
      <c r="E242" s="3" t="inlineStr">
        <is>
          <t>PSV-72 ZTI</t>
        </is>
      </c>
      <c r="F242" s="3" t="inlineStr">
        <is>
          <t>Dodávka — Dodávka výrobku (Kuchyňský dřez nerez + montáž — 2 ks (kuchyně )</t>
        </is>
      </c>
      <c r="G242" s="2" t="inlineStr">
        <is>
          <t>ks</t>
        </is>
      </c>
      <c r="H242" s="2" t="n">
        <v>2</v>
      </c>
      <c r="I242" s="3">
        <f> montáž 1:1</f>
        <v/>
      </c>
      <c r="J242" s="2" t="inlineStr"/>
      <c r="K242" s="3" t="inlineStr">
        <is>
          <t>DXF kuchyně MTEXT 2× + TZ ARS — dispozice byty</t>
        </is>
      </c>
      <c r="L242" s="2" t="inlineStr">
        <is>
          <t>needs_lookup</t>
        </is>
      </c>
      <c r="M242" s="2" t="inlineStr"/>
    </row>
    <row r="243">
      <c r="A243" s="2" t="n">
        <v>242</v>
      </c>
      <c r="B243" s="2" t="inlineStr">
        <is>
          <t>PSV72.008a</t>
        </is>
      </c>
      <c r="C243" s="2" t="inlineStr">
        <is>
          <t>260219_dum</t>
        </is>
      </c>
      <c r="D243" s="2" t="inlineStr">
        <is>
          <t>PSV-72 ZTI</t>
        </is>
      </c>
      <c r="E243" s="3" t="inlineStr">
        <is>
          <t>PSV-72 ZTI</t>
        </is>
      </c>
      <c r="F243" s="3" t="inlineStr">
        <is>
          <t>Rohový ventil WC — dodávka + montáž</t>
        </is>
      </c>
      <c r="G243" s="2" t="inlineStr">
        <is>
          <t>ks</t>
        </is>
      </c>
      <c r="H243" s="2" t="n">
        <v>3</v>
      </c>
      <c r="I243" s="3" t="inlineStr">
        <is>
          <t>3× WC (1.NP + 2.NP + 3.NP)</t>
        </is>
      </c>
      <c r="J243" s="2" t="inlineStr">
        <is>
          <t>725</t>
        </is>
      </c>
      <c r="K243" s="3" t="inlineStr">
        <is>
          <t>TZ ARS — kompletní baterie nové</t>
        </is>
      </c>
      <c r="L243" s="2" t="inlineStr">
        <is>
          <t>family_only</t>
        </is>
      </c>
      <c r="M243" s="2" t="inlineStr"/>
    </row>
    <row r="244">
      <c r="A244" s="2" t="n">
        <v>243</v>
      </c>
      <c r="B244" s="2" t="inlineStr">
        <is>
          <t>PSV72.008b</t>
        </is>
      </c>
      <c r="C244" s="2" t="inlineStr">
        <is>
          <t>260219_dum</t>
        </is>
      </c>
      <c r="D244" s="2" t="inlineStr">
        <is>
          <t>PSV-72 ZTI</t>
        </is>
      </c>
      <c r="E244" s="3" t="inlineStr">
        <is>
          <t>PSV-72 ZTI</t>
        </is>
      </c>
      <c r="F244" s="3" t="inlineStr">
        <is>
          <t>Páková umyvadlová baterie — dodávka + montáž</t>
        </is>
      </c>
      <c r="G244" s="2" t="inlineStr">
        <is>
          <t>ks</t>
        </is>
      </c>
      <c r="H244" s="2" t="n">
        <v>3</v>
      </c>
      <c r="I244" s="3" t="inlineStr">
        <is>
          <t>3× umyvadlo (1.NP + 2.NP + 3.NP)</t>
        </is>
      </c>
      <c r="J244" s="2" t="inlineStr">
        <is>
          <t>725</t>
        </is>
      </c>
      <c r="K244" s="3" t="inlineStr">
        <is>
          <t>TZ ARS — kompletní baterie nové</t>
        </is>
      </c>
      <c r="L244" s="2" t="inlineStr">
        <is>
          <t>family_only</t>
        </is>
      </c>
      <c r="M244" s="2" t="inlineStr"/>
    </row>
    <row r="245">
      <c r="A245" s="2" t="n">
        <v>244</v>
      </c>
      <c r="B245" s="2" t="inlineStr">
        <is>
          <t>PSV72.008c</t>
        </is>
      </c>
      <c r="C245" s="2" t="inlineStr">
        <is>
          <t>260219_dum</t>
        </is>
      </c>
      <c r="D245" s="2" t="inlineStr">
        <is>
          <t>PSV-72 ZTI</t>
        </is>
      </c>
      <c r="E245" s="3" t="inlineStr">
        <is>
          <t>PSV-72 ZTI</t>
        </is>
      </c>
      <c r="F245" s="3" t="inlineStr">
        <is>
          <t>Sprchová / vanová baterie termostatická — dodávka + montáž</t>
        </is>
      </c>
      <c r="G245" s="2" t="inlineStr">
        <is>
          <t>ks</t>
        </is>
      </c>
      <c r="H245" s="2" t="n">
        <v>3</v>
      </c>
      <c r="I245" s="3" t="inlineStr">
        <is>
          <t>1× vana 1.NP + 2× sprcha 2.NP+3.NP</t>
        </is>
      </c>
      <c r="J245" s="2" t="inlineStr">
        <is>
          <t>725</t>
        </is>
      </c>
      <c r="K245" s="3" t="inlineStr">
        <is>
          <t>TZ ARS — kompletní baterie nové</t>
        </is>
      </c>
      <c r="L245" s="2" t="inlineStr">
        <is>
          <t>family_only</t>
        </is>
      </c>
      <c r="M245" s="2" t="inlineStr"/>
    </row>
    <row r="246">
      <c r="A246" s="2" t="n">
        <v>245</v>
      </c>
      <c r="B246" s="2" t="inlineStr">
        <is>
          <t>PSV72.008d</t>
        </is>
      </c>
      <c r="C246" s="2" t="inlineStr">
        <is>
          <t>260219_dum</t>
        </is>
      </c>
      <c r="D246" s="2" t="inlineStr">
        <is>
          <t>PSV-72 ZTI</t>
        </is>
      </c>
      <c r="E246" s="3" t="inlineStr">
        <is>
          <t>PSV-72 ZTI</t>
        </is>
      </c>
      <c r="F246" s="3" t="inlineStr">
        <is>
          <t>Dřezová baterie kuchyňská — dodávka + montáž</t>
        </is>
      </c>
      <c r="G246" s="2" t="inlineStr">
        <is>
          <t>ks</t>
        </is>
      </c>
      <c r="H246" s="2" t="n">
        <v>2</v>
      </c>
      <c r="I246" s="3" t="inlineStr">
        <is>
          <t>2× kuchyně (1.06 + 3.05)</t>
        </is>
      </c>
      <c r="J246" s="2" t="inlineStr">
        <is>
          <t>725</t>
        </is>
      </c>
      <c r="K246" s="3" t="inlineStr">
        <is>
          <t>TZ ARS — kompletní baterie nové</t>
        </is>
      </c>
      <c r="L246" s="2" t="inlineStr">
        <is>
          <t>family_only</t>
        </is>
      </c>
      <c r="M246" s="2" t="inlineStr"/>
    </row>
    <row r="247">
      <c r="A247" s="2" t="n">
        <v>246</v>
      </c>
      <c r="B247" s="2" t="inlineStr">
        <is>
          <t>PSV72.009a</t>
        </is>
      </c>
      <c r="C247" s="2" t="inlineStr">
        <is>
          <t>260219_dum</t>
        </is>
      </c>
      <c r="D247" s="2" t="inlineStr">
        <is>
          <t>PSV-72 ZTI</t>
        </is>
      </c>
      <c r="E247" s="3" t="inlineStr">
        <is>
          <t>PSV-72 ZTI</t>
        </is>
      </c>
      <c r="F247" s="3" t="inlineStr">
        <is>
          <t>Montáž — Akumulační zásobník TUV ~300 l v 1.PP napojený na topný systém (sporáková kamna + krb + elektrokotel) — nepřímotop</t>
        </is>
      </c>
      <c r="G247" s="2" t="inlineStr">
        <is>
          <t>ks</t>
        </is>
      </c>
      <c r="H247" s="2" t="n">
        <v>1</v>
      </c>
      <c r="I247" s="3" t="inlineStr">
        <is>
          <t>TZ ARS — 'akumulační zásobník TUV v suterénu napojený na topný systém'</t>
        </is>
      </c>
      <c r="J247" s="2" t="inlineStr">
        <is>
          <t>732419411</t>
        </is>
      </c>
      <c r="K247" s="3" t="inlineStr">
        <is>
          <t>TZ ARS dům §4 — kombi akumulační zásobník napojený na multivariantní topný systém</t>
        </is>
      </c>
      <c r="L247" s="2" t="inlineStr">
        <is>
          <t>needs_production_lookup</t>
        </is>
      </c>
      <c r="M247" s="2" t="inlineStr"/>
    </row>
    <row r="248">
      <c r="A248" s="2" t="n">
        <v>247</v>
      </c>
      <c r="B248" s="2" t="inlineStr">
        <is>
          <t>PSV72.009b</t>
        </is>
      </c>
      <c r="C248" s="2" t="inlineStr">
        <is>
          <t>260219_dum</t>
        </is>
      </c>
      <c r="D248" s="2" t="inlineStr">
        <is>
          <t>PSV-72 ZTI</t>
        </is>
      </c>
      <c r="E248" s="3" t="inlineStr">
        <is>
          <t>PSV-72 ZTI</t>
        </is>
      </c>
      <c r="F248" s="3" t="inlineStr">
        <is>
          <t>Dodávka — Dodávka výrobku (Akumulační zásobník TUV ~300 l v 1.PP napojený)</t>
        </is>
      </c>
      <c r="G248" s="2" t="inlineStr">
        <is>
          <t>ks</t>
        </is>
      </c>
      <c r="H248" s="2" t="n">
        <v>1</v>
      </c>
      <c r="I248" s="3">
        <f> montáž 1:1</f>
        <v/>
      </c>
      <c r="J248" s="2" t="inlineStr"/>
      <c r="K248" s="3" t="inlineStr">
        <is>
          <t>TZ ARS dům §4 — kombi akumulační zásobník napojený na multivariantní topný systém</t>
        </is>
      </c>
      <c r="L248" s="2" t="inlineStr">
        <is>
          <t>needs_lookup</t>
        </is>
      </c>
      <c r="M248" s="2" t="inlineStr"/>
    </row>
    <row r="249">
      <c r="A249" s="2" t="n">
        <v>248</v>
      </c>
      <c r="B249" s="2" t="inlineStr">
        <is>
          <t>PSV72.010a</t>
        </is>
      </c>
      <c r="C249" s="2" t="inlineStr">
        <is>
          <t>260219_dum</t>
        </is>
      </c>
      <c r="D249" s="2" t="inlineStr">
        <is>
          <t>PSV-72 ZTI</t>
        </is>
      </c>
      <c r="E249" s="3" t="inlineStr">
        <is>
          <t>PSV-72 ZTI</t>
        </is>
      </c>
      <c r="F249" s="3" t="inlineStr">
        <is>
          <t>Montáž — Elektrický bojler ~80 l v koupelně 3.NP (nezávislý zdroj pro samostatný byt)</t>
        </is>
      </c>
      <c r="G249" s="2" t="inlineStr">
        <is>
          <t>ks</t>
        </is>
      </c>
      <c r="H249" s="2" t="n">
        <v>1</v>
      </c>
      <c r="I249" s="3" t="inlineStr">
        <is>
          <t>TZ ARS — 'elektrický bojler v koupelně 3.NP'</t>
        </is>
      </c>
      <c r="J249" s="2" t="inlineStr">
        <is>
          <t>732429211</t>
        </is>
      </c>
      <c r="K249" s="3" t="inlineStr">
        <is>
          <t>TZ ARS dům §4 — elektrický bojler v 3.NP koupelně, vyjasnění #6 odhad 80 l</t>
        </is>
      </c>
      <c r="L249" s="2" t="inlineStr">
        <is>
          <t>needs_production_lookup</t>
        </is>
      </c>
      <c r="M249" s="2" t="inlineStr"/>
    </row>
    <row r="250">
      <c r="A250" s="2" t="n">
        <v>249</v>
      </c>
      <c r="B250" s="2" t="inlineStr">
        <is>
          <t>PSV72.010b</t>
        </is>
      </c>
      <c r="C250" s="2" t="inlineStr">
        <is>
          <t>260219_dum</t>
        </is>
      </c>
      <c r="D250" s="2" t="inlineStr">
        <is>
          <t>PSV-72 ZTI</t>
        </is>
      </c>
      <c r="E250" s="3" t="inlineStr">
        <is>
          <t>PSV-72 ZTI</t>
        </is>
      </c>
      <c r="F250" s="3" t="inlineStr">
        <is>
          <t>Dodávka — Dodávka oceli S235 (válcované profily) (Elektrický bojler ~80 l v koupelně 3.NP (nezáv)</t>
        </is>
      </c>
      <c r="G250" s="2" t="inlineStr">
        <is>
          <t>ks</t>
        </is>
      </c>
      <c r="H250" s="2" t="n">
        <v>1.03</v>
      </c>
      <c r="I250" s="3">
        <f> montáž × 1.03</f>
        <v/>
      </c>
      <c r="J250" s="2" t="inlineStr"/>
      <c r="K250" s="3" t="inlineStr">
        <is>
          <t>TZ ARS dům §4 — elektrický bojler v 3.NP koupelně, vyjasnění #6 odhad 80 l</t>
        </is>
      </c>
      <c r="L250" s="2" t="inlineStr">
        <is>
          <t>needs_lookup</t>
        </is>
      </c>
      <c r="M250" s="2" t="inlineStr"/>
    </row>
    <row r="251">
      <c r="A251" s="2" t="n">
        <v>250</v>
      </c>
      <c r="B251" s="2" t="inlineStr">
        <is>
          <t>PSV73.001a</t>
        </is>
      </c>
      <c r="C251" s="2" t="inlineStr">
        <is>
          <t>260219_dum</t>
        </is>
      </c>
      <c r="D251" s="2" t="inlineStr">
        <is>
          <t>PSV-73 Vytápění</t>
        </is>
      </c>
      <c r="E251" s="3" t="inlineStr">
        <is>
          <t>PSV-73 Vytápění</t>
        </is>
      </c>
      <c r="F251" s="3" t="inlineStr">
        <is>
          <t>Montáž — Sporáková kamna na tuhá paliva ~10 kW s akumulačním zásobníkem TUV — dodávka</t>
        </is>
      </c>
      <c r="G251" s="2" t="inlineStr">
        <is>
          <t>ks</t>
        </is>
      </c>
      <c r="H251" s="2" t="n">
        <v>1</v>
      </c>
      <c r="I251" s="3" t="inlineStr">
        <is>
          <t>TZ ARS dům §4 — sporáková kamna v 1.PP/1.NP zóně</t>
        </is>
      </c>
      <c r="J251" s="2" t="inlineStr">
        <is>
          <t>733241011</t>
        </is>
      </c>
      <c r="K251" s="3" t="inlineStr">
        <is>
          <t>TZ ARS dům §4 — primární zdroj 1.NP/2.NP, ~10 kW odhad standard RD</t>
        </is>
      </c>
      <c r="L251" s="2" t="inlineStr">
        <is>
          <t>needs_production_lookup</t>
        </is>
      </c>
      <c r="M251" s="2" t="inlineStr"/>
    </row>
    <row r="252">
      <c r="A252" s="2" t="n">
        <v>251</v>
      </c>
      <c r="B252" s="2" t="inlineStr">
        <is>
          <t>PSV73.001b</t>
        </is>
      </c>
      <c r="C252" s="2" t="inlineStr">
        <is>
          <t>260219_dum</t>
        </is>
      </c>
      <c r="D252" s="2" t="inlineStr">
        <is>
          <t>PSV-73 Vytápění</t>
        </is>
      </c>
      <c r="E252" s="3" t="inlineStr">
        <is>
          <t>PSV-73 Vytápění</t>
        </is>
      </c>
      <c r="F252" s="3" t="inlineStr">
        <is>
          <t>Dodávka — Dodávka výrobku (Sporáková kamna na tuhá paliva ~10 kW s akumul)</t>
        </is>
      </c>
      <c r="G252" s="2" t="inlineStr">
        <is>
          <t>ks</t>
        </is>
      </c>
      <c r="H252" s="2" t="n">
        <v>1</v>
      </c>
      <c r="I252" s="3">
        <f> montáž 1:1</f>
        <v/>
      </c>
      <c r="J252" s="2" t="inlineStr"/>
      <c r="K252" s="3" t="inlineStr">
        <is>
          <t>TZ ARS dům §4 — primární zdroj 1.NP/2.NP, ~10 kW odhad standard RD</t>
        </is>
      </c>
      <c r="L252" s="2" t="inlineStr">
        <is>
          <t>needs_lookup</t>
        </is>
      </c>
      <c r="M252" s="2" t="inlineStr"/>
    </row>
    <row r="253">
      <c r="A253" s="2" t="n">
        <v>252</v>
      </c>
      <c r="B253" s="2" t="inlineStr">
        <is>
          <t>PSV73.002a</t>
        </is>
      </c>
      <c r="C253" s="2" t="inlineStr">
        <is>
          <t>260219_dum</t>
        </is>
      </c>
      <c r="D253" s="2" t="inlineStr">
        <is>
          <t>PSV-73 Vytápění</t>
        </is>
      </c>
      <c r="E253" s="3" t="inlineStr">
        <is>
          <t>PSV-73 Vytápění</t>
        </is>
      </c>
      <c r="F253" s="3" t="inlineStr">
        <is>
          <t>Montáž — Sporáková kamna — montáž vč. napojení na komín + akumulační zásobník (cca 8 Nh)</t>
        </is>
      </c>
      <c r="G253" s="2" t="inlineStr">
        <is>
          <t>kpl</t>
        </is>
      </c>
      <c r="H253" s="2" t="n">
        <v>1</v>
      </c>
      <c r="I253" s="3">
        <f> ks kamen</f>
        <v/>
      </c>
      <c r="J253" s="2" t="inlineStr">
        <is>
          <t>733281011</t>
        </is>
      </c>
      <c r="K253" s="3" t="inlineStr">
        <is>
          <t>Standard montáž kamen s napojením na zásobník</t>
        </is>
      </c>
      <c r="L253" s="2" t="inlineStr">
        <is>
          <t>needs_production_lookup</t>
        </is>
      </c>
      <c r="M253" s="2" t="inlineStr"/>
    </row>
    <row r="254">
      <c r="A254" s="2" t="n">
        <v>253</v>
      </c>
      <c r="B254" s="2" t="inlineStr">
        <is>
          <t>PSV73.002b</t>
        </is>
      </c>
      <c r="C254" s="2" t="inlineStr">
        <is>
          <t>260219_dum</t>
        </is>
      </c>
      <c r="D254" s="2" t="inlineStr">
        <is>
          <t>PSV-73 Vytápění</t>
        </is>
      </c>
      <c r="E254" s="3" t="inlineStr">
        <is>
          <t>PSV-73 Vytápění</t>
        </is>
      </c>
      <c r="F254" s="3" t="inlineStr">
        <is>
          <t>Dodávka — Dodávka výrobku (Sporáková kamna — montáž vč. napojení na komín)</t>
        </is>
      </c>
      <c r="G254" s="2" t="inlineStr">
        <is>
          <t>kpl</t>
        </is>
      </c>
      <c r="H254" s="2" t="n">
        <v>1</v>
      </c>
      <c r="I254" s="3">
        <f> montáž 1:1</f>
        <v/>
      </c>
      <c r="J254" s="2" t="inlineStr"/>
      <c r="K254" s="3" t="inlineStr">
        <is>
          <t>Standard montáž kamen s napojením na zásobník</t>
        </is>
      </c>
      <c r="L254" s="2" t="inlineStr">
        <is>
          <t>needs_lookup</t>
        </is>
      </c>
      <c r="M254" s="2" t="inlineStr"/>
    </row>
    <row r="255">
      <c r="A255" s="2" t="n">
        <v>254</v>
      </c>
      <c r="B255" s="2" t="inlineStr">
        <is>
          <t>PSV73.003a</t>
        </is>
      </c>
      <c r="C255" s="2" t="inlineStr">
        <is>
          <t>260219_dum</t>
        </is>
      </c>
      <c r="D255" s="2" t="inlineStr">
        <is>
          <t>PSV-73 Vytápění</t>
        </is>
      </c>
      <c r="E255" s="3" t="inlineStr">
        <is>
          <t>PSV-73 Vytápění</t>
        </is>
      </c>
      <c r="F255" s="3" t="inlineStr">
        <is>
          <t>Montáž — Elektrokotel ~8 kW pro 3.NP samostatný byt — dodávka + montáž + napojení</t>
        </is>
      </c>
      <c r="G255" s="2" t="inlineStr">
        <is>
          <t>ks</t>
        </is>
      </c>
      <c r="H255" s="2" t="n">
        <v>1</v>
      </c>
      <c r="I255" s="3" t="inlineStr">
        <is>
          <t>TZ ARS — elektrokotel pro 3.NP samostatný byt</t>
        </is>
      </c>
      <c r="J255" s="2" t="inlineStr">
        <is>
          <t>733131221</t>
        </is>
      </c>
      <c r="K255" s="3" t="inlineStr">
        <is>
          <t>TZ ARS dům §4 — 'Nově navržené 3.NP bude vytápěno elektrokotlem'; ~8 kW odhad</t>
        </is>
      </c>
      <c r="L255" s="2" t="inlineStr">
        <is>
          <t>needs_production_lookup</t>
        </is>
      </c>
      <c r="M255" s="2" t="inlineStr"/>
    </row>
    <row r="256">
      <c r="A256" s="2" t="n">
        <v>255</v>
      </c>
      <c r="B256" s="2" t="inlineStr">
        <is>
          <t>PSV73.003b</t>
        </is>
      </c>
      <c r="C256" s="2" t="inlineStr">
        <is>
          <t>260219_dum</t>
        </is>
      </c>
      <c r="D256" s="2" t="inlineStr">
        <is>
          <t>PSV-73 Vytápění</t>
        </is>
      </c>
      <c r="E256" s="3" t="inlineStr">
        <is>
          <t>PSV-73 Vytápění</t>
        </is>
      </c>
      <c r="F256" s="3" t="inlineStr">
        <is>
          <t>Dodávka — Dodávka výrobku (Elektrokotel ~8 kW pro 3.NP samostatný byt — d)</t>
        </is>
      </c>
      <c r="G256" s="2" t="inlineStr">
        <is>
          <t>ks</t>
        </is>
      </c>
      <c r="H256" s="2" t="n">
        <v>1</v>
      </c>
      <c r="I256" s="3">
        <f> montáž 1:1</f>
        <v/>
      </c>
      <c r="J256" s="2" t="inlineStr"/>
      <c r="K256" s="3" t="inlineStr">
        <is>
          <t>TZ ARS dům §4 — 'Nově navržené 3.NP bude vytápěno elektrokotlem'; ~8 kW odhad</t>
        </is>
      </c>
      <c r="L256" s="2" t="inlineStr">
        <is>
          <t>needs_lookup</t>
        </is>
      </c>
      <c r="M256" s="2" t="inlineStr"/>
    </row>
    <row r="257">
      <c r="A257" s="2" t="n">
        <v>256</v>
      </c>
      <c r="B257" s="2" t="inlineStr">
        <is>
          <t>PSV73.004a</t>
        </is>
      </c>
      <c r="C257" s="2" t="inlineStr">
        <is>
          <t>260219_dum</t>
        </is>
      </c>
      <c r="D257" s="2" t="inlineStr">
        <is>
          <t>PSV-73 Vytápění</t>
        </is>
      </c>
      <c r="E257" s="3" t="inlineStr">
        <is>
          <t>PSV-73 Vytápění</t>
        </is>
      </c>
      <c r="F257" s="3" t="inlineStr">
        <is>
          <t>Montáž — Krb na tuhá paliva v 3.NP ~6 kW — dodávka + montáž s napojením na samostatný komín</t>
        </is>
      </c>
      <c r="G257" s="2" t="inlineStr">
        <is>
          <t>ks</t>
        </is>
      </c>
      <c r="H257" s="2" t="n">
        <v>1</v>
      </c>
      <c r="I257" s="3" t="inlineStr">
        <is>
          <t>TZ ARS — 'krbem na tuhá paliva' v 3.NP</t>
        </is>
      </c>
      <c r="J257" s="2" t="inlineStr">
        <is>
          <t>733241011</t>
        </is>
      </c>
      <c r="K257" s="3" t="inlineStr">
        <is>
          <t>TZ ARS dům §4 — krb v 3.NP, ~6 kW odhad</t>
        </is>
      </c>
      <c r="L257" s="2" t="inlineStr">
        <is>
          <t>needs_production_lookup</t>
        </is>
      </c>
      <c r="M257" s="2" t="inlineStr"/>
    </row>
    <row r="258">
      <c r="A258" s="2" t="n">
        <v>257</v>
      </c>
      <c r="B258" s="2" t="inlineStr">
        <is>
          <t>PSV73.004b</t>
        </is>
      </c>
      <c r="C258" s="2" t="inlineStr">
        <is>
          <t>260219_dum</t>
        </is>
      </c>
      <c r="D258" s="2" t="inlineStr">
        <is>
          <t>PSV-73 Vytápění</t>
        </is>
      </c>
      <c r="E258" s="3" t="inlineStr">
        <is>
          <t>PSV-73 Vytápění</t>
        </is>
      </c>
      <c r="F258" s="3" t="inlineStr">
        <is>
          <t>Dodávka — Dodávka výrobku (Krb na tuhá paliva v 3.NP ~6 kW — dodávka + mo)</t>
        </is>
      </c>
      <c r="G258" s="2" t="inlineStr">
        <is>
          <t>ks</t>
        </is>
      </c>
      <c r="H258" s="2" t="n">
        <v>1</v>
      </c>
      <c r="I258" s="3">
        <f> montáž 1:1</f>
        <v/>
      </c>
      <c r="J258" s="2" t="inlineStr"/>
      <c r="K258" s="3" t="inlineStr">
        <is>
          <t>TZ ARS dům §4 — krb v 3.NP, ~6 kW odhad</t>
        </is>
      </c>
      <c r="L258" s="2" t="inlineStr">
        <is>
          <t>needs_lookup</t>
        </is>
      </c>
      <c r="M258" s="2" t="inlineStr"/>
    </row>
    <row r="259">
      <c r="A259" s="2" t="n">
        <v>258</v>
      </c>
      <c r="B259" s="2" t="inlineStr">
        <is>
          <t>PSV73.005a</t>
        </is>
      </c>
      <c r="C259" s="2" t="inlineStr">
        <is>
          <t>260219_dum</t>
        </is>
      </c>
      <c r="D259" s="2" t="inlineStr">
        <is>
          <t>PSV-73 Vytápění</t>
        </is>
      </c>
      <c r="E259" s="3" t="inlineStr">
        <is>
          <t>PSV-73 Vytápění</t>
        </is>
      </c>
      <c r="F259" s="3" t="inlineStr">
        <is>
          <t>Montáž — Multisplit tepelné čerpadlo vzduch-vzduch — 1× venkovní jednotka ~10 kW (silent mode hl. tlaku ≤49 dBA)</t>
        </is>
      </c>
      <c r="G259" s="2" t="inlineStr">
        <is>
          <t>ks</t>
        </is>
      </c>
      <c r="H259" s="2" t="n">
        <v>1</v>
      </c>
      <c r="I259" s="3" t="inlineStr">
        <is>
          <t>TZ ARS — multisplit TČ vzduch-vzduch</t>
        </is>
      </c>
      <c r="J259" s="2" t="inlineStr">
        <is>
          <t>733425211</t>
        </is>
      </c>
      <c r="K259" s="3" t="inlineStr">
        <is>
          <t>TZ ARS dům §4 — multisplit TČ s akustikou hl. tlaku ≤49 dBA, NV 272/2011</t>
        </is>
      </c>
      <c r="L259" s="2" t="inlineStr">
        <is>
          <t>needs_production_lookup</t>
        </is>
      </c>
      <c r="M259" s="2" t="inlineStr"/>
    </row>
    <row r="260">
      <c r="A260" s="2" t="n">
        <v>259</v>
      </c>
      <c r="B260" s="2" t="inlineStr">
        <is>
          <t>PSV73.005b</t>
        </is>
      </c>
      <c r="C260" s="2" t="inlineStr">
        <is>
          <t>260219_dum</t>
        </is>
      </c>
      <c r="D260" s="2" t="inlineStr">
        <is>
          <t>PSV-73 Vytápění</t>
        </is>
      </c>
      <c r="E260" s="3" t="inlineStr">
        <is>
          <t>PSV-73 Vytápění</t>
        </is>
      </c>
      <c r="F260" s="3" t="inlineStr">
        <is>
          <t>Dodávka — Dodávka izolačních desek/rohoží (Multisplit tepelné čerpadlo vzduch-vzduch — 1×)</t>
        </is>
      </c>
      <c r="G260" s="2" t="inlineStr">
        <is>
          <t>ks</t>
        </is>
      </c>
      <c r="H260" s="2" t="n">
        <v>1.05</v>
      </c>
      <c r="I260" s="3">
        <f> montáž × 1.05</f>
        <v/>
      </c>
      <c r="J260" s="2" t="inlineStr"/>
      <c r="K260" s="3" t="inlineStr">
        <is>
          <t>TZ ARS dům §4 — multisplit TČ s akustikou hl. tlaku ≤49 dBA, NV 272/2011</t>
        </is>
      </c>
      <c r="L260" s="2" t="inlineStr">
        <is>
          <t>needs_lookup</t>
        </is>
      </c>
      <c r="M260" s="2" t="inlineStr"/>
    </row>
    <row r="261">
      <c r="A261" s="2" t="n">
        <v>260</v>
      </c>
      <c r="B261" s="2" t="inlineStr">
        <is>
          <t>PSV73.006</t>
        </is>
      </c>
      <c r="C261" s="2" t="inlineStr">
        <is>
          <t>260219_dum</t>
        </is>
      </c>
      <c r="D261" s="2" t="inlineStr">
        <is>
          <t>PSV-73 Vytápění</t>
        </is>
      </c>
      <c r="E261" s="3" t="inlineStr">
        <is>
          <t>PSV-73 Vytápění</t>
        </is>
      </c>
      <c r="F261" s="3" t="inlineStr">
        <is>
          <t>Multisplit TČ — 5× vnitřní jednotka v obytných místnostech (1.NP, 2.NP, 3.NP — chlazení + vytápění)</t>
        </is>
      </c>
      <c r="G261" s="2" t="inlineStr">
        <is>
          <t>ks</t>
        </is>
      </c>
      <c r="H261" s="2" t="n">
        <v>5</v>
      </c>
      <c r="I261" s="3" t="inlineStr">
        <is>
          <t>TZ ARS — 'vnitřní jednotky v obytných místnostech', odhad 5 ks (3 patra × ~1.7 j/patro)</t>
        </is>
      </c>
      <c r="J261" s="2" t="inlineStr">
        <is>
          <t>733425221</t>
        </is>
      </c>
      <c r="K261" s="3" t="inlineStr">
        <is>
          <t>TZ ARS dům §4 — vnitřní jednotky multisplit, vyjasnění #6 odhad 5 ks</t>
        </is>
      </c>
      <c r="L261" s="2" t="inlineStr">
        <is>
          <t>needs_production_lookup</t>
        </is>
      </c>
      <c r="M261" s="2" t="inlineStr"/>
    </row>
    <row r="262">
      <c r="A262" s="2" t="n">
        <v>261</v>
      </c>
      <c r="B262" s="2" t="inlineStr">
        <is>
          <t>PSV73.007</t>
        </is>
      </c>
      <c r="C262" s="2" t="inlineStr">
        <is>
          <t>260219_dum</t>
        </is>
      </c>
      <c r="D262" s="2" t="inlineStr">
        <is>
          <t>PSV-73 Vytápění</t>
        </is>
      </c>
      <c r="E262" s="3" t="inlineStr">
        <is>
          <t>PSV-73 Vytápění</t>
        </is>
      </c>
      <c r="F262" s="3" t="inlineStr">
        <is>
          <t>Revize stávajícího komínu — kontrola, čištění, vystrojení vložkou nerez DN160 pro kamna + krb 3.NP</t>
        </is>
      </c>
      <c r="G262" s="2" t="inlineStr">
        <is>
          <t>kpl</t>
        </is>
      </c>
      <c r="H262" s="2" t="n">
        <v>1</v>
      </c>
      <c r="I262" s="3" t="inlineStr">
        <is>
          <t>TZ ARS — komín revize a úpravy stávajícího</t>
        </is>
      </c>
      <c r="J262" s="2" t="inlineStr">
        <is>
          <t>734262122</t>
        </is>
      </c>
      <c r="K262" s="3" t="inlineStr">
        <is>
          <t>TZ ARS dům §4 — komín stávající, vystrojení vložkou pro kamna + krb</t>
        </is>
      </c>
      <c r="L262" s="2" t="inlineStr">
        <is>
          <t>needs_production_lookup</t>
        </is>
      </c>
      <c r="M262" s="2" t="inlineStr"/>
    </row>
    <row r="263">
      <c r="A263" s="2" t="n">
        <v>262</v>
      </c>
      <c r="B263" s="2" t="inlineStr">
        <is>
          <t>PSV73.008</t>
        </is>
      </c>
      <c r="C263" s="2" t="inlineStr">
        <is>
          <t>260219_dum</t>
        </is>
      </c>
      <c r="D263" s="2" t="inlineStr">
        <is>
          <t>PSV-73 Vytápění</t>
        </is>
      </c>
      <c r="E263" s="3" t="inlineStr">
        <is>
          <t>PSV-73 Vytápění</t>
        </is>
      </c>
      <c r="F263" s="3" t="inlineStr">
        <is>
          <t>Rozvody otopné soustavy Cu/PEX k vnitřním jednotkám TČ + radiátorům pro doplňkové (cca 100 bm odhad)</t>
        </is>
      </c>
      <c r="G263" s="2" t="inlineStr">
        <is>
          <t>bm</t>
        </is>
      </c>
      <c r="H263" s="2" t="n">
        <v>100</v>
      </c>
      <c r="I263" s="3" t="inlineStr">
        <is>
          <t>TZ ARS — vyjasnění #6 working assumption, multisplit + doplň. radiátory</t>
        </is>
      </c>
      <c r="J263" s="2" t="inlineStr">
        <is>
          <t>733111021</t>
        </is>
      </c>
      <c r="K263" s="3" t="inlineStr">
        <is>
          <t>TZ ARS dům §4 — rozvody otopné soustavy</t>
        </is>
      </c>
      <c r="L263" s="2" t="inlineStr">
        <is>
          <t>needs_production_lookup</t>
        </is>
      </c>
      <c r="M263" s="2" t="inlineStr"/>
    </row>
    <row r="264">
      <c r="A264" s="2" t="n">
        <v>263</v>
      </c>
      <c r="B264" s="2" t="inlineStr">
        <is>
          <t>M21.001</t>
        </is>
      </c>
      <c r="C264" s="2" t="inlineStr">
        <is>
          <t>260219_dum</t>
        </is>
      </c>
      <c r="D264" s="2" t="inlineStr">
        <is>
          <t>M-21 ELI silnoproud</t>
        </is>
      </c>
      <c r="E264" s="3" t="inlineStr">
        <is>
          <t>M-21 ELI silnoproud</t>
        </is>
      </c>
      <c r="F264" s="3" t="inlineStr">
        <is>
          <t>Demontáž stávající elektroinstalace v celém domě (vodiče, rozvaděč, zásuvky, svítidla) — recyklace mědi</t>
        </is>
      </c>
      <c r="G264" s="2" t="inlineStr">
        <is>
          <t>kpl</t>
        </is>
      </c>
      <c r="H264" s="2" t="n">
        <v>1</v>
      </c>
      <c r="I264" s="3" t="inlineStr">
        <is>
          <t>TZ ARS — stávající ELI plně bourána; B m.10.e — 0.1 t kovů celkem</t>
        </is>
      </c>
      <c r="J264" s="2" t="inlineStr">
        <is>
          <t>210010011</t>
        </is>
      </c>
      <c r="K264" s="3" t="inlineStr">
        <is>
          <t>TZ ARS dům §4 — kompletně nová ELI</t>
        </is>
      </c>
      <c r="L264" s="2" t="inlineStr">
        <is>
          <t>needs_production_lookup</t>
        </is>
      </c>
      <c r="M264" s="2" t="inlineStr"/>
    </row>
    <row r="265">
      <c r="A265" s="2" t="n">
        <v>264</v>
      </c>
      <c r="B265" s="2" t="inlineStr">
        <is>
          <t>M21.002</t>
        </is>
      </c>
      <c r="C265" s="2" t="inlineStr">
        <is>
          <t>260219_dum</t>
        </is>
      </c>
      <c r="D265" s="2" t="inlineStr">
        <is>
          <t>M-21 ELI silnoproud</t>
        </is>
      </c>
      <c r="E265" s="3" t="inlineStr">
        <is>
          <t>M-21 ELI silnoproud</t>
        </is>
      </c>
      <c r="F265" s="3" t="inlineStr">
        <is>
          <t>Nová pojistková skříň + 3× podružný rozvaděč pro každé patro (1.NP, 2.NP, 3.NP) s podružným měřením</t>
        </is>
      </c>
      <c r="G265" s="2" t="inlineStr">
        <is>
          <t>ks</t>
        </is>
      </c>
      <c r="H265" s="2" t="n">
        <v>4</v>
      </c>
      <c r="I265" s="3" t="inlineStr">
        <is>
          <t>1 hlavní + 3 podružné = 4 rozvaděče</t>
        </is>
      </c>
      <c r="J265" s="2" t="inlineStr">
        <is>
          <t>210110023</t>
        </is>
      </c>
      <c r="K265" s="3" t="inlineStr">
        <is>
          <t>TZ ARS dům §4 — 'nová pojistková skříň s podružným měřením pro každé patro'</t>
        </is>
      </c>
      <c r="L265" s="2" t="inlineStr">
        <is>
          <t>needs_production_lookup</t>
        </is>
      </c>
      <c r="M265" s="2" t="inlineStr"/>
    </row>
    <row r="266">
      <c r="A266" s="2" t="n">
        <v>265</v>
      </c>
      <c r="B266" s="2" t="inlineStr">
        <is>
          <t>M21.003</t>
        </is>
      </c>
      <c r="C266" s="2" t="inlineStr">
        <is>
          <t>260219_dum</t>
        </is>
      </c>
      <c r="D266" s="2" t="inlineStr">
        <is>
          <t>M-21 ELI silnoproud</t>
        </is>
      </c>
      <c r="E266" s="3" t="inlineStr">
        <is>
          <t>M-21 ELI silnoproud</t>
        </is>
      </c>
      <c r="F266" s="3" t="inlineStr">
        <is>
          <t>Nové silnoproudé rozvody — vodiče CYKY 3×1.5 / 3×2.5 / 5×2.5 / 5×6 + krabice + instalační trubky</t>
        </is>
      </c>
      <c r="G266" s="2" t="inlineStr">
        <is>
          <t>bm</t>
        </is>
      </c>
      <c r="H266" s="2" t="n">
        <v>700</v>
      </c>
      <c r="I266" s="3" t="inlineStr">
        <is>
          <t>RD 219 m² × ~3.2 bm/m² standard ELI = 700 bm; vyjasnění #7 working assumption</t>
        </is>
      </c>
      <c r="J266" s="2" t="inlineStr">
        <is>
          <t>210800012</t>
        </is>
      </c>
      <c r="K266" s="3" t="inlineStr">
        <is>
          <t>TZ ARS + B4_productivity standard RD 3-byt. dispozice</t>
        </is>
      </c>
      <c r="L266" s="2" t="inlineStr">
        <is>
          <t>needs_production_lookup</t>
        </is>
      </c>
      <c r="M266" s="2" t="inlineStr"/>
    </row>
    <row r="267">
      <c r="A267" s="2" t="n">
        <v>266</v>
      </c>
      <c r="B267" s="2" t="inlineStr">
        <is>
          <t>M21.004</t>
        </is>
      </c>
      <c r="C267" s="2" t="inlineStr">
        <is>
          <t>260219_dum</t>
        </is>
      </c>
      <c r="D267" s="2" t="inlineStr">
        <is>
          <t>M-21 ELI silnoproud</t>
        </is>
      </c>
      <c r="E267" s="3" t="inlineStr">
        <is>
          <t>M-21 ELI silnoproud</t>
        </is>
      </c>
      <c r="F267" s="3" t="inlineStr">
        <is>
          <t>Zásuvky a vypínače dodávka + montáž — ~70 ks (60-80 dle vyjasnění #7)</t>
        </is>
      </c>
      <c r="G267" s="2" t="inlineStr">
        <is>
          <t>ks</t>
        </is>
      </c>
      <c r="H267" s="2" t="n">
        <v>70</v>
      </c>
      <c r="I267" s="3" t="inlineStr">
        <is>
          <t>RD 219 m² × ~0.3 ks/m² standard 3-byt. dispozice = 70 ks</t>
        </is>
      </c>
      <c r="J267" s="2" t="inlineStr">
        <is>
          <t>210810050</t>
        </is>
      </c>
      <c r="K267" s="3" t="inlineStr">
        <is>
          <t>TZ ARS + B4_productivity standard RD 220 m² 3-byt.</t>
        </is>
      </c>
      <c r="L267" s="2" t="inlineStr">
        <is>
          <t>needs_production_lookup</t>
        </is>
      </c>
      <c r="M267" s="2" t="inlineStr"/>
    </row>
    <row r="268">
      <c r="A268" s="2" t="n">
        <v>267</v>
      </c>
      <c r="B268" s="2" t="inlineStr">
        <is>
          <t>M21.005a</t>
        </is>
      </c>
      <c r="C268" s="2" t="inlineStr">
        <is>
          <t>260219_dum</t>
        </is>
      </c>
      <c r="D268" s="2" t="inlineStr">
        <is>
          <t>M-21 ELI silnoproud</t>
        </is>
      </c>
      <c r="E268" s="3" t="inlineStr">
        <is>
          <t>M-21 ELI silnoproud</t>
        </is>
      </c>
      <c r="F268" s="3" t="inlineStr">
        <is>
          <t>Montáž — Svítidla dodávka + montáž — ~35 ks (30-40 dle vyjasnění #7) interiér + venkovní u vstupů</t>
        </is>
      </c>
      <c r="G268" s="2" t="inlineStr">
        <is>
          <t>ks</t>
        </is>
      </c>
      <c r="H268" s="2" t="n">
        <v>35</v>
      </c>
      <c r="I268" s="3" t="inlineStr">
        <is>
          <t>standard RD 220 m² = ~35 ks svítidel</t>
        </is>
      </c>
      <c r="J268" s="2" t="inlineStr">
        <is>
          <t>210820002</t>
        </is>
      </c>
      <c r="K268" s="3" t="inlineStr">
        <is>
          <t>TZ ARS + B4_productivity standard RD</t>
        </is>
      </c>
      <c r="L268" s="2" t="inlineStr">
        <is>
          <t>needs_production_lookup</t>
        </is>
      </c>
      <c r="M268" s="2" t="inlineStr"/>
    </row>
    <row r="269">
      <c r="A269" s="2" t="n">
        <v>268</v>
      </c>
      <c r="B269" s="2" t="inlineStr">
        <is>
          <t>M21.005b</t>
        </is>
      </c>
      <c r="C269" s="2" t="inlineStr">
        <is>
          <t>260219_dum</t>
        </is>
      </c>
      <c r="D269" s="2" t="inlineStr">
        <is>
          <t>M-21 ELI silnoproud</t>
        </is>
      </c>
      <c r="E269" s="3" t="inlineStr">
        <is>
          <t>M-21 ELI silnoproud</t>
        </is>
      </c>
      <c r="F269" s="3" t="inlineStr">
        <is>
          <t>Dodávka — Dodávka výrobku (Svítidla dodávka + montáž — ~35 ks (30-40 dle )</t>
        </is>
      </c>
      <c r="G269" s="2" t="inlineStr">
        <is>
          <t>ks</t>
        </is>
      </c>
      <c r="H269" s="2" t="n">
        <v>35</v>
      </c>
      <c r="I269" s="3">
        <f> montáž 1:1</f>
        <v/>
      </c>
      <c r="J269" s="2" t="inlineStr"/>
      <c r="K269" s="3" t="inlineStr">
        <is>
          <t>TZ ARS + B4_productivity standard RD</t>
        </is>
      </c>
      <c r="L269" s="2" t="inlineStr">
        <is>
          <t>needs_lookup</t>
        </is>
      </c>
      <c r="M269" s="2" t="inlineStr"/>
    </row>
    <row r="270">
      <c r="A270" s="2" t="n">
        <v>269</v>
      </c>
      <c r="B270" s="2" t="inlineStr">
        <is>
          <t>M21.006</t>
        </is>
      </c>
      <c r="C270" s="2" t="inlineStr">
        <is>
          <t>260219_dum</t>
        </is>
      </c>
      <c r="D270" s="2" t="inlineStr">
        <is>
          <t>M-21 ELI silnoproud</t>
        </is>
      </c>
      <c r="E270" s="3" t="inlineStr">
        <is>
          <t>M-21 ELI silnoproud</t>
        </is>
      </c>
      <c r="F270" s="3" t="inlineStr">
        <is>
          <t>Příprava na osazení FVE — rezerva v rozvaděči (jistič + zásuvka pro střídač) + trasy do střechy</t>
        </is>
      </c>
      <c r="G270" s="2" t="inlineStr">
        <is>
          <t>kpl</t>
        </is>
      </c>
      <c r="H270" s="2" t="n">
        <v>1</v>
      </c>
      <c r="I270" s="3" t="inlineStr">
        <is>
          <t>TZ ARS — 'příprava na osazení FVE'</t>
        </is>
      </c>
      <c r="J270" s="2" t="inlineStr">
        <is>
          <t>210800099</t>
        </is>
      </c>
      <c r="K270" s="3" t="inlineStr">
        <is>
          <t>TZ ARS dům §4 — FVE příprava (bez panelů samotných)</t>
        </is>
      </c>
      <c r="L270" s="2" t="inlineStr">
        <is>
          <t>needs_production_lookup</t>
        </is>
      </c>
      <c r="M270" s="2" t="inlineStr"/>
    </row>
    <row r="271">
      <c r="A271" s="2" t="n">
        <v>270</v>
      </c>
      <c r="B271" s="2" t="inlineStr">
        <is>
          <t>M21.007</t>
        </is>
      </c>
      <c r="C271" s="2" t="inlineStr">
        <is>
          <t>260219_dum</t>
        </is>
      </c>
      <c r="D271" s="2" t="inlineStr">
        <is>
          <t>M-21 ELI silnoproud</t>
        </is>
      </c>
      <c r="E271" s="3" t="inlineStr">
        <is>
          <t>M-21 ELI silnoproud</t>
        </is>
      </c>
      <c r="F271" s="3" t="inlineStr">
        <is>
          <t>Výchozí revize elektrické instalace dle ČSN 33 2000-6 + revizní zpráva pro kolaudaci</t>
        </is>
      </c>
      <c r="G271" s="2" t="inlineStr">
        <is>
          <t>kpl</t>
        </is>
      </c>
      <c r="H271" s="2" t="n">
        <v>1</v>
      </c>
      <c r="I271" s="3" t="inlineStr">
        <is>
          <t>ČSN 33 2000-6 — povinná revize před kolaudací</t>
        </is>
      </c>
      <c r="J271" s="2" t="inlineStr">
        <is>
          <t>996019011</t>
        </is>
      </c>
      <c r="K271" s="3" t="inlineStr">
        <is>
          <t>Povinná revize ELI dle ČSN 33 2000-6 + kolaudace</t>
        </is>
      </c>
      <c r="L271" s="2" t="inlineStr">
        <is>
          <t>needs_production_lookup</t>
        </is>
      </c>
      <c r="M271" s="2" t="inlineStr"/>
    </row>
    <row r="272">
      <c r="A272" s="2" t="n">
        <v>271</v>
      </c>
      <c r="B272" s="2" t="inlineStr">
        <is>
          <t>VRN.001</t>
        </is>
      </c>
      <c r="C272" s="2" t="inlineStr">
        <is>
          <t>260219_dum</t>
        </is>
      </c>
      <c r="D272" s="2" t="inlineStr">
        <is>
          <t>VRN — Zařízení staveniště</t>
        </is>
      </c>
      <c r="E272" s="3" t="inlineStr">
        <is>
          <t>VRN — Zařízení staveniště</t>
        </is>
      </c>
      <c r="F272" s="3" t="inlineStr">
        <is>
          <t>Zařízení staveniště — buňka kancelář + sociální buňka (WC + šatna), pronájem ~8 měsíců</t>
        </is>
      </c>
      <c r="G272" s="2" t="inlineStr">
        <is>
          <t>kpl-měs</t>
        </is>
      </c>
      <c r="H272" s="2" t="n">
        <v>8</v>
      </c>
      <c r="I272" s="3" t="inlineStr">
        <is>
          <t>realizace odhad 8 měs (demolice 1.5 + hrubá 2.5 + dokončování 4)</t>
        </is>
      </c>
      <c r="J272" s="2" t="inlineStr">
        <is>
          <t>030011000</t>
        </is>
      </c>
      <c r="K272" s="3" t="inlineStr">
        <is>
          <t>TZ B m.1.m realizace 2026-2027 + standard staveniště RD městská zástavba</t>
        </is>
      </c>
      <c r="L272" s="2" t="inlineStr">
        <is>
          <t>needs_production_lookup</t>
        </is>
      </c>
      <c r="M272" s="2" t="inlineStr"/>
    </row>
    <row r="273">
      <c r="A273" s="2" t="n">
        <v>272</v>
      </c>
      <c r="B273" s="2" t="inlineStr">
        <is>
          <t>VRN.002</t>
        </is>
      </c>
      <c r="C273" s="2" t="inlineStr">
        <is>
          <t>260219_dum</t>
        </is>
      </c>
      <c r="D273" s="2" t="inlineStr">
        <is>
          <t>VRN — Zařízení staveniště</t>
        </is>
      </c>
      <c r="E273" s="3" t="inlineStr">
        <is>
          <t>VRN — Zařízení staveniště</t>
        </is>
      </c>
      <c r="F273" s="3" t="inlineStr">
        <is>
          <t>Mobilní chemické WC TOI TOI pro pracovníky — pronájem ~8 měsíců</t>
        </is>
      </c>
      <c r="G273" s="2" t="inlineStr">
        <is>
          <t>ks-měs</t>
        </is>
      </c>
      <c r="H273" s="2" t="n">
        <v>8</v>
      </c>
      <c r="I273" s="3" t="inlineStr">
        <is>
          <t>1 ks × 8 měs realizace</t>
        </is>
      </c>
      <c r="J273" s="2" t="inlineStr">
        <is>
          <t>030013000</t>
        </is>
      </c>
      <c r="K273" s="3" t="inlineStr">
        <is>
          <t>BOZP — mobilní WC povinné pro stavbu RD</t>
        </is>
      </c>
      <c r="L273" s="2" t="inlineStr">
        <is>
          <t>needs_production_lookup</t>
        </is>
      </c>
      <c r="M273" s="2" t="inlineStr"/>
    </row>
    <row r="274">
      <c r="A274" s="2" t="n">
        <v>273</v>
      </c>
      <c r="B274" s="2" t="inlineStr">
        <is>
          <t>VRN.003</t>
        </is>
      </c>
      <c r="C274" s="2" t="inlineStr">
        <is>
          <t>260219_dum</t>
        </is>
      </c>
      <c r="D274" s="2" t="inlineStr">
        <is>
          <t>VRN — Zařízení staveniště</t>
        </is>
      </c>
      <c r="E274" s="3" t="inlineStr">
        <is>
          <t>VRN — Zařízení staveniště</t>
        </is>
      </c>
      <c r="F274" s="3" t="inlineStr">
        <is>
          <t>El. odběr stavby (zřízení staveništního rozvaděče + měřič) + vodovodní odběr (zřízení staveništní přípojky + vodoměr) — ~8 měsíců</t>
        </is>
      </c>
      <c r="G274" s="2" t="inlineStr">
        <is>
          <t>kpl</t>
        </is>
      </c>
      <c r="H274" s="2" t="n">
        <v>1</v>
      </c>
      <c r="I274" s="3" t="inlineStr">
        <is>
          <t>Komplexní zřízení + provoz po dobu stavby</t>
        </is>
      </c>
      <c r="J274" s="2" t="inlineStr">
        <is>
          <t>031011000</t>
        </is>
      </c>
      <c r="K274" s="3" t="inlineStr">
        <is>
          <t>Standard staveniště — el. + voda zřízení a odběr po dobu stavby</t>
        </is>
      </c>
      <c r="L274" s="2" t="inlineStr">
        <is>
          <t>needs_production_lookup</t>
        </is>
      </c>
      <c r="M274" s="2" t="inlineStr"/>
    </row>
    <row r="275">
      <c r="A275" s="2" t="n">
        <v>274</v>
      </c>
      <c r="B275" s="2" t="inlineStr">
        <is>
          <t>VRN.101</t>
        </is>
      </c>
      <c r="C275" s="2" t="inlineStr">
        <is>
          <t>260219_dum</t>
        </is>
      </c>
      <c r="D275" s="2" t="inlineStr">
        <is>
          <t>VRN — Doprava + odpad</t>
        </is>
      </c>
      <c r="E275" s="3" t="inlineStr">
        <is>
          <t>VRN — Doprava + odpad</t>
        </is>
      </c>
      <c r="F275" s="3" t="inlineStr">
        <is>
          <t>Kontejnery na suť tříděnou velkoobjemové (beton/cihly, dřevo, kovy, EPS, sádra, směs) — pronájem + svozy</t>
        </is>
      </c>
      <c r="G275" s="2" t="inlineStr">
        <is>
          <t>ks</t>
        </is>
      </c>
      <c r="H275" s="2" t="n">
        <v>7</v>
      </c>
      <c r="I275" s="3" t="inlineStr">
        <is>
          <t>TZ B m.10.e: 56.9 t celkem → ~7 kontejnerů 8 m³ (beton/cihly hlavní hmota)</t>
        </is>
      </c>
      <c r="J275" s="2" t="inlineStr">
        <is>
          <t>997013211</t>
        </is>
      </c>
      <c r="K275" s="3" t="inlineStr">
        <is>
          <t>TZ B m.10.e: beton/cihly 46 t + dřevo 9 t + kovy 0.1 + EPS 0.1 + sádra 0.2 + směs 1.0</t>
        </is>
      </c>
      <c r="L275" s="2" t="inlineStr">
        <is>
          <t>needs_production_lookup</t>
        </is>
      </c>
      <c r="M275" s="2" t="inlineStr"/>
    </row>
    <row r="276">
      <c r="A276" s="2" t="n">
        <v>275</v>
      </c>
      <c r="B276" s="2" t="inlineStr">
        <is>
          <t>VRN.201</t>
        </is>
      </c>
      <c r="C276" s="2" t="inlineStr">
        <is>
          <t>260219_dum</t>
        </is>
      </c>
      <c r="D276" s="2" t="inlineStr">
        <is>
          <t>VRN — BOZP</t>
        </is>
      </c>
      <c r="E276" s="3" t="inlineStr">
        <is>
          <t>VRN — BOZP</t>
        </is>
      </c>
      <c r="F276" s="3" t="inlineStr">
        <is>
          <t>Koordinátor BOZP na staveništi dle zákona 309/2006 Sb. — pro stavbu s více než jedním zhotovitelem</t>
        </is>
      </c>
      <c r="G276" s="2" t="inlineStr">
        <is>
          <t>kpl</t>
        </is>
      </c>
      <c r="H276" s="2" t="n">
        <v>1</v>
      </c>
      <c r="I276" s="3" t="inlineStr">
        <is>
          <t>realizace ~8 měs</t>
        </is>
      </c>
      <c r="J276" s="2" t="inlineStr">
        <is>
          <t>030091000</t>
        </is>
      </c>
      <c r="K276" s="3" t="inlineStr">
        <is>
          <t>Zákon 309/2006 Sb. — povinný BOZP koordinátor pro vícezhotovitelskou stavbu</t>
        </is>
      </c>
      <c r="L276" s="2" t="inlineStr">
        <is>
          <t>needs_production_lookup</t>
        </is>
      </c>
      <c r="M276" s="2" t="inlineStr"/>
    </row>
    <row r="277">
      <c r="A277" s="2" t="n">
        <v>276</v>
      </c>
      <c r="B277" s="2" t="inlineStr">
        <is>
          <t>VRN.301</t>
        </is>
      </c>
      <c r="C277" s="2" t="inlineStr">
        <is>
          <t>260219_dum</t>
        </is>
      </c>
      <c r="D277" s="2" t="inlineStr">
        <is>
          <t>VRN — Pojištění + zábory</t>
        </is>
      </c>
      <c r="E277" s="3" t="inlineStr">
        <is>
          <t>VRN — Pojištění + zábory</t>
        </is>
      </c>
      <c r="F277" s="3" t="inlineStr">
        <is>
          <t>Montážní pojištění stavby (CAR) + pojištění odpovědnosti za škodu (zhotovitel) — paušál cca 0.3-0.5 % z PN</t>
        </is>
      </c>
      <c r="G277" s="2" t="inlineStr">
        <is>
          <t>paušál</t>
        </is>
      </c>
      <c r="H277" s="2" t="n">
        <v>1</v>
      </c>
      <c r="I277" s="3" t="inlineStr">
        <is>
          <t>Standard pojistná sazba 0.3-0.5 % z přímých nákladů</t>
        </is>
      </c>
      <c r="J277" s="2" t="inlineStr">
        <is>
          <t>030081000</t>
        </is>
      </c>
      <c r="K277" s="3" t="inlineStr">
        <is>
          <t>Standard zhotovitel — pojistná povinnost</t>
        </is>
      </c>
      <c r="L277" s="2" t="inlineStr">
        <is>
          <t>needs_production_lookup</t>
        </is>
      </c>
      <c r="M277" s="2" t="inlineStr"/>
    </row>
    <row r="278">
      <c r="A278" s="2" t="n">
        <v>277</v>
      </c>
      <c r="B278" s="2" t="inlineStr">
        <is>
          <t>VRN.302</t>
        </is>
      </c>
      <c r="C278" s="2" t="inlineStr">
        <is>
          <t>260219_dum</t>
        </is>
      </c>
      <c r="D278" s="2" t="inlineStr">
        <is>
          <t>VRN — Pojištění + zábory</t>
        </is>
      </c>
      <c r="E278" s="3" t="inlineStr">
        <is>
          <t>VRN — Pojištění + zábory</t>
        </is>
      </c>
      <c r="F278" s="3" t="inlineStr">
        <is>
          <t>Krátkodobé zábory ulice Fibichova pro materiál a kontejnery (povolení MU Jáchymov + DI) — odhad 30 dnů kumulativně</t>
        </is>
      </c>
      <c r="G278" s="2" t="inlineStr">
        <is>
          <t>kpl</t>
        </is>
      </c>
      <c r="H278" s="2" t="n">
        <v>1</v>
      </c>
      <c r="I278" s="3" t="inlineStr">
        <is>
          <t>Řadová zástavba úzká ulice — opakované krátkodobé zábory cumulative ~30 dnů</t>
        </is>
      </c>
      <c r="J278" s="2" t="inlineStr">
        <is>
          <t>030083000</t>
        </is>
      </c>
      <c r="K278" s="3" t="inlineStr">
        <is>
          <t>TZ B m.10 + situace — řadovka ul. Fibichova</t>
        </is>
      </c>
      <c r="L278" s="2" t="inlineStr">
        <is>
          <t>needs_production_lookup</t>
        </is>
      </c>
      <c r="M278" s="2" t="inlineStr"/>
    </row>
    <row r="279">
      <c r="A279" s="2" t="n">
        <v>278</v>
      </c>
      <c r="B279" s="2" t="inlineStr">
        <is>
          <t>VRN.401</t>
        </is>
      </c>
      <c r="C279" s="2" t="inlineStr">
        <is>
          <t>260219_dum</t>
        </is>
      </c>
      <c r="D279" s="2" t="inlineStr">
        <is>
          <t>VRN — Průzkumy</t>
        </is>
      </c>
      <c r="E279" s="3" t="inlineStr">
        <is>
          <t>VRN — Průzkumy</t>
        </is>
      </c>
      <c r="F279" s="3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G279" s="2" t="inlineStr">
        <is>
          <t>kpl</t>
        </is>
      </c>
      <c r="H279" s="2" t="n">
        <v>1</v>
      </c>
      <c r="I279" s="3" t="inlineStr">
        <is>
          <t>TZ ARS §3.2.3 — 'při bourání bude proveden mykologický průzkum dřev. trámů (zhlaví)'</t>
        </is>
      </c>
      <c r="J279" s="2" t="inlineStr">
        <is>
          <t>030131000</t>
        </is>
      </c>
      <c r="K279" s="3" t="inlineStr">
        <is>
          <t>TZ ARS dům §3.2.3 + POZN.2.05 z půdorysů návrh + řez A-A návrh (explicit dřevokazný hmyz scope per drawing wording)</t>
        </is>
      </c>
      <c r="L279" s="2" t="inlineStr">
        <is>
          <t>needs_production_lookup</t>
        </is>
      </c>
      <c r="M279" s="2" t="inlineStr"/>
    </row>
    <row r="280">
      <c r="A280" s="2" t="n">
        <v>279</v>
      </c>
      <c r="B280" s="2" t="inlineStr">
        <is>
          <t>VRN.402</t>
        </is>
      </c>
      <c r="C280" s="2" t="inlineStr">
        <is>
          <t>260219_dum</t>
        </is>
      </c>
      <c r="D280" s="2" t="inlineStr">
        <is>
          <t>VRN — Průzkumy</t>
        </is>
      </c>
      <c r="E280" s="3" t="inlineStr">
        <is>
          <t>VRN — Průzkumy</t>
        </is>
      </c>
      <c r="F280" s="3" t="inlineStr">
        <is>
          <t>Azbestový průzkum podrobný před demolicí — laboratorní vzorky a posudek (B kap. m.7.a předběžně negativní, ale podrobný před bouráním povinný)</t>
        </is>
      </c>
      <c r="G280" s="2" t="inlineStr">
        <is>
          <t>kpl</t>
        </is>
      </c>
      <c r="H280" s="2" t="n">
        <v>1</v>
      </c>
      <c r="I280" s="3" t="inlineStr">
        <is>
          <t>TZ B m.7.a — 'předběžné ohledání negativní, podrobný průzkum před bouráním'</t>
        </is>
      </c>
      <c r="J280" s="2" t="inlineStr">
        <is>
          <t>030133000</t>
        </is>
      </c>
      <c r="K280" s="3" t="inlineStr">
        <is>
          <t>TZ B m.7.a + ARS §3.2 — azbestový průzkum povinný před demolicí</t>
        </is>
      </c>
      <c r="L280" s="2" t="inlineStr">
        <is>
          <t>needs_production_lookup</t>
        </is>
      </c>
      <c r="M280" s="2" t="inlineStr"/>
    </row>
    <row r="281">
      <c r="A281" s="2" t="n">
        <v>280</v>
      </c>
      <c r="B281" s="2" t="inlineStr">
        <is>
          <t>VRN.501</t>
        </is>
      </c>
      <c r="C281" s="2" t="inlineStr">
        <is>
          <t>260219_dum</t>
        </is>
      </c>
      <c r="D281" s="2" t="inlineStr">
        <is>
          <t>VRN — Geodet</t>
        </is>
      </c>
      <c r="E281" s="3" t="inlineStr">
        <is>
          <t>VRN — Geodet</t>
        </is>
      </c>
      <c r="F281" s="3" t="inlineStr">
        <is>
          <t>Geodetické zaměření před realizací (verifikace polohopis + výškopis) + po dokončení (zaměření skutečného provedení pro kolaudaci)</t>
        </is>
      </c>
      <c r="G281" s="2" t="inlineStr">
        <is>
          <t>kpl</t>
        </is>
      </c>
      <c r="H281" s="2" t="n">
        <v>2</v>
      </c>
      <c r="I281" s="3" t="inlineStr">
        <is>
          <t>2 etapy geodet × 1 kpl</t>
        </is>
      </c>
      <c r="J281" s="2" t="inlineStr">
        <is>
          <t>030141000</t>
        </is>
      </c>
      <c r="K281" s="3" t="inlineStr">
        <is>
          <t>Standard — geodet před+po pro každou stavbu</t>
        </is>
      </c>
      <c r="L281" s="2" t="inlineStr">
        <is>
          <t>needs_production_lookup</t>
        </is>
      </c>
      <c r="M281" s="2" t="inlineStr"/>
    </row>
    <row r="282">
      <c r="A282" s="2" t="n">
        <v>281</v>
      </c>
      <c r="B282" s="2" t="inlineStr">
        <is>
          <t>VRN.601</t>
        </is>
      </c>
      <c r="C282" s="2" t="inlineStr">
        <is>
          <t>260219_dum</t>
        </is>
      </c>
      <c r="D282" s="2" t="inlineStr">
        <is>
          <t>VRN — Dokumentace</t>
        </is>
      </c>
      <c r="E282" s="3" t="inlineStr">
        <is>
          <t>VRN — Dokumentace</t>
        </is>
      </c>
      <c r="F282" s="3" t="inlineStr">
        <is>
          <t>Předávací protokoly + Dokumentace skutečného provedení (DSP) — sestavení, vázání, dodávka 2× tiskem + elektronická verze</t>
        </is>
      </c>
      <c r="G282" s="2" t="inlineStr">
        <is>
          <t>kpl</t>
        </is>
      </c>
      <c r="H282" s="2" t="n">
        <v>1</v>
      </c>
      <c r="I282" s="3" t="inlineStr">
        <is>
          <t>Standard — DSP pro kolaudaci</t>
        </is>
      </c>
      <c r="J282" s="2" t="inlineStr">
        <is>
          <t>030151000</t>
        </is>
      </c>
      <c r="K282" s="3" t="inlineStr">
        <is>
          <t>Vyhláška 499/2006 Sb. + ČKAIT — DSP povinná pro kolaudaci</t>
        </is>
      </c>
      <c r="L282" s="2" t="inlineStr">
        <is>
          <t>needs_production_lookup</t>
        </is>
      </c>
      <c r="M282" s="2" t="inlineStr"/>
    </row>
    <row r="283">
      <c r="A283" s="2" t="n">
        <v>282</v>
      </c>
      <c r="B283" s="2" t="inlineStr">
        <is>
          <t>VRN.701</t>
        </is>
      </c>
      <c r="C283" s="2" t="inlineStr">
        <is>
          <t>260219_dum</t>
        </is>
      </c>
      <c r="D283" s="2" t="inlineStr">
        <is>
          <t>VRN — Revize</t>
        </is>
      </c>
      <c r="E283" s="3" t="inlineStr">
        <is>
          <t>VRN — Revize</t>
        </is>
      </c>
      <c r="F283" s="3" t="inlineStr">
        <is>
          <t>Revize vnějšího hydrantu pro požární zabezpečení (DN min. 80, vzdálenost 100 m dle TZ PBŘ) — periodická kontrola</t>
        </is>
      </c>
      <c r="G283" s="2" t="inlineStr">
        <is>
          <t>kpl</t>
        </is>
      </c>
      <c r="H283" s="2" t="n">
        <v>1</v>
      </c>
      <c r="I283" s="3" t="inlineStr">
        <is>
          <t>TZ PBŘ dům — vnější hydrant DN min. 80, vzdálenost 100 m</t>
        </is>
      </c>
      <c r="J283" s="2" t="inlineStr">
        <is>
          <t>030161000</t>
        </is>
      </c>
      <c r="K283" s="3" t="inlineStr">
        <is>
          <t>TZ PBŘ dům — vnější odběrné místo požární vody, revize před kolaudací</t>
        </is>
      </c>
      <c r="L283" s="2" t="inlineStr">
        <is>
          <t>needs_production_lookup</t>
        </is>
      </c>
      <c r="M283" s="2" t="inlineStr"/>
    </row>
    <row r="284">
      <c r="A284" s="2" t="n">
        <v>283</v>
      </c>
      <c r="B284" s="2" t="inlineStr">
        <is>
          <t>VRN.801</t>
        </is>
      </c>
      <c r="C284" s="2" t="inlineStr">
        <is>
          <t>260219_dum</t>
        </is>
      </c>
      <c r="D284" s="2" t="inlineStr">
        <is>
          <t>VRN — Kolaudace</t>
        </is>
      </c>
      <c r="E284" s="3" t="inlineStr">
        <is>
          <t>VRN — Kolaudace</t>
        </is>
      </c>
      <c r="F284" s="3" t="inlineStr">
        <is>
          <t>Kolaudační řízení — paušál (správní poplatky + součinnost) dle zákona 183/2006 Sb.</t>
        </is>
      </c>
      <c r="G284" s="2" t="inlineStr">
        <is>
          <t>paušál</t>
        </is>
      </c>
      <c r="H284" s="2" t="n">
        <v>1</v>
      </c>
      <c r="I284" s="3" t="inlineStr">
        <is>
          <t>Standard — paušál kolaudace</t>
        </is>
      </c>
      <c r="J284" s="2" t="inlineStr">
        <is>
          <t>030171000</t>
        </is>
      </c>
      <c r="K284" s="3" t="inlineStr">
        <is>
          <t>Zákon 183/2006 Sb. + vyhl. 499/2006 Sb.</t>
        </is>
      </c>
      <c r="L284" s="2" t="inlineStr">
        <is>
          <t>needs_production_lookup</t>
        </is>
      </c>
      <c r="M284" s="2" t="inlineStr"/>
    </row>
    <row r="285">
      <c r="A285" s="2" t="n">
        <v>284</v>
      </c>
      <c r="B285" s="2" t="inlineStr">
        <is>
          <t>VRN.102</t>
        </is>
      </c>
      <c r="C285" s="2" t="inlineStr">
        <is>
          <t>260219_dum</t>
        </is>
      </c>
      <c r="D285" s="2" t="inlineStr">
        <is>
          <t>VRN — Doprava + odpad</t>
        </is>
      </c>
      <c r="E285" s="3" t="inlineStr">
        <is>
          <t>VRN — Doprava + odpad</t>
        </is>
      </c>
      <c r="F285" s="3" t="inlineStr">
        <is>
          <t>Doprava materiálu na stavbu (centrální koordinace) — paušál ~2-3 % z PN materiál</t>
        </is>
      </c>
      <c r="G285" s="2" t="inlineStr">
        <is>
          <t>paušál</t>
        </is>
      </c>
      <c r="H285" s="2" t="n">
        <v>1</v>
      </c>
      <c r="I285" s="3" t="inlineStr">
        <is>
          <t>Standard paušální koeficient pro RD městská zástavba 2-3 % z PN</t>
        </is>
      </c>
      <c r="J285" s="2" t="inlineStr">
        <is>
          <t>031031000</t>
        </is>
      </c>
      <c r="K285" s="3" t="inlineStr">
        <is>
          <t>B4_productivity — standard doprava RD městská zástavba</t>
        </is>
      </c>
      <c r="L285" s="2" t="inlineStr">
        <is>
          <t>needs_production_lookup</t>
        </is>
      </c>
      <c r="M285" s="2" t="inlineStr"/>
    </row>
    <row r="286">
      <c r="A286" s="2" t="n">
        <v>285</v>
      </c>
      <c r="B286" s="2" t="inlineStr">
        <is>
          <t>VRN.103</t>
        </is>
      </c>
      <c r="C286" s="2" t="inlineStr">
        <is>
          <t>260219_dum</t>
        </is>
      </c>
      <c r="D286" s="2" t="inlineStr">
        <is>
          <t>VRN — Doprava + odpad</t>
        </is>
      </c>
      <c r="E286" s="3" t="inlineStr">
        <is>
          <t>VRN — Doprava + odpad</t>
        </is>
      </c>
      <c r="F286" s="3" t="inlineStr">
        <is>
          <t>Likvidace stavební suti dle vyhl. 8/2021 Sb. — skládkovné + recyklace + třídění (56.9 t celkem per TZ B m.10.e)</t>
        </is>
      </c>
      <c r="G286" s="2" t="inlineStr">
        <is>
          <t>t</t>
        </is>
      </c>
      <c r="H286" s="2" t="n">
        <v>56.9</v>
      </c>
      <c r="I286" s="3" t="inlineStr">
        <is>
          <t>TZ B m.10.e bilance: 46+9+0.1+0.1+0.2+1.0 = 56.4 t (round 56.9 vč. drobných)</t>
        </is>
      </c>
      <c r="J286" s="2" t="inlineStr">
        <is>
          <t>997013211</t>
        </is>
      </c>
      <c r="K286" s="3" t="inlineStr">
        <is>
          <t>TZ B m.10.e bilance odpadů celkem dům</t>
        </is>
      </c>
      <c r="L286" s="2" t="inlineStr">
        <is>
          <t>needs_production_lookup</t>
        </is>
      </c>
      <c r="M286" s="2" t="inlineStr"/>
    </row>
    <row r="287">
      <c r="A287" s="2" t="n">
        <v>286</v>
      </c>
      <c r="B287" s="2" t="inlineStr">
        <is>
          <t>VRN.001</t>
        </is>
      </c>
      <c r="C287" s="2" t="inlineStr">
        <is>
          <t>260217_sklad</t>
        </is>
      </c>
      <c r="D287" s="2" t="inlineStr">
        <is>
          <t>VRN — Doprava + odpad</t>
        </is>
      </c>
      <c r="E287" s="3" t="inlineStr">
        <is>
          <t>VRN — Doprava + odpad</t>
        </is>
      </c>
      <c r="F287" s="3" t="inlineStr">
        <is>
          <t>Doprava prefa H-BLOK Standard z výrobny Herkul (Obrnice) auto s hydraulickou rukou — celkem ~60 ks bloků</t>
        </is>
      </c>
      <c r="G287" s="2" t="inlineStr">
        <is>
          <t>kpl</t>
        </is>
      </c>
      <c r="H287" s="2" t="n">
        <v>1</v>
      </c>
      <c r="I287" s="3" t="inlineStr">
        <is>
          <t>Standard doprava prefa Herkul autem s hyd. rukou pro lokální distribuci</t>
        </is>
      </c>
      <c r="J287" s="2" t="inlineStr">
        <is>
          <t>031032000</t>
        </is>
      </c>
      <c r="K287" s="3" t="inlineStr">
        <is>
          <t>TZ statika sklad §4 + ARS — auto s hyd. rukou pro osazení H-BLOK</t>
        </is>
      </c>
      <c r="L287" s="2" t="inlineStr">
        <is>
          <t>needs_production_lookup</t>
        </is>
      </c>
      <c r="M287" s="2" t="inlineStr"/>
    </row>
    <row r="288">
      <c r="A288" s="2" t="n">
        <v>287</v>
      </c>
      <c r="B288" s="2" t="inlineStr">
        <is>
          <t>VRN.002</t>
        </is>
      </c>
      <c r="C288" s="2" t="inlineStr">
        <is>
          <t>260217_sklad</t>
        </is>
      </c>
      <c r="D288" s="2" t="inlineStr">
        <is>
          <t>VRN — Doprava + odpad</t>
        </is>
      </c>
      <c r="E288" s="3" t="inlineStr">
        <is>
          <t>VRN — Doprava + odpad</t>
        </is>
      </c>
      <c r="F288" s="3" t="inlineStr">
        <is>
          <t>Likvidace odpadu sklad — kameny ze zídek + výkop + dřevo (drobné množství)</t>
        </is>
      </c>
      <c r="G288" s="2" t="inlineStr">
        <is>
          <t>t</t>
        </is>
      </c>
      <c r="H288" s="2" t="n">
        <v>8</v>
      </c>
      <c r="I288" s="3" t="inlineStr">
        <is>
          <t>Odhad: kamenné zídky ~6 t + dřevo+výkop ~2 t = 8 t</t>
        </is>
      </c>
      <c r="J288" s="2" t="inlineStr">
        <is>
          <t>997013211</t>
        </is>
      </c>
      <c r="K288" s="3" t="inlineStr">
        <is>
          <t>TZ ARS sklad §3 — kamenné zídky + schodiště odstraneny</t>
        </is>
      </c>
      <c r="L288" s="2" t="inlineStr">
        <is>
          <t>needs_production_lookup</t>
        </is>
      </c>
      <c r="M288" s="2" t="inlineStr"/>
    </row>
    <row r="289">
      <c r="A289" s="2" t="n">
        <v>288</v>
      </c>
      <c r="B289" s="2" t="inlineStr">
        <is>
          <t>VRN.101</t>
        </is>
      </c>
      <c r="C289" s="2" t="inlineStr">
        <is>
          <t>260217_sklad</t>
        </is>
      </c>
      <c r="D289" s="2" t="inlineStr">
        <is>
          <t>VRN — Geodet</t>
        </is>
      </c>
      <c r="E289" s="3" t="inlineStr">
        <is>
          <t>VRN — Geodet</t>
        </is>
      </c>
      <c r="F289" s="3" t="inlineStr">
        <is>
          <t>Geodetické vytýčení sklad+parking+schodiště ze situace (před realizací)</t>
        </is>
      </c>
      <c r="G289" s="2" t="inlineStr">
        <is>
          <t>kpl</t>
        </is>
      </c>
      <c r="H289" s="2" t="n">
        <v>1</v>
      </c>
      <c r="I289" s="3" t="inlineStr">
        <is>
          <t>Standard geodet vytýčení pro nový objekt</t>
        </is>
      </c>
      <c r="J289" s="2" t="inlineStr">
        <is>
          <t>030141000</t>
        </is>
      </c>
      <c r="K289" s="3" t="inlineStr">
        <is>
          <t>Standard — geodet vytýčení pro každý nový objekt</t>
        </is>
      </c>
      <c r="L289" s="2" t="inlineStr">
        <is>
          <t>needs_production_lookup</t>
        </is>
      </c>
      <c r="M289" s="2" t="inlineStr"/>
    </row>
    <row r="290">
      <c r="A290" s="2" t="n">
        <v>289</v>
      </c>
      <c r="B290" s="2" t="inlineStr">
        <is>
          <t>VRN.201</t>
        </is>
      </c>
      <c r="C290" s="2" t="inlineStr">
        <is>
          <t>260217_sklad</t>
        </is>
      </c>
      <c r="D290" s="2" t="inlineStr">
        <is>
          <t>VRN — Společné</t>
        </is>
      </c>
      <c r="E290" s="3" t="inlineStr">
        <is>
          <t>VRN — Společné</t>
        </is>
      </c>
      <c r="F290" s="3" t="inlineStr">
        <is>
          <t>Podíl na obecných VRN domu (buňky, BOZP, pojištění, kolaudace) — paušál ~10 % nákladů sklad nebo % alokace</t>
        </is>
      </c>
      <c r="G290" s="2" t="inlineStr">
        <is>
          <t>paušál</t>
        </is>
      </c>
      <c r="H290" s="2" t="n">
        <v>1</v>
      </c>
      <c r="I290" s="3" t="inlineStr">
        <is>
          <t>Standard paušální alokace VRN pro paralelně realizovaný menší objekt</t>
        </is>
      </c>
      <c r="J290" s="2" t="inlineStr">
        <is>
          <t>030001000</t>
        </is>
      </c>
      <c r="K290" s="3" t="inlineStr">
        <is>
          <t>Standard zhotovitel — alokace VRN pro paralelně realizovaný sklad</t>
        </is>
      </c>
      <c r="L290" s="2" t="inlineStr">
        <is>
          <t>needs_production_lookup</t>
        </is>
      </c>
      <c r="M290" s="2" t="inlineStr"/>
    </row>
    <row r="291">
      <c r="A291" s="2" t="n">
        <v>290</v>
      </c>
      <c r="B291" s="2" t="inlineStr">
        <is>
          <t>HSV6.013</t>
        </is>
      </c>
      <c r="C291" s="2" t="inlineStr">
        <is>
          <t>260219_dum</t>
        </is>
      </c>
      <c r="D291" s="2" t="inlineStr">
        <is>
          <t>HSV-6 Bourací práce</t>
        </is>
      </c>
      <c r="E291" s="3" t="inlineStr">
        <is>
          <t>HSV-6 Bourací práce</t>
        </is>
      </c>
      <c r="F291" s="3" t="inlineStr">
        <is>
          <t>Demontáž stávajících dřevěných oken vč. rámů a parapetů — 16 ks (návrh všechna okna nová plastová trojsklem)</t>
        </is>
      </c>
      <c r="G291" s="2" t="inlineStr">
        <is>
          <t>ks</t>
        </is>
      </c>
      <c r="H291" s="2" t="n">
        <v>16</v>
      </c>
      <c r="I291" s="3" t="inlineStr">
        <is>
          <t>DXF INSERT okno* total 16 ks (Path C Tier 4 — front 9 + back 7)</t>
        </is>
      </c>
      <c r="J291" s="2" t="inlineStr">
        <is>
          <t>978013181</t>
        </is>
      </c>
      <c r="K291" s="3" t="inlineStr">
        <is>
          <t>DXF blocks okno* (Path C Tier 4) + TZ ARS — všechna okna nová</t>
        </is>
      </c>
      <c r="L291" s="2" t="inlineStr">
        <is>
          <t>carried_verified</t>
        </is>
      </c>
      <c r="M291" s="2" t="inlineStr"/>
    </row>
    <row r="292">
      <c r="A292" s="2" t="n">
        <v>291</v>
      </c>
      <c r="B292" s="2" t="inlineStr">
        <is>
          <t>HSV6.014</t>
        </is>
      </c>
      <c r="C292" s="2" t="inlineStr">
        <is>
          <t>260219_dum</t>
        </is>
      </c>
      <c r="D292" s="2" t="inlineStr">
        <is>
          <t>HSV-6 Bourací práce</t>
        </is>
      </c>
      <c r="E292" s="3" t="inlineStr">
        <is>
          <t>HSV-6 Bourací práce</t>
        </is>
      </c>
      <c r="F292" s="3" t="inlineStr">
        <is>
          <t>Demontáž stávajících vstupních dveří + rámů — 2 ks (1× ulice Fibichova + 1× zahrada; návrh nové plastové vstupní dveře)</t>
        </is>
      </c>
      <c r="G292" s="2" t="inlineStr">
        <is>
          <t>ks</t>
        </is>
      </c>
      <c r="H292" s="2" t="n">
        <v>2</v>
      </c>
      <c r="I292" s="3" t="inlineStr">
        <is>
          <t>DXF INSERT dveře = 2 (Path C Tier 4) + TZ ARS</t>
        </is>
      </c>
      <c r="J292" s="2" t="inlineStr">
        <is>
          <t>978013181</t>
        </is>
      </c>
      <c r="K292" s="3" t="inlineStr">
        <is>
          <t>DXF blocks dveře (vstupní 2) + TZ ARS — 'plastové vstupní dveře' x 2</t>
        </is>
      </c>
      <c r="L292" s="2" t="inlineStr">
        <is>
          <t>carried_verified</t>
        </is>
      </c>
      <c r="M292" s="2" t="inlineStr"/>
    </row>
    <row r="293">
      <c r="A293" s="2" t="n">
        <v>292</v>
      </c>
      <c r="B293" s="2" t="inlineStr">
        <is>
          <t>HSV6.015</t>
        </is>
      </c>
      <c r="C293" s="2" t="inlineStr">
        <is>
          <t>260219_dum</t>
        </is>
      </c>
      <c r="D293" s="2" t="inlineStr">
        <is>
          <t>HSV-6 Bourací práce</t>
        </is>
      </c>
      <c r="E293" s="3" t="inlineStr">
        <is>
          <t>HSV-6 Bourací práce</t>
        </is>
      </c>
      <c r="F293" s="3" t="inlineStr">
        <is>
          <t>Demontáž stávajících vnitřních dveří vč. ocelových/dřevěných zárubní — odhad 15 ks (3 patra × ~5 dveří/patro per DXF SM__dveře layer)</t>
        </is>
      </c>
      <c r="G293" s="2" t="inlineStr">
        <is>
          <t>ks</t>
        </is>
      </c>
      <c r="H293" s="2" t="n">
        <v>15</v>
      </c>
      <c r="I293" s="3" t="inlineStr">
        <is>
          <t>DXF SM__dveře polylines 102 / ~3 fáze / ~2.3 symbol per dveře ≈ 15 ks návrh (Path C confidence 0.65)</t>
        </is>
      </c>
      <c r="J293" s="2" t="inlineStr">
        <is>
          <t>968072456</t>
        </is>
      </c>
      <c r="K293" s="3" t="inlineStr">
        <is>
          <t>DXF SM__dveře polyline count → estimate (Path C Tier 4)</t>
        </is>
      </c>
      <c r="L293" s="2" t="inlineStr">
        <is>
          <t>needs_production_lookup</t>
        </is>
      </c>
      <c r="M293" s="2" t="inlineStr"/>
    </row>
    <row r="294">
      <c r="A294" s="2" t="n">
        <v>293</v>
      </c>
      <c r="B294" s="2" t="inlineStr">
        <is>
          <t>PSV76.013a</t>
        </is>
      </c>
      <c r="C294" s="2" t="inlineStr">
        <is>
          <t>260219_dum</t>
        </is>
      </c>
      <c r="D294" s="2" t="inlineStr">
        <is>
          <t>PSV-76 Výplně otvorů</t>
        </is>
      </c>
      <c r="E294" s="3" t="inlineStr">
        <is>
          <t>PSV-76 Výplně otvorů</t>
        </is>
      </c>
      <c r="F294" s="3" t="inlineStr">
        <is>
          <t>Montáž — 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G294" s="2" t="inlineStr">
        <is>
          <t>ks</t>
        </is>
      </c>
      <c r="H294" s="2" t="n">
        <v>1</v>
      </c>
      <c r="I294" s="3" t="inlineStr">
        <is>
          <t>1× dveře na vrcholu schodiště 1.PP/1.NP (room 1.08 → 0.01) per PBŘ TUSPO</t>
        </is>
      </c>
      <c r="J294" s="2" t="inlineStr">
        <is>
          <t>766694112</t>
        </is>
      </c>
      <c r="K294" s="3" t="inlineStr">
        <is>
          <t>PBŘ TUSPO § Požární uzávěry otvorů 'podzemní 30DP1'; DXF schodiště 1.PP→1.NP</t>
        </is>
      </c>
      <c r="L294" s="2" t="inlineStr">
        <is>
          <t>needs_production_lookup</t>
        </is>
      </c>
      <c r="M294" s="2" t="inlineStr"/>
    </row>
    <row r="295">
      <c r="A295" s="2" t="n">
        <v>294</v>
      </c>
      <c r="B295" s="2" t="inlineStr">
        <is>
          <t>PSV76.013b</t>
        </is>
      </c>
      <c r="C295" s="2" t="inlineStr">
        <is>
          <t>260219_dum</t>
        </is>
      </c>
      <c r="D295" s="2" t="inlineStr">
        <is>
          <t>PSV-76 Výplně otvorů</t>
        </is>
      </c>
      <c r="E295" s="3" t="inlineStr">
        <is>
          <t>PSV-76 Výplně otvorů</t>
        </is>
      </c>
      <c r="F295" s="3" t="inlineStr">
        <is>
          <t>Dodávka — Dodávka výrobku (Požárně odolné jednokřídlové dveře EI 30 DP3 n)</t>
        </is>
      </c>
      <c r="G295" s="2" t="inlineStr">
        <is>
          <t>ks</t>
        </is>
      </c>
      <c r="H295" s="2" t="n">
        <v>1</v>
      </c>
      <c r="I295" s="3">
        <f> montáž 1:1</f>
        <v/>
      </c>
      <c r="J295" s="2" t="inlineStr"/>
      <c r="K295" s="3" t="inlineStr">
        <is>
          <t>PBŘ TUSPO § Požární uzávěry otvorů 'podzemní 30DP1'; DXF schodiště 1.PP→1.NP</t>
        </is>
      </c>
      <c r="L295" s="2" t="inlineStr">
        <is>
          <t>needs_lookup</t>
        </is>
      </c>
      <c r="M295" s="2" t="inlineStr"/>
    </row>
    <row r="296">
      <c r="A296" s="2" t="n">
        <v>295</v>
      </c>
      <c r="B296" s="2" t="inlineStr">
        <is>
          <t>VRN.020</t>
        </is>
      </c>
      <c r="C296" s="2" t="inlineStr">
        <is>
          <t>260219_dum</t>
        </is>
      </c>
      <c r="D296" s="2" t="inlineStr">
        <is>
          <t>VRN — Zařízení staveniště</t>
        </is>
      </c>
      <c r="E296" s="3" t="inlineStr">
        <is>
          <t>VRN — Zařízení staveniště</t>
        </is>
      </c>
      <c r="F296" s="3" t="inlineStr">
        <is>
          <t>Voda staveniště — napojení na stávající vodovodní přípojku, dočasné rozvody na staveništi (mísení malt, čištění, soc. zázemí), paušál pro dobu výstavby ~18 měs.</t>
        </is>
      </c>
      <c r="G296" s="2" t="inlineStr">
        <is>
          <t>kpl</t>
        </is>
      </c>
      <c r="H296" s="2" t="n">
        <v>1</v>
      </c>
      <c r="I296" s="3" t="inlineStr">
        <is>
          <t>1 paušál pro dobu výstavby (TZ B m.5 'Zásobování stavby vodou: stávající')</t>
        </is>
      </c>
      <c r="J296" s="2" t="inlineStr">
        <is>
          <t>012103101</t>
        </is>
      </c>
      <c r="K296" s="3" t="inlineStr">
        <is>
          <t>TZ B Souhrnná m.5 — 'Stávající vodovodní přípojka z veřejného vodovodu'</t>
        </is>
      </c>
      <c r="L296" s="2" t="inlineStr">
        <is>
          <t>needs_production_lookup</t>
        </is>
      </c>
      <c r="M296" s="2" t="inlineStr"/>
    </row>
    <row r="297">
      <c r="A297" s="2" t="n">
        <v>296</v>
      </c>
      <c r="B297" s="2" t="inlineStr">
        <is>
          <t>PSV76.014a</t>
        </is>
      </c>
      <c r="C297" s="2" t="inlineStr">
        <is>
          <t>260219_dum</t>
        </is>
      </c>
      <c r="D297" s="2" t="inlineStr">
        <is>
          <t>PSV-76 Výplně otvorů</t>
        </is>
      </c>
      <c r="E297" s="3" t="inlineStr">
        <is>
          <t>PSV-76 Výplně otvorů</t>
        </is>
      </c>
      <c r="F297" s="3" t="inlineStr">
        <is>
          <t>Montáž — Oplechování venkovních parapetů Pzn plech lakovaný 250 mm × tl. 0.55 mm, vč. okapnice + boční zakončení — 16 ks (per DXF INSERT okno × 16)</t>
        </is>
      </c>
      <c r="G297" s="2" t="inlineStr">
        <is>
          <t>ks</t>
        </is>
      </c>
      <c r="H297" s="2" t="n">
        <v>16</v>
      </c>
      <c r="I297" s="3" t="inlineStr">
        <is>
          <t>DXF okno × 16 ks (Path C Tier 4) = 16 parapetů</t>
        </is>
      </c>
      <c r="J297" s="2" t="inlineStr">
        <is>
          <t>764811112</t>
        </is>
      </c>
      <c r="K297" s="3" t="inlineStr">
        <is>
          <t>DXF blocks okno* 16 ks + DXF klempir_parapet 16 ks (Path C Tier 4 INSERT discovery)</t>
        </is>
      </c>
      <c r="L297" s="2" t="inlineStr">
        <is>
          <t>needs_production_lookup</t>
        </is>
      </c>
      <c r="M297" s="2" t="inlineStr"/>
    </row>
    <row r="298">
      <c r="A298" s="2" t="n">
        <v>297</v>
      </c>
      <c r="B298" s="2" t="inlineStr">
        <is>
          <t>PSV76.014b</t>
        </is>
      </c>
      <c r="C298" s="2" t="inlineStr">
        <is>
          <t>260219_dum</t>
        </is>
      </c>
      <c r="D298" s="2" t="inlineStr">
        <is>
          <t>PSV-76 Výplně otvorů</t>
        </is>
      </c>
      <c r="E298" s="3" t="inlineStr">
        <is>
          <t>PSV-76 Výplně otvorů</t>
        </is>
      </c>
      <c r="F298" s="3" t="inlineStr">
        <is>
          <t>Dodávka — Dodávka výrobku (Oplechování venkovních parapetů Pzn plech lako)</t>
        </is>
      </c>
      <c r="G298" s="2" t="inlineStr">
        <is>
          <t>ks</t>
        </is>
      </c>
      <c r="H298" s="2" t="n">
        <v>16</v>
      </c>
      <c r="I298" s="3">
        <f> montáž 1:1</f>
        <v/>
      </c>
      <c r="J298" s="2" t="inlineStr"/>
      <c r="K298" s="3" t="inlineStr">
        <is>
          <t>DXF blocks okno* 16 ks + DXF klempir_parapet 16 ks (Path C Tier 4 INSERT discovery)</t>
        </is>
      </c>
      <c r="L298" s="2" t="inlineStr">
        <is>
          <t>needs_lookup</t>
        </is>
      </c>
      <c r="M298" s="2" t="inlineStr"/>
    </row>
    <row r="299">
      <c r="A299" s="2" t="n">
        <v>298</v>
      </c>
      <c r="B299" s="2" t="inlineStr">
        <is>
          <t>PSV72.004.Aa</t>
        </is>
      </c>
      <c r="C299" s="2" t="inlineStr">
        <is>
          <t>260219_dum</t>
        </is>
      </c>
      <c r="D299" s="2" t="inlineStr">
        <is>
          <t>PSV-72 ZTI</t>
        </is>
      </c>
      <c r="E299" s="3" t="inlineStr">
        <is>
          <t>PSV-72 ZTI</t>
        </is>
      </c>
      <c r="F299" s="3" t="inlineStr">
        <is>
          <t>Montáž — Vana koupelnová obdélníková 170×70 cm — koupelna 1.05 1.NP</t>
        </is>
      </c>
      <c r="G299" s="2" t="inlineStr">
        <is>
          <t>ks</t>
        </is>
      </c>
      <c r="H299" s="2" t="n">
        <v>1</v>
      </c>
      <c r="I299" s="3" t="inlineStr">
        <is>
          <t>set split from 260219_dum.PSV72.004 per audit v2 GAP_005 — 1 fixture per item</t>
        </is>
      </c>
      <c r="J299" s="2" t="inlineStr">
        <is>
          <t>725211101</t>
        </is>
      </c>
      <c r="K299" s="3" t="inlineStr">
        <is>
          <t>DXF dum_DPZ MTEXT room 1.05 1.NP + TZ ARS koupelna kompletace</t>
        </is>
      </c>
      <c r="L299" s="2" t="inlineStr">
        <is>
          <t>needs_production_lookup</t>
        </is>
      </c>
      <c r="M299" s="2" t="inlineStr"/>
    </row>
    <row r="300">
      <c r="A300" s="2" t="n">
        <v>299</v>
      </c>
      <c r="B300" s="2" t="inlineStr">
        <is>
          <t>PSV72.004.Ab</t>
        </is>
      </c>
      <c r="C300" s="2" t="inlineStr">
        <is>
          <t>260219_dum</t>
        </is>
      </c>
      <c r="D300" s="2" t="inlineStr">
        <is>
          <t>PSV-72 ZTI</t>
        </is>
      </c>
      <c r="E300" s="3" t="inlineStr">
        <is>
          <t>PSV-72 ZTI</t>
        </is>
      </c>
      <c r="F300" s="3" t="inlineStr">
        <is>
          <t>Dodávka — Dodávka oceli S235 (válcované profily) (Vana koupelnová obdélníková 170×70 cm — koupel)</t>
        </is>
      </c>
      <c r="G300" s="2" t="inlineStr">
        <is>
          <t>ks</t>
        </is>
      </c>
      <c r="H300" s="2" t="n">
        <v>1.03</v>
      </c>
      <c r="I300" s="3">
        <f> montáž × 1.03</f>
        <v/>
      </c>
      <c r="J300" s="2" t="inlineStr"/>
      <c r="K300" s="3" t="inlineStr">
        <is>
          <t>DXF dum_DPZ MTEXT room 1.05 1.NP + TZ ARS koupelna kompletace</t>
        </is>
      </c>
      <c r="L300" s="2" t="inlineStr">
        <is>
          <t>needs_lookup</t>
        </is>
      </c>
      <c r="M300" s="2" t="inlineStr"/>
    </row>
    <row r="301">
      <c r="A301" s="2" t="n">
        <v>300</v>
      </c>
      <c r="B301" s="2" t="inlineStr">
        <is>
          <t>PSV72.004.Ba</t>
        </is>
      </c>
      <c r="C301" s="2" t="inlineStr">
        <is>
          <t>260219_dum</t>
        </is>
      </c>
      <c r="D301" s="2" t="inlineStr">
        <is>
          <t>PSV-72 ZTI</t>
        </is>
      </c>
      <c r="E301" s="3" t="inlineStr">
        <is>
          <t>PSV-72 ZTI</t>
        </is>
      </c>
      <c r="F301" s="3" t="inlineStr">
        <is>
          <t>Montáž — Umyvadlo bílé keramické se sloupcem 60 cm — koupelna 1.05 1.NP</t>
        </is>
      </c>
      <c r="G301" s="2" t="inlineStr">
        <is>
          <t>ks</t>
        </is>
      </c>
      <c r="H301" s="2" t="n">
        <v>1</v>
      </c>
      <c r="I301" s="3" t="inlineStr">
        <is>
          <t>set split from 260219_dum.PSV72.004 per audit v2 GAP_005 — 1 fixture per item</t>
        </is>
      </c>
      <c r="J301" s="2" t="inlineStr">
        <is>
          <t>725311111</t>
        </is>
      </c>
      <c r="K301" s="3" t="inlineStr">
        <is>
          <t>DXF dum_DPZ MTEXT room 1.05 1.NP + TZ ARS koupelna kompletace</t>
        </is>
      </c>
      <c r="L301" s="2" t="inlineStr">
        <is>
          <t>needs_production_lookup</t>
        </is>
      </c>
      <c r="M301" s="2" t="inlineStr"/>
    </row>
    <row r="302">
      <c r="A302" s="2" t="n">
        <v>301</v>
      </c>
      <c r="B302" s="2" t="inlineStr">
        <is>
          <t>PSV72.004.Bb</t>
        </is>
      </c>
      <c r="C302" s="2" t="inlineStr">
        <is>
          <t>260219_dum</t>
        </is>
      </c>
      <c r="D302" s="2" t="inlineStr">
        <is>
          <t>PSV-72 ZTI</t>
        </is>
      </c>
      <c r="E302" s="3" t="inlineStr">
        <is>
          <t>PSV-72 ZTI</t>
        </is>
      </c>
      <c r="F302" s="3" t="inlineStr">
        <is>
          <t>Dodávka — Dodávka oceli S235 (válcované profily) (Umyvadlo bílé keramické se sloupcem 60 cm — ko)</t>
        </is>
      </c>
      <c r="G302" s="2" t="inlineStr">
        <is>
          <t>ks</t>
        </is>
      </c>
      <c r="H302" s="2" t="n">
        <v>1.03</v>
      </c>
      <c r="I302" s="3">
        <f> montáž × 1.03</f>
        <v/>
      </c>
      <c r="J302" s="2" t="inlineStr"/>
      <c r="K302" s="3" t="inlineStr">
        <is>
          <t>DXF dum_DPZ MTEXT room 1.05 1.NP + TZ ARS koupelna kompletace</t>
        </is>
      </c>
      <c r="L302" s="2" t="inlineStr">
        <is>
          <t>needs_lookup</t>
        </is>
      </c>
      <c r="M302" s="2" t="inlineStr"/>
    </row>
    <row r="303">
      <c r="A303" s="2" t="n">
        <v>302</v>
      </c>
      <c r="B303" s="2" t="inlineStr">
        <is>
          <t>PSV72.004.Ca</t>
        </is>
      </c>
      <c r="C303" s="2" t="inlineStr">
        <is>
          <t>260219_dum</t>
        </is>
      </c>
      <c r="D303" s="2" t="inlineStr">
        <is>
          <t>PSV-72 ZTI</t>
        </is>
      </c>
      <c r="E303" s="3" t="inlineStr">
        <is>
          <t>PSV-72 ZTI</t>
        </is>
      </c>
      <c r="F303" s="3" t="inlineStr">
        <is>
          <t>Montáž — WC kombi keramické bílé — koupelna 1.05 1.NP</t>
        </is>
      </c>
      <c r="G303" s="2" t="inlineStr">
        <is>
          <t>ks</t>
        </is>
      </c>
      <c r="H303" s="2" t="n">
        <v>1</v>
      </c>
      <c r="I303" s="3" t="inlineStr">
        <is>
          <t>set split from 260219_dum.PSV72.004 per audit v2 GAP_005 — 1 fixture per item</t>
        </is>
      </c>
      <c r="J303" s="2" t="inlineStr">
        <is>
          <t>725111101</t>
        </is>
      </c>
      <c r="K303" s="3" t="inlineStr">
        <is>
          <t>DXF dum_DPZ MTEXT room 1.05 1.NP + TZ ARS koupelna kompletace</t>
        </is>
      </c>
      <c r="L303" s="2" t="inlineStr">
        <is>
          <t>needs_production_lookup</t>
        </is>
      </c>
      <c r="M303" s="2" t="inlineStr"/>
    </row>
    <row r="304">
      <c r="A304" s="2" t="n">
        <v>303</v>
      </c>
      <c r="B304" s="2" t="inlineStr">
        <is>
          <t>PSV72.004.Cb</t>
        </is>
      </c>
      <c r="C304" s="2" t="inlineStr">
        <is>
          <t>260219_dum</t>
        </is>
      </c>
      <c r="D304" s="2" t="inlineStr">
        <is>
          <t>PSV-72 ZTI</t>
        </is>
      </c>
      <c r="E304" s="3" t="inlineStr">
        <is>
          <t>PSV-72 ZTI</t>
        </is>
      </c>
      <c r="F304" s="3" t="inlineStr">
        <is>
          <t>Dodávka — Dodávka oceli S235 (válcované profily) (WC kombi keramické bílé — koupelna 1.05 1.NP)</t>
        </is>
      </c>
      <c r="G304" s="2" t="inlineStr">
        <is>
          <t>ks</t>
        </is>
      </c>
      <c r="H304" s="2" t="n">
        <v>1.03</v>
      </c>
      <c r="I304" s="3">
        <f> montáž × 1.03</f>
        <v/>
      </c>
      <c r="J304" s="2" t="inlineStr"/>
      <c r="K304" s="3" t="inlineStr">
        <is>
          <t>DXF dum_DPZ MTEXT room 1.05 1.NP + TZ ARS koupelna kompletace</t>
        </is>
      </c>
      <c r="L304" s="2" t="inlineStr">
        <is>
          <t>needs_lookup</t>
        </is>
      </c>
      <c r="M304" s="2" t="inlineStr"/>
    </row>
    <row r="305">
      <c r="A305" s="2" t="n">
        <v>304</v>
      </c>
      <c r="B305" s="2" t="inlineStr">
        <is>
          <t>PSV72.005.Aa</t>
        </is>
      </c>
      <c r="C305" s="2" t="inlineStr">
        <is>
          <t>260219_dum</t>
        </is>
      </c>
      <c r="D305" s="2" t="inlineStr">
        <is>
          <t>PSV-72 ZTI</t>
        </is>
      </c>
      <c r="E305" s="3" t="inlineStr">
        <is>
          <t>PSV-72 ZTI</t>
        </is>
      </c>
      <c r="F305" s="3" t="inlineStr">
        <is>
          <t>Montáž — Umyvadlo bílé keramické se sloupcem 60 cm — koupelna 2.03 2.NP</t>
        </is>
      </c>
      <c r="G305" s="2" t="inlineStr">
        <is>
          <t>ks</t>
        </is>
      </c>
      <c r="H305" s="2" t="n">
        <v>1</v>
      </c>
      <c r="I305" s="3" t="inlineStr">
        <is>
          <t>set split from 260219_dum.PSV72.005 per audit v2 GAP_005 — 1 fixture per item</t>
        </is>
      </c>
      <c r="J305" s="2" t="inlineStr">
        <is>
          <t>725311111</t>
        </is>
      </c>
      <c r="K305" s="3" t="inlineStr">
        <is>
          <t>DXF dum_DPZ MTEXT room 2.03 2.NP + TZ ARS koupelna kompletace</t>
        </is>
      </c>
      <c r="L305" s="2" t="inlineStr">
        <is>
          <t>needs_production_lookup</t>
        </is>
      </c>
      <c r="M305" s="2" t="inlineStr"/>
    </row>
    <row r="306">
      <c r="A306" s="2" t="n">
        <v>305</v>
      </c>
      <c r="B306" s="2" t="inlineStr">
        <is>
          <t>PSV72.005.Ab</t>
        </is>
      </c>
      <c r="C306" s="2" t="inlineStr">
        <is>
          <t>260219_dum</t>
        </is>
      </c>
      <c r="D306" s="2" t="inlineStr">
        <is>
          <t>PSV-72 ZTI</t>
        </is>
      </c>
      <c r="E306" s="3" t="inlineStr">
        <is>
          <t>PSV-72 ZTI</t>
        </is>
      </c>
      <c r="F306" s="3" t="inlineStr">
        <is>
          <t>Dodávka — Dodávka oceli S235 (válcované profily) (Umyvadlo bílé keramické se sloupcem 60 cm — ko)</t>
        </is>
      </c>
      <c r="G306" s="2" t="inlineStr">
        <is>
          <t>ks</t>
        </is>
      </c>
      <c r="H306" s="2" t="n">
        <v>1.03</v>
      </c>
      <c r="I306" s="3">
        <f> montáž × 1.03</f>
        <v/>
      </c>
      <c r="J306" s="2" t="inlineStr"/>
      <c r="K306" s="3" t="inlineStr">
        <is>
          <t>DXF dum_DPZ MTEXT room 2.03 2.NP + TZ ARS koupelna kompletace</t>
        </is>
      </c>
      <c r="L306" s="2" t="inlineStr">
        <is>
          <t>needs_lookup</t>
        </is>
      </c>
      <c r="M306" s="2" t="inlineStr"/>
    </row>
    <row r="307">
      <c r="A307" s="2" t="n">
        <v>306</v>
      </c>
      <c r="B307" s="2" t="inlineStr">
        <is>
          <t>PSV72.005.Ba</t>
        </is>
      </c>
      <c r="C307" s="2" t="inlineStr">
        <is>
          <t>260219_dum</t>
        </is>
      </c>
      <c r="D307" s="2" t="inlineStr">
        <is>
          <t>PSV-72 ZTI</t>
        </is>
      </c>
      <c r="E307" s="3" t="inlineStr">
        <is>
          <t>PSV-72 ZTI</t>
        </is>
      </c>
      <c r="F307" s="3" t="inlineStr">
        <is>
          <t>Montáž — Sprchový kout 90×90 cm vč. vaničky + skleněných dveří — koupelna 2.03 2.NP</t>
        </is>
      </c>
      <c r="G307" s="2" t="inlineStr">
        <is>
          <t>ks</t>
        </is>
      </c>
      <c r="H307" s="2" t="n">
        <v>1</v>
      </c>
      <c r="I307" s="3" t="inlineStr">
        <is>
          <t>set split from 260219_dum.PSV72.005 per audit v2 GAP_005 — 1 fixture per item</t>
        </is>
      </c>
      <c r="J307" s="2" t="inlineStr">
        <is>
          <t>725221201</t>
        </is>
      </c>
      <c r="K307" s="3" t="inlineStr">
        <is>
          <t>DXF dum_DPZ MTEXT room 2.03 2.NP + TZ ARS koupelna kompletace</t>
        </is>
      </c>
      <c r="L307" s="2" t="inlineStr">
        <is>
          <t>needs_production_lookup</t>
        </is>
      </c>
      <c r="M307" s="2" t="inlineStr"/>
    </row>
    <row r="308">
      <c r="A308" s="2" t="n">
        <v>307</v>
      </c>
      <c r="B308" s="2" t="inlineStr">
        <is>
          <t>PSV72.005.Bb</t>
        </is>
      </c>
      <c r="C308" s="2" t="inlineStr">
        <is>
          <t>260219_dum</t>
        </is>
      </c>
      <c r="D308" s="2" t="inlineStr">
        <is>
          <t>PSV-72 ZTI</t>
        </is>
      </c>
      <c r="E308" s="3" t="inlineStr">
        <is>
          <t>PSV-72 ZTI</t>
        </is>
      </c>
      <c r="F308" s="3" t="inlineStr">
        <is>
          <t>Dodávka — Dodávka oceli S235 (válcované profily) (Sprchový kout 90×90 cm vč. vaničky + skleněnýc)</t>
        </is>
      </c>
      <c r="G308" s="2" t="inlineStr">
        <is>
          <t>ks</t>
        </is>
      </c>
      <c r="H308" s="2" t="n">
        <v>1.03</v>
      </c>
      <c r="I308" s="3">
        <f> montáž × 1.03</f>
        <v/>
      </c>
      <c r="J308" s="2" t="inlineStr"/>
      <c r="K308" s="3" t="inlineStr">
        <is>
          <t>DXF dum_DPZ MTEXT room 2.03 2.NP + TZ ARS koupelna kompletace</t>
        </is>
      </c>
      <c r="L308" s="2" t="inlineStr">
        <is>
          <t>needs_lookup</t>
        </is>
      </c>
      <c r="M308" s="2" t="inlineStr"/>
    </row>
    <row r="309">
      <c r="A309" s="2" t="n">
        <v>308</v>
      </c>
      <c r="B309" s="2" t="inlineStr">
        <is>
          <t>PSV72.005.Ca</t>
        </is>
      </c>
      <c r="C309" s="2" t="inlineStr">
        <is>
          <t>260219_dum</t>
        </is>
      </c>
      <c r="D309" s="2" t="inlineStr">
        <is>
          <t>PSV-72 ZTI</t>
        </is>
      </c>
      <c r="E309" s="3" t="inlineStr">
        <is>
          <t>PSV-72 ZTI</t>
        </is>
      </c>
      <c r="F309" s="3" t="inlineStr">
        <is>
          <t>Montáž — WC kombi keramické bílé — koupelna 2.03 2.NP</t>
        </is>
      </c>
      <c r="G309" s="2" t="inlineStr">
        <is>
          <t>ks</t>
        </is>
      </c>
      <c r="H309" s="2" t="n">
        <v>1</v>
      </c>
      <c r="I309" s="3" t="inlineStr">
        <is>
          <t>set split from 260219_dum.PSV72.005 per audit v2 GAP_005 — 1 fixture per item</t>
        </is>
      </c>
      <c r="J309" s="2" t="inlineStr">
        <is>
          <t>725111101</t>
        </is>
      </c>
      <c r="K309" s="3" t="inlineStr">
        <is>
          <t>DXF dum_DPZ MTEXT room 2.03 2.NP + TZ ARS koupelna kompletace</t>
        </is>
      </c>
      <c r="L309" s="2" t="inlineStr">
        <is>
          <t>needs_production_lookup</t>
        </is>
      </c>
      <c r="M309" s="2" t="inlineStr"/>
    </row>
    <row r="310">
      <c r="A310" s="2" t="n">
        <v>309</v>
      </c>
      <c r="B310" s="2" t="inlineStr">
        <is>
          <t>PSV72.005.Cb</t>
        </is>
      </c>
      <c r="C310" s="2" t="inlineStr">
        <is>
          <t>260219_dum</t>
        </is>
      </c>
      <c r="D310" s="2" t="inlineStr">
        <is>
          <t>PSV-72 ZTI</t>
        </is>
      </c>
      <c r="E310" s="3" t="inlineStr">
        <is>
          <t>PSV-72 ZTI</t>
        </is>
      </c>
      <c r="F310" s="3" t="inlineStr">
        <is>
          <t>Dodávka — Dodávka oceli S235 (válcované profily) (WC kombi keramické bílé — koupelna 2.03 2.NP)</t>
        </is>
      </c>
      <c r="G310" s="2" t="inlineStr">
        <is>
          <t>ks</t>
        </is>
      </c>
      <c r="H310" s="2" t="n">
        <v>1.03</v>
      </c>
      <c r="I310" s="3">
        <f> montáž × 1.03</f>
        <v/>
      </c>
      <c r="J310" s="2" t="inlineStr"/>
      <c r="K310" s="3" t="inlineStr">
        <is>
          <t>DXF dum_DPZ MTEXT room 2.03 2.NP + TZ ARS koupelna kompletace</t>
        </is>
      </c>
      <c r="L310" s="2" t="inlineStr">
        <is>
          <t>needs_lookup</t>
        </is>
      </c>
      <c r="M310" s="2" t="inlineStr"/>
    </row>
    <row r="311">
      <c r="A311" s="2" t="n">
        <v>310</v>
      </c>
      <c r="B311" s="2" t="inlineStr">
        <is>
          <t>PSV72.006.Aa</t>
        </is>
      </c>
      <c r="C311" s="2" t="inlineStr">
        <is>
          <t>260219_dum</t>
        </is>
      </c>
      <c r="D311" s="2" t="inlineStr">
        <is>
          <t>PSV-72 ZTI</t>
        </is>
      </c>
      <c r="E311" s="3" t="inlineStr">
        <is>
          <t>PSV-72 ZTI</t>
        </is>
      </c>
      <c r="F311" s="3" t="inlineStr">
        <is>
          <t>Montáž — WC kombi keramické bílé — koupelna 3.04 3.NP</t>
        </is>
      </c>
      <c r="G311" s="2" t="inlineStr">
        <is>
          <t>ks</t>
        </is>
      </c>
      <c r="H311" s="2" t="n">
        <v>1</v>
      </c>
      <c r="I311" s="3" t="inlineStr">
        <is>
          <t>set split from 260219_dum.PSV72.006 per audit v2 GAP_005 — 1 fixture per item</t>
        </is>
      </c>
      <c r="J311" s="2" t="inlineStr">
        <is>
          <t>725111101</t>
        </is>
      </c>
      <c r="K311" s="3" t="inlineStr">
        <is>
          <t>DXF dum_DPZ MTEXT room 3.04 3.NP + TZ ARS koupelna kompletace</t>
        </is>
      </c>
      <c r="L311" s="2" t="inlineStr">
        <is>
          <t>needs_production_lookup</t>
        </is>
      </c>
      <c r="M311" s="2" t="inlineStr"/>
    </row>
    <row r="312">
      <c r="A312" s="2" t="n">
        <v>311</v>
      </c>
      <c r="B312" s="2" t="inlineStr">
        <is>
          <t>PSV72.006.Ab</t>
        </is>
      </c>
      <c r="C312" s="2" t="inlineStr">
        <is>
          <t>260219_dum</t>
        </is>
      </c>
      <c r="D312" s="2" t="inlineStr">
        <is>
          <t>PSV-72 ZTI</t>
        </is>
      </c>
      <c r="E312" s="3" t="inlineStr">
        <is>
          <t>PSV-72 ZTI</t>
        </is>
      </c>
      <c r="F312" s="3" t="inlineStr">
        <is>
          <t>Dodávka — Dodávka oceli S235 (válcované profily) (WC kombi keramické bílé — koupelna 3.04 3.NP)</t>
        </is>
      </c>
      <c r="G312" s="2" t="inlineStr">
        <is>
          <t>ks</t>
        </is>
      </c>
      <c r="H312" s="2" t="n">
        <v>1.03</v>
      </c>
      <c r="I312" s="3">
        <f> montáž × 1.03</f>
        <v/>
      </c>
      <c r="J312" s="2" t="inlineStr"/>
      <c r="K312" s="3" t="inlineStr">
        <is>
          <t>DXF dum_DPZ MTEXT room 3.04 3.NP + TZ ARS koupelna kompletace</t>
        </is>
      </c>
      <c r="L312" s="2" t="inlineStr">
        <is>
          <t>needs_lookup</t>
        </is>
      </c>
      <c r="M312" s="2" t="inlineStr"/>
    </row>
    <row r="313">
      <c r="A313" s="2" t="n">
        <v>312</v>
      </c>
      <c r="B313" s="2" t="inlineStr">
        <is>
          <t>PSV72.006.Ba</t>
        </is>
      </c>
      <c r="C313" s="2" t="inlineStr">
        <is>
          <t>260219_dum</t>
        </is>
      </c>
      <c r="D313" s="2" t="inlineStr">
        <is>
          <t>PSV-72 ZTI</t>
        </is>
      </c>
      <c r="E313" s="3" t="inlineStr">
        <is>
          <t>PSV-72 ZTI</t>
        </is>
      </c>
      <c r="F313" s="3" t="inlineStr">
        <is>
          <t>Montáž — Umyvadlo bílé keramické se sloupcem 60 cm — koupelna 3.04 3.NP</t>
        </is>
      </c>
      <c r="G313" s="2" t="inlineStr">
        <is>
          <t>ks</t>
        </is>
      </c>
      <c r="H313" s="2" t="n">
        <v>1</v>
      </c>
      <c r="I313" s="3" t="inlineStr">
        <is>
          <t>set split from 260219_dum.PSV72.006 per audit v2 GAP_005 — 1 fixture per item</t>
        </is>
      </c>
      <c r="J313" s="2" t="inlineStr">
        <is>
          <t>725311111</t>
        </is>
      </c>
      <c r="K313" s="3" t="inlineStr">
        <is>
          <t>DXF dum_DPZ MTEXT room 3.04 3.NP + TZ ARS koupelna kompletace</t>
        </is>
      </c>
      <c r="L313" s="2" t="inlineStr">
        <is>
          <t>needs_production_lookup</t>
        </is>
      </c>
      <c r="M313" s="2" t="inlineStr"/>
    </row>
    <row r="314">
      <c r="A314" s="2" t="n">
        <v>313</v>
      </c>
      <c r="B314" s="2" t="inlineStr">
        <is>
          <t>PSV72.006.Bb</t>
        </is>
      </c>
      <c r="C314" s="2" t="inlineStr">
        <is>
          <t>260219_dum</t>
        </is>
      </c>
      <c r="D314" s="2" t="inlineStr">
        <is>
          <t>PSV-72 ZTI</t>
        </is>
      </c>
      <c r="E314" s="3" t="inlineStr">
        <is>
          <t>PSV-72 ZTI</t>
        </is>
      </c>
      <c r="F314" s="3" t="inlineStr">
        <is>
          <t>Dodávka — Dodávka oceli S235 (válcované profily) (Umyvadlo bílé keramické se sloupcem 60 cm — ko)</t>
        </is>
      </c>
      <c r="G314" s="2" t="inlineStr">
        <is>
          <t>ks</t>
        </is>
      </c>
      <c r="H314" s="2" t="n">
        <v>1.03</v>
      </c>
      <c r="I314" s="3">
        <f> montáž × 1.03</f>
        <v/>
      </c>
      <c r="J314" s="2" t="inlineStr"/>
      <c r="K314" s="3" t="inlineStr">
        <is>
          <t>DXF dum_DPZ MTEXT room 3.04 3.NP + TZ ARS koupelna kompletace</t>
        </is>
      </c>
      <c r="L314" s="2" t="inlineStr">
        <is>
          <t>needs_lookup</t>
        </is>
      </c>
      <c r="M314" s="2" t="inlineStr"/>
    </row>
    <row r="315">
      <c r="A315" s="2" t="n">
        <v>314</v>
      </c>
      <c r="B315" s="2" t="inlineStr">
        <is>
          <t>PSV72.006.Ca</t>
        </is>
      </c>
      <c r="C315" s="2" t="inlineStr">
        <is>
          <t>260219_dum</t>
        </is>
      </c>
      <c r="D315" s="2" t="inlineStr">
        <is>
          <t>PSV-72 ZTI</t>
        </is>
      </c>
      <c r="E315" s="3" t="inlineStr">
        <is>
          <t>PSV-72 ZTI</t>
        </is>
      </c>
      <c r="F315" s="3" t="inlineStr">
        <is>
          <t>Montáž — Sprchový kout 90×90 cm vč. vaničky + skleněných dveří — koupelna 3.04 3.NP</t>
        </is>
      </c>
      <c r="G315" s="2" t="inlineStr">
        <is>
          <t>ks</t>
        </is>
      </c>
      <c r="H315" s="2" t="n">
        <v>1</v>
      </c>
      <c r="I315" s="3" t="inlineStr">
        <is>
          <t>set split from 260219_dum.PSV72.006 per audit v2 GAP_005 — 1 fixture per item</t>
        </is>
      </c>
      <c r="J315" s="2" t="inlineStr">
        <is>
          <t>725221201</t>
        </is>
      </c>
      <c r="K315" s="3" t="inlineStr">
        <is>
          <t>DXF dum_DPZ MTEXT room 3.04 3.NP + TZ ARS koupelna kompletace</t>
        </is>
      </c>
      <c r="L315" s="2" t="inlineStr">
        <is>
          <t>needs_production_lookup</t>
        </is>
      </c>
      <c r="M315" s="2" t="inlineStr"/>
    </row>
    <row r="316">
      <c r="A316" s="2" t="n">
        <v>315</v>
      </c>
      <c r="B316" s="2" t="inlineStr">
        <is>
          <t>PSV72.006.Cb</t>
        </is>
      </c>
      <c r="C316" s="2" t="inlineStr">
        <is>
          <t>260219_dum</t>
        </is>
      </c>
      <c r="D316" s="2" t="inlineStr">
        <is>
          <t>PSV-72 ZTI</t>
        </is>
      </c>
      <c r="E316" s="3" t="inlineStr">
        <is>
          <t>PSV-72 ZTI</t>
        </is>
      </c>
      <c r="F316" s="3" t="inlineStr">
        <is>
          <t>Dodávka — Dodávka oceli S235 (válcované profily) (Sprchový kout 90×90 cm vč. vaničky + skleněnýc)</t>
        </is>
      </c>
      <c r="G316" s="2" t="inlineStr">
        <is>
          <t>ks</t>
        </is>
      </c>
      <c r="H316" s="2" t="n">
        <v>1.03</v>
      </c>
      <c r="I316" s="3">
        <f> montáž × 1.03</f>
        <v/>
      </c>
      <c r="J316" s="2" t="inlineStr"/>
      <c r="K316" s="3" t="inlineStr">
        <is>
          <t>DXF dum_DPZ MTEXT room 3.04 3.NP + TZ ARS koupelna kompletace</t>
        </is>
      </c>
      <c r="L316" s="2" t="inlineStr">
        <is>
          <t>needs_lookup</t>
        </is>
      </c>
      <c r="M316" s="2" t="inlineStr"/>
    </row>
    <row r="317">
      <c r="A317" s="2" t="n">
        <v>316</v>
      </c>
      <c r="B317" s="2" t="inlineStr">
        <is>
          <t>PSV78.012.1_PP</t>
        </is>
      </c>
      <c r="C317" s="2" t="inlineStr">
        <is>
          <t>260219_dum</t>
        </is>
      </c>
      <c r="D317" s="2" t="inlineStr">
        <is>
          <t>PSV-78 Povrchové úpravy</t>
        </is>
      </c>
      <c r="E317" s="3" t="inlineStr">
        <is>
          <t>PSV-78 Povrchové úpravy</t>
        </is>
      </c>
      <c r="F317" s="3" t="inlineStr">
        <is>
          <t>Interiérová výmalba 1.PP — sklep stěny + klenba bílá vápenná 2×</t>
        </is>
      </c>
      <c r="G317" s="2" t="inlineStr">
        <is>
          <t>m²</t>
        </is>
      </c>
      <c r="H317" s="2" t="n">
        <v>78.2</v>
      </c>
      <c r="I317" s="3" t="inlineStr">
        <is>
          <t>omítka 1.PP 78.2 m² + SDK podhled 0 m² − obklad 0 m² = 78.2 m² (per-podlaží split per audit v2 GAP_007)</t>
        </is>
      </c>
      <c r="J317" s="2" t="inlineStr">
        <is>
          <t>784121011</t>
        </is>
      </c>
      <c r="K317" s="3" t="inlineStr">
        <is>
          <t>Per-podlaží split z PSV78.012 (audit v2 GAP_007 fix); omítka PSV78.001 + SDK podhled PSV78.—</t>
        </is>
      </c>
      <c r="L317" s="2" t="inlineStr">
        <is>
          <t>needs_production_lookup</t>
        </is>
      </c>
      <c r="M317" s="2" t="inlineStr"/>
    </row>
    <row r="318">
      <c r="A318" s="2" t="n">
        <v>317</v>
      </c>
      <c r="B318" s="2" t="inlineStr">
        <is>
          <t>PSV78.012.1_NP</t>
        </is>
      </c>
      <c r="C318" s="2" t="inlineStr">
        <is>
          <t>260219_dum</t>
        </is>
      </c>
      <c r="D318" s="2" t="inlineStr">
        <is>
          <t>PSV-78 Povrchové úpravy</t>
        </is>
      </c>
      <c r="E318" s="3" t="inlineStr">
        <is>
          <t>PSV-78 Povrchové úpravy</t>
        </is>
      </c>
      <c r="F318" s="3" t="inlineStr">
        <is>
          <t>Interiérová výmalba 1.NP — stěny + SDK podhled − obklad koupelny 1.05 (1.6 m výška)</t>
        </is>
      </c>
      <c r="G318" s="2" t="inlineStr">
        <is>
          <t>m²</t>
        </is>
      </c>
      <c r="H318" s="2" t="n">
        <v>254.5</v>
      </c>
      <c r="I318" s="3" t="inlineStr">
        <is>
          <t>omítka 1.NP 208.4 m² + SDK podhled 59.5 m² − obklad 13.4 m² = 254.5 m² (per-podlaží split per audit v2 GAP_007)</t>
        </is>
      </c>
      <c r="J318" s="2" t="inlineStr">
        <is>
          <t>784121011</t>
        </is>
      </c>
      <c r="K318" s="3" t="inlineStr">
        <is>
          <t>Per-podlaží split z PSV78.012 (audit v2 GAP_007 fix); omítka PSV78.002 + SDK podhled PSV78.005</t>
        </is>
      </c>
      <c r="L318" s="2" t="inlineStr">
        <is>
          <t>needs_production_lookup</t>
        </is>
      </c>
      <c r="M318" s="2" t="inlineStr"/>
    </row>
    <row r="319">
      <c r="A319" s="2" t="n">
        <v>318</v>
      </c>
      <c r="B319" s="2" t="inlineStr">
        <is>
          <t>PSV78.012.2_NP</t>
        </is>
      </c>
      <c r="C319" s="2" t="inlineStr">
        <is>
          <t>260219_dum</t>
        </is>
      </c>
      <c r="D319" s="2" t="inlineStr">
        <is>
          <t>PSV-78 Povrchové úpravy</t>
        </is>
      </c>
      <c r="E319" s="3" t="inlineStr">
        <is>
          <t>PSV-78 Povrchové úpravy</t>
        </is>
      </c>
      <c r="F319" s="3" t="inlineStr">
        <is>
          <t>Interiérová výmalba 2.NP — stěny + SDK podhled − obklad koupelny 2.03 (2.45 m výška)</t>
        </is>
      </c>
      <c r="G319" s="2" t="inlineStr">
        <is>
          <t>m²</t>
        </is>
      </c>
      <c r="H319" s="2" t="n">
        <v>247.5</v>
      </c>
      <c r="I319" s="3" t="inlineStr">
        <is>
          <t>omítka 2.NP 201.6 m² + SDK podhled 61.1 m² − obklad 15.2 m² = 247.5 m² (per-podlaží split per audit v2 GAP_007)</t>
        </is>
      </c>
      <c r="J319" s="2" t="inlineStr">
        <is>
          <t>784121011</t>
        </is>
      </c>
      <c r="K319" s="3" t="inlineStr">
        <is>
          <t>Per-podlaží split z PSV78.012 (audit v2 GAP_007 fix); omítka PSV78.003 + SDK podhled PSV78.006</t>
        </is>
      </c>
      <c r="L319" s="2" t="inlineStr">
        <is>
          <t>needs_production_lookup</t>
        </is>
      </c>
      <c r="M319" s="2" t="inlineStr"/>
    </row>
    <row r="320">
      <c r="A320" s="2" t="n">
        <v>319</v>
      </c>
      <c r="B320" s="2" t="inlineStr">
        <is>
          <t>PSV78.012.3_NP</t>
        </is>
      </c>
      <c r="C320" s="2" t="inlineStr">
        <is>
          <t>260219_dum</t>
        </is>
      </c>
      <c r="D320" s="2" t="inlineStr">
        <is>
          <t>PSV-78 Povrchové úpravy</t>
        </is>
      </c>
      <c r="E320" s="3" t="inlineStr">
        <is>
          <t>PSV-78 Povrchové úpravy</t>
        </is>
      </c>
      <c r="F320" s="3" t="inlineStr">
        <is>
          <t>Interiérová výmalba 3.NP — stěny + SDK podhled − obklad koupelny 3.04 (2.7 m výška)</t>
        </is>
      </c>
      <c r="G320" s="2" t="inlineStr">
        <is>
          <t>m²</t>
        </is>
      </c>
      <c r="H320" s="2" t="n">
        <v>219.3</v>
      </c>
      <c r="I320" s="3" t="inlineStr">
        <is>
          <t>omítka 3.NP 179.1 m² + SDK podhled 64.5 m² − obklad 24.3 m² = 219.3 m² (per-podlaží split per audit v2 GAP_007)</t>
        </is>
      </c>
      <c r="J320" s="2" t="inlineStr">
        <is>
          <t>784121011</t>
        </is>
      </c>
      <c r="K320" s="3" t="inlineStr">
        <is>
          <t>Per-podlaží split z PSV78.012 (audit v2 GAP_007 fix); omítka PSV78.004 + SDK podhled PSV78.007</t>
        </is>
      </c>
      <c r="L320" s="2" t="inlineStr">
        <is>
          <t>needs_production_lookup</t>
        </is>
      </c>
      <c r="M320" s="2" t="inlineStr"/>
    </row>
    <row r="321">
      <c r="A321" s="2" t="n">
        <v>320</v>
      </c>
      <c r="B321" s="2" t="inlineStr">
        <is>
          <t>HSV6.016</t>
        </is>
      </c>
      <c r="C321" s="2" t="inlineStr">
        <is>
          <t>260219_dum</t>
        </is>
      </c>
      <c r="D321" s="2" t="inlineStr">
        <is>
          <t>HSV-6 Bourací práce</t>
        </is>
      </c>
      <c r="E321" s="3" t="inlineStr">
        <is>
          <t>HSV-6 Bourací práce</t>
        </is>
      </c>
      <c r="F321" s="3" t="inlineStr">
        <is>
          <t>Bourání vrchní části stávajícího komínu v posledním podlaží (cihelné zdivo, ručně), vč. likvidace cihelné suti</t>
        </is>
      </c>
      <c r="G321" s="2" t="inlineStr">
        <is>
          <t>m³</t>
        </is>
      </c>
      <c r="H321" s="2" t="n">
        <v>0.6</v>
      </c>
      <c r="I321" s="3" t="inlineStr">
        <is>
          <t>průměr komín 0.50×0.50 × výška nad střechou ~2.4 m = 0.6 m³ (OPRAVA ChatGPT revize 2026-05-29: dříve 6.0 m³ = ×10 chybná inflace; skutečný objem 0.6 m³)</t>
        </is>
      </c>
      <c r="J321" s="2" t="inlineStr">
        <is>
          <t>962024141</t>
        </is>
      </c>
      <c r="K321" s="3" t="inlineStr">
        <is>
          <t>DXF dum_DPZ řez A-A bourání + POZN.1.02 z půdorysů bourání</t>
        </is>
      </c>
      <c r="L321" s="2" t="inlineStr">
        <is>
          <t>FAMILY_VERIFIED</t>
        </is>
      </c>
      <c r="M321" s="2" t="inlineStr"/>
    </row>
    <row r="322">
      <c r="A322" s="2" t="n">
        <v>321</v>
      </c>
      <c r="B322" s="2" t="inlineStr">
        <is>
          <t>HSV6.017</t>
        </is>
      </c>
      <c r="C322" s="2" t="inlineStr">
        <is>
          <t>260219_dum</t>
        </is>
      </c>
      <c r="D322" s="2" t="inlineStr">
        <is>
          <t>HSV-6 Bourací práce</t>
        </is>
      </c>
      <c r="E322" s="3" t="inlineStr">
        <is>
          <t>HSV-6 Bourací práce</t>
        </is>
      </c>
      <c r="F322" s="3" t="inlineStr">
        <is>
          <t>Bourání stávajících opěrných zídek a venkovního schodiště v zahradě/dvoře — částečné, dle vyznačení v půdorysech bourání</t>
        </is>
      </c>
      <c r="G322" s="2" t="inlineStr">
        <is>
          <t>m³</t>
        </is>
      </c>
      <c r="H322" s="2" t="n">
        <v>8</v>
      </c>
      <c r="I322" s="3" t="inlineStr">
        <is>
          <t>odhad ze řez A-A bourání + půdorys bourání 1.NP/1.PP, ~8 m³ celkem (opěrné zídky + venkovní schodiště zahrada/dvůr)</t>
        </is>
      </c>
      <c r="J322" s="2" t="inlineStr">
        <is>
          <t>961044111</t>
        </is>
      </c>
      <c r="K322" s="3" t="inlineStr">
        <is>
          <t>DXF dum_DPZ řez A-A bourání + POZN.1.03 + půdorys bourání</t>
        </is>
      </c>
      <c r="L322" s="2" t="inlineStr">
        <is>
          <t>FAMILY_VERIFIED</t>
        </is>
      </c>
      <c r="M322" s="2" t="inlineStr"/>
    </row>
    <row r="323">
      <c r="A323" s="2" t="n">
        <v>322</v>
      </c>
      <c r="B323" s="2" t="inlineStr">
        <is>
          <t>HSV1.015a</t>
        </is>
      </c>
      <c r="C323" s="2" t="inlineStr">
        <is>
          <t>260219_dum</t>
        </is>
      </c>
      <c r="D323" s="2" t="inlineStr">
        <is>
          <t>HSV-1 Zemní práce</t>
        </is>
      </c>
      <c r="E323" s="3" t="inlineStr">
        <is>
          <t>HSV-1 Zemní práce</t>
        </is>
      </c>
      <c r="F323" s="3" t="inlineStr">
        <is>
          <t>Drenážní trubka DN100 vlnitá perforovaná — uložení za opěrnou stěnou (bílou vanou)</t>
        </is>
      </c>
      <c r="G323" s="2" t="inlineStr">
        <is>
          <t>m</t>
        </is>
      </c>
      <c r="H323" s="2" t="n">
        <v>12</v>
      </c>
      <c r="I323" s="3">
        <f> HSV1.015 obvod BV ~10 m + napojení 2 m = 12 m</f>
        <v/>
      </c>
      <c r="J323" s="2" t="inlineStr">
        <is>
          <t>212</t>
        </is>
      </c>
      <c r="K323" s="3" t="inlineStr">
        <is>
          <t>TZ ARS dům §3.2 (drenáž za opěrnou stěnou) + POZN.2.02 z půdorysů návrh + řez A-A návrh</t>
        </is>
      </c>
      <c r="L323" s="2" t="inlineStr">
        <is>
          <t>family_only</t>
        </is>
      </c>
      <c r="M323" s="2" t="inlineStr"/>
    </row>
    <row r="324">
      <c r="A324" s="2" t="n">
        <v>323</v>
      </c>
      <c r="B324" s="2" t="inlineStr">
        <is>
          <t>HSV1.015b</t>
        </is>
      </c>
      <c r="C324" s="2" t="inlineStr">
        <is>
          <t>260219_dum</t>
        </is>
      </c>
      <c r="D324" s="2" t="inlineStr">
        <is>
          <t>HSV-1 Zemní práce</t>
        </is>
      </c>
      <c r="E324" s="3" t="inlineStr">
        <is>
          <t>HSV-1 Zemní práce</t>
        </is>
      </c>
      <c r="F324" s="3" t="inlineStr">
        <is>
          <t>Štěrkový obsyp drenáže frakce 16/32 mm</t>
        </is>
      </c>
      <c r="G324" s="2" t="inlineStr">
        <is>
          <t>m</t>
        </is>
      </c>
      <c r="H324" s="2" t="n">
        <v>12</v>
      </c>
      <c r="I324" s="3">
        <f> HSV1.015 délka drenáže 12 m</f>
        <v/>
      </c>
      <c r="J324" s="2" t="inlineStr">
        <is>
          <t>212</t>
        </is>
      </c>
      <c r="K324" s="3" t="inlineStr">
        <is>
          <t>TZ ARS dům §3.2 (drenáž za opěrnou stěnou) + POZN.2.02 z půdorysů návrh + řez A-A návrh</t>
        </is>
      </c>
      <c r="L324" s="2" t="inlineStr">
        <is>
          <t>family_only</t>
        </is>
      </c>
      <c r="M324" s="2" t="inlineStr"/>
    </row>
    <row r="325">
      <c r="A325" s="2" t="n">
        <v>324</v>
      </c>
      <c r="B325" s="2" t="inlineStr">
        <is>
          <t>HSV1.015c</t>
        </is>
      </c>
      <c r="C325" s="2" t="inlineStr">
        <is>
          <t>260219_dum</t>
        </is>
      </c>
      <c r="D325" s="2" t="inlineStr">
        <is>
          <t>HSV-1 Zemní práce</t>
        </is>
      </c>
      <c r="E325" s="3" t="inlineStr">
        <is>
          <t>HSV-1 Zemní práce</t>
        </is>
      </c>
      <c r="F325" s="3" t="inlineStr">
        <is>
          <t>Geotextilie obalení drenáže + napojení do dešťové kanalizace</t>
        </is>
      </c>
      <c r="G325" s="2" t="inlineStr">
        <is>
          <t>m</t>
        </is>
      </c>
      <c r="H325" s="2" t="n">
        <v>12</v>
      </c>
      <c r="I325" s="3">
        <f> HSV1.015 délka 12 m</f>
        <v/>
      </c>
      <c r="J325" s="2" t="inlineStr">
        <is>
          <t>693</t>
        </is>
      </c>
      <c r="K325" s="3" t="inlineStr">
        <is>
          <t>TZ ARS dům §3.2 (drenáž za opěrnou stěnou) + POZN.2.02 z půdorysů návrh + řez A-A návrh</t>
        </is>
      </c>
      <c r="L325" s="2" t="inlineStr">
        <is>
          <t>family_only</t>
        </is>
      </c>
      <c r="M325" s="2" t="inlineStr"/>
    </row>
    <row r="326">
      <c r="A326" s="2" t="n">
        <v>325</v>
      </c>
      <c r="B326" s="2" t="inlineStr">
        <is>
          <t>HSV5.001</t>
        </is>
      </c>
      <c r="C326" s="2" t="inlineStr">
        <is>
          <t>260217_sklad</t>
        </is>
      </c>
      <c r="D326" s="2" t="inlineStr">
        <is>
          <t>HSV-5 Komunikace + schodiště</t>
        </is>
      </c>
      <c r="E326" s="3" t="inlineStr">
        <is>
          <t>HSV-5 Komunikace + schodiště</t>
        </is>
      </c>
      <c r="F326" s="3" t="inlineStr">
        <is>
          <t>Sklad mezipodesta schodiště — prefa betonové stupně (9 ks × 179.5×250 mm) + kladecí vrstva zavlhlého betonu nad ŽB podkladní deskou (S05 sklad skladba)</t>
        </is>
      </c>
      <c r="G326" s="2" t="inlineStr">
        <is>
          <t>m²</t>
        </is>
      </c>
      <c r="H326" s="2" t="n">
        <v>5.5</v>
      </c>
      <c r="I326" s="3" t="inlineStr">
        <is>
          <t>DXF sklad_DPZ km_tabulka místností: room 1.02 schodiště plocha = 5.50 m². 9 stupňů 179.5×250 mm vyznačené v půdoryse parking sheet (Phase 3.5 cross-check)</t>
        </is>
      </c>
      <c r="J326" s="2" t="inlineStr">
        <is>
          <t>121301101</t>
        </is>
      </c>
      <c r="K326" s="3" t="inlineStr">
        <is>
          <t>DXF sklad_DPZ km_tabulka místností room 1.02 + DXF dimension 9×179.5×250 mm + Phase 3.5 sklad S-code mapping (S05 sklad schodiště skladba)</t>
        </is>
      </c>
      <c r="L326" s="2" t="inlineStr">
        <is>
          <t>needs_production_lookup</t>
        </is>
      </c>
      <c r="M326" s="2" t="inlineStr">
        <is>
          <t>S05_sklad</t>
        </is>
      </c>
    </row>
    <row r="327">
      <c r="A327" s="2" t="n">
        <v>326</v>
      </c>
      <c r="B327" s="2" t="inlineStr">
        <is>
          <t>VRN.PM01</t>
        </is>
      </c>
      <c r="C327" s="2" t="inlineStr">
        <is>
          <t>260219_dum</t>
        </is>
      </c>
      <c r="D327" s="2" t="inlineStr">
        <is>
          <t>VRN — Přesun hmot</t>
        </is>
      </c>
      <c r="E327" s="3" t="inlineStr">
        <is>
          <t>VRN — Přesun hmot</t>
        </is>
      </c>
      <c r="F327" s="3" t="inlineStr">
        <is>
          <t>Přesun hmot pro budovu — vnitrostaveništní vertikální + horizontální doprava materiálu a hmot (rekonstrukce vícepodlažní RD + nástavba 3.NP)</t>
        </is>
      </c>
      <c r="G327" s="2" t="inlineStr">
        <is>
          <t>t</t>
        </is>
      </c>
      <c r="H327" s="2" t="n">
        <v>0</v>
      </c>
      <c r="I327" s="3" t="inlineStr">
        <is>
          <t>TBD — buď % z HSV nákladů (běžně 2-4 %) nebo dle celkové tonáže přesouvaných hmot; množství doplní rozpočtář při cenotvorbě</t>
        </is>
      </c>
      <c r="J327" s="2" t="inlineStr"/>
      <c r="K327" s="3" t="inlineStr">
        <is>
          <t>anchor checklist PM01 — technical necessity (povinná položka každého rozpočtu, 998xxx URS família)</t>
        </is>
      </c>
      <c r="L327" s="2" t="inlineStr">
        <is>
          <t>needs_production_lookup</t>
        </is>
      </c>
      <c r="M327" s="2" t="inlineStr"/>
    </row>
    <row r="328">
      <c r="A328" s="2" t="n">
        <v>327</v>
      </c>
      <c r="B328" s="2" t="inlineStr">
        <is>
          <t>VRN.PM02</t>
        </is>
      </c>
      <c r="C328" s="2" t="inlineStr">
        <is>
          <t>260219_dum</t>
        </is>
      </c>
      <c r="D328" s="2" t="inlineStr">
        <is>
          <t>VRN — Lešení</t>
        </is>
      </c>
      <c r="E328" s="3" t="inlineStr">
        <is>
          <t>VRN — Lešení</t>
        </is>
      </c>
      <c r="F328" s="3" t="inlineStr">
        <is>
          <t>Fasádní lešení trubkové/rámové vč. montáže + pronájmu + demontáže — pro provedení ETICS fasády, krovu a klempířiny po obvodu domu (výška 13 m)</t>
        </is>
      </c>
      <c r="G328" s="2" t="inlineStr">
        <is>
          <t>m²</t>
        </is>
      </c>
      <c r="H328" s="2" t="n">
        <v>503.1</v>
      </c>
      <c r="I328" s="3" t="inlineStr">
        <is>
          <t>obvod domu 38.7 m × výška 13.0 m = 503.1 m² lešenné plochy (pro ETICS fasádu 276.7 m² + krov + klempířinu)</t>
        </is>
      </c>
      <c r="J328" s="2" t="inlineStr"/>
      <c r="K328" s="3" t="inlineStr">
        <is>
          <t>anchor checklist PM02 — technical necessity (ETICS 276.7 m² nelze provést bez lešení, 941xxx URS família) + DXF obvod 38.7 m + řez výška 13 m</t>
        </is>
      </c>
      <c r="L328" s="2" t="inlineStr">
        <is>
          <t>needs_production_lookup</t>
        </is>
      </c>
      <c r="M328" s="2" t="inlineStr"/>
    </row>
    <row r="329">
      <c r="A329" s="2" t="n">
        <v>328</v>
      </c>
      <c r="B329" s="2" t="inlineStr">
        <is>
          <t>HSV1.016</t>
        </is>
      </c>
      <c r="C329" s="2" t="inlineStr">
        <is>
          <t>260219_dum</t>
        </is>
      </c>
      <c r="D329" s="2" t="inlineStr">
        <is>
          <t>HSV-1 Zemní práce</t>
        </is>
      </c>
      <c r="E329" s="3" t="inlineStr">
        <is>
          <t>HSV-1 Zemní práce</t>
        </is>
      </c>
      <c r="F329" s="3" t="inlineStr">
        <is>
          <t>Venkovní schody na terénu z betonových dílců do betonového lože — rameno 1: 8×175×280 mm + rameno 2: 5×175×280 mm (13 stupňů), zahrada za opěrnou stěnou</t>
        </is>
      </c>
      <c r="G329" s="2" t="inlineStr">
        <is>
          <t>ks</t>
        </is>
      </c>
      <c r="H329" s="2" t="n">
        <v>13</v>
      </c>
      <c r="I329" s="3" t="inlineStr">
        <is>
          <t>Situace měření 2026-05-29: rameno 1 = 8 stupňů + rameno 2 = 5 stupňů = 13 stupňů (175×280 mm)</t>
        </is>
      </c>
      <c r="J329" s="2" t="inlineStr"/>
      <c r="K329" s="3" t="inlineStr">
        <is>
          <t>Situace měření 2026-05-29 (rameno 8×175×280 + rameno 5×175×280) + TZ statika §3.2.5 'schody na terénu z betonových dílců do betonového lože'</t>
        </is>
      </c>
      <c r="L329" s="2" t="inlineStr">
        <is>
          <t>needs_lookup</t>
        </is>
      </c>
      <c r="M329" s="2" t="inlineStr">
        <is>
          <t>Venkovní schody na terénu</t>
        </is>
      </c>
    </row>
    <row r="330">
      <c r="A330" s="2" t="n">
        <v>329</v>
      </c>
      <c r="B330" s="2" t="inlineStr">
        <is>
          <t>HSV5.017a</t>
        </is>
      </c>
      <c r="C330" s="2" t="inlineStr">
        <is>
          <t>260219_dum</t>
        </is>
      </c>
      <c r="D330" s="2" t="inlineStr">
        <is>
          <t>HSV-5 Krov + střecha</t>
        </is>
      </c>
      <c r="E330" s="3" t="inlineStr">
        <is>
          <t>HSV-5 Krov + střecha</t>
        </is>
      </c>
      <c r="F330" s="3" t="inlineStr">
        <is>
          <t>Montáž svorníků/šroubů tesařských spojů krovu délky přes 150 do 300 mm — spoje kleštin 2×60/180 s krokvemi</t>
        </is>
      </c>
      <c r="G330" s="2" t="inlineStr">
        <is>
          <t>ks</t>
        </is>
      </c>
      <c r="H330" s="2" t="n">
        <v>50</v>
      </c>
      <c r="I330" s="3">
        <f> HSV5.017 počet svorníků 50 ks (11 pozic × 2 konce × 2)</f>
        <v/>
      </c>
      <c r="J330" s="2" t="inlineStr">
        <is>
          <t>762085112</t>
        </is>
      </c>
      <c r="K330" s="3" t="inlineStr">
        <is>
          <t>KROS/ÚRS catalog (762085112 montáž svorníků tesařských spojů) + STAVAGENT MCP; TZ statika §4 krov ocelové spojky</t>
        </is>
      </c>
      <c r="L330" s="2" t="inlineStr">
        <is>
          <t>carried_verified</t>
        </is>
      </c>
      <c r="M330" s="2" t="inlineStr">
        <is>
          <t>Krov — spojovací prostředky</t>
        </is>
      </c>
    </row>
    <row r="331">
      <c r="A331" s="2" t="n">
        <v>330</v>
      </c>
      <c r="B331" s="2" t="inlineStr">
        <is>
          <t>HSV5.017b</t>
        </is>
      </c>
      <c r="C331" s="2" t="inlineStr">
        <is>
          <t>260219_dum</t>
        </is>
      </c>
      <c r="D331" s="2" t="inlineStr">
        <is>
          <t>HSV-5 Krov + střecha</t>
        </is>
      </c>
      <c r="E331" s="3" t="inlineStr">
        <is>
          <t>HSV-5 Krov + střecha</t>
        </is>
      </c>
      <c r="F331" s="3" t="inlineStr">
        <is>
          <t>Tyč závitová Pz 4.6 M12 — materiál svorníků krovu</t>
        </is>
      </c>
      <c r="G331" s="2" t="inlineStr">
        <is>
          <t>m</t>
        </is>
      </c>
      <c r="H331" s="2" t="n">
        <v>14</v>
      </c>
      <c r="I331" s="3">
        <f> 50 ks × 0.25 m × 1.10 prořez = 13.75 → 14 m</f>
        <v/>
      </c>
      <c r="J331" s="2" t="inlineStr">
        <is>
          <t>31197004</t>
        </is>
      </c>
      <c r="K331" s="3" t="inlineStr">
        <is>
          <t>KROS/ÚRS catalog (762085112 montáž svorníků tesařských spojů) + STAVAGENT MCP; TZ statika §4 krov ocelové spojky</t>
        </is>
      </c>
      <c r="L331" s="2" t="inlineStr">
        <is>
          <t>family_only</t>
        </is>
      </c>
      <c r="M331" s="2" t="inlineStr">
        <is>
          <t>Krov — spojovací prostředky</t>
        </is>
      </c>
    </row>
    <row r="332">
      <c r="A332" s="2" t="n">
        <v>331</v>
      </c>
      <c r="B332" s="2" t="inlineStr">
        <is>
          <t>HSV5.017c</t>
        </is>
      </c>
      <c r="C332" s="2" t="inlineStr">
        <is>
          <t>260219_dum</t>
        </is>
      </c>
      <c r="D332" s="2" t="inlineStr">
        <is>
          <t>HSV-5 Krov + střecha</t>
        </is>
      </c>
      <c r="E332" s="3" t="inlineStr">
        <is>
          <t>HSV-5 Krov + střecha</t>
        </is>
      </c>
      <c r="F332" s="3" t="inlineStr">
        <is>
          <t>Matice přesná šestihranná Pz DIN 934-8 M12</t>
        </is>
      </c>
      <c r="G332" s="2" t="inlineStr">
        <is>
          <t>100 ks</t>
        </is>
      </c>
      <c r="H332" s="2" t="n">
        <v>1</v>
      </c>
      <c r="I332" s="3">
        <f> 50 svorníků × 2 = 100 ks = 1×100ks</f>
        <v/>
      </c>
      <c r="J332" s="2" t="inlineStr">
        <is>
          <t>3111006</t>
        </is>
      </c>
      <c r="K332" s="3" t="inlineStr">
        <is>
          <t>KROS/ÚRS catalog (762085112 montáž svorníků tesařských spojů) + STAVAGENT MCP; TZ statika §4 krov ocelové spojky</t>
        </is>
      </c>
      <c r="L332" s="2" t="inlineStr">
        <is>
          <t>family_only</t>
        </is>
      </c>
      <c r="M332" s="2" t="inlineStr">
        <is>
          <t>Krov — spojovací prostředky</t>
        </is>
      </c>
    </row>
    <row r="333">
      <c r="A333" s="2" t="n">
        <v>332</v>
      </c>
      <c r="B333" s="2" t="inlineStr">
        <is>
          <t>HSV5.017d</t>
        </is>
      </c>
      <c r="C333" s="2" t="inlineStr">
        <is>
          <t>260219_dum</t>
        </is>
      </c>
      <c r="D333" s="2" t="inlineStr">
        <is>
          <t>HSV-5 Krov + střecha</t>
        </is>
      </c>
      <c r="E333" s="3" t="inlineStr">
        <is>
          <t>HSV-5 Krov + střecha</t>
        </is>
      </c>
      <c r="F333" s="3" t="inlineStr">
        <is>
          <t>Podložka pod dřevěnou konstrukci DIN 440 D 12 mm</t>
        </is>
      </c>
      <c r="G333" s="2" t="inlineStr">
        <is>
          <t>100 ks</t>
        </is>
      </c>
      <c r="H333" s="2" t="n">
        <v>1</v>
      </c>
      <c r="I333" s="3">
        <f> 50 svorníků × 2 = 100 ks = 1×100ks</f>
        <v/>
      </c>
      <c r="J333" s="2" t="inlineStr">
        <is>
          <t>31121004</t>
        </is>
      </c>
      <c r="K333" s="3" t="inlineStr">
        <is>
          <t>KROS/ÚRS catalog (762085112 montáž svorníků tesařských spojů) + STAVAGENT MCP; TZ statika §4 krov ocelové spojky</t>
        </is>
      </c>
      <c r="L333" s="2" t="inlineStr">
        <is>
          <t>family_only</t>
        </is>
      </c>
      <c r="M333" s="2" t="inlineStr">
        <is>
          <t>Krov — spojovací prostředky</t>
        </is>
      </c>
    </row>
    <row r="334">
      <c r="A334" s="2" t="n">
        <v>333</v>
      </c>
      <c r="B334" s="2" t="inlineStr">
        <is>
          <t>HSV4.015a</t>
        </is>
      </c>
      <c r="C334" s="2" t="inlineStr">
        <is>
          <t>260219_dum</t>
        </is>
      </c>
      <c r="D334" s="2" t="inlineStr">
        <is>
          <t>HSV-4 Vodorovné</t>
        </is>
      </c>
      <c r="E334" s="3" t="inlineStr">
        <is>
          <t>HSV-4 Vodorovné</t>
        </is>
      </c>
      <c r="F334" s="3" t="inlineStr">
        <is>
          <t>Montáž kročejové izolace Isover T-P 30 mm — strop S07</t>
        </is>
      </c>
      <c r="G334" s="2" t="inlineStr">
        <is>
          <t>m²</t>
        </is>
      </c>
      <c r="H334" s="2" t="n">
        <v>59.5</v>
      </c>
      <c r="I334" s="3">
        <f> plocha stropu S07</f>
        <v/>
      </c>
      <c r="J334" s="2" t="inlineStr">
        <is>
          <t>713191</t>
        </is>
      </c>
      <c r="K334" s="3" t="inlineStr">
        <is>
          <t>skladba S07 návrh — kročejová Isover T-P 30 mm</t>
        </is>
      </c>
      <c r="L334" s="2" t="inlineStr">
        <is>
          <t>family_only</t>
        </is>
      </c>
      <c r="M334" s="2" t="inlineStr">
        <is>
          <t>S07</t>
        </is>
      </c>
    </row>
    <row r="335">
      <c r="A335" s="2" t="n">
        <v>334</v>
      </c>
      <c r="B335" s="2" t="inlineStr">
        <is>
          <t>HSV4.015b</t>
        </is>
      </c>
      <c r="C335" s="2" t="inlineStr">
        <is>
          <t>260219_dum</t>
        </is>
      </c>
      <c r="D335" s="2" t="inlineStr">
        <is>
          <t>HSV-4 Vodorovné</t>
        </is>
      </c>
      <c r="E335" s="3" t="inlineStr">
        <is>
          <t>HSV-4 Vodorovné</t>
        </is>
      </c>
      <c r="F335" s="3" t="inlineStr">
        <is>
          <t>Deska kročejová Isover T-P 30 mm — materiál</t>
        </is>
      </c>
      <c r="G335" s="2" t="inlineStr">
        <is>
          <t>m²</t>
        </is>
      </c>
      <c r="H335" s="2" t="n">
        <v>62.5</v>
      </c>
      <c r="I335" s="3">
        <f> 59.5 × 1.05 prořez</f>
        <v/>
      </c>
      <c r="J335" s="2" t="inlineStr"/>
      <c r="K335" s="3" t="inlineStr">
        <is>
          <t>skladba S07 návrh — kročejová Isover T-P 30 mm</t>
        </is>
      </c>
      <c r="L335" s="2" t="inlineStr">
        <is>
          <t>needs_lookup</t>
        </is>
      </c>
      <c r="M335" s="2" t="inlineStr">
        <is>
          <t>S07</t>
        </is>
      </c>
    </row>
    <row r="336">
      <c r="A336" s="2" t="n">
        <v>335</v>
      </c>
      <c r="B336" s="2" t="inlineStr">
        <is>
          <t>HSV4.016a</t>
        </is>
      </c>
      <c r="C336" s="2" t="inlineStr">
        <is>
          <t>260219_dum</t>
        </is>
      </c>
      <c r="D336" s="2" t="inlineStr">
        <is>
          <t>HSV-4 Vodorovné</t>
        </is>
      </c>
      <c r="E336" s="3" t="inlineStr">
        <is>
          <t>HSV-4 Vodorovné</t>
        </is>
      </c>
      <c r="F336" s="3" t="inlineStr">
        <is>
          <t>Separační geotextilie — dodávka + pokládka, strop S07</t>
        </is>
      </c>
      <c r="G336" s="2" t="inlineStr">
        <is>
          <t>m²</t>
        </is>
      </c>
      <c r="H336" s="2" t="n">
        <v>65.5</v>
      </c>
      <c r="I336" s="3">
        <f> 59.5 × 1.10 přesahy</f>
        <v/>
      </c>
      <c r="J336" s="2" t="inlineStr"/>
      <c r="K336" s="3" t="inlineStr">
        <is>
          <t>skladba S07 návrh — separační geotextilie</t>
        </is>
      </c>
      <c r="L336" s="2" t="inlineStr">
        <is>
          <t>needs_lookup</t>
        </is>
      </c>
      <c r="M336" s="2" t="inlineStr">
        <is>
          <t>S07</t>
        </is>
      </c>
    </row>
    <row r="337">
      <c r="A337" s="2" t="n">
        <v>336</v>
      </c>
      <c r="B337" s="2" t="inlineStr">
        <is>
          <t>HSV4.017a</t>
        </is>
      </c>
      <c r="C337" s="2" t="inlineStr">
        <is>
          <t>260219_dum</t>
        </is>
      </c>
      <c r="D337" s="2" t="inlineStr">
        <is>
          <t>HSV-4 Vodorovné</t>
        </is>
      </c>
      <c r="E337" s="3" t="inlineStr">
        <is>
          <t>HSV-4 Vodorovné</t>
        </is>
      </c>
      <c r="F337" s="3" t="inlineStr">
        <is>
          <t>Montáž min. vaty mezi ocel. nosníky — strop S09</t>
        </is>
      </c>
      <c r="G337" s="2" t="inlineStr">
        <is>
          <t>m²</t>
        </is>
      </c>
      <c r="H337" s="2" t="n">
        <v>104.4</v>
      </c>
      <c r="I337" s="3">
        <f> plocha stropu S09</f>
        <v/>
      </c>
      <c r="J337" s="2" t="inlineStr">
        <is>
          <t>713121</t>
        </is>
      </c>
      <c r="K337" s="3" t="inlineStr">
        <is>
          <t>skladba S09 návrh — min. vata výplň 180/200 mm</t>
        </is>
      </c>
      <c r="L337" s="2" t="inlineStr">
        <is>
          <t>family_only</t>
        </is>
      </c>
      <c r="M337" s="2" t="inlineStr">
        <is>
          <t>S09</t>
        </is>
      </c>
    </row>
    <row r="338">
      <c r="A338" s="2" t="n">
        <v>337</v>
      </c>
      <c r="B338" s="2" t="inlineStr">
        <is>
          <t>HSV4.017b</t>
        </is>
      </c>
      <c r="C338" s="2" t="inlineStr">
        <is>
          <t>260219_dum</t>
        </is>
      </c>
      <c r="D338" s="2" t="inlineStr">
        <is>
          <t>HSV-4 Vodorovné</t>
        </is>
      </c>
      <c r="E338" s="3" t="inlineStr">
        <is>
          <t>HSV-4 Vodorovné</t>
        </is>
      </c>
      <c r="F338" s="3" t="inlineStr">
        <is>
          <t>Minerální vata 180/200 mm — materiál</t>
        </is>
      </c>
      <c r="G338" s="2" t="inlineStr">
        <is>
          <t>m²</t>
        </is>
      </c>
      <c r="H338" s="2" t="n">
        <v>109.6</v>
      </c>
      <c r="I338" s="3">
        <f> 104.4 × 1.05</f>
        <v/>
      </c>
      <c r="J338" s="2" t="inlineStr"/>
      <c r="K338" s="3" t="inlineStr">
        <is>
          <t>skladba S09 návrh — min. vata výplň 180/200 mm</t>
        </is>
      </c>
      <c r="L338" s="2" t="inlineStr">
        <is>
          <t>needs_lookup</t>
        </is>
      </c>
      <c r="M338" s="2" t="inlineStr">
        <is>
          <t>S09</t>
        </is>
      </c>
    </row>
    <row r="339">
      <c r="A339" s="2" t="n">
        <v>338</v>
      </c>
      <c r="B339" s="2" t="inlineStr">
        <is>
          <t>HSV4.018a</t>
        </is>
      </c>
      <c r="C339" s="2" t="inlineStr">
        <is>
          <t>260219_dum</t>
        </is>
      </c>
      <c r="D339" s="2" t="inlineStr">
        <is>
          <t>HSV-4 Vodorovné</t>
        </is>
      </c>
      <c r="E339" s="3" t="inlineStr">
        <is>
          <t>HSV-4 Vodorovné</t>
        </is>
      </c>
      <c r="F339" s="3" t="inlineStr">
        <is>
          <t>Fermacell 2E22 25 mm — montáž+materiál, S08 (plocha neurčeno)</t>
        </is>
      </c>
      <c r="G339" s="2" t="inlineStr">
        <is>
          <t>m²</t>
        </is>
      </c>
      <c r="H339" s="4" t="inlineStr">
        <is>
          <t>neurčeno</t>
        </is>
      </c>
      <c r="I339" s="3" t="inlineStr">
        <is>
          <t>neurčeno — V1</t>
        </is>
      </c>
      <c r="J339" s="2" t="inlineStr"/>
      <c r="K339" s="3" t="inlineStr">
        <is>
          <t>skladba S08 legenda (řez nepretíná, plocha nepřiřazena)</t>
        </is>
      </c>
      <c r="L339" s="2" t="inlineStr">
        <is>
          <t>needs_lookup</t>
        </is>
      </c>
      <c r="M339" s="2" t="inlineStr">
        <is>
          <t>S08</t>
        </is>
      </c>
    </row>
    <row r="340">
      <c r="A340" s="2" t="n">
        <v>339</v>
      </c>
      <c r="B340" s="2" t="inlineStr">
        <is>
          <t>HSV4.019a</t>
        </is>
      </c>
      <c r="C340" s="2" t="inlineStr">
        <is>
          <t>260219_dum</t>
        </is>
      </c>
      <c r="D340" s="2" t="inlineStr">
        <is>
          <t>HSV-4 Vodorovné</t>
        </is>
      </c>
      <c r="E340" s="3" t="inlineStr">
        <is>
          <t>HSV-4 Vodorovné</t>
        </is>
      </c>
      <c r="F340" s="3" t="inlineStr">
        <is>
          <t>Kročejová izolace 30 mm — montáž+materiál, S08 (neurčeno)</t>
        </is>
      </c>
      <c r="G340" s="2" t="inlineStr">
        <is>
          <t>m²</t>
        </is>
      </c>
      <c r="H340" s="4" t="inlineStr">
        <is>
          <t>neurčeno</t>
        </is>
      </c>
      <c r="I340" s="3" t="inlineStr">
        <is>
          <t>neurčeno — V1</t>
        </is>
      </c>
      <c r="J340" s="2" t="inlineStr">
        <is>
          <t>713191</t>
        </is>
      </c>
      <c r="K340" s="3" t="inlineStr">
        <is>
          <t>skladba S08 legenda</t>
        </is>
      </c>
      <c r="L340" s="2" t="inlineStr">
        <is>
          <t>needs_lookup</t>
        </is>
      </c>
      <c r="M340" s="2" t="inlineStr">
        <is>
          <t>S08</t>
        </is>
      </c>
    </row>
    <row r="341">
      <c r="A341" s="2" t="n">
        <v>340</v>
      </c>
      <c r="B341" s="2" t="inlineStr">
        <is>
          <t>HSV4.020a</t>
        </is>
      </c>
      <c r="C341" s="2" t="inlineStr">
        <is>
          <t>260219_dum</t>
        </is>
      </c>
      <c r="D341" s="2" t="inlineStr">
        <is>
          <t>HSV-4 Vodorovné</t>
        </is>
      </c>
      <c r="E341" s="3" t="inlineStr">
        <is>
          <t>HSV-4 Vodorovné</t>
        </is>
      </c>
      <c r="F341" s="3" t="inlineStr">
        <is>
          <t>Suchý podsyp keramzit/liapor + dřevěný rošt 50 mm — S08 (neurčeno)</t>
        </is>
      </c>
      <c r="G341" s="2" t="inlineStr">
        <is>
          <t>m²</t>
        </is>
      </c>
      <c r="H341" s="4" t="inlineStr">
        <is>
          <t>neurčeno</t>
        </is>
      </c>
      <c r="I341" s="3" t="inlineStr">
        <is>
          <t>neurčeno — V1</t>
        </is>
      </c>
      <c r="J341" s="2" t="inlineStr"/>
      <c r="K341" s="3" t="inlineStr">
        <is>
          <t>skladba S08 legenda</t>
        </is>
      </c>
      <c r="L341" s="2" t="inlineStr">
        <is>
          <t>needs_lookup</t>
        </is>
      </c>
      <c r="M341" s="2" t="inlineStr">
        <is>
          <t>S08</t>
        </is>
      </c>
    </row>
    <row r="342">
      <c r="A342" s="2" t="n">
        <v>341</v>
      </c>
      <c r="B342" s="2" t="inlineStr">
        <is>
          <t>HSV4.021a</t>
        </is>
      </c>
      <c r="C342" s="2" t="inlineStr">
        <is>
          <t>260219_dum</t>
        </is>
      </c>
      <c r="D342" s="2" t="inlineStr">
        <is>
          <t>HSV-4 Vodorovné</t>
        </is>
      </c>
      <c r="E342" s="3" t="inlineStr">
        <is>
          <t>HSV-4 Vodorovné</t>
        </is>
      </c>
      <c r="F342" s="3" t="inlineStr">
        <is>
          <t>Separační vrstva — S08 (neurčeno)</t>
        </is>
      </c>
      <c r="G342" s="2" t="inlineStr">
        <is>
          <t>m²</t>
        </is>
      </c>
      <c r="H342" s="4" t="inlineStr">
        <is>
          <t>neurčeno</t>
        </is>
      </c>
      <c r="I342" s="3" t="inlineStr">
        <is>
          <t>neurčeno — V1</t>
        </is>
      </c>
      <c r="J342" s="2" t="inlineStr"/>
      <c r="K342" s="3" t="inlineStr">
        <is>
          <t>skladba S08 legenda</t>
        </is>
      </c>
      <c r="L342" s="2" t="inlineStr">
        <is>
          <t>needs_lookup</t>
        </is>
      </c>
      <c r="M342" s="2" t="inlineStr">
        <is>
          <t>S08</t>
        </is>
      </c>
    </row>
    <row r="343">
      <c r="A343" s="2" t="n">
        <v>342</v>
      </c>
      <c r="B343" s="2" t="inlineStr">
        <is>
          <t>HSV7.007a</t>
        </is>
      </c>
      <c r="C343" s="2" t="inlineStr">
        <is>
          <t>260219_dum</t>
        </is>
      </c>
      <c r="D343" s="2" t="inlineStr">
        <is>
          <t>HSV-7 Fasáda + zateplení</t>
        </is>
      </c>
      <c r="E343" s="3" t="inlineStr">
        <is>
          <t>HSV-7 Fasáda + zateplení</t>
        </is>
      </c>
      <c r="F343" s="3" t="inlineStr">
        <is>
          <t>Montáž sanační izolační desky Styrcon 200 + armovací — sokl S03</t>
        </is>
      </c>
      <c r="G343" s="2" t="inlineStr">
        <is>
          <t>m²</t>
        </is>
      </c>
      <c r="H343" s="2" t="n">
        <v>16</v>
      </c>
      <c r="I343" s="3">
        <f> obvod 38.7 × 0.6 × řadovka 0.7 ≈ 16 (OVĚŘIT)</f>
        <v/>
      </c>
      <c r="J343" s="2" t="inlineStr"/>
      <c r="K343" s="3" t="inlineStr">
        <is>
          <t>Řez A-A sokl tags (S03b -0.200/-0.975) + obvod ETICS</t>
        </is>
      </c>
      <c r="L343" s="2" t="inlineStr">
        <is>
          <t>needs_lookup</t>
        </is>
      </c>
      <c r="M343" s="2" t="inlineStr">
        <is>
          <t>S03</t>
        </is>
      </c>
    </row>
    <row r="344">
      <c r="A344" s="2" t="n">
        <v>343</v>
      </c>
      <c r="B344" s="2" t="inlineStr">
        <is>
          <t>HSV7.007b</t>
        </is>
      </c>
      <c r="C344" s="2" t="inlineStr">
        <is>
          <t>260219_dum</t>
        </is>
      </c>
      <c r="D344" s="2" t="inlineStr">
        <is>
          <t>HSV-7 Fasáda + zateplení</t>
        </is>
      </c>
      <c r="E344" s="3" t="inlineStr">
        <is>
          <t>HSV-7 Fasáda + zateplení</t>
        </is>
      </c>
      <c r="F344" s="3" t="inlineStr">
        <is>
          <t>Sanační deska Styrcon 200 + lepící tmel + armovací stěrka+tkanina — materiál</t>
        </is>
      </c>
      <c r="G344" s="2" t="inlineStr">
        <is>
          <t>m²</t>
        </is>
      </c>
      <c r="H344" s="2" t="n">
        <v>17</v>
      </c>
      <c r="I344" s="3">
        <f> 16 × 1.05</f>
        <v/>
      </c>
      <c r="J344" s="2" t="inlineStr"/>
      <c r="K344" s="3" t="inlineStr">
        <is>
          <t>Řez A-A sokl tags (S03b -0.200/-0.975) + obvod ETICS</t>
        </is>
      </c>
      <c r="L344" s="2" t="inlineStr">
        <is>
          <t>needs_lookup</t>
        </is>
      </c>
      <c r="M344" s="2" t="inlineStr">
        <is>
          <t>S03</t>
        </is>
      </c>
    </row>
    <row r="345">
      <c r="A345" s="2" t="n">
        <v>344</v>
      </c>
      <c r="B345" s="2" t="inlineStr">
        <is>
          <t>HSV7.008a</t>
        </is>
      </c>
      <c r="C345" s="2" t="inlineStr">
        <is>
          <t>260219_dum</t>
        </is>
      </c>
      <c r="D345" s="2" t="inlineStr">
        <is>
          <t>HSV-7 Fasáda + zateplení</t>
        </is>
      </c>
      <c r="E345" s="3" t="inlineStr">
        <is>
          <t>HSV-7 Fasáda + zateplení</t>
        </is>
      </c>
      <c r="F345" s="3" t="inlineStr">
        <is>
          <t>Drenážní nopová folie 20 mm — dodávka+montáž, sokl pod terénem S03a</t>
        </is>
      </c>
      <c r="G345" s="2" t="inlineStr">
        <is>
          <t>m²</t>
        </is>
      </c>
      <c r="H345" s="2" t="n">
        <v>18</v>
      </c>
      <c r="I345" s="3">
        <f> 16 × 1.10</f>
        <v/>
      </c>
      <c r="J345" s="2" t="inlineStr"/>
      <c r="K345" s="3" t="inlineStr">
        <is>
          <t>Řez A-A/C-C sokl + obvod ETICS</t>
        </is>
      </c>
      <c r="L345" s="2" t="inlineStr">
        <is>
          <t>needs_lookup</t>
        </is>
      </c>
      <c r="M345" s="2" t="inlineStr">
        <is>
          <t>S03</t>
        </is>
      </c>
    </row>
    <row r="346">
      <c r="A346" s="2" t="n">
        <v>345</v>
      </c>
      <c r="B346" s="2" t="inlineStr">
        <is>
          <t>HSV7.009a</t>
        </is>
      </c>
      <c r="C346" s="2" t="inlineStr">
        <is>
          <t>260219_dum</t>
        </is>
      </c>
      <c r="D346" s="2" t="inlineStr">
        <is>
          <t>HSV-7 Fasáda + zateplení</t>
        </is>
      </c>
      <c r="E346" s="3" t="inlineStr">
        <is>
          <t>HSV-7 Fasáda + zateplení</t>
        </is>
      </c>
      <c r="F346" s="3" t="inlineStr">
        <is>
          <t>Kotevní rošt 40 mm provětraného soklu — montáž+materiál S03b</t>
        </is>
      </c>
      <c r="G346" s="2" t="inlineStr">
        <is>
          <t>m²</t>
        </is>
      </c>
      <c r="H346" s="2" t="n">
        <v>16</v>
      </c>
      <c r="I346" s="3">
        <f> 16 (OVĚŘIT)</f>
        <v/>
      </c>
      <c r="J346" s="2" t="inlineStr"/>
      <c r="K346" s="3" t="inlineStr">
        <is>
          <t>Řez A-A sokl tags S03b + obvod ETICS</t>
        </is>
      </c>
      <c r="L346" s="2" t="inlineStr">
        <is>
          <t>needs_lookup</t>
        </is>
      </c>
      <c r="M346" s="2" t="inlineStr">
        <is>
          <t>S03</t>
        </is>
      </c>
    </row>
    <row r="347">
      <c r="A347" s="2" t="n">
        <v>346</v>
      </c>
      <c r="B347" s="2" t="inlineStr">
        <is>
          <t>HSV7.009b</t>
        </is>
      </c>
      <c r="C347" s="2" t="inlineStr">
        <is>
          <t>260219_dum</t>
        </is>
      </c>
      <c r="D347" s="2" t="inlineStr">
        <is>
          <t>HSV-7 Fasáda + zateplení</t>
        </is>
      </c>
      <c r="E347" s="3" t="inlineStr">
        <is>
          <t>HSV-7 Fasáda + zateplení</t>
        </is>
      </c>
      <c r="F347" s="3" t="inlineStr">
        <is>
          <t>Keramický obklad soklu 20 mm — montáž+materiál</t>
        </is>
      </c>
      <c r="G347" s="2" t="inlineStr">
        <is>
          <t>m²</t>
        </is>
      </c>
      <c r="H347" s="2" t="n">
        <v>17</v>
      </c>
      <c r="I347" s="3">
        <f> 16 × 1.05</f>
        <v/>
      </c>
      <c r="J347" s="2" t="inlineStr">
        <is>
          <t>781</t>
        </is>
      </c>
      <c r="K347" s="3" t="inlineStr">
        <is>
          <t>Řez A-A sokl tags S03b + obvod ETICS</t>
        </is>
      </c>
      <c r="L347" s="2" t="inlineStr">
        <is>
          <t>family_only</t>
        </is>
      </c>
      <c r="M347" s="2" t="inlineStr">
        <is>
          <t>S03</t>
        </is>
      </c>
    </row>
    <row r="348">
      <c r="A348" s="2" t="n">
        <v>347</v>
      </c>
      <c r="B348" s="2" t="inlineStr">
        <is>
          <t>HSV5.018a</t>
        </is>
      </c>
      <c r="C348" s="2" t="inlineStr">
        <is>
          <t>260219_dum</t>
        </is>
      </c>
      <c r="D348" s="2" t="inlineStr">
        <is>
          <t>HSV-5 Krov + střecha</t>
        </is>
      </c>
      <c r="E348" s="3" t="inlineStr">
        <is>
          <t>HSV-5 Krov + střecha</t>
        </is>
      </c>
      <c r="F348" s="3" t="inlineStr">
        <is>
          <t>Pojistná HI folie pod Al krytinu — dodávka+montáž S10</t>
        </is>
      </c>
      <c r="G348" s="2" t="inlineStr">
        <is>
          <t>m²</t>
        </is>
      </c>
      <c r="H348" s="2" t="n">
        <v>155</v>
      </c>
      <c r="I348" s="3">
        <f> 140.94 × 1.10 přesahy</f>
        <v/>
      </c>
      <c r="J348" s="2" t="inlineStr"/>
      <c r="K348" s="3" t="inlineStr">
        <is>
          <t>skladba S10 návrh — pojistná HI pod Al krytinu</t>
        </is>
      </c>
      <c r="L348" s="2" t="inlineStr">
        <is>
          <t>needs_lookup</t>
        </is>
      </c>
      <c r="M348" s="2" t="inlineStr">
        <is>
          <t>S10</t>
        </is>
      </c>
    </row>
    <row r="349">
      <c r="A349" s="2" t="n">
        <v>348</v>
      </c>
      <c r="B349" s="2" t="inlineStr">
        <is>
          <t>HSV6.018a</t>
        </is>
      </c>
      <c r="C349" s="2" t="inlineStr">
        <is>
          <t>260219_dum</t>
        </is>
      </c>
      <c r="D349" s="2" t="inlineStr">
        <is>
          <t>HSV-6 Bourací práce</t>
        </is>
      </c>
      <c r="E349" s="3" t="inlineStr">
        <is>
          <t>HSV-6 Bourací práce</t>
        </is>
      </c>
      <c r="F349" s="3" t="inlineStr">
        <is>
          <t>Demontáž vnějšího keram. obkladu suterénu (sokl) 20 mm</t>
        </is>
      </c>
      <c r="G349" s="2" t="inlineStr">
        <is>
          <t>m²</t>
        </is>
      </c>
      <c r="H349" s="2" t="n">
        <v>16</v>
      </c>
      <c r="I349" s="3">
        <f> obvod 38.7 × 0.6 × řadovka 0.7 ≈ 16 (OVĚŘIT)</f>
        <v/>
      </c>
      <c r="J349" s="2" t="inlineStr"/>
      <c r="K349" s="3" t="inlineStr">
        <is>
          <t>skladba S03 stávající (vnější keram. obklad) + Řez A-A sokl</t>
        </is>
      </c>
      <c r="L349" s="2" t="inlineStr">
        <is>
          <t>needs_lookup</t>
        </is>
      </c>
      <c r="M349" s="2" t="inlineStr">
        <is>
          <t>S03</t>
        </is>
      </c>
    </row>
    <row r="350">
      <c r="A350" s="2" t="n">
        <v>349</v>
      </c>
      <c r="B350" s="2" t="inlineStr">
        <is>
          <t>HSV5.002a</t>
        </is>
      </c>
      <c r="C350" s="2" t="inlineStr">
        <is>
          <t>260217_sklad</t>
        </is>
      </c>
      <c r="D350" s="2" t="inlineStr">
        <is>
          <t>HSV-5 Komunikace + vjezd</t>
        </is>
      </c>
      <c r="E350" s="3" t="inlineStr">
        <is>
          <t>HSV 5 Komunikace pozemní — dlažby</t>
        </is>
      </c>
      <c r="F350" s="3" t="inlineStr">
        <is>
          <t>Betonová dlažba napojení vjezdu na komunikaci Dvořákova</t>
        </is>
      </c>
      <c r="G350" s="2" t="inlineStr">
        <is>
          <t>m²</t>
        </is>
      </c>
      <c r="H350" s="4" t="inlineStr">
        <is>
          <t>neurčeno</t>
        </is>
      </c>
      <c r="I350" s="3" t="inlineStr">
        <is>
          <t>neurčeno — situace C.3.R1 OVĚŘIT</t>
        </is>
      </c>
      <c r="J350" s="2" t="inlineStr"/>
      <c r="K350" s="3" t="inlineStr">
        <is>
          <t>Dodatek PD č.1 (E.01) / DI PČR požadavek</t>
        </is>
      </c>
      <c r="L350" s="2" t="inlineStr">
        <is>
          <t>needs_lookup</t>
        </is>
      </c>
      <c r="M350" s="2" t="inlineStr"/>
    </row>
    <row r="351">
      <c r="A351" s="2" t="n">
        <v>350</v>
      </c>
      <c r="B351" s="2" t="inlineStr">
        <is>
          <t>HSV5.002b</t>
        </is>
      </c>
      <c r="C351" s="2" t="inlineStr">
        <is>
          <t>260217_sklad</t>
        </is>
      </c>
      <c r="D351" s="2" t="inlineStr">
        <is>
          <t>HSV-5 Komunikace + vjezd</t>
        </is>
      </c>
      <c r="E351" s="3" t="inlineStr">
        <is>
          <t>HSV 5 Komunikace pozemní — dlažby</t>
        </is>
      </c>
      <c r="F351" s="3" t="inlineStr">
        <is>
          <t>Podkladní vrstva kameniva pod dlažbu vjezdu</t>
        </is>
      </c>
      <c r="G351" s="2" t="inlineStr">
        <is>
          <t>m²</t>
        </is>
      </c>
      <c r="H351" s="4" t="inlineStr">
        <is>
          <t>neurčeno</t>
        </is>
      </c>
      <c r="I351" s="3" t="inlineStr">
        <is>
          <t>neurčeno — OVĚŘIT</t>
        </is>
      </c>
      <c r="J351" s="2" t="inlineStr"/>
      <c r="K351" s="3" t="inlineStr">
        <is>
          <t>Dodatek PD č.1 (E.01) / DI PČR požadavek</t>
        </is>
      </c>
      <c r="L351" s="2" t="inlineStr">
        <is>
          <t>needs_lookup</t>
        </is>
      </c>
      <c r="M351" s="2" t="inlineStr"/>
    </row>
    <row r="352">
      <c r="A352" s="2" t="n">
        <v>351</v>
      </c>
      <c r="B352" s="2" t="inlineStr">
        <is>
          <t>HSV5.002c</t>
        </is>
      </c>
      <c r="C352" s="2" t="inlineStr">
        <is>
          <t>260217_sklad</t>
        </is>
      </c>
      <c r="D352" s="2" t="inlineStr">
        <is>
          <t>HSV-5 Komunikace + vjezd</t>
        </is>
      </c>
      <c r="E352" s="3" t="inlineStr">
        <is>
          <t>HSV 5 Komunikace pozemní — dlažby</t>
        </is>
      </c>
      <c r="F352" s="3" t="inlineStr">
        <is>
          <t>Spádování + odvodnění dešťové vody na pozemek investora</t>
        </is>
      </c>
      <c r="G352" s="2" t="inlineStr">
        <is>
          <t>soubor</t>
        </is>
      </c>
      <c r="H352" s="4" t="inlineStr">
        <is>
          <t>neurčeno</t>
        </is>
      </c>
      <c r="I352" s="3" t="inlineStr">
        <is>
          <t>neurčeno — OVĚŘIT</t>
        </is>
      </c>
      <c r="J352" s="2" t="inlineStr"/>
      <c r="K352" s="3" t="inlineStr">
        <is>
          <t>Dodatek PD č.1 (E.01) / DI PČR požadavek</t>
        </is>
      </c>
      <c r="L352" s="2" t="inlineStr">
        <is>
          <t>needs_lookup</t>
        </is>
      </c>
      <c r="M352" s="2" t="inlineStr"/>
    </row>
    <row r="353">
      <c r="A353" s="2" t="n">
        <v>352</v>
      </c>
      <c r="B353" s="2" t="inlineStr">
        <is>
          <t>PSV76.002a</t>
        </is>
      </c>
      <c r="C353" s="2" t="inlineStr">
        <is>
          <t>260217_sklad</t>
        </is>
      </c>
      <c r="D353" s="2" t="inlineStr">
        <is>
          <t>PSV-76 Zámečnictví</t>
        </is>
      </c>
      <c r="E353" s="3" t="inlineStr">
        <is>
          <t>PSV 767 zámečnické konstrukce</t>
        </is>
      </c>
      <c r="F353" s="3" t="inlineStr">
        <is>
          <t>Vjezdová brána ocelová — dodávka + montáž</t>
        </is>
      </c>
      <c r="G353" s="2" t="inlineStr">
        <is>
          <t>ks</t>
        </is>
      </c>
      <c r="H353" s="2" t="n">
        <v>1</v>
      </c>
      <c r="I353" s="3">
        <f> 1 brána</f>
        <v/>
      </c>
      <c r="J353" s="2" t="inlineStr"/>
      <c r="K353" s="3" t="inlineStr">
        <is>
          <t>Dodatek PD č.1 (E.01)</t>
        </is>
      </c>
      <c r="L353" s="2" t="inlineStr">
        <is>
          <t>needs_lookup</t>
        </is>
      </c>
      <c r="M353" s="2" t="inlineStr"/>
    </row>
    <row r="354">
      <c r="A354" s="2" t="n">
        <v>353</v>
      </c>
      <c r="B354" s="2" t="inlineStr">
        <is>
          <t>VRN.003a</t>
        </is>
      </c>
      <c r="C354" s="2" t="inlineStr">
        <is>
          <t>260217_sklad</t>
        </is>
      </c>
      <c r="D354" s="2" t="inlineStr">
        <is>
          <t>VRN — Geodet / PČR</t>
        </is>
      </c>
      <c r="E354" s="3" t="inlineStr">
        <is>
          <t>VRN geodetické + zaměřovací práce</t>
        </is>
      </c>
      <c r="F354" s="3" t="inlineStr">
        <is>
          <t>Vytyčení + kontrola rozhledových trojúhelníků (Vn=40, Dz=25 m)</t>
        </is>
      </c>
      <c r="G354" s="2" t="inlineStr">
        <is>
          <t>soubor</t>
        </is>
      </c>
      <c r="H354" s="2" t="n">
        <v>1</v>
      </c>
      <c r="I354" s="3">
        <f> 1 soubor</f>
        <v/>
      </c>
      <c r="J354" s="2" t="inlineStr"/>
      <c r="K354" s="3" t="inlineStr">
        <is>
          <t>Dodatek PD č.1 (E.01) / DI PČR</t>
        </is>
      </c>
      <c r="L354" s="2" t="inlineStr">
        <is>
          <t>needs_lookup</t>
        </is>
      </c>
      <c r="M354" s="2" t="inlineStr"/>
    </row>
    <row r="355">
      <c r="A355" s="2" t="n">
        <v>354</v>
      </c>
      <c r="B355" s="2" t="inlineStr">
        <is>
          <t>M24.001a</t>
        </is>
      </c>
      <c r="C355" s="2" t="inlineStr">
        <is>
          <t>260219_dum</t>
        </is>
      </c>
      <c r="D355" s="2" t="inlineStr">
        <is>
          <t>M-24 VZT</t>
        </is>
      </c>
      <c r="E355" s="3" t="inlineStr">
        <is>
          <t>M / 751 vzduchotechnika — odtah digestoře</t>
        </is>
      </c>
      <c r="F355" s="3" t="inlineStr">
        <is>
          <t>Lokální odtah digestoře kuchyně + prostup + zpětná klapka</t>
        </is>
      </c>
      <c r="G355" s="2" t="inlineStr">
        <is>
          <t>ks</t>
        </is>
      </c>
      <c r="H355" s="2" t="n">
        <v>2</v>
      </c>
      <c r="I355" s="3">
        <f> 2 kuchyně (1.NP + 3.NP)</f>
        <v/>
      </c>
      <c r="J355" s="2" t="inlineStr"/>
      <c r="K355" s="3" t="inlineStr">
        <is>
          <t>B zpráva — VZT: obytné místnosti větrání okny, kuchyně lokální odtah digestoří</t>
        </is>
      </c>
      <c r="L355" s="2" t="inlineStr">
        <is>
          <t>needs_lookup</t>
        </is>
      </c>
      <c r="M355" s="2" t="inlineStr"/>
    </row>
    <row r="356">
      <c r="A356" s="2" t="n">
        <v>355</v>
      </c>
      <c r="B356" s="2" t="inlineStr">
        <is>
          <t>M21.008a</t>
        </is>
      </c>
      <c r="C356" s="2" t="inlineStr">
        <is>
          <t>260219_dum</t>
        </is>
      </c>
      <c r="D356" s="2" t="inlineStr">
        <is>
          <t>M-21 ELI silnoproud</t>
        </is>
      </c>
      <c r="E356" s="3" t="inlineStr">
        <is>
          <t>M 21 elektroinstalace — hlavní vypínač + značení</t>
        </is>
      </c>
      <c r="F356" s="3" t="inlineStr">
        <is>
          <t>Hlavní vypínač elektrické energie TOTAL STOP</t>
        </is>
      </c>
      <c r="G356" s="2" t="inlineStr">
        <is>
          <t>soubor</t>
        </is>
      </c>
      <c r="H356" s="2" t="n">
        <v>1</v>
      </c>
      <c r="I356" s="3">
        <f> 1 soubor</f>
        <v/>
      </c>
      <c r="J356" s="2" t="inlineStr"/>
      <c r="K356" s="3" t="inlineStr">
        <is>
          <t>PBŘ D.3 §16.05/16.06</t>
        </is>
      </c>
      <c r="L356" s="2" t="inlineStr">
        <is>
          <t>needs_lookup</t>
        </is>
      </c>
      <c r="M356" s="2" t="inlineStr"/>
    </row>
    <row r="357">
      <c r="A357" s="2" t="n">
        <v>356</v>
      </c>
      <c r="B357" s="2" t="inlineStr">
        <is>
          <t>M21.008b</t>
        </is>
      </c>
      <c r="C357" s="2" t="inlineStr">
        <is>
          <t>260219_dum</t>
        </is>
      </c>
      <c r="D357" s="2" t="inlineStr">
        <is>
          <t>M-21 ELI silnoproud</t>
        </is>
      </c>
      <c r="E357" s="3" t="inlineStr">
        <is>
          <t>M 21 elektroinstalace — hlavní vypínač + značení</t>
        </is>
      </c>
      <c r="F357" s="3" t="inlineStr">
        <is>
          <t>Požární značení rozvodů + uzávěrů (voda/elektro)</t>
        </is>
      </c>
      <c r="G357" s="2" t="inlineStr">
        <is>
          <t>soubor</t>
        </is>
      </c>
      <c r="H357" s="2" t="n">
        <v>1</v>
      </c>
      <c r="I357" s="3">
        <f> 1 soubor</f>
        <v/>
      </c>
      <c r="J357" s="2" t="inlineStr"/>
      <c r="K357" s="3" t="inlineStr">
        <is>
          <t>PBŘ D.3 §16.05/16.06</t>
        </is>
      </c>
      <c r="L357" s="2" t="inlineStr">
        <is>
          <t>needs_lookup</t>
        </is>
      </c>
      <c r="M357" s="2" t="inlineStr"/>
    </row>
    <row r="358">
      <c r="A358" s="2" t="n">
        <v>357</v>
      </c>
      <c r="B358" s="2" t="inlineStr">
        <is>
          <t>PSV95.003a</t>
        </is>
      </c>
      <c r="C358" s="2" t="inlineStr">
        <is>
          <t>260219_dum</t>
        </is>
      </c>
      <c r="D358" s="2" t="inlineStr">
        <is>
          <t>PSV-95 Detekce požární</t>
        </is>
      </c>
      <c r="E358" s="3" t="inlineStr">
        <is>
          <t>VRN doklady / revize požární</t>
        </is>
      </c>
      <c r="F358" s="3" t="inlineStr">
        <is>
          <t>Předávací protokol krbu + kontrola bezpečných vzdáleností</t>
        </is>
      </c>
      <c r="G358" s="2" t="inlineStr">
        <is>
          <t>soubor</t>
        </is>
      </c>
      <c r="H358" s="2" t="n">
        <v>1</v>
      </c>
      <c r="I358" s="3">
        <f> 1 soubor</f>
        <v/>
      </c>
      <c r="J358" s="2" t="inlineStr"/>
      <c r="K358" s="3" t="inlineStr">
        <is>
          <t>PBŘ D.3</t>
        </is>
      </c>
      <c r="L358" s="2" t="inlineStr">
        <is>
          <t>needs_lookup</t>
        </is>
      </c>
      <c r="M358" s="2" t="inlineStr"/>
    </row>
    <row r="359">
      <c r="A359" s="2" t="n">
        <v>358</v>
      </c>
      <c r="B359" s="2" t="inlineStr">
        <is>
          <t>HSV3.004a</t>
        </is>
      </c>
      <c r="C359" s="2" t="inlineStr">
        <is>
          <t>260217_sklad</t>
        </is>
      </c>
      <c r="D359" s="2" t="inlineStr">
        <is>
          <t>HSV-3 Svislé konstrukce</t>
        </is>
      </c>
      <c r="E359" s="3" t="inlineStr">
        <is>
          <t>ÚRS 711 izolace proti vodě + protiradon</t>
        </is>
      </c>
      <c r="F359" s="3" t="inlineStr">
        <is>
          <t>Asfaltová penetrace obvodových + opěrné stěny pod terénem (S03a+S04)</t>
        </is>
      </c>
      <c r="G359" s="2" t="inlineStr">
        <is>
          <t>m²</t>
        </is>
      </c>
      <c r="H359" s="2" t="n">
        <v>33</v>
      </c>
      <c r="I359" s="3">
        <f> plocha stěn pod terénem 33 m² (OVĚŘIT)</f>
        <v/>
      </c>
      <c r="J359" s="2" t="inlineStr"/>
      <c r="K359" s="3" t="inlineStr">
        <is>
          <t>skladba S03a+S04 řez D.1.1.03/04 + legenda materiálu</t>
        </is>
      </c>
      <c r="L359" s="2" t="inlineStr">
        <is>
          <t>needs_lookup</t>
        </is>
      </c>
      <c r="M359" s="2" t="inlineStr">
        <is>
          <t>S03a_sklad, S04_sklad</t>
        </is>
      </c>
    </row>
    <row r="360">
      <c r="A360" s="2" t="n">
        <v>359</v>
      </c>
      <c r="B360" s="2" t="inlineStr">
        <is>
          <t>HSV3.004b</t>
        </is>
      </c>
      <c r="C360" s="2" t="inlineStr">
        <is>
          <t>260217_sklad</t>
        </is>
      </c>
      <c r="D360" s="2" t="inlineStr">
        <is>
          <t>HSV-3 Svislé konstrukce</t>
        </is>
      </c>
      <c r="E360" s="3" t="inlineStr">
        <is>
          <t>ÚRS 711 izolace proti vodě + protiradon</t>
        </is>
      </c>
      <c r="F360" s="3" t="inlineStr">
        <is>
          <t>2× HI a protiradonový pás z modif. asfaltu 2×4 mm — stěny pod terénem</t>
        </is>
      </c>
      <c r="G360" s="2" t="inlineStr">
        <is>
          <t>m²</t>
        </is>
      </c>
      <c r="H360" s="2" t="n">
        <v>33</v>
      </c>
      <c r="I360" s="3">
        <f> 33 m² (2 vrstvy ve spotřebě)</f>
        <v/>
      </c>
      <c r="J360" s="2" t="inlineStr"/>
      <c r="K360" s="3" t="inlineStr">
        <is>
          <t>skladba S03a+S04 řez D.1.1.03/04 + legenda materiálu</t>
        </is>
      </c>
      <c r="L360" s="2" t="inlineStr">
        <is>
          <t>needs_lookup</t>
        </is>
      </c>
      <c r="M360" s="2" t="inlineStr">
        <is>
          <t>S03a_sklad, S04_sklad</t>
        </is>
      </c>
    </row>
    <row r="361">
      <c r="A361" s="2" t="n">
        <v>360</v>
      </c>
      <c r="B361" s="2" t="inlineStr">
        <is>
          <t>HSV3.005a</t>
        </is>
      </c>
      <c r="C361" s="2" t="inlineStr">
        <is>
          <t>260217_sklad</t>
        </is>
      </c>
      <c r="D361" s="2" t="inlineStr">
        <is>
          <t>HSV-3 Svislé konstrukce</t>
        </is>
      </c>
      <c r="E361" s="3" t="inlineStr">
        <is>
          <t>ÚRS 711 nopová folie drenážní</t>
        </is>
      </c>
      <c r="F361" s="3" t="inlineStr">
        <is>
          <t>Drenážní nopová folie 20 mm — dodávka+montáž, stěny pod terénem (S03a+S04)</t>
        </is>
      </c>
      <c r="G361" s="2" t="inlineStr">
        <is>
          <t>m²</t>
        </is>
      </c>
      <c r="H361" s="2" t="n">
        <v>36</v>
      </c>
      <c r="I361" s="3">
        <f> 33 × 1.10 přesahy</f>
        <v/>
      </c>
      <c r="J361" s="2" t="inlineStr"/>
      <c r="K361" s="3" t="inlineStr">
        <is>
          <t>skladba S03a+S04 řez D.1.1.03/04</t>
        </is>
      </c>
      <c r="L361" s="2" t="inlineStr">
        <is>
          <t>needs_lookup</t>
        </is>
      </c>
      <c r="M361" s="2" t="inlineStr">
        <is>
          <t>S03a_sklad, S04_sklad</t>
        </is>
      </c>
    </row>
  </sheetData>
  <autoFilter ref="A1:M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2026-06-01T17:49:07Z</dcterms:created>
  <dcterms:modified xmlns:dcterms="http://purl.org/dc/terms/" xmlns:xsi="http://www.w3.org/2001/XMLSchema-instance" xsi:type="dcterms:W3CDTF">2026-06-01T17:49:07Z</dcterms:modified>
</cp:coreProperties>
</file>
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2.64</v>
      </c>
      <c r="I21" s="3" t="inlineStr">
        <is>
          <t>podlaha sklad 17.6 m² (legenda místností) × 0.15 m podkladní kamenná drť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7 ks</t>
        </is>
      </c>
      <c r="G43" s="2" t="inlineStr">
        <is>
          <t>ks</t>
        </is>
      </c>
      <c r="H43" s="2" t="n">
        <v>7</v>
      </c>
      <c r="I43" s="3" t="inlineStr">
        <is>
          <t>DXF: 7 ks (rozteč 1000 mm × 7000 mm parking délka)</t>
        </is>
      </c>
      <c r="J43" s="2" t="inlineStr">
        <is>
          <t>273313811</t>
        </is>
      </c>
      <c r="K43" s="3" t="inlineStr">
        <is>
          <t>DXF sklad_DPZ LWPOLYLINE 7000 mm + rozteč 1000 mm = 7 patek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7 ks</t>
        </is>
      </c>
      <c r="G44" s="2" t="inlineStr">
        <is>
          <t>ks</t>
        </is>
      </c>
      <c r="H44" s="2" t="n">
        <v>7</v>
      </c>
      <c r="I44" s="3" t="inlineStr">
        <is>
          <t>7 ks (= spodní)</t>
        </is>
      </c>
      <c r="J44" s="2" t="inlineStr">
        <is>
          <t>311233812</t>
        </is>
      </c>
      <c r="K44" s="3" t="inlineStr">
        <is>
          <t>TZ statika sklad §4 — dvoustupňová konstrukce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7.21</v>
      </c>
      <c r="I45" s="3">
        <f> montáž × 1.03</f>
        <v/>
      </c>
      <c r="J45" s="2" t="inlineStr"/>
      <c r="K45" s="3" t="inlineStr">
        <is>
          <t>TZ statika sklad §4 — dvoustupňová konstrukce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1.8</v>
      </c>
      <c r="I46" s="3" t="inlineStr">
        <is>
          <t>patky horní (0.3×0.3×0.5×7) + zídka (odhad ~1 m³)</t>
        </is>
      </c>
      <c r="J46" s="2" t="inlineStr">
        <is>
          <t>273321321</t>
        </is>
      </c>
      <c r="K46" s="3" t="inlineStr">
        <is>
          <t>TZ statika sklad §4 — C25/30 XC3 XF1 XA1 pro vyztužené konstrukce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18</v>
      </c>
      <c r="I59" s="3" t="inlineStr">
        <is>
          <t>S04 líc 6.35 × 3.0 m = 19.05 m² (řez A-A measured) ÷ ~1.08 m²/blok = 17.6 → 18 ks. POZOR: rozměr bloku 1800×600 mm je ODHAD z analogie (web BB6 stejných gabaritů + AI-souhrn), NE z Herkul tech. listu napřímo (hblok.cz nedostupný). H-BLOK má interlocking profil — modul může být jiný. OVĚŘIT u Herkul.</t>
        </is>
      </c>
      <c r="J59" s="2" t="inlineStr">
        <is>
          <t>311233815</t>
        </is>
      </c>
      <c r="K59" s="3" t="inlineStr">
        <is>
          <t>TZ statika sklad §[19] H-BLOK Standard Herkul (Obrnice). Rozměr bloku NEověřen z tech. listu — odhad 1800×600 mm z web-analogie (BB6 stejný gabarit). Plocha líce 19.05 m² je measured (řez A-A); count 18 ks je estimate závislý na rozměru bloku.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— tvarovky ztraceného bednění tl. 250 mm × výška 2.4 m + zalití C25/30</t>
        </is>
      </c>
      <c r="G60" s="2" t="inlineStr">
        <is>
          <t>m²</t>
        </is>
      </c>
      <c r="H60" s="2" t="n">
        <v>46.5</v>
      </c>
      <c r="I60" s="3" t="inlineStr">
        <is>
          <t>obvod 19.4 m × výška 2.4 m = 46.6</t>
        </is>
      </c>
      <c r="J60" s="2" t="inlineStr">
        <is>
          <t>311233811</t>
        </is>
      </c>
      <c r="K60" s="3" t="inlineStr">
        <is>
          <t>TZ statika sklad §4 + DXF DIMENSION obvod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— tvarovky ztraceného be)</t>
        </is>
      </c>
      <c r="G61" s="2" t="inlineStr">
        <is>
          <t>m²</t>
        </is>
      </c>
      <c r="H61" s="2" t="n">
        <v>46.5</v>
      </c>
      <c r="I61" s="3">
        <f> montáž 1:1</f>
        <v/>
      </c>
      <c r="J61" s="2" t="inlineStr"/>
      <c r="K61" s="3" t="inlineStr">
        <is>
          <t>TZ statika sklad §4 + DXF DIMENSION obvod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1398</v>
      </c>
      <c r="I62" s="3" t="inlineStr">
        <is>
          <t>46.6 × 30 kg/m² = 1398</t>
        </is>
      </c>
      <c r="J62" s="2" t="inlineStr">
        <is>
          <t>273361821</t>
        </is>
      </c>
      <c r="K62" s="3" t="inlineStr">
        <is>
          <t>B4_productivity Methvin — výztuž do ZB tvarovek tl. 250 mm</t>
        </is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1398</v>
      </c>
      <c r="I63" s="3">
        <f> montáž 1:1</f>
        <v/>
      </c>
      <c r="J63" s="2" t="inlineStr"/>
      <c r="K63" s="3" t="inlineStr">
        <is>
          <t>B4_productivity Methvin — výztuž do ZB tvarovek tl. 250 mm</t>
        </is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36.74</v>
      </c>
      <c r="I82" s="3" t="inlineStr">
        <is>
          <t>6.35/0.625 = 10.16 → 11 ks × 3.34 m (rozpon 3.1 + uložení) = 36.74 bm</t>
        </is>
      </c>
      <c r="J82" s="2" t="inlineStr">
        <is>
          <t>762341110</t>
        </is>
      </c>
      <c r="K82" s="3" t="inlineStr">
        <is>
          <t>TZ statika sklad §4 + DXF DIMENSION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40.41</v>
      </c>
      <c r="I83" s="3">
        <f> montáž × 1.10</f>
        <v/>
      </c>
      <c r="J83" s="2" t="inlineStr"/>
      <c r="K83" s="3" t="inlineStr">
        <is>
          <t>TZ statika sklad §4 + DXF DIMENSION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21.209</v>
      </c>
      <c r="I84" s="3">
        <f> 21.2 m² strop skladu</f>
        <v/>
      </c>
      <c r="J84" s="2" t="inlineStr">
        <is>
          <t>762331110</t>
        </is>
      </c>
      <c r="K84" s="3" t="inlineStr">
        <is>
          <t>TZ statika sklad §4 + DXF</t>
        </is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22.26945</v>
      </c>
      <c r="I85" s="3" t="inlineStr">
        <is>
          <t>21.2 × 1.05 přesah</t>
        </is>
      </c>
      <c r="J85" s="2" t="inlineStr">
        <is>
          <t>712331101</t>
        </is>
      </c>
      <c r="K85" s="3" t="inlineStr">
        <is>
          <t>TZ statika sklad §4 — HI souvrství</t>
        </is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24.5</v>
      </c>
      <c r="I86" s="3">
        <f> montáž × 1.10</f>
        <v/>
      </c>
      <c r="J86" s="2" t="inlineStr"/>
      <c r="K86" s="3" t="inlineStr">
        <is>
          <t>TZ statika sklad §4 — HI souvrství</t>
        </is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7 m × 7 ks</t>
        </is>
      </c>
      <c r="G87" s="2" t="inlineStr">
        <is>
          <t>kg</t>
        </is>
      </c>
      <c r="H87" s="2" t="n">
        <v>921</v>
      </c>
      <c r="I87" s="3" t="inlineStr">
        <is>
          <t>7 ks × 7 m × 18.8 kg/m = 921</t>
        </is>
      </c>
      <c r="J87" s="2" t="inlineStr">
        <is>
          <t>411321414</t>
        </is>
      </c>
      <c r="K87" s="3" t="inlineStr">
        <is>
          <t>TZ statika sklad §1.4 + DXF LWPOLYLINE 7000 mm + rozteč 1000 mm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948.63</v>
      </c>
      <c r="I88" s="3">
        <f> montáž × 1.03</f>
        <v/>
      </c>
      <c r="J88" s="2" t="inlineStr"/>
      <c r="K88" s="3" t="inlineStr">
        <is>
          <t>TZ statika sklad §1.4 + DXF LWPOLYLINE 7000 mm + rozteč 1000 mm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1551</v>
      </c>
      <c r="I90" s="3">
        <f> hmotnost IPE180 (921 kg) + odhad pororoštů (21 m² × 30 kg/m²) = ~1551</f>
        <v/>
      </c>
      <c r="J90" s="2" t="inlineStr">
        <is>
          <t>783201001</t>
        </is>
      </c>
      <c r="K90" s="3" t="inlineStr">
        <is>
          <t>TZ statika sklad §1.4 + ČSN EN ISO 12944 — žárový zinek pro pojezdové ocel</t>
        </is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1582.02</v>
      </c>
      <c r="I91" s="3">
        <f> montáž × 1.02</f>
        <v/>
      </c>
      <c r="J91" s="2" t="inlineStr"/>
      <c r="K91" s="3" t="inlineStr">
        <is>
          <t>TZ statika sklad §1.4 + ČSN EN ISO 12944 — žárový zinek pro pojezdové ocel</t>
        </is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do pískového lože — povrch podlahy skladu (~21 m²)</t>
        </is>
      </c>
      <c r="G226" s="2" t="inlineStr">
        <is>
          <t>m²</t>
        </is>
      </c>
      <c r="H226" s="2" t="n">
        <v>17.6</v>
      </c>
      <c r="I226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226" s="2" t="inlineStr"/>
      <c r="K226" s="3" t="inlineStr">
        <is>
          <t>DXF sklad_DPZ km_tabulka místností + Phase 3.5 sklad qty crosscheck (Pattern 17 Phase 0a Layer 2 + Pattern 31 CEV Matrix D.2)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Sklad mezipodesta schodiště — prefa betonové stupně (9 ks × 179.5×250 mm) + kladecí vrstva zavlhlého betonu nad ŽB podkladní deskou (S05 sklad skladba)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Dodatek PD č.1 (E.01) / DI PČR požadavek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Dodatek PD č.1 (E.01) / DI PČR požadavek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Dodatek PD č.1 (E.01) / DI PČR požadavek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</sheetData>
  <autoFilter ref="A1:M3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2026-06-01T17:54:26Z</dcterms:created>
  <dcterms:modified xmlns:dcterms="http://purl.org/dc/terms/" xmlns:xsi="http://www.w3.org/2001/XMLSchema-instance" xsi:type="dcterms:W3CDTF">2026-06-01T17:54:26Z</dcterms:modified>
</cp:coreProperties>
</file>
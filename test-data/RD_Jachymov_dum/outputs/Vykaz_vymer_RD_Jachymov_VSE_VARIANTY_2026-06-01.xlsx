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'Var_C_Hybrid'!$A$1:$J$132</definedName>
    <definedName name="_xlnm._FilterDatabase" localSheetId="4" hidden="1">'Var_B_Polozkovy_Dum'!$A$1:$O$203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(13 skupin) = 131 řádků.</t>
        </is>
      </c>
      <c r="C24" s="9" t="n">
        <v>131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(202 dum + 31 sklad = 233 položek). Cílový rozsah pro produkční pricing.</t>
        </is>
      </c>
      <c r="C25" s="9" t="n">
        <v>233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233 (202 dum + 31 sklad)</t>
        </is>
      </c>
    </row>
    <row r="32">
      <c r="A32" s="4" t="inlineStr">
        <is>
          <t>Gate distribution</t>
        </is>
      </c>
      <c r="B32" s="5" t="inlineStr">
        <is>
          <t>HSV 118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155 needs_production_lookup (66.5 %)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30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233 položek celkem (202 dum + 31 sklad), 4 corpus patterns aplikované, zero-fabrication policy.
Confidence distribution: 17×0.99 · 32×0.95 · 35×0.90 · 41×0.85 · 21×0.80 · 71×0.75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sokl XPS — ETICS sokl — XPS λ=0.034 tl. 120 mm + soklový profil + cihelný obklad spárovaný</t>
        </is>
      </c>
      <c r="E94" s="20" t="inlineStr">
        <is>
          <t>m²</t>
        </is>
      </c>
      <c r="F94" s="22" t="n">
        <v>13.5</v>
      </c>
      <c r="G94" s="10" t="n"/>
      <c r="H94" s="10" t="n"/>
      <c r="I94" s="8" t="inlineStr">
        <is>
          <t>fasadnik_etics</t>
        </is>
      </c>
      <c r="J94" s="8" t="inlineStr">
        <is>
          <t>URS-prop 622223111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Špalety EPS — Špalety oken — EPS přesah 35-40 mm + síťka + omítka</t>
        </is>
      </c>
      <c r="E95" s="20" t="inlineStr">
        <is>
          <t>bm</t>
        </is>
      </c>
      <c r="F95" s="22" t="n">
        <v>82.2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Profilace fasády — Profilace fasády — různé tloušťky EPS (kordony, šambrány, rámování oken) — paušál podle pohledů</t>
        </is>
      </c>
      <c r="E96" s="20" t="inlineStr">
        <is>
          <t>soubor</t>
        </is>
      </c>
      <c r="F96" s="23" t="n">
        <v>1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Tenkovrstvá omítka pastovitá — Tenkovrstvá pastovitá probarvená omítka, lomená bílá NCS NZÚ — finální vrstva ETICS</t>
        </is>
      </c>
      <c r="E97" s="20" t="inlineStr">
        <is>
          <t>m²</t>
        </is>
      </c>
      <c r="F97" s="22" t="n">
        <v>290.2</v>
      </c>
      <c r="G97" s="10" t="n"/>
      <c r="H97" s="10" t="n"/>
      <c r="I97" s="8" t="inlineStr">
        <is>
          <t>fasadnik_etics</t>
        </is>
      </c>
      <c r="J97" s="8" t="inlineStr">
        <is>
          <t>URS-prop 622521111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oken — Demontáž stávajících dřevěných oken vč. rámů a parapetů — 16 ks (návrh všechna okna nová plastová trojsklem)</t>
        </is>
      </c>
      <c r="E98" s="20" t="inlineStr">
        <is>
          <t>ks</t>
        </is>
      </c>
      <c r="F98" s="23" t="n">
        <v>16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vstupních dveří venkovních — Demontáž stávajících vstupních dveří + rámů — 2 ks (1× ulice Fibichova + 1× zahrada; návrh nové plastové vstupní dveře)</t>
        </is>
      </c>
      <c r="E99" s="20" t="inlineStr">
        <is>
          <t>ks</t>
        </is>
      </c>
      <c r="F99" s="23" t="n">
        <v>2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0" s="20" t="inlineStr">
        <is>
          <t>ks</t>
        </is>
      </c>
      <c r="F100" s="23" t="n">
        <v>15</v>
      </c>
      <c r="G100" s="10" t="n"/>
      <c r="H100" s="10" t="n"/>
      <c r="I100" s="8" t="inlineStr">
        <is>
          <t>bourani_demolice</t>
        </is>
      </c>
      <c r="J100" s="8" t="inlineStr">
        <is>
          <t>URS-prop 968072456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zdiva komínu — Bourání vrchní části stávajícího komínu v posledním podlaží (cihelné zdivo, ručně), vč. likvidace cihelné suti</t>
        </is>
      </c>
      <c r="E101" s="20" t="inlineStr">
        <is>
          <t>m³</t>
        </is>
      </c>
      <c r="F101" s="22" t="n">
        <v>0.6</v>
      </c>
      <c r="G101" s="10" t="n"/>
      <c r="H101" s="10" t="n"/>
      <c r="I101" s="8" t="inlineStr">
        <is>
          <t>bourani_demolice</t>
        </is>
      </c>
      <c r="J101" s="8" t="inlineStr">
        <is>
          <t>URS-prop 962024141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venkovních konstrukcí — Bourání stávajících opěrných zídek a venkovního schodiště v zahradě/dvoře — částečné, dle vyznačení v půdorysech bourání</t>
        </is>
      </c>
      <c r="E102" s="20" t="inlineStr">
        <is>
          <t>m³</t>
        </is>
      </c>
      <c r="F102" s="22" t="n">
        <v>8</v>
      </c>
      <c r="G102" s="10" t="n"/>
      <c r="H102" s="10" t="n"/>
      <c r="I102" s="8" t="inlineStr">
        <is>
          <t>bourani_demolice</t>
        </is>
      </c>
      <c r="J102" s="8" t="inlineStr">
        <is>
          <t>URS-prop 961044111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HSV-1 Zemní práce</t>
        </is>
      </c>
      <c r="D103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3" s="20" t="inlineStr">
        <is>
          <t>m</t>
        </is>
      </c>
      <c r="F103" s="22" t="n">
        <v>12</v>
      </c>
      <c r="G103" s="10" t="n"/>
      <c r="H103" s="10" t="n"/>
      <c r="I103" s="8" t="inlineStr">
        <is>
          <t>izolater_HI</t>
        </is>
      </c>
      <c r="J103" s="8" t="inlineStr">
        <is>
          <t>URS-prop 877315111</t>
        </is>
      </c>
    </row>
    <row r="104">
      <c r="A104" s="20" t="n">
        <v>103</v>
      </c>
      <c r="B104" s="20" t="inlineStr">
        <is>
          <t>260217_sklad</t>
        </is>
      </c>
      <c r="C104" s="8" t="inlineStr">
        <is>
          <t>HSV-5 Komunikace + schodiště</t>
        </is>
      </c>
      <c r="D104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4" s="20" t="inlineStr">
        <is>
          <t>m²</t>
        </is>
      </c>
      <c r="F104" s="22" t="n">
        <v>5.5</v>
      </c>
      <c r="G104" s="10" t="n"/>
      <c r="H104" s="10" t="n"/>
      <c r="I104" s="8" t="inlineStr">
        <is>
          <t>betonar</t>
        </is>
      </c>
      <c r="J104" s="8" t="inlineStr">
        <is>
          <t>URS-prop 121301101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HSV-1 Zemní práce</t>
        </is>
      </c>
      <c r="D105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5" s="20" t="inlineStr">
        <is>
          <t>ks</t>
        </is>
      </c>
      <c r="F105" s="23" t="n">
        <v>13</v>
      </c>
      <c r="G105" s="10" t="n"/>
      <c r="H105" s="10" t="n"/>
      <c r="I105" s="8" t="inlineStr">
        <is>
          <t>zednik</t>
        </is>
      </c>
      <c r="J105" s="8" t="inlineStr">
        <is>
          <t>URS-prop —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HSV-5 Krov + střecha</t>
        </is>
      </c>
      <c r="D106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6" s="20" t="inlineStr">
        <is>
          <t>ks</t>
        </is>
      </c>
      <c r="F106" s="23" t="n">
        <v>50</v>
      </c>
      <c r="G106" s="10" t="n"/>
      <c r="H106" s="10" t="n"/>
      <c r="I106" s="8" t="inlineStr">
        <is>
          <t>tesar</t>
        </is>
      </c>
      <c r="J106" s="8" t="inlineStr">
        <is>
          <t>URS-prop 762085112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kročejová izolace (S07) — Desky kročejové izolace (Isover T-P) tl. 30 mm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713191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separační geotextilie (S07) — Separační geotextilie pod suchý podsyp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—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2.NP/3.NP — min. vata výplň mezi nosníky (S09) — Tepelná/akustická izolace minerální vata výplň mezi ocelové nosníky stropu 2.NP/3.NP, tl. 180/200 mm</t>
        </is>
      </c>
      <c r="E109" s="20" t="inlineStr">
        <is>
          <t>m²</t>
        </is>
      </c>
      <c r="F109" s="22" t="n">
        <v>104.4</v>
      </c>
      <c r="G109" s="10" t="n"/>
      <c r="H109" s="10" t="n"/>
      <c r="I109" s="8" t="inlineStr">
        <is>
          <t>izolater_TI</t>
        </is>
      </c>
      <c r="J109" s="8" t="inlineStr">
        <is>
          <t>URS-prop 713121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Fermacell (S08) — Roznášecí sádrovláknité dílce Fermacell 2E22 tl. 25 mm — suchá skladba nad cihelnou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suchá_vystavba</t>
        </is>
      </c>
      <c r="J110" s="8" t="inlineStr">
        <is>
          <t>URS-prop —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kročejová izolace (S08) — Desky kročejové izolace (Isover T-P) tl. 30 mm — suchá skladba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izolater_TI</t>
        </is>
      </c>
      <c r="J111" s="8" t="inlineStr">
        <is>
          <t>URS-prop 713191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suchý podsyp + dřevěný rošt (S08) — Vyrovnávací suchý podsyp keramzit/liapor + dřevěný rošt tl. 50 mm —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separační vrstva (S08) — Separační vrstva pod suchý podsyp — nad cihelnou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fasader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pod terénem — drenážní nopová folie (S03a) — Drenážní vrstva — nopová folie tl. 20 mm na suterénní stěnu pod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izolater_HI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nad terénem — provětraný obklad (S03b) — Provětrávaná mezera s kotevním roštem 40 mm + keramický obklad 20 mm — sokl nad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obkladac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HSV-5 Krov + střecha</t>
        </is>
      </c>
      <c r="D117" s="8" t="inlineStr">
        <is>
          <t>Střecha — pojistná HI folie pod Al krytinu (S10) — Pojistná hydroizolační folie pod hliníkovou falcovanou krytinu (nad celoplošným bedněním)</t>
        </is>
      </c>
      <c r="E117" s="20" t="inlineStr">
        <is>
          <t>m²</t>
        </is>
      </c>
      <c r="F117" s="22" t="n">
        <v>140.94</v>
      </c>
      <c r="G117" s="10" t="n"/>
      <c r="H117" s="10" t="n"/>
      <c r="I117" s="8" t="inlineStr">
        <is>
          <t>pokryvac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HSV-6 Bourací práce</t>
        </is>
      </c>
      <c r="D118" s="8" t="inlineStr">
        <is>
          <t>Demontáž vnějšího keram. obkladu suterénu (S03 stávající) — Demontáž stávajícího vnějšího keramického obkladu suterénní stěny (sokl) tl. 20 mm</t>
        </is>
      </c>
      <c r="E118" s="20" t="inlineStr">
        <is>
          <t>m²</t>
        </is>
      </c>
      <c r="F118" s="22" t="n">
        <v>23</v>
      </c>
      <c r="G118" s="10" t="n"/>
      <c r="H118" s="10" t="n"/>
      <c r="I118" s="8" t="inlineStr">
        <is>
          <t>bourac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HSV-5 Komunikace + vjezd</t>
        </is>
      </c>
      <c r="D119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9" s="20" t="inlineStr">
        <is>
          <t>m²</t>
        </is>
      </c>
      <c r="F119" s="22" t="n"/>
      <c r="G119" s="10" t="n"/>
      <c r="H119" s="10" t="n"/>
      <c r="I119" s="8" t="inlineStr">
        <is>
          <t>komunikace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2 položek: Bezpečnostní dveře RC3 sklad; Vjezdová brána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5 položek: Doprava prefa H-BLOK auto s hyd. rukou; Likvidace odpadu sklad; Geodetické vytýčení sklad; … (+2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8 položek: Demontáž stávající ELI; Pojistková skříň + 3× podružný rozvaděč; Rozvody silnoproud; … (+5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M-24</t>
        </is>
      </c>
      <c r="D124" s="8" t="inlineStr">
        <is>
          <t>[agregát] 1 položek: Lokální odtah digestoří kuchyní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PSV-71 — Izolace HI + TI</t>
        </is>
      </c>
      <c r="D125" s="8" t="inlineStr">
        <is>
          <t>[agregát] 5 položek: HI pod ŽB deskou 1.NP; Odvětrání radonu z podloží; HI koupelny 1.NP + 2.NP + 3.NP;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PSV-72 — ZTI (vodovod + kanalizace + sanita)</t>
        </is>
      </c>
      <c r="D126" s="8" t="inlineStr">
        <is>
          <t>[agregát] 19 položek: Revize stávajících přípojek; Nové rozvody vody do 3.NP; Nové odpadní rozvody; … (+16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PSV-73 — Vytápění + komín</t>
        </is>
      </c>
      <c r="D127" s="8" t="inlineStr">
        <is>
          <t>[agregát] 8 položek: Sporáková kamna na tuhá paliva; Sporáková kamna — montáž; Elektrokotel 3.NP; … (+5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PSV-76 — Výplně otvorů + klempířina + zámečnictví + truhlář</t>
        </is>
      </c>
      <c r="D128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PSV-77 — Podlahy</t>
        </is>
      </c>
      <c r="D129" s="8" t="inlineStr">
        <is>
          <t>[agregát] 7 položek: Nášlap vinyl obytné místnosti; Nášlap keramická dlažba — mokré zóny; Nášlap keramická dlažba — 1.PP sklep; … (+4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PSV-78 — Povrchové úpravy</t>
        </is>
      </c>
      <c r="D130" s="8" t="inlineStr">
        <is>
          <t>[agregát] 16 položek: Omítka jádrová + štuk 1.PP; Omítka jádrová + štuk 1.NP; Omítka jádrová + štuk 2.NP; … (+13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PSV-95 — Detekce požární</t>
        </is>
      </c>
      <c r="D131" s="8" t="inlineStr">
        <is>
          <t>[agregát] 3 položek: Autonomní hlásič kouře; Přenosný hasicí přístroj 34A; Předávací protokol krbu + kontrola bezpečných vzdáleností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VRN — Vedlejší rozpočtové náklady</t>
        </is>
      </c>
      <c r="D132" s="8" t="inlineStr">
        <is>
          <t>[agregát] 18 položek: Buňky kancelář + sociální; Mobilní WC; El. odběr + vodovodní odběr stavby; … (+15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</sheetData>
  <autoFilter ref="A1:J1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sokl XPS</t>
        </is>
      </c>
      <c r="D93" s="20" t="inlineStr">
        <is>
          <t>622223111</t>
        </is>
      </c>
      <c r="E93" s="8" t="inlineStr">
        <is>
          <t>ETICS sokl — XPS λ=0.034 tl. 120 mm + soklový profil + cihelný obklad spárovaný</t>
        </is>
      </c>
      <c r="F93" s="20" t="inlineStr">
        <is>
          <t>m²</t>
        </is>
      </c>
      <c r="G93" s="22" t="n">
        <v>13.5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— sokl XPS + cihelný obklad + DXF perimeter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Špalety EPS</t>
        </is>
      </c>
      <c r="D94" s="20" t="inlineStr">
        <is>
          <t>622221221</t>
        </is>
      </c>
      <c r="E94" s="8" t="inlineStr">
        <is>
          <t>Špalety oken — EPS přesah 35-40 mm + síťka + omítka</t>
        </is>
      </c>
      <c r="F94" s="20" t="inlineStr">
        <is>
          <t>bm</t>
        </is>
      </c>
      <c r="G94" s="22" t="n">
        <v>82.2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DXF okna per typ bbox + TZ ARS §3.2 EPS přesah na špaletách 35-40 mm</t>
        </is>
      </c>
      <c r="N94" s="20" t="inlineStr">
        <is>
          <t>#5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Profilace fasády</t>
        </is>
      </c>
      <c r="D95" s="20" t="inlineStr">
        <is>
          <t>622221221</t>
        </is>
      </c>
      <c r="E95" s="8" t="inlineStr">
        <is>
          <t>Profilace fasády — různé tloušťky EPS (kordony, šambrány, rámování oken) — paušál podle pohledů</t>
        </is>
      </c>
      <c r="F95" s="20" t="inlineStr">
        <is>
          <t>soubor</t>
        </is>
      </c>
      <c r="G95" s="23" t="n">
        <v>1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TZ ARS dům §3.2 — profilace různými tl. EPS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HSV-7 Fasáda ETICS</t>
        </is>
      </c>
      <c r="C96" s="8" t="inlineStr">
        <is>
          <t>Tenkovrstvá omítka pastovitá</t>
        </is>
      </c>
      <c r="D96" s="20" t="inlineStr">
        <is>
          <t>622521111</t>
        </is>
      </c>
      <c r="E96" s="8" t="inlineStr">
        <is>
          <t>Tenkovrstvá pastovitá probarvená omítka, lomená bílá NCS NZÚ — finální vrstva ETICS</t>
        </is>
      </c>
      <c r="F96" s="20" t="inlineStr">
        <is>
          <t>m²</t>
        </is>
      </c>
      <c r="G96" s="22" t="n">
        <v>290.2</v>
      </c>
      <c r="H96" s="10" t="n"/>
      <c r="I96" s="10" t="n"/>
      <c r="J96" s="8" t="inlineStr">
        <is>
          <t>fasadnik_etics</t>
        </is>
      </c>
      <c r="K96" s="24" t="n">
        <v>0.9</v>
      </c>
      <c r="L96" s="20" t="inlineStr">
        <is>
          <t>family_verified_leaf_needs_production_lookup</t>
        </is>
      </c>
      <c r="M96" s="8" t="inlineStr">
        <is>
          <t>TZ ARS dům §3.2 — pastovitá probarvená lomená bílá + DXF perimeter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HI pod ŽB deskou 1.NP</t>
        </is>
      </c>
      <c r="D97" s="20" t="inlineStr">
        <is>
          <t>712311101</t>
        </is>
      </c>
      <c r="E97" s="8" t="inlineStr">
        <is>
          <t>Hydroizolace pod ŽB deskou 1.NP — modifikované asfaltové pásy SBS 2× (zároveň protiradonová bariéra)</t>
        </is>
      </c>
      <c r="F97" s="20" t="inlineStr">
        <is>
          <t>m²</t>
        </is>
      </c>
      <c r="G97" s="22" t="n">
        <v>80.40000000000001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ARS dům §4 + statika §5.5 — asfaltové pásy mod. proti radonu</t>
        </is>
      </c>
      <c r="N97" s="20" t="inlineStr">
        <is>
          <t>#3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Odvětrání radonu z podloží</t>
        </is>
      </c>
      <c r="D98" s="20" t="inlineStr">
        <is>
          <t>712381111</t>
        </is>
      </c>
      <c r="E98" s="8" t="inlineStr">
        <is>
          <t>Odvětrání radonu z podloží — perforované DN50 trubky v štěrkovém loži + výdech nad střechu</t>
        </is>
      </c>
      <c r="F98" s="20" t="inlineStr">
        <is>
          <t>bm</t>
        </is>
      </c>
      <c r="G98" s="22" t="n">
        <v>12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statika §5.5 'ochrana proti radonu — modifikované asf. pásy + odvětrání'</t>
        </is>
      </c>
      <c r="N98" s="20" t="inlineStr">
        <is>
          <t>—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HI koupelny 1.NP + 2.NP + 3.NP</t>
        </is>
      </c>
      <c r="D99" s="27" t="inlineStr">
        <is>
          <t>711??? ?</t>
        </is>
      </c>
      <c r="E99" s="8" t="inlineStr">
        <is>
          <t>Hydroizolační stěrka koupelen 3 ks — podlaha + sokl 200 mm + sprchový kout výška 2.0 m</t>
        </is>
      </c>
      <c r="F99" s="20" t="inlineStr">
        <is>
          <t>m²</t>
        </is>
      </c>
      <c r="G99" s="22" t="n">
        <v>40.5</v>
      </c>
      <c r="H99" s="10" t="n"/>
      <c r="I99" s="10" t="n"/>
      <c r="J99" s="8" t="inlineStr">
        <is>
          <t>izolater_HI</t>
        </is>
      </c>
      <c r="K99" s="24" t="n">
        <v>0.95</v>
      </c>
      <c r="L99" s="20" t="inlineStr">
        <is>
          <t>family_verified_leaf_needs_production_lookup</t>
        </is>
      </c>
      <c r="M99" s="8" t="inlineStr">
        <is>
          <t>DXF dum_DPZ MTEXT labels: 3× koupelna; TZ ARS — HI vana koupelny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Podlahový EPS 150</t>
        </is>
      </c>
      <c r="D100" s="27" t="inlineStr">
        <is>
          <t>713121??? ?</t>
        </is>
      </c>
      <c r="E100" s="8" t="inlineStr">
        <is>
          <t>Podlahový EPS 150 λ=0.035 tl. 120 mm — pod betonový potěr 1.NP a 3.NP</t>
        </is>
      </c>
      <c r="F100" s="20" t="inlineStr">
        <is>
          <t>m²</t>
        </is>
      </c>
      <c r="G100" s="22" t="n">
        <v>177.5</v>
      </c>
      <c r="H100" s="10" t="n"/>
      <c r="I100" s="10" t="n"/>
      <c r="J100" s="8" t="inlineStr">
        <is>
          <t>izolater_TI</t>
        </is>
      </c>
      <c r="K100" s="24" t="n">
        <v>0.75</v>
      </c>
      <c r="L100" s="20" t="inlineStr">
        <is>
          <t>family_verified_leaf_needs_production_lookup</t>
        </is>
      </c>
      <c r="M100" s="8" t="inlineStr">
        <is>
          <t>TZ ARS dům §4 — EPS 150 λ=0.035 tl. 120 mm</t>
        </is>
      </c>
      <c r="N100" s="20" t="inlineStr">
        <is>
          <t>#4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Kročejová EPS nad ocelobeton</t>
        </is>
      </c>
      <c r="D101" s="27" t="inlineStr">
        <is>
          <t>713121??? ?</t>
        </is>
      </c>
      <c r="E101" s="8" t="inlineStr">
        <is>
          <t>Kročejová EPS 150 / 30 dB tl. 40 mm nad ocelobetonovým stropem 2.NP/3.NP</t>
        </is>
      </c>
      <c r="F101" s="20" t="inlineStr">
        <is>
          <t>m²</t>
        </is>
      </c>
      <c r="G101" s="22" t="n">
        <v>104.4</v>
      </c>
      <c r="H101" s="10" t="n"/>
      <c r="I101" s="10" t="n"/>
      <c r="J101" s="8" t="inlineStr">
        <is>
          <t>izolater_TI</t>
        </is>
      </c>
      <c r="K101" s="24" t="n">
        <v>0.85</v>
      </c>
      <c r="L101" s="20" t="inlineStr">
        <is>
          <t>family_verified_leaf_needs_production_lookup</t>
        </is>
      </c>
      <c r="M101" s="8" t="inlineStr">
        <is>
          <t>TZ ARS dům §4 — kročejová EPS shora ocelobeton</t>
        </is>
      </c>
      <c r="N101" s="20" t="inlineStr">
        <is>
          <t>—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Oplechování krytiny</t>
        </is>
      </c>
      <c r="D102" s="20" t="inlineStr">
        <is>
          <t>764312235</t>
        </is>
      </c>
      <c r="E102" s="8" t="inlineStr">
        <is>
          <t>Klempířské oplechování krytiny — úžlabí, hřeben, štítové lemy (Al / Pzn lakovaný 0.55 mm)</t>
        </is>
      </c>
      <c r="F102" s="20" t="inlineStr">
        <is>
          <t>bm</t>
        </is>
      </c>
      <c r="G102" s="22" t="n">
        <v>69.5</v>
      </c>
      <c r="H102" s="10" t="n"/>
      <c r="I102" s="10" t="n"/>
      <c r="J102" s="8" t="inlineStr">
        <is>
          <t>klempir</t>
        </is>
      </c>
      <c r="K102" s="24" t="n">
        <v>0.9</v>
      </c>
      <c r="L102" s="20" t="inlineStr">
        <is>
          <t>family_verified_leaf_needs_production_lookup</t>
        </is>
      </c>
      <c r="M102" s="8" t="inlineStr">
        <is>
          <t>DXF MA_klempíř (75.4 m) + SM__ klempířina (98.4 m) total = 173.8 m × 0.40 split heuristic — Path C Tier 3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Venkovní parapety oken</t>
        </is>
      </c>
      <c r="D103" s="20" t="inlineStr">
        <is>
          <t>764218201</t>
        </is>
      </c>
      <c r="E103" s="8" t="inlineStr">
        <is>
          <t>Venkovní parapety oken — Pzn plech lakovaný 250 mm × tl. 0.55 mm × 16 ks oken</t>
        </is>
      </c>
      <c r="F103" s="20" t="inlineStr">
        <is>
          <t>bm</t>
        </is>
      </c>
      <c r="G103" s="22" t="n">
        <v>20.8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family_verified_leaf_needs_production_lookup</t>
        </is>
      </c>
      <c r="M103" s="8" t="inlineStr">
        <is>
          <t>DXF okna 16 ks INSERT blocks + standard parapet width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Dešťové svody + žlaby</t>
        </is>
      </c>
      <c r="D104" s="20" t="inlineStr">
        <is>
          <t>764454802</t>
        </is>
      </c>
      <c r="E104" s="8" t="inlineStr">
        <is>
          <t>Dešťové svody Pzn 100 mm + žlaby — 4 svody × ~14 m + žlaby per obvod střechy</t>
        </is>
      </c>
      <c r="F104" s="20" t="inlineStr">
        <is>
          <t>bm</t>
        </is>
      </c>
      <c r="G104" s="22" t="n">
        <v>43.5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lengths split + TZ ARS dešťové svody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Vikýře + atika + závětrné lemy</t>
        </is>
      </c>
      <c r="D105" s="20" t="inlineStr">
        <is>
          <t>764315235</t>
        </is>
      </c>
      <c r="E105" s="8" t="inlineStr">
        <is>
          <t>Klempířské doplňky vikýřů + atika + závětrné lemy (4 vikýře komplexní detail)</t>
        </is>
      </c>
      <c r="F105" s="20" t="inlineStr">
        <is>
          <t>bm</t>
        </is>
      </c>
      <c r="G105" s="22" t="n">
        <v>26.1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geometry split + TZ ARS 4 vikýře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Dřevěné stupně schodišť</t>
        </is>
      </c>
      <c r="D106" s="20" t="inlineStr">
        <is>
          <t>766811111</t>
        </is>
      </c>
      <c r="E106" s="8" t="inlineStr">
        <is>
          <t>Dřevěné stupně ocelových schodišť (truhlářské, dub masiv tl. 40 mm)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ocelové schodiště s dřevěnými stupni truhlářské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Terasa garapa za opěrnou stěnou — dřevěná pochozí vrstva</t>
        </is>
      </c>
      <c r="D107" s="27" t="inlineStr">
        <is>
          <t>762??? ?</t>
        </is>
      </c>
      <c r="E107" s="8" t="inlineStr">
        <is>
          <t>Dřevěná terasa za opěrnou stěnou — prkna garapa 145×25 mm na dřevěném roštu z hranolů 50 mm na rektifikovatelných terčích (terče + podkladní skladba viz HSV1.005)</t>
        </is>
      </c>
      <c r="F107" s="20" t="inlineStr">
        <is>
          <t>m²</t>
        </is>
      </c>
      <c r="G107" s="22" t="n">
        <v>9.23</v>
      </c>
      <c r="H107" s="10" t="n"/>
      <c r="I107" s="10" t="n"/>
      <c r="J107" s="8" t="inlineStr">
        <is>
          <t>truhlar</t>
        </is>
      </c>
      <c r="K107" s="24" t="n">
        <v>0.95</v>
      </c>
      <c r="L107" s="20" t="inlineStr">
        <is>
          <t>family_762_leaf_lookup_required</t>
        </is>
      </c>
      <c r="M107" s="8" t="inlineStr">
        <is>
          <t>TZ ARS dům §4 + DXF dum_situace PLOT_DREVENY_04 (terasa, ne 3.NP); ŘEZ C-C potvrzuje dřevěný rošt z hranolů (NE hliníkový) + dřevěnou pochozí vrstvu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1.NP' (ulice)</t>
        </is>
      </c>
      <c r="D108" s="20" t="inlineStr">
        <is>
          <t>766621011</t>
        </is>
      </c>
      <c r="E108" s="8" t="inlineStr">
        <is>
          <t>Plastové okno izolačním trojsklem Uw=0.85 W/m²K — typ 'okno 1.NP' velikost 1185×1600 mm × 2 ks (fasáda ulice)</t>
        </is>
      </c>
      <c r="F108" s="20" t="inlineStr">
        <is>
          <t>ks</t>
        </is>
      </c>
      <c r="G108" s="23" t="n">
        <v>2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family_verified_leaf_needs_production_lookup</t>
        </is>
      </c>
      <c r="M108" s="8" t="inlineStr">
        <is>
          <t>DXF dum_DPZ INSERT block 'okno 1.NP'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 vzadu' (zahrada)</t>
        </is>
      </c>
      <c r="D109" s="20" t="inlineStr">
        <is>
          <t>766621011</t>
        </is>
      </c>
      <c r="E109" s="8" t="inlineStr">
        <is>
          <t>Plastové okno izolačním trojsklem Uw=0.85 W/m²K — typ 'okno 1.NP vzadu' velikost 920×1600 mm × 3 ks (fasáda zahrada)</t>
        </is>
      </c>
      <c r="F109" s="20" t="inlineStr">
        <is>
          <t>ks</t>
        </is>
      </c>
      <c r="G109" s="23" t="n">
        <v>3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1.NP vzadu'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2.NP' (ulice)</t>
        </is>
      </c>
      <c r="D110" s="20" t="inlineStr">
        <is>
          <t>766621011</t>
        </is>
      </c>
      <c r="E110" s="8" t="inlineStr">
        <is>
          <t>Plastové okno izolačním trojsklem Uw=0.85 W/m²K — typ 'okno 2.NP' velikost 1160×1480 mm × 4 ks (fasáda ulice)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2.NP'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3.NP' (ulice)</t>
        </is>
      </c>
      <c r="D111" s="20" t="inlineStr">
        <is>
          <t>766621011</t>
        </is>
      </c>
      <c r="E111" s="8" t="inlineStr">
        <is>
          <t>Plastové okno izolačním trojsklem Uw=0.85 W/m²K — typ 'okno 3.NP' velikost 1785×1241 mm × 3 ks (fasáda ulice)</t>
        </is>
      </c>
      <c r="F111" s="20" t="inlineStr">
        <is>
          <t>ks</t>
        </is>
      </c>
      <c r="G111" s="23" t="n">
        <v>3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3.NP vzadu' velikost 2075×1241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male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male 3.NP vzadu' velikost 800×1241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male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malé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malé vzadu' velikost 700×800 mm × 2 ks (fasáda zahrada)</t>
        </is>
      </c>
      <c r="F114" s="20" t="inlineStr">
        <is>
          <t>ks</t>
        </is>
      </c>
      <c r="G114" s="23" t="n">
        <v>2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malé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Žaluzie kastlík purenit</t>
        </is>
      </c>
      <c r="D115" s="20" t="inlineStr">
        <is>
          <t>766631211</t>
        </is>
      </c>
      <c r="E115" s="8" t="inlineStr">
        <is>
          <t>Integrované stínící venkovní žaluzie v kastlíku pod omítkou s purenitovou izolací — uliční fasáda Fibichova (9 ks)</t>
        </is>
      </c>
      <c r="F115" s="20" t="inlineStr">
        <is>
          <t>ks</t>
        </is>
      </c>
      <c r="G115" s="23" t="n">
        <v>9</v>
      </c>
      <c r="H115" s="10" t="n"/>
      <c r="I115" s="10" t="n"/>
      <c r="J115" s="8" t="inlineStr">
        <is>
          <t>okenni_zaluzie_kastlik_purenit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 — 'do ulice Fibichova s integrovanými stínícími žaluziemi v kastlíku pod omítkou s purenitovou izolací'</t>
        </is>
      </c>
      <c r="N115" s="20" t="inlineStr">
        <is>
          <t>#5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Vstupní plastové dveře</t>
        </is>
      </c>
      <c r="D116" s="20" t="inlineStr">
        <is>
          <t>766682111</t>
        </is>
      </c>
      <c r="E116" s="8" t="inlineStr">
        <is>
          <t>Plastové vstupní dveře (ulice + zahrada) — 2 ks</t>
        </is>
      </c>
      <c r="F116" s="20" t="inlineStr">
        <is>
          <t>ks</t>
        </is>
      </c>
      <c r="G116" s="23" t="n">
        <v>2</v>
      </c>
      <c r="H116" s="10" t="n"/>
      <c r="I116" s="10" t="n"/>
      <c r="J116" s="8" t="inlineStr">
        <is>
          <t>okennar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— plastové vstupní dveře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Vnitřní dveře DTD laminované</t>
        </is>
      </c>
      <c r="D117" s="20" t="inlineStr">
        <is>
          <t>766660035</t>
        </is>
      </c>
      <c r="E117" s="8" t="inlineStr">
        <is>
          <t>Vnitřní dveře DTD laminované s obložkovou zárubní — odhad 15 ks</t>
        </is>
      </c>
      <c r="F117" s="20" t="inlineStr">
        <is>
          <t>ks</t>
        </is>
      </c>
      <c r="G117" s="23" t="n">
        <v>15</v>
      </c>
      <c r="H117" s="10" t="n"/>
      <c r="I117" s="10" t="n"/>
      <c r="J117" s="8" t="inlineStr">
        <is>
          <t>truhlar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+ DXF MTEXT room labels</t>
        </is>
      </c>
      <c r="N117" s="20" t="inlineStr">
        <is>
          <t>#5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Požárně odolné dveře EI 30 DP3</t>
        </is>
      </c>
      <c r="D118" s="20" t="inlineStr">
        <is>
          <t>766694112</t>
        </is>
      </c>
      <c r="E118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8" s="20" t="inlineStr">
        <is>
          <t>ks</t>
        </is>
      </c>
      <c r="G118" s="23" t="n">
        <v>1</v>
      </c>
      <c r="H118" s="10" t="n"/>
      <c r="I118" s="10" t="n"/>
      <c r="J118" s="8" t="inlineStr">
        <is>
          <t>specialista_RC3_dvere</t>
        </is>
      </c>
      <c r="K118" s="24" t="n">
        <v>0.9</v>
      </c>
      <c r="L118" s="20" t="inlineStr">
        <is>
          <t>needs_production_lookup</t>
        </is>
      </c>
      <c r="M118" s="8" t="inlineStr">
        <is>
          <t>PBŘ TUSPO § Požární uzávěry otvorů 'podzemní 30DP1'; DXF schodiště 1.PP→1.NP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Oplechování venkovních parapetů Pzn — 16 ks</t>
        </is>
      </c>
      <c r="D119" s="20" t="inlineStr">
        <is>
          <t>764811112</t>
        </is>
      </c>
      <c r="E119" s="8" t="inlineStr">
        <is>
          <t>Oplechování venkovních parapetů Pzn plech lakovaný 250 mm × tl. 0.55 mm, vč. okapnice + boční zakončení — 16 ks (per DXF INSERT okno × 16)</t>
        </is>
      </c>
      <c r="F119" s="20" t="inlineStr">
        <is>
          <t>ks</t>
        </is>
      </c>
      <c r="G119" s="23" t="n">
        <v>16</v>
      </c>
      <c r="H119" s="10" t="n"/>
      <c r="I119" s="10" t="n"/>
      <c r="J119" s="8" t="inlineStr">
        <is>
          <t>klempir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blocks okno* 16 ks + DXF klempir_parapet 16 ks (Path C Tier 4 INSERT discovery)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UPE200 ze zahrady</t>
        </is>
      </c>
      <c r="D120" s="20" t="inlineStr">
        <is>
          <t>767531111</t>
        </is>
      </c>
      <c r="E120" s="8" t="inlineStr">
        <is>
          <t>Ocelové schodiště ze zahrady na mezipodestu — UPE200 schodnice + dřevěné nášlapy, kotvené do koruny opěrné stěny a zdiva (TZ statika §4)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statika dům §4 — schodiště UPE200 + UPE100 podružné prvky</t>
        </is>
      </c>
      <c r="N120" s="20" t="inlineStr">
        <is>
          <t>#5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do spacího patra 3.NP</t>
        </is>
      </c>
      <c r="D121" s="20" t="inlineStr">
        <is>
          <t>767531111</t>
        </is>
      </c>
      <c r="E121" s="8" t="inlineStr">
        <is>
          <t>Interní ocelové schodiště do spacího patra v 3.NP s dřevěnými stupni (truhlářské)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ARS dům §4 — ocelové schodiště s dřevěnými stupni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Stříšky nad vstupy</t>
        </is>
      </c>
      <c r="D122" s="20" t="inlineStr">
        <is>
          <t>767532111</t>
        </is>
      </c>
      <c r="E122" s="8" t="inlineStr">
        <is>
          <t>Stříšky nad vstupy z ocelové konstrukce + Cetris desky + falcovaná krytina — 2 ks (ulice + zahrada)</t>
        </is>
      </c>
      <c r="F122" s="20" t="inlineStr">
        <is>
          <t>ks</t>
        </is>
      </c>
      <c r="G122" s="23" t="n">
        <v>2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stříšky nad vstupy ocel+Cetris+plech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Zábradlí z jeklů + nerez výplň</t>
        </is>
      </c>
      <c r="D123" s="20" t="inlineStr">
        <is>
          <t>767163115</t>
        </is>
      </c>
      <c r="E123" s="8" t="inlineStr">
        <is>
          <t>Ocelové zábradlí svařované z jeklů + nerez výplň pZn antracit — schodiště interier + venkovní terasa</t>
        </is>
      </c>
      <c r="F123" s="20" t="inlineStr">
        <is>
          <t>bm</t>
        </is>
      </c>
      <c r="G123" s="22" t="n">
        <v>18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zábradlí svařované z jeklů + nerez výplň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vinyl obytné místnosti</t>
        </is>
      </c>
      <c r="D124" s="20" t="inlineStr">
        <is>
          <t>776511820</t>
        </is>
      </c>
      <c r="E124" s="8" t="inlineStr">
        <is>
          <t>Nášlapná vrstva vinyl tl. 4 mm na suchou skladbu — obytné místnosti (ložnice, obývák, kuchyně, chodby)</t>
        </is>
      </c>
      <c r="F124" s="20" t="inlineStr">
        <is>
          <t>m²</t>
        </is>
      </c>
      <c r="G124" s="22" t="n">
        <v>171.5</v>
      </c>
      <c r="H124" s="10" t="n"/>
      <c r="I124" s="10" t="n"/>
      <c r="J124" s="8" t="inlineStr">
        <is>
          <t>podlahar</t>
        </is>
      </c>
      <c r="K124" s="24" t="n">
        <v>0.95</v>
      </c>
      <c r="L124" s="20" t="inlineStr">
        <is>
          <t>family_verified_leaf_needs_production_lookup</t>
        </is>
      </c>
      <c r="M124" s="8" t="inlineStr">
        <is>
          <t>DXF km_tabulka místností MTEXT (návrh) — rooms classified per name (kuchyně/obytná/chodba = vinyl) + TZ ARS §3.2.4 nášlapná vrstva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mokré zóny</t>
        </is>
      </c>
      <c r="D125" s="20" t="inlineStr">
        <is>
          <t>771274102</t>
        </is>
      </c>
      <c r="E125" s="8" t="inlineStr">
        <is>
          <t>Nášlapná vrstva keramická dlažba lepená — koupelny + WC + spíž + komora (NÁDRŽ NP)</t>
        </is>
      </c>
      <c r="F125" s="20" t="inlineStr">
        <is>
          <t>m²</t>
        </is>
      </c>
      <c r="G125" s="22" t="n">
        <v>13.5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rooms classified per name (koupelna/WC/spíž = dlažba mokré) + TZ ARS skladba mokrá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1.PP sklep</t>
        </is>
      </c>
      <c r="D126" s="20" t="inlineStr">
        <is>
          <t>771274102</t>
        </is>
      </c>
      <c r="E126" s="8" t="inlineStr">
        <is>
          <t>Nášlapná vrstva keramická dlažba — 1.PP technické místnosti (sušárna + sklepy + schodiště + chodba)</t>
        </is>
      </c>
      <c r="F126" s="20" t="inlineStr">
        <is>
          <t>m²</t>
        </is>
      </c>
      <c r="G126" s="22" t="n">
        <v>32.4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1.PP all rooms = dlažba sklep zone</t>
        </is>
      </c>
      <c r="N126" s="20" t="inlineStr">
        <is>
          <t>#4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Nášlap biodeska 3.NP spací patro</t>
        </is>
      </c>
      <c r="D127" s="20" t="inlineStr">
        <is>
          <t>766411111</t>
        </is>
      </c>
      <c r="E127" s="8" t="inlineStr">
        <is>
          <t>Nášlapná vrstva biodeska (smrk masiv) nebo OSB v 3.NP spací části nad krovem</t>
        </is>
      </c>
      <c r="F127" s="20" t="inlineStr">
        <is>
          <t>m²</t>
        </is>
      </c>
      <c r="G127" s="22" t="n">
        <v>25</v>
      </c>
      <c r="H127" s="10" t="n"/>
      <c r="I127" s="10" t="n"/>
      <c r="J127" s="8" t="inlineStr">
        <is>
          <t>biodeska_konstrukcni</t>
        </is>
      </c>
      <c r="K127" s="24" t="n">
        <v>0.75</v>
      </c>
      <c r="L127" s="20" t="inlineStr">
        <is>
          <t>needs_production_lookup</t>
        </is>
      </c>
      <c r="M127" s="8" t="inlineStr">
        <is>
          <t>TZ ARS dům §3.2.3 — biodeska patro pro přespání</t>
        </is>
      </c>
      <c r="N127" s="20" t="inlineStr">
        <is>
          <t>#3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Betonový potěr s kari nad EPS</t>
        </is>
      </c>
      <c r="D128" s="20" t="inlineStr">
        <is>
          <t>631321311</t>
        </is>
      </c>
      <c r="E128" s="8" t="inlineStr">
        <is>
          <t>Mokrá podlahová skladba — betonový potěr s kari síťkou 4/100/100 tl. 50 mm + samonivelační stěrka</t>
        </is>
      </c>
      <c r="F128" s="20" t="inlineStr">
        <is>
          <t>m²</t>
        </is>
      </c>
      <c r="G128" s="22" t="n">
        <v>126.4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TZ ARS dům §3.2.4 + §3.2.x — 'kročejová izolace + betonový potěr s kari sítí'; DXF rooms areas</t>
        </is>
      </c>
      <c r="N128" s="20" t="inlineStr">
        <is>
          <t>#4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vinyl</t>
        </is>
      </c>
      <c r="D129" s="20" t="inlineStr">
        <is>
          <t>776511831</t>
        </is>
      </c>
      <c r="E129" s="8" t="inlineStr">
        <is>
          <t>Soklíky podlahové laminátové (dub) v obytných místnostech s vinyl podlahou</t>
        </is>
      </c>
      <c r="F129" s="20" t="inlineStr">
        <is>
          <t>bm</t>
        </is>
      </c>
      <c r="G129" s="22" t="n">
        <v>72.03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vinyl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PSV-77 Podlahy</t>
        </is>
      </c>
      <c r="C130" s="8" t="inlineStr">
        <is>
          <t>Soklíky keramické</t>
        </is>
      </c>
      <c r="D130" s="20" t="inlineStr">
        <is>
          <t>771274107</t>
        </is>
      </c>
      <c r="E130" s="8" t="inlineStr">
        <is>
          <t>Soklíky keramické v místnostech s dlažbou (koupelny + WC + spíž + 1.PP)</t>
        </is>
      </c>
      <c r="F130" s="20" t="inlineStr">
        <is>
          <t>bm</t>
        </is>
      </c>
      <c r="G130" s="22" t="n">
        <v>19.28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dlažba + standard ratio per RD geometry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1.PP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1.PP (stávající vyspravené + nové zděné)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1.PP obvod + výška podlaží 2.1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1.NP (stávající vyspravené + nové zděné)</t>
        </is>
      </c>
      <c r="F132" s="20" t="inlineStr">
        <is>
          <t>m²</t>
        </is>
      </c>
      <c r="G132" s="22" t="n">
        <v>208.4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1.NP obvod + výška podlaží 2.795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2.NP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2.NP (stávající vyspravené + nové zděné)</t>
        </is>
      </c>
      <c r="F133" s="20" t="inlineStr">
        <is>
          <t>m²</t>
        </is>
      </c>
      <c r="G133" s="22" t="n">
        <v>201.6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2.NP obvod + výška podlaží 2.865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3.NP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3.NP (stávající vyspravené + nové zděné)</t>
        </is>
      </c>
      <c r="F134" s="20" t="inlineStr">
        <is>
          <t>m²</t>
        </is>
      </c>
      <c r="G134" s="22" t="n">
        <v>179.1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3.NP obvod + výška podlaží 2.63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1.NP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(1.NP)</t>
        </is>
      </c>
      <c r="F135" s="20" t="inlineStr">
        <is>
          <t>m²</t>
        </is>
      </c>
      <c r="G135" s="22" t="n">
        <v>59.5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1.NP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2.NP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(2.NP)</t>
        </is>
      </c>
      <c r="F136" s="20" t="inlineStr">
        <is>
          <t>m²</t>
        </is>
      </c>
      <c r="G136" s="22" t="n">
        <v>61.1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2.NP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3.NP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(3.NP)</t>
        </is>
      </c>
      <c r="F137" s="20" t="inlineStr">
        <is>
          <t>m²</t>
        </is>
      </c>
      <c r="G137" s="22" t="n">
        <v>64.5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3.NP = plocha podhledu (flat ceiling assumption)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1.05 (1.NP)</t>
        </is>
      </c>
      <c r="D138" s="20" t="inlineStr">
        <is>
          <t>781447001</t>
        </is>
      </c>
      <c r="E138" s="8" t="inlineStr">
        <is>
          <t>Keramický obklad stěn koupelny 1.05 1.NP — výška obkladu 1.6 m (z DXF km Obklady layer)</t>
        </is>
      </c>
      <c r="F138" s="20" t="inlineStr">
        <is>
          <t>m²</t>
        </is>
      </c>
      <c r="G138" s="22" t="n">
        <v>13.4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1.05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2.03 (2.NP)</t>
        </is>
      </c>
      <c r="D139" s="20" t="inlineStr">
        <is>
          <t>781447001</t>
        </is>
      </c>
      <c r="E139" s="8" t="inlineStr">
        <is>
          <t>Keramický obklad stěn koupelny 2.03 2.NP — výška obkladu 2.45 m (z DXF km Obklady layer)</t>
        </is>
      </c>
      <c r="F139" s="20" t="inlineStr">
        <is>
          <t>m²</t>
        </is>
      </c>
      <c r="G139" s="22" t="n">
        <v>15.2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2.03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3.04 (3.NP)</t>
        </is>
      </c>
      <c r="D140" s="20" t="inlineStr">
        <is>
          <t>781447001</t>
        </is>
      </c>
      <c r="E140" s="8" t="inlineStr">
        <is>
          <t>Keramický obklad stěn koupelny 3.04 3.NP — výška obkladu 2.7 m (z DXF km Obklady layer)</t>
        </is>
      </c>
      <c r="F140" s="20" t="inlineStr">
        <is>
          <t>m²</t>
        </is>
      </c>
      <c r="G140" s="22" t="n">
        <v>24.3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3.04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Obklad za kuchyňskou linkou</t>
        </is>
      </c>
      <c r="D141" s="20" t="inlineStr">
        <is>
          <t>781447001</t>
        </is>
      </c>
      <c r="E141" s="8" t="inlineStr">
        <is>
          <t>Keramický obklad za kuchyňskou linkou nad pracovní deskou — 2 kuchyně × ~5 m² (1.06 byt rodičů + 3.05 byt 3.NP)</t>
        </is>
      </c>
      <c r="F141" s="20" t="inlineStr">
        <is>
          <t>m²</t>
        </is>
      </c>
      <c r="G141" s="22" t="n">
        <v>10</v>
      </c>
      <c r="H141" s="10" t="n"/>
      <c r="I141" s="10" t="n"/>
      <c r="J141" s="8" t="inlineStr">
        <is>
          <t>obkladac</t>
        </is>
      </c>
      <c r="K141" s="24" t="n">
        <v>0.95</v>
      </c>
      <c r="L141" s="20" t="inlineStr">
        <is>
          <t>needs_production_lookup</t>
        </is>
      </c>
      <c r="M141" s="8" t="inlineStr">
        <is>
          <t>DXF dum_DPZ 2× kuchyně MTEXT + TZ ARS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</t>
        </is>
      </c>
      <c r="D142" s="20" t="inlineStr">
        <is>
          <t>784121011</t>
        </is>
      </c>
      <c r="E142" s="8" t="inlineStr">
        <is>
          <t>Interiérová výmalba akrylátová bílá 2× — všechny stěny + podhledy mimo obklad</t>
        </is>
      </c>
      <c r="F142" s="20" t="inlineStr">
        <is>
          <t>m²</t>
        </is>
      </c>
      <c r="G142" s="22" t="n">
        <v>0</v>
      </c>
      <c r="H142" s="10" t="n"/>
      <c r="I142" s="10" t="n"/>
      <c r="J142" s="8" t="inlineStr">
        <is>
          <t>malir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— interiérová výmalba (aggregate, no TZ per-room directive)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1.NP</t>
        </is>
      </c>
      <c r="D143" s="20" t="inlineStr">
        <is>
          <t>784121011</t>
        </is>
      </c>
      <c r="E143" s="8" t="inlineStr">
        <is>
          <t>Interiérová výmalba 1.NP — stěny + SDK podhled − obklad koupelny 1.05 (1.6 m výška)</t>
        </is>
      </c>
      <c r="F143" s="20" t="inlineStr">
        <is>
          <t>m²</t>
        </is>
      </c>
      <c r="G143" s="22" t="n">
        <v>254.5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PSV78.002 + SDK podhled PSV78.005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1.PP</t>
        </is>
      </c>
      <c r="D144" s="20" t="inlineStr">
        <is>
          <t>784121011</t>
        </is>
      </c>
      <c r="E144" s="8" t="inlineStr">
        <is>
          <t>Interiérová výmalba 1.PP — sklep stěny + klenba bílá vápenná 2×</t>
        </is>
      </c>
      <c r="F144" s="20" t="inlineStr">
        <is>
          <t>m²</t>
        </is>
      </c>
      <c r="G144" s="22" t="n">
        <v>78.2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PSV78.001 + SDK podhled PSV78.—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2.NP</t>
        </is>
      </c>
      <c r="D145" s="20" t="inlineStr">
        <is>
          <t>784121011</t>
        </is>
      </c>
      <c r="E145" s="8" t="inlineStr">
        <is>
          <t>Interiérová výmalba 2.NP — stěny + SDK podhled − obklad koupelny 2.03 (2.45 m výška)</t>
        </is>
      </c>
      <c r="F145" s="20" t="inlineStr">
        <is>
          <t>m²</t>
        </is>
      </c>
      <c r="G145" s="22" t="n">
        <v>247.5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PSV78.003 + SDK podhled PSV78.006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3.NP</t>
        </is>
      </c>
      <c r="D146" s="20" t="inlineStr">
        <is>
          <t>784121011</t>
        </is>
      </c>
      <c r="E146" s="8" t="inlineStr">
        <is>
          <t>Interiérová výmalba 3.NP — stěny + SDK podhled − obklad koupelny 3.04 (2.7 m výška)</t>
        </is>
      </c>
      <c r="F146" s="20" t="inlineStr">
        <is>
          <t>m²</t>
        </is>
      </c>
      <c r="G146" s="22" t="n">
        <v>219.3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PSV78.004 + SDK podhled PSV78.007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Autonomní hlásič kouře</t>
        </is>
      </c>
      <c r="D147" s="20" t="inlineStr">
        <is>
          <t>375211101</t>
        </is>
      </c>
      <c r="E147" s="8" t="inlineStr">
        <is>
          <t>Autonomní hlásič kouře dle ČSN EN 14604 — 4 ks v místnostech 1.01, 1.02, 2.04, 3.03 dle PBŘ</t>
        </is>
      </c>
      <c r="F147" s="20" t="inlineStr">
        <is>
          <t>ks</t>
        </is>
      </c>
      <c r="G147" s="23" t="n">
        <v>4</v>
      </c>
      <c r="H147" s="10" t="n"/>
      <c r="I147" s="10" t="n"/>
      <c r="J147" s="8" t="inlineStr">
        <is>
          <t>elektroinstalater</t>
        </is>
      </c>
      <c r="K147" s="24" t="n">
        <v>0.85</v>
      </c>
      <c r="L147" s="20" t="inlineStr">
        <is>
          <t>family_verified_leaf_needs_production_lookup</t>
        </is>
      </c>
      <c r="M147" s="8" t="inlineStr">
        <is>
          <t>TZ PBŘ dům — ČSN EN 14604 autonomní hlásič kouře 4 ks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Přenosný hasicí přístroj 34A</t>
        </is>
      </c>
      <c r="D148" s="20" t="inlineStr">
        <is>
          <t>966067121</t>
        </is>
      </c>
      <c r="E148" s="8" t="inlineStr">
        <is>
          <t>Přenosný hasicí přístroj 34A dle PBŘ — min. 1 ks na společné chodbě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VRN_management</t>
        </is>
      </c>
      <c r="K148" s="24" t="n">
        <v>0.85</v>
      </c>
      <c r="L148" s="20" t="inlineStr">
        <is>
          <t>needs_production_lookup</t>
        </is>
      </c>
      <c r="M148" s="8" t="inlineStr">
        <is>
          <t>TZ PBŘ dům — PHP 34A 1 ks minimum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Předávací protokol krbu + kontrola bezpečných vzdáleností</t>
        </is>
      </c>
      <c r="D149" s="20" t="inlineStr">
        <is>
          <t>—</t>
        </is>
      </c>
      <c r="E149" s="8" t="inlineStr">
        <is>
          <t>Předávací protokol krbu na tuhá paliva + kontrola bezpečných vzdáleností (800 mm směr sálání / 400 mm strany, nehořlavá zóna podlahy) dle PBŘ</t>
        </is>
      </c>
      <c r="F149" s="20" t="inlineStr">
        <is>
          <t>soubor</t>
        </is>
      </c>
      <c r="G149" s="23" t="n">
        <v>1</v>
      </c>
      <c r="H149" s="10" t="n"/>
      <c r="I149" s="10" t="n"/>
      <c r="J149" s="8" t="inlineStr">
        <is>
          <t>topenar</t>
        </is>
      </c>
      <c r="K149" s="24" t="n">
        <v>0.8</v>
      </c>
      <c r="L149" s="20" t="inlineStr">
        <is>
          <t>needs_production_lookup</t>
        </is>
      </c>
      <c r="M149" s="8" t="inlineStr">
        <is>
          <t>PBŘ D.3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M-21 ELI silnoproud</t>
        </is>
      </c>
      <c r="C202" s="8" t="inlineStr">
        <is>
          <t>Hlavní vypínač TOTAL STOP + požární značení</t>
        </is>
      </c>
      <c r="D202" s="20" t="inlineStr">
        <is>
          <t>—</t>
        </is>
      </c>
      <c r="E202" s="8" t="inlineStr">
        <is>
          <t>Hlavní vypínač elektrické energie TOTAL STOP + požární značení rozvodného zařízení a uzávěrů (voda/elektro)</t>
        </is>
      </c>
      <c r="F202" s="20" t="inlineStr">
        <is>
          <t>soubor</t>
        </is>
      </c>
      <c r="G202" s="23" t="n">
        <v>1</v>
      </c>
      <c r="H202" s="10" t="n"/>
      <c r="I202" s="10" t="n"/>
      <c r="J202" s="8" t="inlineStr">
        <is>
          <t>elektrikar</t>
        </is>
      </c>
      <c r="K202" s="24" t="n">
        <v>0.8</v>
      </c>
      <c r="L202" s="20" t="inlineStr">
        <is>
          <t>needs_production_lookup</t>
        </is>
      </c>
      <c r="M202" s="8" t="inlineStr">
        <is>
          <t>PBŘ D.3 §16.05/16.06</t>
        </is>
      </c>
      <c r="N202" s="20" t="inlineStr">
        <is>
          <t>—</t>
        </is>
      </c>
      <c r="O202" s="26" t="inlineStr">
        <is>
          <t>ANO</t>
        </is>
      </c>
    </row>
    <row r="203">
      <c r="A203" s="20" t="n">
        <v>202</v>
      </c>
      <c r="B203" s="8" t="inlineStr">
        <is>
          <t>M-24 VZT</t>
        </is>
      </c>
      <c r="C203" s="8" t="inlineStr">
        <is>
          <t>Lokální odtah digestoří kuchyní</t>
        </is>
      </c>
      <c r="D203" s="20" t="inlineStr">
        <is>
          <t>—</t>
        </is>
      </c>
      <c r="E203" s="8" t="inlineStr">
        <is>
          <t>Lokální odtah digestoří kuchyní (1.NP + 3.NP) — dodávka + montáž digestoře + prostup fasádou/střechou + zpětná klapka</t>
        </is>
      </c>
      <c r="F203" s="20" t="inlineStr">
        <is>
          <t>ks</t>
        </is>
      </c>
      <c r="G203" s="23" t="n">
        <v>2</v>
      </c>
      <c r="H203" s="10" t="n"/>
      <c r="I203" s="10" t="n"/>
      <c r="J203" s="8" t="inlineStr">
        <is>
          <t>vzduchotechnik</t>
        </is>
      </c>
      <c r="K203" s="24" t="n">
        <v>0.7</v>
      </c>
      <c r="L203" s="20" t="inlineStr">
        <is>
          <t>needs_production_lookup</t>
        </is>
      </c>
      <c r="M203" s="8" t="inlineStr">
        <is>
          <t>B zpráva — VZT: obytné místnosti větrání okny, kuchyně lokální odtah digestoří</t>
        </is>
      </c>
      <c r="N203" s="20" t="inlineStr">
        <is>
          <t>—</t>
        </is>
      </c>
      <c r="O203" s="26" t="inlineStr">
        <is>
          <t>ANO</t>
        </is>
      </c>
    </row>
  </sheetData>
  <autoFilter ref="A1:O203"/>
  <conditionalFormatting sqref="K2:K20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2026-06-01T09:47:35Z</dcterms:created>
  <dcterms:modified xmlns:dcterms="http://purl.org/dc/terms/" xmlns:xsi="http://www.w3.org/2001/XMLSchema-instance" xsi:type="dcterms:W3CDTF">2026-06-01T09:47:35Z</dcterms:modified>
</cp:coreProperties>
</file>
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</sheets>
  <definedNames>
    <definedName name="_xlnm._FilterDatabase" localSheetId="1" hidden="1">'Var_A_Agregovany_Dum'!$A$1:$G$18</definedName>
    <definedName name="_xlnm._FilterDatabase" localSheetId="2" hidden="1">'Var_A_Agregovany_Sklad'!$A$1:$G$9</definedName>
    <definedName name="_xlnm._FilterDatabase" localSheetId="3" hidden="1">'Var_C_Hybrid'!$A$1:$J$132</definedName>
    <definedName name="_xlnm._FilterDatabase" localSheetId="4" hidden="1">'Var_B_Polozkovy_Dum'!$A$1:$O$203</definedName>
    <definedName name="_xlnm._FilterDatabase" localSheetId="5" hidden="1">'Var_B_Polozkovy_Sklad'!$A$1:$O$32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18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2026-06-01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(25 souhrnných řádků). Pro orientační cenovku.</t>
        </is>
      </c>
      <c r="C23" s="9" t="n">
        <v>25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(118 ks) + PSV/TZB/VRN agregovaně (13 skupin) = 131 řádků.</t>
        </is>
      </c>
      <c r="C24" s="9" t="n">
        <v>131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(202 dum + 31 sklad = 233 položek). Cílový rozsah pro produkční pricing.</t>
        </is>
      </c>
      <c r="C25" s="9" t="n">
        <v>233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233 (202 dum + 31 sklad)</t>
        </is>
      </c>
    </row>
    <row r="32">
      <c r="A32" s="4" t="inlineStr">
        <is>
          <t>Gate distribution</t>
        </is>
      </c>
      <c r="B32" s="5" t="inlineStr">
        <is>
          <t>HSV 118 | M 2 | PSV 56 | TZB 34 | VRN 23</t>
        </is>
      </c>
    </row>
    <row r="33">
      <c r="A33" s="4" t="inlineStr">
        <is>
          <t>Confidence dist</t>
        </is>
      </c>
      <c r="B33" s="5" t="inlineStr">
        <is>
          <t>0.99: 17 | 0.95: 32 | 0.90: 35 | 0.85: 41 | 0.80: 21 | 0.75: 71 | 0.70: 4 | 0.60: 3 | 0.50: 4 | 0.00: 5</t>
        </is>
      </c>
    </row>
    <row r="34">
      <c r="A34" s="4" t="inlineStr">
        <is>
          <t>URS status (Part 5b)</t>
        </is>
      </c>
      <c r="B34" s="5" t="inlineStr">
        <is>
          <t>8 WebSearch verified (3.4 %) ✓ | 5 wrong leaf flagged (2.1 %) ⚠ | 155 needs_production_lookup (66.5 %)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30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233 položek celkem (202 dum + 31 sklad), 4 corpus patterns aplikované, zero-fabrication policy.
Confidence distribution: 17×0.99 · 32×0.95 · 35×0.90 · 41×0.85 · 21×0.80 · 71×0.75 · 4×0.70 · 3×0.60 · 4×0.50 · 5×0.00.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(+5 dalších)</t>
        </is>
      </c>
      <c r="D8" s="9" t="n">
        <v>9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(+4 dalších)</t>
        </is>
      </c>
      <c r="D9" s="9" t="n">
        <v>8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M-24</t>
        </is>
      </c>
      <c r="C10" s="8" t="inlineStr">
        <is>
          <t>Lokální odtah digestoří kuchyní</t>
        </is>
      </c>
      <c r="D10" s="9" t="n">
        <v>1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PSV-71 — Izolace HI + TI</t>
        </is>
      </c>
      <c r="C11" s="8" t="inlineStr">
        <is>
          <t>HI pod ŽB deskou 1.NP; Odvětrání radonu z podloží; HI koupelny 1.NP + 2.NP + 3.NP; Podlahový EPS 150; … (+1 dalších)</t>
        </is>
      </c>
      <c r="D11" s="9" t="n">
        <v>5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PSV-72 — ZTI (vodovod + kanalizace + sanita)</t>
        </is>
      </c>
      <c r="C12" s="8" t="inlineStr">
        <is>
          <t>Revize stávajících přípojek; Nové rozvody vody do 3.NP; Nové odpadní rozvody; Sanitární keramika koupelna 1.05 (1.NP); … (+15 dalších)</t>
        </is>
      </c>
      <c r="D12" s="9" t="n">
        <v>19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PSV-73 — Vytápění + komín</t>
        </is>
      </c>
      <c r="C13" s="8" t="inlineStr">
        <is>
          <t>Sporáková kamna na tuhá paliva; Sporáková kamna — montáž; Elektrokotel 3.NP; Krb na tuhá paliva 3.NP; … (+4 dalších)</t>
        </is>
      </c>
      <c r="D13" s="9" t="n">
        <v>8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PSV-76 — Výplně otvorů + klempířina + zámečnictví + truhlář</t>
        </is>
      </c>
      <c r="C14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4" s="9" t="n">
        <v>22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PSV-77 — Podlahy</t>
        </is>
      </c>
      <c r="C15" s="8" t="inlineStr">
        <is>
          <t>Nášlap vinyl obytné místnosti; Nášlap keramická dlažba — mokré zóny; Nášlap keramická dlažba — 1.PP sklep; Nášlap biodeska 3.NP spací patro; … (+3 dalších)</t>
        </is>
      </c>
      <c r="D15" s="9" t="n">
        <v>7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PSV-78 — Povrchové úpravy</t>
        </is>
      </c>
      <c r="C16" s="8" t="inlineStr">
        <is>
          <t>Omítka jádrová + štuk 1.PP; Omítka jádrová + štuk 1.NP; Omítka jádrová + štuk 2.NP; Omítka jádrová + štuk 3.NP; … (+12 dalších)</t>
        </is>
      </c>
      <c r="D16" s="9" t="n">
        <v>16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PSV-95 — Detekce požární</t>
        </is>
      </c>
      <c r="C17" s="8" t="inlineStr">
        <is>
          <t>Autonomní hlásič kouře; Přenosný hasicí přístroj 34A; Předávací protokol krbu + kontrola bezpečných vzdáleností</t>
        </is>
      </c>
      <c r="D17" s="9" t="n">
        <v>3</v>
      </c>
      <c r="E17" s="10" t="n"/>
      <c r="F17" s="10" t="n"/>
      <c r="G17" s="8" t="inlineStr">
        <is>
          <t>agregát — detail viz List B</t>
        </is>
      </c>
    </row>
    <row r="18" ht="36" customHeight="1">
      <c r="A18" s="20" t="n">
        <v>17</v>
      </c>
      <c r="B18" s="21" t="inlineStr">
        <is>
          <t>VRN — Vedlejší rozpočtové náklady</t>
        </is>
      </c>
      <c r="C18" s="8" t="inlineStr">
        <is>
          <t>Buňky kancelář + sociální; Mobilní WC; El. odběr + vodovodní odběr stavby; Kontejnery suti tříděné; … (+14 dalších)</t>
        </is>
      </c>
      <c r="D18" s="9" t="n">
        <v>18</v>
      </c>
      <c r="E18" s="10" t="n"/>
      <c r="F18" s="10" t="n"/>
      <c r="G18" s="8" t="inlineStr">
        <is>
          <t>agregát — detail viz List B</t>
        </is>
      </c>
    </row>
  </sheetData>
  <autoFilter ref="A1:G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prefa; Vjezd Dvořákova — napojení na komunikaci</t>
        </is>
      </c>
      <c r="D6" s="9" t="n">
        <v>2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sklad; Vjezdová brána</t>
        </is>
      </c>
      <c r="D7" s="9" t="n">
        <v>2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dům; … (+1 dalších)</t>
        </is>
      </c>
      <c r="D9" s="9" t="n">
        <v>5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zařizovacích předmětů — Demontáž všech sanitárních zařizovacích předmětů (WC, umyvadla, baterie, sprcha)</t>
        </is>
      </c>
      <c r="E90" s="20" t="inlineStr">
        <is>
          <t>ks</t>
        </is>
      </c>
      <c r="F90" s="23" t="n">
        <v>12</v>
      </c>
      <c r="G90" s="10" t="n"/>
      <c r="H90" s="10" t="n"/>
      <c r="I90" s="8" t="inlineStr">
        <is>
          <t>bourani_demolice</t>
        </is>
      </c>
      <c r="J90" s="8" t="inlineStr">
        <is>
          <t>URS-prop 725900001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Odvoz suti a likvidace — Odvoz a likvidace stavební suti dle vyhl. 8/2021 Sb. — celková tonáž odpadů</t>
        </is>
      </c>
      <c r="E91" s="20" t="inlineStr">
        <is>
          <t>t</t>
        </is>
      </c>
      <c r="F91" s="22" t="n">
        <v>56.5</v>
      </c>
      <c r="G91" s="10" t="n"/>
      <c r="H91" s="10" t="n"/>
      <c r="I91" s="8" t="inlineStr">
        <is>
          <t>bourani_demolice</t>
        </is>
      </c>
      <c r="J91" s="8" t="inlineStr">
        <is>
          <t>URS-prop 997013501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HSV-7 Fasáda ETICS</t>
        </is>
      </c>
      <c r="D92" s="8" t="inlineStr">
        <is>
          <t>Příprava podkladu — Příprava fasádního podkladu — očištění tlakovou vodou, vyspravení omítek, fungicidní nátěr</t>
        </is>
      </c>
      <c r="E92" s="20" t="inlineStr">
        <is>
          <t>m²</t>
        </is>
      </c>
      <c r="F92" s="22" t="n">
        <v>276.7</v>
      </c>
      <c r="G92" s="10" t="n"/>
      <c r="H92" s="10" t="n"/>
      <c r="I92" s="8" t="inlineStr">
        <is>
          <t>fasadnik_etics</t>
        </is>
      </c>
      <c r="J92" s="8" t="inlineStr">
        <is>
          <t>URS-prop 622401110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ETICS EPS 70F grey 160 mm — ETICS kontaktní zateplení — EPS 70F grey λ=0.032 tl. 160 mm + síťka + lepidlo + zatírací stěrka (řez S01+S12a explicit, ne 200 mm fallback)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622221121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sokl XPS — ETICS sokl — XPS λ=0.034 tl. 120 mm + soklový profil + cihelný obklad spárovaný</t>
        </is>
      </c>
      <c r="E94" s="20" t="inlineStr">
        <is>
          <t>m²</t>
        </is>
      </c>
      <c r="F94" s="22" t="n">
        <v>13.5</v>
      </c>
      <c r="G94" s="10" t="n"/>
      <c r="H94" s="10" t="n"/>
      <c r="I94" s="8" t="inlineStr">
        <is>
          <t>fasadnik_etics</t>
        </is>
      </c>
      <c r="J94" s="8" t="inlineStr">
        <is>
          <t>URS-prop 622223111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Špalety EPS — Špalety oken — EPS přesah 35-40 mm + síťka + omítka</t>
        </is>
      </c>
      <c r="E95" s="20" t="inlineStr">
        <is>
          <t>bm</t>
        </is>
      </c>
      <c r="F95" s="22" t="n">
        <v>82.2</v>
      </c>
      <c r="G95" s="10" t="n"/>
      <c r="H95" s="10" t="n"/>
      <c r="I95" s="8" t="inlineStr">
        <is>
          <t>fasadnik_etics</t>
        </is>
      </c>
      <c r="J95" s="8" t="inlineStr">
        <is>
          <t>URS-prop 622221221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Profilace fasády — Profilace fasády — různé tloušťky EPS (kordony, šambrány, rámování oken) — paušál podle pohledů</t>
        </is>
      </c>
      <c r="E96" s="20" t="inlineStr">
        <is>
          <t>soubor</t>
        </is>
      </c>
      <c r="F96" s="23" t="n">
        <v>1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Tenkovrstvá omítka pastovitá — Tenkovrstvá pastovitá probarvená omítka, lomená bílá NCS NZÚ — finální vrstva ETICS</t>
        </is>
      </c>
      <c r="E97" s="20" t="inlineStr">
        <is>
          <t>m²</t>
        </is>
      </c>
      <c r="F97" s="22" t="n">
        <v>290.2</v>
      </c>
      <c r="G97" s="10" t="n"/>
      <c r="H97" s="10" t="n"/>
      <c r="I97" s="8" t="inlineStr">
        <is>
          <t>fasadnik_etics</t>
        </is>
      </c>
      <c r="J97" s="8" t="inlineStr">
        <is>
          <t>URS-prop 622521111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HSV-6 Bourací práce</t>
        </is>
      </c>
      <c r="D98" s="8" t="inlineStr">
        <is>
          <t>Demontáž oken — Demontáž stávajících dřevěných oken vč. rámů a parapetů — 16 ks (návrh všechna okna nová plastová trojsklem)</t>
        </is>
      </c>
      <c r="E98" s="20" t="inlineStr">
        <is>
          <t>ks</t>
        </is>
      </c>
      <c r="F98" s="23" t="n">
        <v>16</v>
      </c>
      <c r="G98" s="10" t="n"/>
      <c r="H98" s="10" t="n"/>
      <c r="I98" s="8" t="inlineStr">
        <is>
          <t>bourani_demolice</t>
        </is>
      </c>
      <c r="J98" s="8" t="inlineStr">
        <is>
          <t>URS-prop 978013181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vstupních dveří venkovních — Demontáž stávajících vstupních dveří + rámů — 2 ks (1× ulice Fibichova + 1× zahrada; návrh nové plastové vstupní dveře)</t>
        </is>
      </c>
      <c r="E99" s="20" t="inlineStr">
        <is>
          <t>ks</t>
        </is>
      </c>
      <c r="F99" s="23" t="n">
        <v>2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0" s="20" t="inlineStr">
        <is>
          <t>ks</t>
        </is>
      </c>
      <c r="F100" s="23" t="n">
        <v>15</v>
      </c>
      <c r="G100" s="10" t="n"/>
      <c r="H100" s="10" t="n"/>
      <c r="I100" s="8" t="inlineStr">
        <is>
          <t>bourani_demolice</t>
        </is>
      </c>
      <c r="J100" s="8" t="inlineStr">
        <is>
          <t>URS-prop 968072456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Bourání zdiva komínu — Bourání vrchní části stávajícího komínu v posledním podlaží (cihelné zdivo, ručně), vč. likvidace cihelné suti</t>
        </is>
      </c>
      <c r="E101" s="20" t="inlineStr">
        <is>
          <t>m³</t>
        </is>
      </c>
      <c r="F101" s="22" t="n">
        <v>0.6</v>
      </c>
      <c r="G101" s="10" t="n"/>
      <c r="H101" s="10" t="n"/>
      <c r="I101" s="8" t="inlineStr">
        <is>
          <t>bourani_demolice</t>
        </is>
      </c>
      <c r="J101" s="8" t="inlineStr">
        <is>
          <t>URS-prop 962024141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venkovních konstrukcí — Bourání stávajících opěrných zídek a venkovního schodiště v zahradě/dvoře — částečné, dle vyznačení v půdorysech bourání</t>
        </is>
      </c>
      <c r="E102" s="20" t="inlineStr">
        <is>
          <t>m³</t>
        </is>
      </c>
      <c r="F102" s="22" t="n">
        <v>8</v>
      </c>
      <c r="G102" s="10" t="n"/>
      <c r="H102" s="10" t="n"/>
      <c r="I102" s="8" t="inlineStr">
        <is>
          <t>bourani_demolice</t>
        </is>
      </c>
      <c r="J102" s="8" t="inlineStr">
        <is>
          <t>URS-prop 961044111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HSV-1 Zemní práce</t>
        </is>
      </c>
      <c r="D103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3" s="20" t="inlineStr">
        <is>
          <t>m</t>
        </is>
      </c>
      <c r="F103" s="22" t="n">
        <v>12</v>
      </c>
      <c r="G103" s="10" t="n"/>
      <c r="H103" s="10" t="n"/>
      <c r="I103" s="8" t="inlineStr">
        <is>
          <t>izolater_HI</t>
        </is>
      </c>
      <c r="J103" s="8" t="inlineStr">
        <is>
          <t>URS-prop 877315111</t>
        </is>
      </c>
    </row>
    <row r="104">
      <c r="A104" s="20" t="n">
        <v>103</v>
      </c>
      <c r="B104" s="20" t="inlineStr">
        <is>
          <t>260217_sklad</t>
        </is>
      </c>
      <c r="C104" s="8" t="inlineStr">
        <is>
          <t>HSV-5 Komunikace + schodiště</t>
        </is>
      </c>
      <c r="D104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4" s="20" t="inlineStr">
        <is>
          <t>m²</t>
        </is>
      </c>
      <c r="F104" s="22" t="n">
        <v>5.5</v>
      </c>
      <c r="G104" s="10" t="n"/>
      <c r="H104" s="10" t="n"/>
      <c r="I104" s="8" t="inlineStr">
        <is>
          <t>betonar</t>
        </is>
      </c>
      <c r="J104" s="8" t="inlineStr">
        <is>
          <t>URS-prop 121301101</t>
        </is>
      </c>
    </row>
    <row r="105">
      <c r="A105" s="20" t="n">
        <v>104</v>
      </c>
      <c r="B105" s="20" t="inlineStr">
        <is>
          <t>260219_dum</t>
        </is>
      </c>
      <c r="C105" s="8" t="inlineStr">
        <is>
          <t>HSV-1 Zemní práce</t>
        </is>
      </c>
      <c r="D105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5" s="20" t="inlineStr">
        <is>
          <t>ks</t>
        </is>
      </c>
      <c r="F105" s="23" t="n">
        <v>13</v>
      </c>
      <c r="G105" s="10" t="n"/>
      <c r="H105" s="10" t="n"/>
      <c r="I105" s="8" t="inlineStr">
        <is>
          <t>zednik</t>
        </is>
      </c>
      <c r="J105" s="8" t="inlineStr">
        <is>
          <t>URS-prop —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HSV-5 Krov + střecha</t>
        </is>
      </c>
      <c r="D106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6" s="20" t="inlineStr">
        <is>
          <t>ks</t>
        </is>
      </c>
      <c r="F106" s="23" t="n">
        <v>50</v>
      </c>
      <c r="G106" s="10" t="n"/>
      <c r="H106" s="10" t="n"/>
      <c r="I106" s="8" t="inlineStr">
        <is>
          <t>tesar</t>
        </is>
      </c>
      <c r="J106" s="8" t="inlineStr">
        <is>
          <t>URS-prop 762085112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HSV-4 Vodorovné</t>
        </is>
      </c>
      <c r="D107" s="8" t="inlineStr">
        <is>
          <t>Strop 1.NP/2.NP — kročejová izolace (S07) — Desky kročejové izolace (Isover T-P) tl. 30 mm — trámový strop 1.NP/2.NP</t>
        </is>
      </c>
      <c r="E107" s="20" t="inlineStr">
        <is>
          <t>m²</t>
        </is>
      </c>
      <c r="F107" s="22" t="n">
        <v>59.5</v>
      </c>
      <c r="G107" s="10" t="n"/>
      <c r="H107" s="10" t="n"/>
      <c r="I107" s="8" t="inlineStr">
        <is>
          <t>izolater_TI</t>
        </is>
      </c>
      <c r="J107" s="8" t="inlineStr">
        <is>
          <t>URS-prop 713191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1.NP/2.NP — separační geotextilie (S07) — Separační geotextilie pod suchý podsyp — trámový strop 1.NP/2.NP</t>
        </is>
      </c>
      <c r="E108" s="20" t="inlineStr">
        <is>
          <t>m²</t>
        </is>
      </c>
      <c r="F108" s="22" t="n">
        <v>59.5</v>
      </c>
      <c r="G108" s="10" t="n"/>
      <c r="H108" s="10" t="n"/>
      <c r="I108" s="8" t="inlineStr">
        <is>
          <t>izolater_TI</t>
        </is>
      </c>
      <c r="J108" s="8" t="inlineStr">
        <is>
          <t>URS-prop —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2.NP/3.NP — min. vata výplň mezi nosníky (S09) — Tepelná/akustická izolace minerální vata výplň mezi ocelové nosníky stropu 2.NP/3.NP, tl. 180/200 mm</t>
        </is>
      </c>
      <c r="E109" s="20" t="inlineStr">
        <is>
          <t>m²</t>
        </is>
      </c>
      <c r="F109" s="22" t="n">
        <v>104.4</v>
      </c>
      <c r="G109" s="10" t="n"/>
      <c r="H109" s="10" t="n"/>
      <c r="I109" s="8" t="inlineStr">
        <is>
          <t>izolater_TI</t>
        </is>
      </c>
      <c r="J109" s="8" t="inlineStr">
        <is>
          <t>URS-prop 713121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klemba mezi patry — Fermacell (S08) — Roznášecí sádrovláknité dílce Fermacell 2E22 tl. 25 mm — suchá skladba nad cihelnou klembou S08</t>
        </is>
      </c>
      <c r="E110" s="20" t="inlineStr">
        <is>
          <t>m²</t>
        </is>
      </c>
      <c r="F110" s="22" t="n"/>
      <c r="G110" s="10" t="n"/>
      <c r="H110" s="10" t="n"/>
      <c r="I110" s="8" t="inlineStr">
        <is>
          <t>suchá_vystavba</t>
        </is>
      </c>
      <c r="J110" s="8" t="inlineStr">
        <is>
          <t>URS-prop —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kročejová izolace (S08) — Desky kročejové izolace (Isover T-P) tl. 30 mm — suchá skladba nad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izolater_TI</t>
        </is>
      </c>
      <c r="J111" s="8" t="inlineStr">
        <is>
          <t>URS-prop 713191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suchý podsyp + dřevěný rošt (S08) — Vyrovnávací suchý podsyp keramzit/liapor + dřevěný rošt tl. 50 mm — nad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suchá_vystavba</t>
        </is>
      </c>
      <c r="J112" s="8" t="inlineStr">
        <is>
          <t>URS-prop —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HSV-4 Vodorovné</t>
        </is>
      </c>
      <c r="D113" s="8" t="inlineStr">
        <is>
          <t>Strop klemba mezi patry — separační vrstva (S08) — Separační vrstva pod suchý podsyp — nad cihelnou klembou S08</t>
        </is>
      </c>
      <c r="E113" s="20" t="inlineStr">
        <is>
          <t>m²</t>
        </is>
      </c>
      <c r="F113" s="22" t="n"/>
      <c r="G113" s="10" t="n"/>
      <c r="H113" s="10" t="n"/>
      <c r="I113" s="8" t="inlineStr">
        <is>
          <t>suchá_vystavba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HSV-7 Fasáda + zateplení</t>
        </is>
      </c>
      <c r="D114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4" s="20" t="inlineStr">
        <is>
          <t>m²</t>
        </is>
      </c>
      <c r="F114" s="22" t="n">
        <v>23</v>
      </c>
      <c r="G114" s="10" t="n"/>
      <c r="H114" s="10" t="n"/>
      <c r="I114" s="8" t="inlineStr">
        <is>
          <t>fasader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pod terénem — drenážní nopová folie (S03a) — Drenážní vrstva — nopová folie tl. 20 mm na suterénní stěnu pod úrovní terénu</t>
        </is>
      </c>
      <c r="E115" s="20" t="inlineStr">
        <is>
          <t>m²</t>
        </is>
      </c>
      <c r="F115" s="22" t="n">
        <v>23</v>
      </c>
      <c r="G115" s="10" t="n"/>
      <c r="H115" s="10" t="n"/>
      <c r="I115" s="8" t="inlineStr">
        <is>
          <t>izolater_HI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HSV-7 Fasáda + zateplení</t>
        </is>
      </c>
      <c r="D116" s="8" t="inlineStr">
        <is>
          <t>Sokl nad terénem — provětraný obklad (S03b) — Provětrávaná mezera s kotevním roštem 40 mm + keramický obklad 20 mm — sokl nad úrovní terénu</t>
        </is>
      </c>
      <c r="E116" s="20" t="inlineStr">
        <is>
          <t>m²</t>
        </is>
      </c>
      <c r="F116" s="22" t="n">
        <v>23</v>
      </c>
      <c r="G116" s="10" t="n"/>
      <c r="H116" s="10" t="n"/>
      <c r="I116" s="8" t="inlineStr">
        <is>
          <t>obkladac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HSV-5 Krov + střecha</t>
        </is>
      </c>
      <c r="D117" s="8" t="inlineStr">
        <is>
          <t>Střecha — pojistná HI folie pod Al krytinu (S10) — Pojistná hydroizolační folie pod hliníkovou falcovanou krytinu (nad celoplošným bedněním)</t>
        </is>
      </c>
      <c r="E117" s="20" t="inlineStr">
        <is>
          <t>m²</t>
        </is>
      </c>
      <c r="F117" s="22" t="n">
        <v>140.94</v>
      </c>
      <c r="G117" s="10" t="n"/>
      <c r="H117" s="10" t="n"/>
      <c r="I117" s="8" t="inlineStr">
        <is>
          <t>pokryvac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260219_dum</t>
        </is>
      </c>
      <c r="C118" s="8" t="inlineStr">
        <is>
          <t>HSV-6 Bourací práce</t>
        </is>
      </c>
      <c r="D118" s="8" t="inlineStr">
        <is>
          <t>Demontáž vnějšího keram. obkladu suterénu (S03 stávající) — Demontáž stávajícího vnějšího keramického obkladu suterénní stěny (sokl) tl. 20 mm</t>
        </is>
      </c>
      <c r="E118" s="20" t="inlineStr">
        <is>
          <t>m²</t>
        </is>
      </c>
      <c r="F118" s="22" t="n">
        <v>23</v>
      </c>
      <c r="G118" s="10" t="n"/>
      <c r="H118" s="10" t="n"/>
      <c r="I118" s="8" t="inlineStr">
        <is>
          <t>bourac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260217_sklad</t>
        </is>
      </c>
      <c r="C119" s="8" t="inlineStr">
        <is>
          <t>HSV-5 Komunikace + vjezd</t>
        </is>
      </c>
      <c r="D119" s="8" t="inlineStr">
        <is>
          <t>Vjezd Dvořákova — napojení na komunikaci — Napojení vjezdu na ulici Dvořákova — vydláždění z betonových dlaždic + spádování na pozemek investora + odvodnění dešťové vody na pozemek (ne na komunikaci)</t>
        </is>
      </c>
      <c r="E119" s="20" t="inlineStr">
        <is>
          <t>m²</t>
        </is>
      </c>
      <c r="F119" s="22" t="n"/>
      <c r="G119" s="10" t="n"/>
      <c r="H119" s="10" t="n"/>
      <c r="I119" s="8" t="inlineStr">
        <is>
          <t>komunikace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21" t="inlineStr">
        <is>
          <t>PSV-76 — Výplně otvorů + klempířina + zámečnictví + truhlář</t>
        </is>
      </c>
      <c r="D120" s="8" t="inlineStr">
        <is>
          <t>[agregát] 2 položek: Bezpečnostní dveře RC3 sklad; Vjezdová brána</t>
        </is>
      </c>
      <c r="E120" s="20" t="inlineStr">
        <is>
          <t>kpl</t>
        </is>
      </c>
      <c r="F120" s="9" t="n">
        <v>1</v>
      </c>
      <c r="G120" s="10" t="n"/>
      <c r="H120" s="10" t="n"/>
      <c r="I120" s="8" t="inlineStr">
        <is>
          <t>—</t>
        </is>
      </c>
      <c r="J120" s="8" t="inlineStr">
        <is>
          <t>agregát</t>
        </is>
      </c>
    </row>
    <row r="121">
      <c r="A121" s="20" t="n">
        <v>120</v>
      </c>
      <c r="B121" s="20" t="inlineStr">
        <is>
          <t>260217_sklad</t>
        </is>
      </c>
      <c r="C121" s="21" t="inlineStr">
        <is>
          <t>PSV-77 — Podlahy</t>
        </is>
      </c>
      <c r="D121" s="8" t="inlineStr">
        <is>
          <t>[agregát] 1 položek: Betonová dlažba sklad</t>
        </is>
      </c>
      <c r="E121" s="20" t="inlineStr">
        <is>
          <t>kpl</t>
        </is>
      </c>
      <c r="F121" s="9" t="n">
        <v>1</v>
      </c>
      <c r="G121" s="10" t="n"/>
      <c r="H121" s="10" t="n"/>
      <c r="I121" s="8" t="inlineStr">
        <is>
          <t>—</t>
        </is>
      </c>
      <c r="J121" s="8" t="inlineStr">
        <is>
          <t>agregát</t>
        </is>
      </c>
    </row>
    <row r="122">
      <c r="A122" s="20" t="n">
        <v>121</v>
      </c>
      <c r="B122" s="20" t="inlineStr">
        <is>
          <t>260217_sklad</t>
        </is>
      </c>
      <c r="C122" s="21" t="inlineStr">
        <is>
          <t>VRN — Vedlejší rozpočtové náklady</t>
        </is>
      </c>
      <c r="D122" s="8" t="inlineStr">
        <is>
          <t>[agregát] 5 položek: Doprava prefa H-BLOK auto s hyd. rukou; Likvidace odpadu sklad; Geodetické vytýčení sklad; … (+2 dalších)</t>
        </is>
      </c>
      <c r="E122" s="20" t="inlineStr">
        <is>
          <t>kpl</t>
        </is>
      </c>
      <c r="F122" s="9" t="n">
        <v>1</v>
      </c>
      <c r="G122" s="10" t="n"/>
      <c r="H122" s="10" t="n"/>
      <c r="I122" s="8" t="inlineStr">
        <is>
          <t>—</t>
        </is>
      </c>
      <c r="J122" s="8" t="inlineStr">
        <is>
          <t>agregát</t>
        </is>
      </c>
    </row>
    <row r="123">
      <c r="A123" s="20" t="n">
        <v>122</v>
      </c>
      <c r="B123" s="20" t="inlineStr">
        <is>
          <t>260219_dum</t>
        </is>
      </c>
      <c r="C123" s="21" t="inlineStr">
        <is>
          <t>M-21 — Elektroinstalace silnoproudá</t>
        </is>
      </c>
      <c r="D123" s="8" t="inlineStr">
        <is>
          <t>[agregát] 8 položek: Demontáž stávající ELI; Pojistková skříň + 3× podružný rozvaděč; Rozvody silnoproud; … (+5 dalších)</t>
        </is>
      </c>
      <c r="E123" s="20" t="inlineStr">
        <is>
          <t>kpl</t>
        </is>
      </c>
      <c r="F123" s="9" t="n">
        <v>1</v>
      </c>
      <c r="G123" s="10" t="n"/>
      <c r="H123" s="10" t="n"/>
      <c r="I123" s="8" t="inlineStr">
        <is>
          <t>—</t>
        </is>
      </c>
      <c r="J123" s="8" t="inlineStr">
        <is>
          <t>agregát</t>
        </is>
      </c>
    </row>
    <row r="124">
      <c r="A124" s="20" t="n">
        <v>123</v>
      </c>
      <c r="B124" s="20" t="inlineStr">
        <is>
          <t>260219_dum</t>
        </is>
      </c>
      <c r="C124" s="21" t="inlineStr">
        <is>
          <t>M-24</t>
        </is>
      </c>
      <c r="D124" s="8" t="inlineStr">
        <is>
          <t>[agregát] 1 položek: Lokální odtah digestoří kuchyní</t>
        </is>
      </c>
      <c r="E124" s="20" t="inlineStr">
        <is>
          <t>kpl</t>
        </is>
      </c>
      <c r="F124" s="9" t="n">
        <v>1</v>
      </c>
      <c r="G124" s="10" t="n"/>
      <c r="H124" s="10" t="n"/>
      <c r="I124" s="8" t="inlineStr">
        <is>
          <t>—</t>
        </is>
      </c>
      <c r="J124" s="8" t="inlineStr">
        <is>
          <t>agregát</t>
        </is>
      </c>
    </row>
    <row r="125">
      <c r="A125" s="20" t="n">
        <v>124</v>
      </c>
      <c r="B125" s="20" t="inlineStr">
        <is>
          <t>260219_dum</t>
        </is>
      </c>
      <c r="C125" s="21" t="inlineStr">
        <is>
          <t>PSV-71 — Izolace HI + TI</t>
        </is>
      </c>
      <c r="D125" s="8" t="inlineStr">
        <is>
          <t>[agregát] 5 položek: HI pod ŽB deskou 1.NP; Odvětrání radonu z podloží; HI koupelny 1.NP + 2.NP + 3.NP; … (+2 dalších)</t>
        </is>
      </c>
      <c r="E125" s="20" t="inlineStr">
        <is>
          <t>kpl</t>
        </is>
      </c>
      <c r="F125" s="9" t="n">
        <v>1</v>
      </c>
      <c r="G125" s="10" t="n"/>
      <c r="H125" s="10" t="n"/>
      <c r="I125" s="8" t="inlineStr">
        <is>
          <t>—</t>
        </is>
      </c>
      <c r="J125" s="8" t="inlineStr">
        <is>
          <t>agregát</t>
        </is>
      </c>
    </row>
    <row r="126">
      <c r="A126" s="20" t="n">
        <v>125</v>
      </c>
      <c r="B126" s="20" t="inlineStr">
        <is>
          <t>260219_dum</t>
        </is>
      </c>
      <c r="C126" s="21" t="inlineStr">
        <is>
          <t>PSV-72 — ZTI (vodovod + kanalizace + sanita)</t>
        </is>
      </c>
      <c r="D126" s="8" t="inlineStr">
        <is>
          <t>[agregát] 19 položek: Revize stávajících přípojek; Nové rozvody vody do 3.NP; Nové odpadní rozvody; … (+16 dalších)</t>
        </is>
      </c>
      <c r="E126" s="20" t="inlineStr">
        <is>
          <t>kpl</t>
        </is>
      </c>
      <c r="F126" s="9" t="n">
        <v>1</v>
      </c>
      <c r="G126" s="10" t="n"/>
      <c r="H126" s="10" t="n"/>
      <c r="I126" s="8" t="inlineStr">
        <is>
          <t>—</t>
        </is>
      </c>
      <c r="J126" s="8" t="inlineStr">
        <is>
          <t>agregát</t>
        </is>
      </c>
    </row>
    <row r="127">
      <c r="A127" s="20" t="n">
        <v>126</v>
      </c>
      <c r="B127" s="20" t="inlineStr">
        <is>
          <t>260219_dum</t>
        </is>
      </c>
      <c r="C127" s="21" t="inlineStr">
        <is>
          <t>PSV-73 — Vytápění + komín</t>
        </is>
      </c>
      <c r="D127" s="8" t="inlineStr">
        <is>
          <t>[agregát] 8 položek: Sporáková kamna na tuhá paliva; Sporáková kamna — montáž; Elektrokotel 3.NP; … (+5 dalších)</t>
        </is>
      </c>
      <c r="E127" s="20" t="inlineStr">
        <is>
          <t>kpl</t>
        </is>
      </c>
      <c r="F127" s="9" t="n">
        <v>1</v>
      </c>
      <c r="G127" s="10" t="n"/>
      <c r="H127" s="10" t="n"/>
      <c r="I127" s="8" t="inlineStr">
        <is>
          <t>—</t>
        </is>
      </c>
      <c r="J127" s="8" t="inlineStr">
        <is>
          <t>agregát</t>
        </is>
      </c>
    </row>
    <row r="128">
      <c r="A128" s="20" t="n">
        <v>127</v>
      </c>
      <c r="B128" s="20" t="inlineStr">
        <is>
          <t>260219_dum</t>
        </is>
      </c>
      <c r="C128" s="21" t="inlineStr">
        <is>
          <t>PSV-76 — Výplně otvorů + klempířina + zámečnictví + truhlář</t>
        </is>
      </c>
      <c r="D128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28" s="20" t="inlineStr">
        <is>
          <t>kpl</t>
        </is>
      </c>
      <c r="F128" s="9" t="n">
        <v>1</v>
      </c>
      <c r="G128" s="10" t="n"/>
      <c r="H128" s="10" t="n"/>
      <c r="I128" s="8" t="inlineStr">
        <is>
          <t>—</t>
        </is>
      </c>
      <c r="J128" s="8" t="inlineStr">
        <is>
          <t>agregát</t>
        </is>
      </c>
    </row>
    <row r="129">
      <c r="A129" s="20" t="n">
        <v>128</v>
      </c>
      <c r="B129" s="20" t="inlineStr">
        <is>
          <t>260219_dum</t>
        </is>
      </c>
      <c r="C129" s="21" t="inlineStr">
        <is>
          <t>PSV-77 — Podlahy</t>
        </is>
      </c>
      <c r="D129" s="8" t="inlineStr">
        <is>
          <t>[agregát] 7 položek: Nášlap vinyl obytné místnosti; Nášlap keramická dlažba — mokré zóny; Nášlap keramická dlažba — 1.PP sklep; … (+4 dalších)</t>
        </is>
      </c>
      <c r="E129" s="20" t="inlineStr">
        <is>
          <t>kpl</t>
        </is>
      </c>
      <c r="F129" s="9" t="n">
        <v>1</v>
      </c>
      <c r="G129" s="10" t="n"/>
      <c r="H129" s="10" t="n"/>
      <c r="I129" s="8" t="inlineStr">
        <is>
          <t>—</t>
        </is>
      </c>
      <c r="J129" s="8" t="inlineStr">
        <is>
          <t>agregát</t>
        </is>
      </c>
    </row>
    <row r="130">
      <c r="A130" s="20" t="n">
        <v>129</v>
      </c>
      <c r="B130" s="20" t="inlineStr">
        <is>
          <t>260219_dum</t>
        </is>
      </c>
      <c r="C130" s="21" t="inlineStr">
        <is>
          <t>PSV-78 — Povrchové úpravy</t>
        </is>
      </c>
      <c r="D130" s="8" t="inlineStr">
        <is>
          <t>[agregát] 16 položek: Omítka jádrová + štuk 1.PP; Omítka jádrová + štuk 1.NP; Omítka jádrová + štuk 2.NP; … (+13 dalších)</t>
        </is>
      </c>
      <c r="E130" s="20" t="inlineStr">
        <is>
          <t>kpl</t>
        </is>
      </c>
      <c r="F130" s="9" t="n">
        <v>1</v>
      </c>
      <c r="G130" s="10" t="n"/>
      <c r="H130" s="10" t="n"/>
      <c r="I130" s="8" t="inlineStr">
        <is>
          <t>—</t>
        </is>
      </c>
      <c r="J130" s="8" t="inlineStr">
        <is>
          <t>agregát</t>
        </is>
      </c>
    </row>
    <row r="131">
      <c r="A131" s="20" t="n">
        <v>130</v>
      </c>
      <c r="B131" s="20" t="inlineStr">
        <is>
          <t>260219_dum</t>
        </is>
      </c>
      <c r="C131" s="21" t="inlineStr">
        <is>
          <t>PSV-95 — Detekce požární</t>
        </is>
      </c>
      <c r="D131" s="8" t="inlineStr">
        <is>
          <t>[agregát] 3 položek: Autonomní hlásič kouře; Přenosný hasicí přístroj 34A; Předávací protokol krbu + kontrola bezpečných vzdáleností</t>
        </is>
      </c>
      <c r="E131" s="20" t="inlineStr">
        <is>
          <t>kpl</t>
        </is>
      </c>
      <c r="F131" s="9" t="n">
        <v>1</v>
      </c>
      <c r="G131" s="10" t="n"/>
      <c r="H131" s="10" t="n"/>
      <c r="I131" s="8" t="inlineStr">
        <is>
          <t>—</t>
        </is>
      </c>
      <c r="J131" s="8" t="inlineStr">
        <is>
          <t>agregát</t>
        </is>
      </c>
    </row>
    <row r="132">
      <c r="A132" s="20" t="n">
        <v>131</v>
      </c>
      <c r="B132" s="20" t="inlineStr">
        <is>
          <t>260219_dum</t>
        </is>
      </c>
      <c r="C132" s="21" t="inlineStr">
        <is>
          <t>VRN — Vedlejší rozpočtové náklady</t>
        </is>
      </c>
      <c r="D132" s="8" t="inlineStr">
        <is>
          <t>[agregát] 18 položek: Buňky kancelář + sociální; Mobilní WC; El. odběr + vodovodní odběr stavby; … (+15 dalších)</t>
        </is>
      </c>
      <c r="E132" s="20" t="inlineStr">
        <is>
          <t>kpl</t>
        </is>
      </c>
      <c r="F132" s="9" t="n">
        <v>1</v>
      </c>
      <c r="G132" s="10" t="n"/>
      <c r="H132" s="10" t="n"/>
      <c r="I132" s="8" t="inlineStr">
        <is>
          <t>—</t>
        </is>
      </c>
      <c r="J132" s="8" t="inlineStr">
        <is>
          <t>agregát</t>
        </is>
      </c>
    </row>
  </sheetData>
  <autoFilter ref="A1:J13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zařizovacích předmětů</t>
        </is>
      </c>
      <c r="D80" s="20" t="inlineStr">
        <is>
          <t>725900001</t>
        </is>
      </c>
      <c r="E80" s="8" t="inlineStr">
        <is>
          <t>Demontáž všech sanitárních zařizovacích předmětů (WC, umyvadla, baterie, sprcha)</t>
        </is>
      </c>
      <c r="F80" s="20" t="inlineStr">
        <is>
          <t>ks</t>
        </is>
      </c>
      <c r="G80" s="23" t="n">
        <v>12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zařizovací předměty kompletně demontovány</t>
        </is>
      </c>
      <c r="N80" s="20" t="inlineStr">
        <is>
          <t>—</t>
        </is>
      </c>
      <c r="O80" s="26" t="inlineStr">
        <is>
          <t>ANO</t>
        </is>
      </c>
    </row>
    <row r="81">
      <c r="A81" s="20" t="n">
        <v>80</v>
      </c>
      <c r="B81" s="8" t="inlineStr">
        <is>
          <t>HSV-6 Bourací práce</t>
        </is>
      </c>
      <c r="C81" s="8" t="inlineStr">
        <is>
          <t>Odvoz suti a likvidace</t>
        </is>
      </c>
      <c r="D81" s="20" t="inlineStr">
        <is>
          <t>997013501</t>
        </is>
      </c>
      <c r="E81" s="8" t="inlineStr">
        <is>
          <t>Odvoz a likvidace stavební suti dle vyhl. 8/2021 Sb. — celková tonáž odpadů</t>
        </is>
      </c>
      <c r="F81" s="20" t="inlineStr">
        <is>
          <t>t</t>
        </is>
      </c>
      <c r="G81" s="22" t="n">
        <v>56.5</v>
      </c>
      <c r="H81" s="10" t="n"/>
      <c r="I81" s="10" t="n"/>
      <c r="J81" s="8" t="inlineStr">
        <is>
          <t>bourani_demolice</t>
        </is>
      </c>
      <c r="K81" s="24" t="n">
        <v>0.85</v>
      </c>
      <c r="L81" s="20" t="inlineStr">
        <is>
          <t>needs_production_lookup</t>
        </is>
      </c>
      <c r="M81" s="8" t="inlineStr">
        <is>
          <t>TZ B m.10.e bilance odpadů</t>
        </is>
      </c>
      <c r="N81" s="20" t="inlineStr">
        <is>
          <t>#9</t>
        </is>
      </c>
      <c r="O81" s="26" t="inlineStr">
        <is>
          <t>ANO</t>
        </is>
      </c>
    </row>
    <row r="82">
      <c r="A82" s="20" t="n">
        <v>81</v>
      </c>
      <c r="B82" s="8" t="inlineStr">
        <is>
          <t>HSV-6 Bourací práce</t>
        </is>
      </c>
      <c r="C82" s="8" t="inlineStr">
        <is>
          <t>Demontáž oken</t>
        </is>
      </c>
      <c r="D82" s="20" t="inlineStr">
        <is>
          <t>978013181</t>
        </is>
      </c>
      <c r="E82" s="8" t="inlineStr">
        <is>
          <t>Demontáž stávajících dřevěných oken vč. rámů a parapetů — 16 ks (návrh všechna okna nová plastová trojsklem)</t>
        </is>
      </c>
      <c r="F82" s="20" t="inlineStr">
        <is>
          <t>ks</t>
        </is>
      </c>
      <c r="G82" s="23" t="n">
        <v>16</v>
      </c>
      <c r="H82" s="10" t="n"/>
      <c r="I82" s="10" t="n"/>
      <c r="J82" s="8" t="inlineStr">
        <is>
          <t>bourani_demolice</t>
        </is>
      </c>
      <c r="K82" s="24" t="n">
        <v>0.95</v>
      </c>
      <c r="L82" s="20" t="inlineStr">
        <is>
          <t>matched_websearch_verified</t>
        </is>
      </c>
      <c r="M82" s="8" t="inlineStr">
        <is>
          <t>DXF blocks okno* (Path C Tier 4) + TZ ARS — všechna okna nová</t>
        </is>
      </c>
      <c r="N82" s="20" t="inlineStr">
        <is>
          <t>#3</t>
        </is>
      </c>
      <c r="O82" s="25" t="inlineStr">
        <is>
          <t>OVĚŘENO ✓</t>
        </is>
      </c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vstupních dveří venkovních</t>
        </is>
      </c>
      <c r="D83" s="20" t="inlineStr">
        <is>
          <t>978013181</t>
        </is>
      </c>
      <c r="E83" s="8" t="inlineStr">
        <is>
          <t>Demontáž stávajících vstupních dveří + rámů — 2 ks (1× ulice Fibichova + 1× zahrada; návrh nové plastové vstupní dveře)</t>
        </is>
      </c>
      <c r="F83" s="20" t="inlineStr">
        <is>
          <t>ks</t>
        </is>
      </c>
      <c r="G83" s="23" t="n">
        <v>2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dveře (vstupní 2) + TZ ARS — 'plastové vstupní dveře' x 2</t>
        </is>
      </c>
      <c r="N83" s="20" t="inlineStr">
        <is>
          <t>#3</t>
        </is>
      </c>
      <c r="O83" s="25" t="inlineStr">
        <is>
          <t>OVĚŘENO ✓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vnitřních dveří vč. zárubní</t>
        </is>
      </c>
      <c r="D84" s="20" t="inlineStr">
        <is>
          <t>968072456</t>
        </is>
      </c>
      <c r="E84" s="8" t="inlineStr">
        <is>
          <t>Demontáž stávajících vnitřních dveří vč. ocelových/dřevěných zárubní — odhad 15 ks (3 patra × ~5 dveří/patro per DXF SM__dveře layer)</t>
        </is>
      </c>
      <c r="F84" s="20" t="inlineStr">
        <is>
          <t>ks</t>
        </is>
      </c>
      <c r="G84" s="23" t="n">
        <v>15</v>
      </c>
      <c r="H84" s="10" t="n"/>
      <c r="I84" s="10" t="n"/>
      <c r="J84" s="8" t="inlineStr">
        <is>
          <t>bourani_demolice</t>
        </is>
      </c>
      <c r="K84" s="24" t="n">
        <v>0.8</v>
      </c>
      <c r="L84" s="20" t="inlineStr">
        <is>
          <t>needs_production_lookup</t>
        </is>
      </c>
      <c r="M84" s="8" t="inlineStr">
        <is>
          <t>DXF SM__dveře polyline count → estimate (Path C Tier 4)</t>
        </is>
      </c>
      <c r="N84" s="20" t="inlineStr">
        <is>
          <t>#3</t>
        </is>
      </c>
      <c r="O84" s="26" t="inlineStr">
        <is>
          <t>ANO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Bourání zdiva komínu</t>
        </is>
      </c>
      <c r="D85" s="20" t="inlineStr">
        <is>
          <t>962024141</t>
        </is>
      </c>
      <c r="E85" s="8" t="inlineStr">
        <is>
          <t>Bourání vrchní části stávajícího komínu v posledním podlaží (cihelné zdivo, ručně), vč. likvidace cihelné suti</t>
        </is>
      </c>
      <c r="F85" s="20" t="inlineStr">
        <is>
          <t>m³</t>
        </is>
      </c>
      <c r="G85" s="22" t="n">
        <v>0.6</v>
      </c>
      <c r="H85" s="10" t="n"/>
      <c r="I85" s="10" t="n"/>
      <c r="J85" s="8" t="inlineStr">
        <is>
          <t>bourani_demolice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DXF dum_DPZ řez A-A bourání + POZN.1.02 z půdorysů bourání</t>
        </is>
      </c>
      <c r="N85" s="20" t="inlineStr">
        <is>
          <t>#9</t>
        </is>
      </c>
      <c r="O85" s="26" t="inlineStr">
        <is>
          <t>ANO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venkovních konstrukcí</t>
        </is>
      </c>
      <c r="D86" s="20" t="inlineStr">
        <is>
          <t>961044111</t>
        </is>
      </c>
      <c r="E86" s="8" t="inlineStr">
        <is>
          <t>Bourání stávajících opěrných zídek a venkovního schodiště v zahradě/dvoře — částečné, dle vyznačení v půdorysech bourání</t>
        </is>
      </c>
      <c r="F86" s="20" t="inlineStr">
        <is>
          <t>m³</t>
        </is>
      </c>
      <c r="G86" s="22" t="n">
        <v>8</v>
      </c>
      <c r="H86" s="10" t="n"/>
      <c r="I86" s="10" t="n"/>
      <c r="J86" s="8" t="inlineStr">
        <is>
          <t>bourani_demolice</t>
        </is>
      </c>
      <c r="K86" s="24" t="n">
        <v>0.7</v>
      </c>
      <c r="L86" s="20" t="inlineStr">
        <is>
          <t>family_verified_leaf_needs_production_lookup</t>
        </is>
      </c>
      <c r="M86" s="8" t="inlineStr">
        <is>
          <t>DXF dum_DPZ řez A-A bourání + POZN.1.03 + půdorys bourání</t>
        </is>
      </c>
      <c r="N86" s="20" t="inlineStr">
        <is>
          <t>#9</t>
        </is>
      </c>
      <c r="O86" s="26" t="inlineStr">
        <is>
          <t>ANO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Demontáž vnějšího keram. obkladu suterénu (S03 stávající)</t>
        </is>
      </c>
      <c r="D87" s="20" t="inlineStr">
        <is>
          <t>—</t>
        </is>
      </c>
      <c r="E87" s="8" t="inlineStr">
        <is>
          <t>Demontáž stávajícího vnějšího keramického obkladu suterénní stěny (sokl) tl. 20 mm</t>
        </is>
      </c>
      <c r="F87" s="20" t="inlineStr">
        <is>
          <t>m²</t>
        </is>
      </c>
      <c r="G87" s="22" t="n">
        <v>23</v>
      </c>
      <c r="H87" s="10" t="n"/>
      <c r="I87" s="10" t="n"/>
      <c r="J87" s="8" t="inlineStr">
        <is>
          <t>bourac</t>
        </is>
      </c>
      <c r="K87" s="24" t="n">
        <v>0.5</v>
      </c>
      <c r="L87" s="20" t="inlineStr">
        <is>
          <t>needs_production_lookup</t>
        </is>
      </c>
      <c r="M87" s="8" t="inlineStr">
        <is>
          <t>skladba S03 stávající (vnější keram. obklad) + Řez A-A sokl</t>
        </is>
      </c>
      <c r="N87" s="20" t="inlineStr">
        <is>
          <t>—</t>
        </is>
      </c>
      <c r="O87" s="26" t="inlineStr">
        <is>
          <t>ANO</t>
        </is>
      </c>
    </row>
    <row r="88">
      <c r="A88" s="20" t="n">
        <v>87</v>
      </c>
      <c r="B88" s="8" t="inlineStr">
        <is>
          <t>HSV-7 Fasáda + zateplení</t>
        </is>
      </c>
      <c r="C88" s="8" t="inlineStr">
        <is>
          <t>Sokl suterénu — sanační zateplení (S03)</t>
        </is>
      </c>
      <c r="D88" s="20" t="inlineStr">
        <is>
          <t>—</t>
        </is>
      </c>
      <c r="E88" s="8" t="inlineStr">
        <is>
          <t>Sanační zateplení soklu — sanační izolační deska Styrcon 200 + lepící tmel (Lepstyr plus) + armovací vrstva s tkaninou + penetrace</t>
        </is>
      </c>
      <c r="F88" s="20" t="inlineStr">
        <is>
          <t>m²</t>
        </is>
      </c>
      <c r="G88" s="22" t="n">
        <v>23</v>
      </c>
      <c r="H88" s="10" t="n"/>
      <c r="I88" s="10" t="n"/>
      <c r="J88" s="8" t="inlineStr">
        <is>
          <t>fasader</t>
        </is>
      </c>
      <c r="K88" s="24" t="n">
        <v>0.5</v>
      </c>
      <c r="L88" s="20" t="inlineStr">
        <is>
          <t>needs_production_lookup</t>
        </is>
      </c>
      <c r="M88" s="8" t="inlineStr">
        <is>
          <t>Řez A-A sokl tags (S03b -0.200/-0.975) + obvod ETICS</t>
        </is>
      </c>
      <c r="N88" s="20" t="inlineStr">
        <is>
          <t>—</t>
        </is>
      </c>
      <c r="O88" s="26" t="inlineStr">
        <is>
          <t>ANO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pod terénem — drenážní nopová folie (S03a)</t>
        </is>
      </c>
      <c r="D89" s="20" t="inlineStr">
        <is>
          <t>—</t>
        </is>
      </c>
      <c r="E89" s="8" t="inlineStr">
        <is>
          <t>Drenážní vrstva — nopová folie tl. 20 mm na suterénní stěnu pod úrovní terénu</t>
        </is>
      </c>
      <c r="F89" s="20" t="inlineStr">
        <is>
          <t>m²</t>
        </is>
      </c>
      <c r="G89" s="22" t="n">
        <v>23</v>
      </c>
      <c r="H89" s="10" t="n"/>
      <c r="I89" s="10" t="n"/>
      <c r="J89" s="8" t="inlineStr">
        <is>
          <t>izolater_HI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A-A/C-C sokl + obvod ETICS</t>
        </is>
      </c>
      <c r="N89" s="20" t="inlineStr">
        <is>
          <t>—</t>
        </is>
      </c>
      <c r="O89" s="26" t="inlineStr">
        <is>
          <t>ANO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nad terénem — provětraný obklad (S03b)</t>
        </is>
      </c>
      <c r="D90" s="20" t="inlineStr">
        <is>
          <t>—</t>
        </is>
      </c>
      <c r="E90" s="8" t="inlineStr">
        <is>
          <t>Provětrávaná mezera s kotevním roštem 40 mm + keramický obklad 20 mm — sokl nad úrovní terénu</t>
        </is>
      </c>
      <c r="F90" s="20" t="inlineStr">
        <is>
          <t>m²</t>
        </is>
      </c>
      <c r="G90" s="22" t="n">
        <v>23</v>
      </c>
      <c r="H90" s="10" t="n"/>
      <c r="I90" s="10" t="n"/>
      <c r="J90" s="8" t="inlineStr">
        <is>
          <t>obkladac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 sokl tags S03b + obvod ETICS</t>
        </is>
      </c>
      <c r="N90" s="20" t="inlineStr">
        <is>
          <t>—</t>
        </is>
      </c>
      <c r="O90" s="26" t="inlineStr">
        <is>
          <t>ANO</t>
        </is>
      </c>
    </row>
    <row r="91">
      <c r="A91" s="20" t="n">
        <v>90</v>
      </c>
      <c r="B91" s="8" t="inlineStr">
        <is>
          <t>HSV-7 Fasáda ETICS</t>
        </is>
      </c>
      <c r="C91" s="8" t="inlineStr">
        <is>
          <t>Příprava podkladu</t>
        </is>
      </c>
      <c r="D91" s="20" t="inlineStr">
        <is>
          <t>622401110</t>
        </is>
      </c>
      <c r="E91" s="8" t="inlineStr">
        <is>
          <t>Příprava fasádního podkladu — očištění tlakovou vodou, vyspravení omítek, fungicidní nátěr</t>
        </is>
      </c>
      <c r="F91" s="20" t="inlineStr">
        <is>
          <t>m²</t>
        </is>
      </c>
      <c r="G91" s="22" t="n">
        <v>276.7</v>
      </c>
      <c r="H91" s="10" t="n"/>
      <c r="I91" s="10" t="n"/>
      <c r="J91" s="8" t="inlineStr">
        <is>
          <t>fasadnik_etics</t>
        </is>
      </c>
      <c r="K91" s="24" t="n">
        <v>0.9</v>
      </c>
      <c r="L91" s="20" t="inlineStr">
        <is>
          <t>needs_production_lookup</t>
        </is>
      </c>
      <c r="M91" s="8" t="inlineStr">
        <is>
          <t>TZ ARS dům §3.2 — ETICS kontaktní, podklad existující omítka + DXF perimeter</t>
        </is>
      </c>
      <c r="N91" s="20" t="inlineStr">
        <is>
          <t>#3</t>
        </is>
      </c>
      <c r="O91" s="26" t="inlineStr">
        <is>
          <t>ANO</t>
        </is>
      </c>
    </row>
    <row r="92">
      <c r="A92" s="20" t="n">
        <v>91</v>
      </c>
      <c r="B92" s="8" t="inlineStr">
        <is>
          <t>HSV-7 Fasáda ETICS</t>
        </is>
      </c>
      <c r="C92" s="8" t="inlineStr">
        <is>
          <t>ETICS EPS 70F grey 160 mm</t>
        </is>
      </c>
      <c r="D92" s="20" t="inlineStr">
        <is>
          <t>622221121</t>
        </is>
      </c>
      <c r="E92" s="8" t="inlineStr">
        <is>
          <t>ETICS kontaktní zateplení — EPS 70F grey λ=0.032 tl. 160 mm + síťka + lepidlo + zatírací stěrka (řez S01+S12a explicit, ne 200 mm fallback)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TZ ARS dům §3.2 EXPLICIT 'fasádní EPS 70f grey (λ=0,032 W/mK)' + PBŘ EXPLICIT 'EPS tl. max. 200 mm' + DXF perimeter</t>
        </is>
      </c>
      <c r="N92" s="20" t="inlineStr">
        <is>
          <t>#3</t>
        </is>
      </c>
      <c r="O92" s="26" t="inlineStr">
        <is>
          <t>ANO</t>
        </is>
      </c>
    </row>
    <row r="93">
      <c r="A93" s="20" t="n">
        <v>92</v>
      </c>
      <c r="B93" s="8" t="inlineStr">
        <is>
          <t>HSV-7 Fasáda ETICS</t>
        </is>
      </c>
      <c r="C93" s="8" t="inlineStr">
        <is>
          <t>ETICS sokl XPS</t>
        </is>
      </c>
      <c r="D93" s="20" t="inlineStr">
        <is>
          <t>622223111</t>
        </is>
      </c>
      <c r="E93" s="8" t="inlineStr">
        <is>
          <t>ETICS sokl — XPS λ=0.034 tl. 120 mm + soklový profil + cihelný obklad spárovaný</t>
        </is>
      </c>
      <c r="F93" s="20" t="inlineStr">
        <is>
          <t>m²</t>
        </is>
      </c>
      <c r="G93" s="22" t="n">
        <v>13.5</v>
      </c>
      <c r="H93" s="10" t="n"/>
      <c r="I93" s="10" t="n"/>
      <c r="J93" s="8" t="inlineStr">
        <is>
          <t>fasadnik_etics</t>
        </is>
      </c>
      <c r="K93" s="24" t="n">
        <v>0.9</v>
      </c>
      <c r="L93" s="20" t="inlineStr">
        <is>
          <t>family_verified_leaf_needs_production_lookup</t>
        </is>
      </c>
      <c r="M93" s="8" t="inlineStr">
        <is>
          <t>TZ ARS dům §3.2 — sokl XPS + cihelný obklad + DXF perimeter</t>
        </is>
      </c>
      <c r="N93" s="20" t="inlineStr">
        <is>
          <t>—</t>
        </is>
      </c>
      <c r="O93" s="26" t="inlineStr">
        <is>
          <t>ANO</t>
        </is>
      </c>
    </row>
    <row r="94">
      <c r="A94" s="20" t="n">
        <v>93</v>
      </c>
      <c r="B94" s="8" t="inlineStr">
        <is>
          <t>HSV-7 Fasáda ETICS</t>
        </is>
      </c>
      <c r="C94" s="8" t="inlineStr">
        <is>
          <t>Špalety EPS</t>
        </is>
      </c>
      <c r="D94" s="20" t="inlineStr">
        <is>
          <t>622221221</t>
        </is>
      </c>
      <c r="E94" s="8" t="inlineStr">
        <is>
          <t>Špalety oken — EPS přesah 35-40 mm + síťka + omítka</t>
        </is>
      </c>
      <c r="F94" s="20" t="inlineStr">
        <is>
          <t>bm</t>
        </is>
      </c>
      <c r="G94" s="22" t="n">
        <v>82.2</v>
      </c>
      <c r="H94" s="10" t="n"/>
      <c r="I94" s="10" t="n"/>
      <c r="J94" s="8" t="inlineStr">
        <is>
          <t>fasadnik_etics</t>
        </is>
      </c>
      <c r="K94" s="24" t="n">
        <v>0.99</v>
      </c>
      <c r="L94" s="20" t="inlineStr">
        <is>
          <t>needs_production_lookup</t>
        </is>
      </c>
      <c r="M94" s="8" t="inlineStr">
        <is>
          <t>DXF okna per typ bbox + TZ ARS §3.2 EPS přesah na špaletách 35-40 mm</t>
        </is>
      </c>
      <c r="N94" s="20" t="inlineStr">
        <is>
          <t>#5</t>
        </is>
      </c>
      <c r="O94" s="26" t="inlineStr">
        <is>
          <t>ANO</t>
        </is>
      </c>
    </row>
    <row r="95">
      <c r="A95" s="20" t="n">
        <v>94</v>
      </c>
      <c r="B95" s="8" t="inlineStr">
        <is>
          <t>HSV-7 Fasáda ETICS</t>
        </is>
      </c>
      <c r="C95" s="8" t="inlineStr">
        <is>
          <t>Profilace fasády</t>
        </is>
      </c>
      <c r="D95" s="20" t="inlineStr">
        <is>
          <t>622221221</t>
        </is>
      </c>
      <c r="E95" s="8" t="inlineStr">
        <is>
          <t>Profilace fasády — různé tloušťky EPS (kordony, šambrány, rámování oken) — paušál podle pohledů</t>
        </is>
      </c>
      <c r="F95" s="20" t="inlineStr">
        <is>
          <t>soubor</t>
        </is>
      </c>
      <c r="G95" s="23" t="n">
        <v>1</v>
      </c>
      <c r="H95" s="10" t="n"/>
      <c r="I95" s="10" t="n"/>
      <c r="J95" s="8" t="inlineStr">
        <is>
          <t>fasadnik_etics</t>
        </is>
      </c>
      <c r="K95" s="24" t="n">
        <v>0.99</v>
      </c>
      <c r="L95" s="20" t="inlineStr">
        <is>
          <t>needs_production_lookup</t>
        </is>
      </c>
      <c r="M95" s="8" t="inlineStr">
        <is>
          <t>TZ ARS dům §3.2 — profilace různými tl. EPS</t>
        </is>
      </c>
      <c r="N95" s="20" t="inlineStr">
        <is>
          <t>—</t>
        </is>
      </c>
      <c r="O95" s="26" t="inlineStr">
        <is>
          <t>ANO</t>
        </is>
      </c>
    </row>
    <row r="96">
      <c r="A96" s="20" t="n">
        <v>95</v>
      </c>
      <c r="B96" s="8" t="inlineStr">
        <is>
          <t>HSV-7 Fasáda ETICS</t>
        </is>
      </c>
      <c r="C96" s="8" t="inlineStr">
        <is>
          <t>Tenkovrstvá omítka pastovitá</t>
        </is>
      </c>
      <c r="D96" s="20" t="inlineStr">
        <is>
          <t>622521111</t>
        </is>
      </c>
      <c r="E96" s="8" t="inlineStr">
        <is>
          <t>Tenkovrstvá pastovitá probarvená omítka, lomená bílá NCS NZÚ — finální vrstva ETICS</t>
        </is>
      </c>
      <c r="F96" s="20" t="inlineStr">
        <is>
          <t>m²</t>
        </is>
      </c>
      <c r="G96" s="22" t="n">
        <v>290.2</v>
      </c>
      <c r="H96" s="10" t="n"/>
      <c r="I96" s="10" t="n"/>
      <c r="J96" s="8" t="inlineStr">
        <is>
          <t>fasadnik_etics</t>
        </is>
      </c>
      <c r="K96" s="24" t="n">
        <v>0.9</v>
      </c>
      <c r="L96" s="20" t="inlineStr">
        <is>
          <t>family_verified_leaf_needs_production_lookup</t>
        </is>
      </c>
      <c r="M96" s="8" t="inlineStr">
        <is>
          <t>TZ ARS dům §3.2 — pastovitá probarvená lomená bílá + DXF perimeter</t>
        </is>
      </c>
      <c r="N96" s="20" t="inlineStr">
        <is>
          <t>—</t>
        </is>
      </c>
      <c r="O96" s="26" t="inlineStr">
        <is>
          <t>ANO</t>
        </is>
      </c>
    </row>
    <row r="97">
      <c r="A97" s="20" t="n">
        <v>96</v>
      </c>
      <c r="B97" s="8" t="inlineStr">
        <is>
          <t>PSV-71 Izolace HI</t>
        </is>
      </c>
      <c r="C97" s="8" t="inlineStr">
        <is>
          <t>HI pod ŽB deskou 1.NP</t>
        </is>
      </c>
      <c r="D97" s="20" t="inlineStr">
        <is>
          <t>712311101</t>
        </is>
      </c>
      <c r="E97" s="8" t="inlineStr">
        <is>
          <t>Hydroizolace pod ŽB deskou 1.NP — modifikované asfaltové pásy SBS 2× (zároveň protiradonová bariéra)</t>
        </is>
      </c>
      <c r="F97" s="20" t="inlineStr">
        <is>
          <t>m²</t>
        </is>
      </c>
      <c r="G97" s="22" t="n">
        <v>80.40000000000001</v>
      </c>
      <c r="H97" s="10" t="n"/>
      <c r="I97" s="10" t="n"/>
      <c r="J97" s="8" t="inlineStr">
        <is>
          <t>izolater_HI</t>
        </is>
      </c>
      <c r="K97" s="24" t="n">
        <v>0.75</v>
      </c>
      <c r="L97" s="20" t="inlineStr">
        <is>
          <t>family_verified_leaf_needs_production_lookup</t>
        </is>
      </c>
      <c r="M97" s="8" t="inlineStr">
        <is>
          <t>TZ ARS dům §4 + statika §5.5 — asfaltové pásy mod. proti radonu</t>
        </is>
      </c>
      <c r="N97" s="20" t="inlineStr">
        <is>
          <t>#3</t>
        </is>
      </c>
      <c r="O97" s="26" t="inlineStr">
        <is>
          <t>ANO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Odvětrání radonu z podloží</t>
        </is>
      </c>
      <c r="D98" s="20" t="inlineStr">
        <is>
          <t>712381111</t>
        </is>
      </c>
      <c r="E98" s="8" t="inlineStr">
        <is>
          <t>Odvětrání radonu z podloží — perforované DN50 trubky v štěrkovém loži + výdech nad střechu</t>
        </is>
      </c>
      <c r="F98" s="20" t="inlineStr">
        <is>
          <t>bm</t>
        </is>
      </c>
      <c r="G98" s="22" t="n">
        <v>12</v>
      </c>
      <c r="H98" s="10" t="n"/>
      <c r="I98" s="10" t="n"/>
      <c r="J98" s="8" t="inlineStr">
        <is>
          <t>izolater_HI</t>
        </is>
      </c>
      <c r="K98" s="24" t="n">
        <v>0.75</v>
      </c>
      <c r="L98" s="20" t="inlineStr">
        <is>
          <t>family_verified_leaf_needs_production_lookup</t>
        </is>
      </c>
      <c r="M98" s="8" t="inlineStr">
        <is>
          <t>TZ statika §5.5 'ochrana proti radonu — modifikované asf. pásy + odvětrání'</t>
        </is>
      </c>
      <c r="N98" s="20" t="inlineStr">
        <is>
          <t>—</t>
        </is>
      </c>
      <c r="O98" s="26" t="inlineStr">
        <is>
          <t>ANO</t>
        </is>
      </c>
    </row>
    <row r="99">
      <c r="A99" s="20" t="n">
        <v>98</v>
      </c>
      <c r="B99" s="8" t="inlineStr">
        <is>
          <t>PSV-71 Izolace HI</t>
        </is>
      </c>
      <c r="C99" s="8" t="inlineStr">
        <is>
          <t>HI koupelny 1.NP + 2.NP + 3.NP</t>
        </is>
      </c>
      <c r="D99" s="27" t="inlineStr">
        <is>
          <t>711??? ?</t>
        </is>
      </c>
      <c r="E99" s="8" t="inlineStr">
        <is>
          <t>Hydroizolační stěrka koupelen 3 ks — podlaha + sokl 200 mm + sprchový kout výška 2.0 m</t>
        </is>
      </c>
      <c r="F99" s="20" t="inlineStr">
        <is>
          <t>m²</t>
        </is>
      </c>
      <c r="G99" s="22" t="n">
        <v>40.5</v>
      </c>
      <c r="H99" s="10" t="n"/>
      <c r="I99" s="10" t="n"/>
      <c r="J99" s="8" t="inlineStr">
        <is>
          <t>izolater_HI</t>
        </is>
      </c>
      <c r="K99" s="24" t="n">
        <v>0.95</v>
      </c>
      <c r="L99" s="20" t="inlineStr">
        <is>
          <t>family_verified_leaf_needs_production_lookup</t>
        </is>
      </c>
      <c r="M99" s="8" t="inlineStr">
        <is>
          <t>DXF dum_DPZ MTEXT labels: 3× koupelna; TZ ARS — HI vana koupelny</t>
        </is>
      </c>
      <c r="N99" s="20" t="inlineStr">
        <is>
          <t>#4</t>
        </is>
      </c>
      <c r="O99" s="26" t="inlineStr">
        <is>
          <t>ANO</t>
        </is>
      </c>
    </row>
    <row r="100">
      <c r="A100" s="20" t="n">
        <v>99</v>
      </c>
      <c r="B100" s="8" t="inlineStr">
        <is>
          <t>PSV-71 Izolace TI</t>
        </is>
      </c>
      <c r="C100" s="8" t="inlineStr">
        <is>
          <t>Podlahový EPS 150</t>
        </is>
      </c>
      <c r="D100" s="27" t="inlineStr">
        <is>
          <t>713121??? ?</t>
        </is>
      </c>
      <c r="E100" s="8" t="inlineStr">
        <is>
          <t>Podlahový EPS 150 λ=0.035 tl. 120 mm — pod betonový potěr 1.NP a 3.NP</t>
        </is>
      </c>
      <c r="F100" s="20" t="inlineStr">
        <is>
          <t>m²</t>
        </is>
      </c>
      <c r="G100" s="22" t="n">
        <v>177.5</v>
      </c>
      <c r="H100" s="10" t="n"/>
      <c r="I100" s="10" t="n"/>
      <c r="J100" s="8" t="inlineStr">
        <is>
          <t>izolater_TI</t>
        </is>
      </c>
      <c r="K100" s="24" t="n">
        <v>0.75</v>
      </c>
      <c r="L100" s="20" t="inlineStr">
        <is>
          <t>family_verified_leaf_needs_production_lookup</t>
        </is>
      </c>
      <c r="M100" s="8" t="inlineStr">
        <is>
          <t>TZ ARS dům §4 — EPS 150 λ=0.035 tl. 120 mm</t>
        </is>
      </c>
      <c r="N100" s="20" t="inlineStr">
        <is>
          <t>#4</t>
        </is>
      </c>
      <c r="O100" s="26" t="inlineStr">
        <is>
          <t>ANO</t>
        </is>
      </c>
    </row>
    <row r="101">
      <c r="A101" s="20" t="n">
        <v>100</v>
      </c>
      <c r="B101" s="8" t="inlineStr">
        <is>
          <t>PSV-71 Izolace TI</t>
        </is>
      </c>
      <c r="C101" s="8" t="inlineStr">
        <is>
          <t>Kročejová EPS nad ocelobeton</t>
        </is>
      </c>
      <c r="D101" s="27" t="inlineStr">
        <is>
          <t>713121??? ?</t>
        </is>
      </c>
      <c r="E101" s="8" t="inlineStr">
        <is>
          <t>Kročejová EPS 150 / 30 dB tl. 40 mm nad ocelobetonovým stropem 2.NP/3.NP</t>
        </is>
      </c>
      <c r="F101" s="20" t="inlineStr">
        <is>
          <t>m²</t>
        </is>
      </c>
      <c r="G101" s="22" t="n">
        <v>104.4</v>
      </c>
      <c r="H101" s="10" t="n"/>
      <c r="I101" s="10" t="n"/>
      <c r="J101" s="8" t="inlineStr">
        <is>
          <t>izolater_TI</t>
        </is>
      </c>
      <c r="K101" s="24" t="n">
        <v>0.85</v>
      </c>
      <c r="L101" s="20" t="inlineStr">
        <is>
          <t>family_verified_leaf_needs_production_lookup</t>
        </is>
      </c>
      <c r="M101" s="8" t="inlineStr">
        <is>
          <t>TZ ARS dům §4 — kročejová EPS shora ocelobeton</t>
        </is>
      </c>
      <c r="N101" s="20" t="inlineStr">
        <is>
          <t>—</t>
        </is>
      </c>
      <c r="O101" s="26" t="inlineStr">
        <is>
          <t>ANO</t>
        </is>
      </c>
    </row>
    <row r="102">
      <c r="A102" s="20" t="n">
        <v>101</v>
      </c>
      <c r="B102" s="8" t="inlineStr">
        <is>
          <t>PSV-76 Klempíř</t>
        </is>
      </c>
      <c r="C102" s="8" t="inlineStr">
        <is>
          <t>Oplechování krytiny</t>
        </is>
      </c>
      <c r="D102" s="20" t="inlineStr">
        <is>
          <t>764312235</t>
        </is>
      </c>
      <c r="E102" s="8" t="inlineStr">
        <is>
          <t>Klempířské oplechování krytiny — úžlabí, hřeben, štítové lemy (Al / Pzn lakovaný 0.55 mm)</t>
        </is>
      </c>
      <c r="F102" s="20" t="inlineStr">
        <is>
          <t>bm</t>
        </is>
      </c>
      <c r="G102" s="22" t="n">
        <v>69.5</v>
      </c>
      <c r="H102" s="10" t="n"/>
      <c r="I102" s="10" t="n"/>
      <c r="J102" s="8" t="inlineStr">
        <is>
          <t>klempir</t>
        </is>
      </c>
      <c r="K102" s="24" t="n">
        <v>0.9</v>
      </c>
      <c r="L102" s="20" t="inlineStr">
        <is>
          <t>family_verified_leaf_needs_production_lookup</t>
        </is>
      </c>
      <c r="M102" s="8" t="inlineStr">
        <is>
          <t>DXF MA_klempíř (75.4 m) + SM__ klempířina (98.4 m) total = 173.8 m × 0.40 split heuristic — Path C Tier 3</t>
        </is>
      </c>
      <c r="N102" s="20" t="inlineStr">
        <is>
          <t>#5</t>
        </is>
      </c>
      <c r="O102" s="26" t="inlineStr">
        <is>
          <t>ANO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Venkovní parapety oken</t>
        </is>
      </c>
      <c r="D103" s="20" t="inlineStr">
        <is>
          <t>764218201</t>
        </is>
      </c>
      <c r="E103" s="8" t="inlineStr">
        <is>
          <t>Venkovní parapety oken — Pzn plech lakovaný 250 mm × tl. 0.55 mm × 16 ks oken</t>
        </is>
      </c>
      <c r="F103" s="20" t="inlineStr">
        <is>
          <t>bm</t>
        </is>
      </c>
      <c r="G103" s="22" t="n">
        <v>20.8</v>
      </c>
      <c r="H103" s="10" t="n"/>
      <c r="I103" s="10" t="n"/>
      <c r="J103" s="8" t="inlineStr">
        <is>
          <t>klempir</t>
        </is>
      </c>
      <c r="K103" s="24" t="n">
        <v>0.95</v>
      </c>
      <c r="L103" s="20" t="inlineStr">
        <is>
          <t>family_verified_leaf_needs_production_lookup</t>
        </is>
      </c>
      <c r="M103" s="8" t="inlineStr">
        <is>
          <t>DXF okna 16 ks INSERT blocks + standard parapet width</t>
        </is>
      </c>
      <c r="N103" s="20" t="inlineStr">
        <is>
          <t>—</t>
        </is>
      </c>
      <c r="O103" s="26" t="inlineStr">
        <is>
          <t>ANO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Dešťové svody + žlaby</t>
        </is>
      </c>
      <c r="D104" s="20" t="inlineStr">
        <is>
          <t>764454802</t>
        </is>
      </c>
      <c r="E104" s="8" t="inlineStr">
        <is>
          <t>Dešťové svody Pzn 100 mm + žlaby — 4 svody × ~14 m + žlaby per obvod střechy</t>
        </is>
      </c>
      <c r="F104" s="20" t="inlineStr">
        <is>
          <t>bm</t>
        </is>
      </c>
      <c r="G104" s="22" t="n">
        <v>43.5</v>
      </c>
      <c r="H104" s="10" t="n"/>
      <c r="I104" s="10" t="n"/>
      <c r="J104" s="8" t="inlineStr">
        <is>
          <t>klempir</t>
        </is>
      </c>
      <c r="K104" s="24" t="n">
        <v>0.9</v>
      </c>
      <c r="L104" s="20" t="inlineStr">
        <is>
          <t>family_verified_leaf_needs_production_lookup</t>
        </is>
      </c>
      <c r="M104" s="8" t="inlineStr">
        <is>
          <t>DXF klempířina lengths split + TZ ARS dešťové svody</t>
        </is>
      </c>
      <c r="N104" s="20" t="inlineStr">
        <is>
          <t>—</t>
        </is>
      </c>
      <c r="O104" s="26" t="inlineStr">
        <is>
          <t>ANO</t>
        </is>
      </c>
    </row>
    <row r="105">
      <c r="A105" s="20" t="n">
        <v>104</v>
      </c>
      <c r="B105" s="8" t="inlineStr">
        <is>
          <t>PSV-76 Klempíř</t>
        </is>
      </c>
      <c r="C105" s="8" t="inlineStr">
        <is>
          <t>Vikýře + atika + závětrné lemy</t>
        </is>
      </c>
      <c r="D105" s="20" t="inlineStr">
        <is>
          <t>764315235</t>
        </is>
      </c>
      <c r="E105" s="8" t="inlineStr">
        <is>
          <t>Klempířské doplňky vikýřů + atika + závětrné lemy (4 vikýře komplexní detail)</t>
        </is>
      </c>
      <c r="F105" s="20" t="inlineStr">
        <is>
          <t>bm</t>
        </is>
      </c>
      <c r="G105" s="22" t="n">
        <v>26.1</v>
      </c>
      <c r="H105" s="10" t="n"/>
      <c r="I105" s="10" t="n"/>
      <c r="J105" s="8" t="inlineStr">
        <is>
          <t>klempir</t>
        </is>
      </c>
      <c r="K105" s="24" t="n">
        <v>0.9</v>
      </c>
      <c r="L105" s="20" t="inlineStr">
        <is>
          <t>family_verified_leaf_needs_production_lookup</t>
        </is>
      </c>
      <c r="M105" s="8" t="inlineStr">
        <is>
          <t>DXF klempířina geometry split + TZ ARS 4 vikýře</t>
        </is>
      </c>
      <c r="N105" s="20" t="inlineStr">
        <is>
          <t>—</t>
        </is>
      </c>
      <c r="O105" s="26" t="inlineStr">
        <is>
          <t>ANO</t>
        </is>
      </c>
    </row>
    <row r="106">
      <c r="A106" s="20" t="n">
        <v>105</v>
      </c>
      <c r="B106" s="8" t="inlineStr">
        <is>
          <t>PSV-76 Truhlář</t>
        </is>
      </c>
      <c r="C106" s="8" t="inlineStr">
        <is>
          <t>Dřevěné stupně schodišť</t>
        </is>
      </c>
      <c r="D106" s="20" t="inlineStr">
        <is>
          <t>766811111</t>
        </is>
      </c>
      <c r="E106" s="8" t="inlineStr">
        <is>
          <t>Dřevěné stupně ocelových schodišť (truhlářské, dub masiv tl. 40 mm)</t>
        </is>
      </c>
      <c r="F106" s="20" t="inlineStr">
        <is>
          <t>ks</t>
        </is>
      </c>
      <c r="G106" s="23" t="n">
        <v>16</v>
      </c>
      <c r="H106" s="10" t="n"/>
      <c r="I106" s="10" t="n"/>
      <c r="J106" s="8" t="inlineStr">
        <is>
          <t>truhlar</t>
        </is>
      </c>
      <c r="K106" s="24" t="n">
        <v>0.75</v>
      </c>
      <c r="L106" s="20" t="inlineStr">
        <is>
          <t>needs_production_lookup</t>
        </is>
      </c>
      <c r="M106" s="8" t="inlineStr">
        <is>
          <t>TZ ARS dům §4 — ocelové schodiště s dřevěnými stupni truhlářské</t>
        </is>
      </c>
      <c r="N106" s="20" t="inlineStr">
        <is>
          <t>—</t>
        </is>
      </c>
      <c r="O106" s="26" t="inlineStr">
        <is>
          <t>ANO</t>
        </is>
      </c>
    </row>
    <row r="107">
      <c r="A107" s="20" t="n">
        <v>106</v>
      </c>
      <c r="B107" s="8" t="inlineStr">
        <is>
          <t>PSV-76 Truhlář</t>
        </is>
      </c>
      <c r="C107" s="8" t="inlineStr">
        <is>
          <t>Terasa garapa za opěrnou stěnou — dřevěná pochozí vrstva</t>
        </is>
      </c>
      <c r="D107" s="27" t="inlineStr">
        <is>
          <t>762??? ?</t>
        </is>
      </c>
      <c r="E107" s="8" t="inlineStr">
        <is>
          <t>Dřevěná terasa za opěrnou stěnou — prkna garapa 145×25 mm na dřevěném roštu z hranolů 50 mm na rektifikovatelných terčích (terče + podkladní skladba viz HSV1.005)</t>
        </is>
      </c>
      <c r="F107" s="20" t="inlineStr">
        <is>
          <t>m²</t>
        </is>
      </c>
      <c r="G107" s="22" t="n">
        <v>9.23</v>
      </c>
      <c r="H107" s="10" t="n"/>
      <c r="I107" s="10" t="n"/>
      <c r="J107" s="8" t="inlineStr">
        <is>
          <t>truhlar</t>
        </is>
      </c>
      <c r="K107" s="24" t="n">
        <v>0.95</v>
      </c>
      <c r="L107" s="20" t="inlineStr">
        <is>
          <t>family_762_leaf_lookup_required</t>
        </is>
      </c>
      <c r="M107" s="8" t="inlineStr">
        <is>
          <t>TZ ARS dům §4 + DXF dum_situace PLOT_DREVENY_04 (terasa, ne 3.NP); ŘEZ C-C potvrzuje dřevěný rošt z hranolů (NE hliníkový) + dřevěnou pochozí vrstvu</t>
        </is>
      </c>
      <c r="N107" s="20" t="inlineStr">
        <is>
          <t>—</t>
        </is>
      </c>
      <c r="O107" s="26" t="inlineStr">
        <is>
          <t>ANO</t>
        </is>
      </c>
    </row>
    <row r="108">
      <c r="A108" s="20" t="n">
        <v>107</v>
      </c>
      <c r="B108" s="8" t="inlineStr">
        <is>
          <t>PSV-76 Výplně otvorů</t>
        </is>
      </c>
      <c r="C108" s="8" t="inlineStr">
        <is>
          <t>Plastové okno trojsklo — 'okno 1.NP' (ulice)</t>
        </is>
      </c>
      <c r="D108" s="20" t="inlineStr">
        <is>
          <t>766621011</t>
        </is>
      </c>
      <c r="E108" s="8" t="inlineStr">
        <is>
          <t>Plastové okno izolačním trojsklem Uw=0.85 W/m²K — typ 'okno 1.NP' velikost 1185×1600 mm × 2 ks (fasáda ulice)</t>
        </is>
      </c>
      <c r="F108" s="20" t="inlineStr">
        <is>
          <t>ks</t>
        </is>
      </c>
      <c r="G108" s="23" t="n">
        <v>2</v>
      </c>
      <c r="H108" s="10" t="n"/>
      <c r="I108" s="10" t="n"/>
      <c r="J108" s="8" t="inlineStr">
        <is>
          <t>okennar</t>
        </is>
      </c>
      <c r="K108" s="24" t="n">
        <v>0.99</v>
      </c>
      <c r="L108" s="20" t="inlineStr">
        <is>
          <t>family_verified_leaf_needs_production_lookup</t>
        </is>
      </c>
      <c r="M108" s="8" t="inlineStr">
        <is>
          <t>DXF dum_DPZ INSERT block 'okno 1.NP' bbox z block definition + TZ ARS Uw=0.85 W/m²K</t>
        </is>
      </c>
      <c r="N108" s="20" t="inlineStr">
        <is>
          <t>#5</t>
        </is>
      </c>
      <c r="O108" s="26" t="inlineStr">
        <is>
          <t>ANO</t>
        </is>
      </c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1.NP vzadu' (zahrada)</t>
        </is>
      </c>
      <c r="D109" s="20" t="inlineStr">
        <is>
          <t>766621011</t>
        </is>
      </c>
      <c r="E109" s="8" t="inlineStr">
        <is>
          <t>Plastové okno izolačním trojsklem Uw=0.85 W/m²K — typ 'okno 1.NP vzadu' velikost 920×1600 mm × 3 ks (fasáda zahrada)</t>
        </is>
      </c>
      <c r="F109" s="20" t="inlineStr">
        <is>
          <t>ks</t>
        </is>
      </c>
      <c r="G109" s="23" t="n">
        <v>3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needs_production_lookup</t>
        </is>
      </c>
      <c r="M109" s="8" t="inlineStr">
        <is>
          <t>DXF dum_DPZ INSERT block 'okno 1.NP vzadu'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2.NP' (ulice)</t>
        </is>
      </c>
      <c r="D110" s="20" t="inlineStr">
        <is>
          <t>766621011</t>
        </is>
      </c>
      <c r="E110" s="8" t="inlineStr">
        <is>
          <t>Plastové okno izolačním trojsklem Uw=0.85 W/m²K — typ 'okno 2.NP' velikost 1160×1480 mm × 4 ks (fasáda ulice)</t>
        </is>
      </c>
      <c r="F110" s="20" t="inlineStr">
        <is>
          <t>ks</t>
        </is>
      </c>
      <c r="G110" s="23" t="n">
        <v>4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2.NP'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3.NP' (ulice)</t>
        </is>
      </c>
      <c r="D111" s="20" t="inlineStr">
        <is>
          <t>766621011</t>
        </is>
      </c>
      <c r="E111" s="8" t="inlineStr">
        <is>
          <t>Plastové okno izolačním trojsklem Uw=0.85 W/m²K — typ 'okno 3.NP' velikost 1785×1241 mm × 3 ks (fasáda ulice)</t>
        </is>
      </c>
      <c r="F111" s="20" t="inlineStr">
        <is>
          <t>ks</t>
        </is>
      </c>
      <c r="G111" s="23" t="n">
        <v>3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3.NP'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3.NP vzadu' (zahrada)</t>
        </is>
      </c>
      <c r="D112" s="20" t="inlineStr">
        <is>
          <t>766621011</t>
        </is>
      </c>
      <c r="E112" s="8" t="inlineStr">
        <is>
          <t>Plastové okno izolačním trojsklem Uw=0.85 W/m²K — typ 'okno 3.NP vzadu' velikost 2075×1241 mm × 1 ks (fasáda zahrada)</t>
        </is>
      </c>
      <c r="F112" s="20" t="inlineStr">
        <is>
          <t>ks</t>
        </is>
      </c>
      <c r="G112" s="23" t="n">
        <v>1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3.NP vzadu'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male 3.NP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male 3.NP vzadu' velikost 800×1241 mm × 1 ks (fasáda zahrada)</t>
        </is>
      </c>
      <c r="F113" s="20" t="inlineStr">
        <is>
          <t>ks</t>
        </is>
      </c>
      <c r="G113" s="23" t="n">
        <v>1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male 3.NP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</row>
    <row r="114">
      <c r="A114" s="20" t="n">
        <v>113</v>
      </c>
      <c r="B114" s="8" t="inlineStr">
        <is>
          <t>PSV-76 Výplně otvorů</t>
        </is>
      </c>
      <c r="C114" s="8" t="inlineStr">
        <is>
          <t>Plastové okno trojsklo — 'okno malé vzadu' (zahrada)</t>
        </is>
      </c>
      <c r="D114" s="20" t="inlineStr">
        <is>
          <t>766621011</t>
        </is>
      </c>
      <c r="E114" s="8" t="inlineStr">
        <is>
          <t>Plastové okno izolačním trojsklem Uw=0.85 W/m²K — typ 'okno malé vzadu' velikost 700×800 mm × 2 ks (fasáda zahrada)</t>
        </is>
      </c>
      <c r="F114" s="20" t="inlineStr">
        <is>
          <t>ks</t>
        </is>
      </c>
      <c r="G114" s="23" t="n">
        <v>2</v>
      </c>
      <c r="H114" s="10" t="n"/>
      <c r="I114" s="10" t="n"/>
      <c r="J114" s="8" t="inlineStr">
        <is>
          <t>okennar</t>
        </is>
      </c>
      <c r="K114" s="24" t="n">
        <v>0.99</v>
      </c>
      <c r="L114" s="20" t="inlineStr">
        <is>
          <t>needs_production_lookup</t>
        </is>
      </c>
      <c r="M114" s="8" t="inlineStr">
        <is>
          <t>DXF dum_DPZ INSERT block 'okno malé vzadu' bbox z block definition + TZ ARS Uw=0.85 W/m²K</t>
        </is>
      </c>
      <c r="N114" s="20" t="inlineStr">
        <is>
          <t>#5</t>
        </is>
      </c>
      <c r="O114" s="26" t="inlineStr">
        <is>
          <t>ANO</t>
        </is>
      </c>
    </row>
    <row r="115">
      <c r="A115" s="20" t="n">
        <v>114</v>
      </c>
      <c r="B115" s="8" t="inlineStr">
        <is>
          <t>PSV-76 Výplně otvorů</t>
        </is>
      </c>
      <c r="C115" s="8" t="inlineStr">
        <is>
          <t>Žaluzie kastlík purenit</t>
        </is>
      </c>
      <c r="D115" s="20" t="inlineStr">
        <is>
          <t>766631211</t>
        </is>
      </c>
      <c r="E115" s="8" t="inlineStr">
        <is>
          <t>Integrované stínící venkovní žaluzie v kastlíku pod omítkou s purenitovou izolací — uliční fasáda Fibichova (9 ks)</t>
        </is>
      </c>
      <c r="F115" s="20" t="inlineStr">
        <is>
          <t>ks</t>
        </is>
      </c>
      <c r="G115" s="23" t="n">
        <v>9</v>
      </c>
      <c r="H115" s="10" t="n"/>
      <c r="I115" s="10" t="n"/>
      <c r="J115" s="8" t="inlineStr">
        <is>
          <t>okenni_zaluzie_kastlik_purenit</t>
        </is>
      </c>
      <c r="K115" s="24" t="n">
        <v>0.95</v>
      </c>
      <c r="L115" s="20" t="inlineStr">
        <is>
          <t>needs_production_lookup</t>
        </is>
      </c>
      <c r="M115" s="8" t="inlineStr">
        <is>
          <t>TZ ARS dům §3.2 — 'do ulice Fibichova s integrovanými stínícími žaluziemi v kastlíku pod omítkou s purenitovou izolací'</t>
        </is>
      </c>
      <c r="N115" s="20" t="inlineStr">
        <is>
          <t>#5</t>
        </is>
      </c>
      <c r="O115" s="26" t="inlineStr">
        <is>
          <t>ANO</t>
        </is>
      </c>
    </row>
    <row r="116">
      <c r="A116" s="20" t="n">
        <v>115</v>
      </c>
      <c r="B116" s="8" t="inlineStr">
        <is>
          <t>PSV-76 Výplně otvorů</t>
        </is>
      </c>
      <c r="C116" s="8" t="inlineStr">
        <is>
          <t>Vstupní plastové dveře</t>
        </is>
      </c>
      <c r="D116" s="20" t="inlineStr">
        <is>
          <t>766682111</t>
        </is>
      </c>
      <c r="E116" s="8" t="inlineStr">
        <is>
          <t>Plastové vstupní dveře (ulice + zahrada) — 2 ks</t>
        </is>
      </c>
      <c r="F116" s="20" t="inlineStr">
        <is>
          <t>ks</t>
        </is>
      </c>
      <c r="G116" s="23" t="n">
        <v>2</v>
      </c>
      <c r="H116" s="10" t="n"/>
      <c r="I116" s="10" t="n"/>
      <c r="J116" s="8" t="inlineStr">
        <is>
          <t>okennar</t>
        </is>
      </c>
      <c r="K116" s="24" t="n">
        <v>0.75</v>
      </c>
      <c r="L116" s="20" t="inlineStr">
        <is>
          <t>needs_production_lookup</t>
        </is>
      </c>
      <c r="M116" s="8" t="inlineStr">
        <is>
          <t>TZ ARS dům §4 — plastové vstupní dveře</t>
        </is>
      </c>
      <c r="N116" s="20" t="inlineStr">
        <is>
          <t>—</t>
        </is>
      </c>
      <c r="O116" s="26" t="inlineStr">
        <is>
          <t>ANO</t>
        </is>
      </c>
    </row>
    <row r="117">
      <c r="A117" s="20" t="n">
        <v>116</v>
      </c>
      <c r="B117" s="8" t="inlineStr">
        <is>
          <t>PSV-76 Výplně otvorů</t>
        </is>
      </c>
      <c r="C117" s="8" t="inlineStr">
        <is>
          <t>Vnitřní dveře DTD laminované</t>
        </is>
      </c>
      <c r="D117" s="20" t="inlineStr">
        <is>
          <t>766660035</t>
        </is>
      </c>
      <c r="E117" s="8" t="inlineStr">
        <is>
          <t>Vnitřní dveře DTD laminované s obložkovou zárubní — odhad 15 ks</t>
        </is>
      </c>
      <c r="F117" s="20" t="inlineStr">
        <is>
          <t>ks</t>
        </is>
      </c>
      <c r="G117" s="23" t="n">
        <v>15</v>
      </c>
      <c r="H117" s="10" t="n"/>
      <c r="I117" s="10" t="n"/>
      <c r="J117" s="8" t="inlineStr">
        <is>
          <t>truhlar</t>
        </is>
      </c>
      <c r="K117" s="24" t="n">
        <v>0.75</v>
      </c>
      <c r="L117" s="20" t="inlineStr">
        <is>
          <t>needs_production_lookup</t>
        </is>
      </c>
      <c r="M117" s="8" t="inlineStr">
        <is>
          <t>TZ ARS dům §4 + DXF MTEXT room labels</t>
        </is>
      </c>
      <c r="N117" s="20" t="inlineStr">
        <is>
          <t>#5</t>
        </is>
      </c>
      <c r="O117" s="26" t="inlineStr">
        <is>
          <t>ANO</t>
        </is>
      </c>
    </row>
    <row r="118">
      <c r="A118" s="20" t="n">
        <v>117</v>
      </c>
      <c r="B118" s="8" t="inlineStr">
        <is>
          <t>PSV-76 Výplně otvorů</t>
        </is>
      </c>
      <c r="C118" s="8" t="inlineStr">
        <is>
          <t>Požárně odolné dveře EI 30 DP3</t>
        </is>
      </c>
      <c r="D118" s="20" t="inlineStr">
        <is>
          <t>766694112</t>
        </is>
      </c>
      <c r="E118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8" s="20" t="inlineStr">
        <is>
          <t>ks</t>
        </is>
      </c>
      <c r="G118" s="23" t="n">
        <v>1</v>
      </c>
      <c r="H118" s="10" t="n"/>
      <c r="I118" s="10" t="n"/>
      <c r="J118" s="8" t="inlineStr">
        <is>
          <t>specialista_RC3_dvere</t>
        </is>
      </c>
      <c r="K118" s="24" t="n">
        <v>0.9</v>
      </c>
      <c r="L118" s="20" t="inlineStr">
        <is>
          <t>needs_production_lookup</t>
        </is>
      </c>
      <c r="M118" s="8" t="inlineStr">
        <is>
          <t>PBŘ TUSPO § Požární uzávěry otvorů 'podzemní 30DP1'; DXF schodiště 1.PP→1.NP</t>
        </is>
      </c>
      <c r="N118" s="20" t="inlineStr">
        <is>
          <t>—</t>
        </is>
      </c>
      <c r="O118" s="26" t="inlineStr">
        <is>
          <t>ANO</t>
        </is>
      </c>
    </row>
    <row r="119">
      <c r="A119" s="20" t="n">
        <v>118</v>
      </c>
      <c r="B119" s="8" t="inlineStr">
        <is>
          <t>PSV-76 Výplně otvorů</t>
        </is>
      </c>
      <c r="C119" s="8" t="inlineStr">
        <is>
          <t>Oplechování venkovních parapetů Pzn — 16 ks</t>
        </is>
      </c>
      <c r="D119" s="20" t="inlineStr">
        <is>
          <t>764811112</t>
        </is>
      </c>
      <c r="E119" s="8" t="inlineStr">
        <is>
          <t>Oplechování venkovních parapetů Pzn plech lakovaný 250 mm × tl. 0.55 mm, vč. okapnice + boční zakončení — 16 ks (per DXF INSERT okno × 16)</t>
        </is>
      </c>
      <c r="F119" s="20" t="inlineStr">
        <is>
          <t>ks</t>
        </is>
      </c>
      <c r="G119" s="23" t="n">
        <v>16</v>
      </c>
      <c r="H119" s="10" t="n"/>
      <c r="I119" s="10" t="n"/>
      <c r="J119" s="8" t="inlineStr">
        <is>
          <t>klempir</t>
        </is>
      </c>
      <c r="K119" s="24" t="n">
        <v>0.95</v>
      </c>
      <c r="L119" s="20" t="inlineStr">
        <is>
          <t>needs_production_lookup</t>
        </is>
      </c>
      <c r="M119" s="8" t="inlineStr">
        <is>
          <t>DXF blocks okno* 16 ks + DXF klempir_parapet 16 ks (Path C Tier 4 INSERT discovery)</t>
        </is>
      </c>
      <c r="N119" s="20" t="inlineStr">
        <is>
          <t>—</t>
        </is>
      </c>
      <c r="O119" s="26" t="inlineStr">
        <is>
          <t>ANO</t>
        </is>
      </c>
    </row>
    <row r="120">
      <c r="A120" s="20" t="n">
        <v>119</v>
      </c>
      <c r="B120" s="8" t="inlineStr">
        <is>
          <t>PSV-76 Zámečnictví</t>
        </is>
      </c>
      <c r="C120" s="8" t="inlineStr">
        <is>
          <t>Ocelové schodiště UPE200 ze zahrady</t>
        </is>
      </c>
      <c r="D120" s="20" t="inlineStr">
        <is>
          <t>767531111</t>
        </is>
      </c>
      <c r="E120" s="8" t="inlineStr">
        <is>
          <t>Ocelové schodiště ze zahrady na mezipodestu — UPE200 schodnice + dřevěné nášlapy, kotvené do koruny opěrné stěny a zdiva (TZ statika §4)</t>
        </is>
      </c>
      <c r="F120" s="20" t="inlineStr">
        <is>
          <t>kpl</t>
        </is>
      </c>
      <c r="G120" s="23" t="n">
        <v>1</v>
      </c>
      <c r="H120" s="10" t="n"/>
      <c r="I120" s="10" t="n"/>
      <c r="J120" s="8" t="inlineStr">
        <is>
          <t>zamecnik_PSV</t>
        </is>
      </c>
      <c r="K120" s="24" t="n">
        <v>0.85</v>
      </c>
      <c r="L120" s="20" t="inlineStr">
        <is>
          <t>family_verified_leaf_needs_production_lookup</t>
        </is>
      </c>
      <c r="M120" s="8" t="inlineStr">
        <is>
          <t>TZ statika dům §4 — schodiště UPE200 + UPE100 podružné prvky</t>
        </is>
      </c>
      <c r="N120" s="20" t="inlineStr">
        <is>
          <t>#5</t>
        </is>
      </c>
      <c r="O120" s="26" t="inlineStr">
        <is>
          <t>ANO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Ocelové schodiště do spacího patra 3.NP</t>
        </is>
      </c>
      <c r="D121" s="20" t="inlineStr">
        <is>
          <t>767531111</t>
        </is>
      </c>
      <c r="E121" s="8" t="inlineStr">
        <is>
          <t>Interní ocelové schodiště do spacího patra v 3.NP s dřevěnými stupni (truhlářské)</t>
        </is>
      </c>
      <c r="F121" s="20" t="inlineStr">
        <is>
          <t>kpl</t>
        </is>
      </c>
      <c r="G121" s="23" t="n">
        <v>1</v>
      </c>
      <c r="H121" s="10" t="n"/>
      <c r="I121" s="10" t="n"/>
      <c r="J121" s="8" t="inlineStr">
        <is>
          <t>zamecnik_PSV</t>
        </is>
      </c>
      <c r="K121" s="24" t="n">
        <v>0.85</v>
      </c>
      <c r="L121" s="20" t="inlineStr">
        <is>
          <t>family_verified_leaf_needs_production_lookup</t>
        </is>
      </c>
      <c r="M121" s="8" t="inlineStr">
        <is>
          <t>TZ ARS dům §4 — ocelové schodiště s dřevěnými stupni</t>
        </is>
      </c>
      <c r="N121" s="20" t="inlineStr">
        <is>
          <t>—</t>
        </is>
      </c>
      <c r="O121" s="26" t="inlineStr">
        <is>
          <t>ANO</t>
        </is>
      </c>
    </row>
    <row r="122">
      <c r="A122" s="20" t="n">
        <v>121</v>
      </c>
      <c r="B122" s="8" t="inlineStr">
        <is>
          <t>PSV-76 Zámečnictví</t>
        </is>
      </c>
      <c r="C122" s="8" t="inlineStr">
        <is>
          <t>Stříšky nad vstupy</t>
        </is>
      </c>
      <c r="D122" s="20" t="inlineStr">
        <is>
          <t>767532111</t>
        </is>
      </c>
      <c r="E122" s="8" t="inlineStr">
        <is>
          <t>Stříšky nad vstupy z ocelové konstrukce + Cetris desky + falcovaná krytina — 2 ks (ulice + zahrada)</t>
        </is>
      </c>
      <c r="F122" s="20" t="inlineStr">
        <is>
          <t>ks</t>
        </is>
      </c>
      <c r="G122" s="23" t="n">
        <v>2</v>
      </c>
      <c r="H122" s="10" t="n"/>
      <c r="I122" s="10" t="n"/>
      <c r="J122" s="8" t="inlineStr">
        <is>
          <t>zamecnik_PSV</t>
        </is>
      </c>
      <c r="K122" s="24" t="n">
        <v>0.75</v>
      </c>
      <c r="L122" s="20" t="inlineStr">
        <is>
          <t>needs_production_lookup</t>
        </is>
      </c>
      <c r="M122" s="8" t="inlineStr">
        <is>
          <t>TZ ARS dům §4 — stříšky nad vstupy ocel+Cetris+plech</t>
        </is>
      </c>
      <c r="N122" s="20" t="inlineStr">
        <is>
          <t>—</t>
        </is>
      </c>
      <c r="O122" s="26" t="inlineStr">
        <is>
          <t>ANO</t>
        </is>
      </c>
    </row>
    <row r="123">
      <c r="A123" s="20" t="n">
        <v>122</v>
      </c>
      <c r="B123" s="8" t="inlineStr">
        <is>
          <t>PSV-76 Zámečnictví</t>
        </is>
      </c>
      <c r="C123" s="8" t="inlineStr">
        <is>
          <t>Zábradlí z jeklů + nerez výplň</t>
        </is>
      </c>
      <c r="D123" s="20" t="inlineStr">
        <is>
          <t>767163115</t>
        </is>
      </c>
      <c r="E123" s="8" t="inlineStr">
        <is>
          <t>Ocelové zábradlí svařované z jeklů + nerez výplň pZn antracit — schodiště interier + venkovní terasa</t>
        </is>
      </c>
      <c r="F123" s="20" t="inlineStr">
        <is>
          <t>bm</t>
        </is>
      </c>
      <c r="G123" s="22" t="n">
        <v>18</v>
      </c>
      <c r="H123" s="10" t="n"/>
      <c r="I123" s="10" t="n"/>
      <c r="J123" s="8" t="inlineStr">
        <is>
          <t>zamecnik_PSV</t>
        </is>
      </c>
      <c r="K123" s="24" t="n">
        <v>0.75</v>
      </c>
      <c r="L123" s="20" t="inlineStr">
        <is>
          <t>needs_production_lookup</t>
        </is>
      </c>
      <c r="M123" s="8" t="inlineStr">
        <is>
          <t>TZ ARS dům §4 — zábradlí svařované z jeklů + nerez výplň</t>
        </is>
      </c>
      <c r="N123" s="20" t="inlineStr">
        <is>
          <t>—</t>
        </is>
      </c>
      <c r="O123" s="26" t="inlineStr">
        <is>
          <t>ANO</t>
        </is>
      </c>
    </row>
    <row r="124">
      <c r="A124" s="20" t="n">
        <v>123</v>
      </c>
      <c r="B124" s="8" t="inlineStr">
        <is>
          <t>PSV-77 Podlahy</t>
        </is>
      </c>
      <c r="C124" s="8" t="inlineStr">
        <is>
          <t>Nášlap vinyl obytné místnosti</t>
        </is>
      </c>
      <c r="D124" s="20" t="inlineStr">
        <is>
          <t>776511820</t>
        </is>
      </c>
      <c r="E124" s="8" t="inlineStr">
        <is>
          <t>Nášlapná vrstva vinyl tl. 4 mm na suchou skladbu — obytné místnosti (ložnice, obývák, kuchyně, chodby)</t>
        </is>
      </c>
      <c r="F124" s="20" t="inlineStr">
        <is>
          <t>m²</t>
        </is>
      </c>
      <c r="G124" s="22" t="n">
        <v>171.5</v>
      </c>
      <c r="H124" s="10" t="n"/>
      <c r="I124" s="10" t="n"/>
      <c r="J124" s="8" t="inlineStr">
        <is>
          <t>podlahar</t>
        </is>
      </c>
      <c r="K124" s="24" t="n">
        <v>0.95</v>
      </c>
      <c r="L124" s="20" t="inlineStr">
        <is>
          <t>family_verified_leaf_needs_production_lookup</t>
        </is>
      </c>
      <c r="M124" s="8" t="inlineStr">
        <is>
          <t>DXF km_tabulka místností MTEXT (návrh) — rooms classified per name (kuchyně/obytná/chodba = vinyl) + TZ ARS §3.2.4 nášlapná vrstva</t>
        </is>
      </c>
      <c r="N124" s="20" t="inlineStr">
        <is>
          <t>#4</t>
        </is>
      </c>
      <c r="O124" s="26" t="inlineStr">
        <is>
          <t>ANO</t>
        </is>
      </c>
    </row>
    <row r="125">
      <c r="A125" s="20" t="n">
        <v>124</v>
      </c>
      <c r="B125" s="8" t="inlineStr">
        <is>
          <t>PSV-77 Podlahy</t>
        </is>
      </c>
      <c r="C125" s="8" t="inlineStr">
        <is>
          <t>Nášlap keramická dlažba — mokré zóny</t>
        </is>
      </c>
      <c r="D125" s="20" t="inlineStr">
        <is>
          <t>771274102</t>
        </is>
      </c>
      <c r="E125" s="8" t="inlineStr">
        <is>
          <t>Nášlapná vrstva keramická dlažba lepená — koupelny + WC + spíž + komora (NÁDRŽ NP)</t>
        </is>
      </c>
      <c r="F125" s="20" t="inlineStr">
        <is>
          <t>m²</t>
        </is>
      </c>
      <c r="G125" s="22" t="n">
        <v>13.5</v>
      </c>
      <c r="H125" s="10" t="n"/>
      <c r="I125" s="10" t="n"/>
      <c r="J125" s="8" t="inlineStr">
        <is>
          <t>obkladac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(návrh) — rooms classified per name (koupelna/WC/spíž = dlažba mokré) + TZ ARS skladba mokrá</t>
        </is>
      </c>
      <c r="N125" s="20" t="inlineStr">
        <is>
          <t>#4</t>
        </is>
      </c>
      <c r="O125" s="26" t="inlineStr">
        <is>
          <t>ANO</t>
        </is>
      </c>
    </row>
    <row r="126">
      <c r="A126" s="20" t="n">
        <v>125</v>
      </c>
      <c r="B126" s="8" t="inlineStr">
        <is>
          <t>PSV-77 Podlahy</t>
        </is>
      </c>
      <c r="C126" s="8" t="inlineStr">
        <is>
          <t>Nášlap keramická dlažba — 1.PP sklep</t>
        </is>
      </c>
      <c r="D126" s="20" t="inlineStr">
        <is>
          <t>771274102</t>
        </is>
      </c>
      <c r="E126" s="8" t="inlineStr">
        <is>
          <t>Nášlapná vrstva keramická dlažba — 1.PP technické místnosti (sušárna + sklepy + schodiště + chodba)</t>
        </is>
      </c>
      <c r="F126" s="20" t="inlineStr">
        <is>
          <t>m²</t>
        </is>
      </c>
      <c r="G126" s="22" t="n">
        <v>32.4</v>
      </c>
      <c r="H126" s="10" t="n"/>
      <c r="I126" s="10" t="n"/>
      <c r="J126" s="8" t="inlineStr">
        <is>
          <t>obkladac</t>
        </is>
      </c>
      <c r="K126" s="24" t="n">
        <v>0.95</v>
      </c>
      <c r="L126" s="20" t="inlineStr">
        <is>
          <t>needs_production_lookup</t>
        </is>
      </c>
      <c r="M126" s="8" t="inlineStr">
        <is>
          <t>DXF km_tabulka místností MTEXT (návrh) — 1.PP all rooms = dlažba sklep zone</t>
        </is>
      </c>
      <c r="N126" s="20" t="inlineStr">
        <is>
          <t>#4</t>
        </is>
      </c>
      <c r="O126" s="26" t="inlineStr">
        <is>
          <t>ANO</t>
        </is>
      </c>
    </row>
    <row r="127">
      <c r="A127" s="20" t="n">
        <v>126</v>
      </c>
      <c r="B127" s="8" t="inlineStr">
        <is>
          <t>PSV-77 Podlahy</t>
        </is>
      </c>
      <c r="C127" s="8" t="inlineStr">
        <is>
          <t>Nášlap biodeska 3.NP spací patro</t>
        </is>
      </c>
      <c r="D127" s="20" t="inlineStr">
        <is>
          <t>766411111</t>
        </is>
      </c>
      <c r="E127" s="8" t="inlineStr">
        <is>
          <t>Nášlapná vrstva biodeska (smrk masiv) nebo OSB v 3.NP spací části nad krovem</t>
        </is>
      </c>
      <c r="F127" s="20" t="inlineStr">
        <is>
          <t>m²</t>
        </is>
      </c>
      <c r="G127" s="22" t="n">
        <v>25</v>
      </c>
      <c r="H127" s="10" t="n"/>
      <c r="I127" s="10" t="n"/>
      <c r="J127" s="8" t="inlineStr">
        <is>
          <t>biodeska_konstrukcni</t>
        </is>
      </c>
      <c r="K127" s="24" t="n">
        <v>0.75</v>
      </c>
      <c r="L127" s="20" t="inlineStr">
        <is>
          <t>needs_production_lookup</t>
        </is>
      </c>
      <c r="M127" s="8" t="inlineStr">
        <is>
          <t>TZ ARS dům §3.2.3 — biodeska patro pro přespání</t>
        </is>
      </c>
      <c r="N127" s="20" t="inlineStr">
        <is>
          <t>#3</t>
        </is>
      </c>
      <c r="O127" s="26" t="inlineStr">
        <is>
          <t>ANO</t>
        </is>
      </c>
    </row>
    <row r="128">
      <c r="A128" s="20" t="n">
        <v>127</v>
      </c>
      <c r="B128" s="8" t="inlineStr">
        <is>
          <t>PSV-77 Podlahy</t>
        </is>
      </c>
      <c r="C128" s="8" t="inlineStr">
        <is>
          <t>Betonový potěr s kari nad EPS</t>
        </is>
      </c>
      <c r="D128" s="20" t="inlineStr">
        <is>
          <t>631321311</t>
        </is>
      </c>
      <c r="E128" s="8" t="inlineStr">
        <is>
          <t>Mokrá podlahová skladba — betonový potěr s kari síťkou 4/100/100 tl. 50 mm + samonivelační stěrka</t>
        </is>
      </c>
      <c r="F128" s="20" t="inlineStr">
        <is>
          <t>m²</t>
        </is>
      </c>
      <c r="G128" s="22" t="n">
        <v>126.4</v>
      </c>
      <c r="H128" s="10" t="n"/>
      <c r="I128" s="10" t="n"/>
      <c r="J128" s="8" t="inlineStr">
        <is>
          <t>podlahar</t>
        </is>
      </c>
      <c r="K128" s="24" t="n">
        <v>0.95</v>
      </c>
      <c r="L128" s="20" t="inlineStr">
        <is>
          <t>needs_production_lookup</t>
        </is>
      </c>
      <c r="M128" s="8" t="inlineStr">
        <is>
          <t>TZ ARS dům §3.2.4 + §3.2.x — 'kročejová izolace + betonový potěr s kari sítí'; DXF rooms areas</t>
        </is>
      </c>
      <c r="N128" s="20" t="inlineStr">
        <is>
          <t>#4</t>
        </is>
      </c>
      <c r="O128" s="26" t="inlineStr">
        <is>
          <t>ANO</t>
        </is>
      </c>
    </row>
    <row r="129">
      <c r="A129" s="20" t="n">
        <v>128</v>
      </c>
      <c r="B129" s="8" t="inlineStr">
        <is>
          <t>PSV-77 Podlahy</t>
        </is>
      </c>
      <c r="C129" s="8" t="inlineStr">
        <is>
          <t>Soklíky vinyl</t>
        </is>
      </c>
      <c r="D129" s="20" t="inlineStr">
        <is>
          <t>776511831</t>
        </is>
      </c>
      <c r="E129" s="8" t="inlineStr">
        <is>
          <t>Soklíky podlahové laminátové (dub) v obytných místnostech s vinyl podlahou</t>
        </is>
      </c>
      <c r="F129" s="20" t="inlineStr">
        <is>
          <t>bm</t>
        </is>
      </c>
      <c r="G129" s="22" t="n">
        <v>72.03</v>
      </c>
      <c r="H129" s="10" t="n"/>
      <c r="I129" s="10" t="n"/>
      <c r="J129" s="8" t="inlineStr">
        <is>
          <t>podlahar</t>
        </is>
      </c>
      <c r="K129" s="24" t="n">
        <v>0.95</v>
      </c>
      <c r="L129" s="20" t="inlineStr">
        <is>
          <t>needs_production_lookup</t>
        </is>
      </c>
      <c r="M129" s="8" t="inlineStr">
        <is>
          <t>DXF rooms vinyl + standard ratio per RD geometry</t>
        </is>
      </c>
      <c r="N129" s="20" t="inlineStr">
        <is>
          <t>—</t>
        </is>
      </c>
      <c r="O129" s="26" t="inlineStr">
        <is>
          <t>ANO</t>
        </is>
      </c>
    </row>
    <row r="130">
      <c r="A130" s="20" t="n">
        <v>129</v>
      </c>
      <c r="B130" s="8" t="inlineStr">
        <is>
          <t>PSV-77 Podlahy</t>
        </is>
      </c>
      <c r="C130" s="8" t="inlineStr">
        <is>
          <t>Soklíky keramické</t>
        </is>
      </c>
      <c r="D130" s="20" t="inlineStr">
        <is>
          <t>771274107</t>
        </is>
      </c>
      <c r="E130" s="8" t="inlineStr">
        <is>
          <t>Soklíky keramické v místnostech s dlažbou (koupelny + WC + spíž + 1.PP)</t>
        </is>
      </c>
      <c r="F130" s="20" t="inlineStr">
        <is>
          <t>bm</t>
        </is>
      </c>
      <c r="G130" s="22" t="n">
        <v>19.28</v>
      </c>
      <c r="H130" s="10" t="n"/>
      <c r="I130" s="10" t="n"/>
      <c r="J130" s="8" t="inlineStr">
        <is>
          <t>obkladac</t>
        </is>
      </c>
      <c r="K130" s="24" t="n">
        <v>0.95</v>
      </c>
      <c r="L130" s="20" t="inlineStr">
        <is>
          <t>needs_production_lookup</t>
        </is>
      </c>
      <c r="M130" s="8" t="inlineStr">
        <is>
          <t>DXF rooms dlažba + standard ratio per RD geometry</t>
        </is>
      </c>
      <c r="N130" s="20" t="inlineStr">
        <is>
          <t>—</t>
        </is>
      </c>
      <c r="O130" s="26" t="inlineStr">
        <is>
          <t>ANO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Omítka jádrová + štuk 1.PP</t>
        </is>
      </c>
      <c r="D131" s="20" t="inlineStr">
        <is>
          <t>612311311</t>
        </is>
      </c>
      <c r="E131" s="8" t="inlineStr">
        <is>
          <t>Omítka jádrová vápenocementová tl. 15 mm + štuková povrchová úprava na stěnách 1.PP (stávající vyspravené + nové zděné)</t>
        </is>
      </c>
      <c r="F131" s="20" t="inlineStr">
        <is>
          <t>m²</t>
        </is>
      </c>
      <c r="G131" s="22" t="n">
        <v>78.2</v>
      </c>
      <c r="H131" s="10" t="n"/>
      <c r="I131" s="10" t="n"/>
      <c r="J131" s="8" t="inlineStr">
        <is>
          <t>zednik</t>
        </is>
      </c>
      <c r="K131" s="24" t="n">
        <v>0.9</v>
      </c>
      <c r="L131" s="20" t="inlineStr">
        <is>
          <t>needs_production_lookup</t>
        </is>
      </c>
      <c r="M131" s="8" t="inlineStr">
        <is>
          <t>DXF rooms 1.PP obvod + výška podlaží 2.1 m (DXF SM_kóty + řez A-A Path C Tier 1) − okenní plocha (DXF) − odpočet dveří 3%</t>
        </is>
      </c>
      <c r="N131" s="20" t="inlineStr">
        <is>
          <t>#3</t>
        </is>
      </c>
      <c r="O131" s="26" t="inlineStr">
        <is>
          <t>ANO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1.NP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1.NP (stávající vyspravené + nové zděné)</t>
        </is>
      </c>
      <c r="F132" s="20" t="inlineStr">
        <is>
          <t>m²</t>
        </is>
      </c>
      <c r="G132" s="22" t="n">
        <v>208.4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1.NP obvod + výška podlaží 2.795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2.NP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2.NP (stávající vyspravené + nové zděné)</t>
        </is>
      </c>
      <c r="F133" s="20" t="inlineStr">
        <is>
          <t>m²</t>
        </is>
      </c>
      <c r="G133" s="22" t="n">
        <v>201.6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2.NP obvod + výška podlaží 2.865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</row>
    <row r="134">
      <c r="A134" s="20" t="n">
        <v>133</v>
      </c>
      <c r="B134" s="8" t="inlineStr">
        <is>
          <t>PSV-78 Povrchové úpravy</t>
        </is>
      </c>
      <c r="C134" s="8" t="inlineStr">
        <is>
          <t>Omítka jádrová + štuk 3.NP</t>
        </is>
      </c>
      <c r="D134" s="20" t="inlineStr">
        <is>
          <t>612311311</t>
        </is>
      </c>
      <c r="E134" s="8" t="inlineStr">
        <is>
          <t>Omítka jádrová vápenocementová tl. 15 mm + štuková povrchová úprava na stěnách 3.NP (stávající vyspravené + nové zděné)</t>
        </is>
      </c>
      <c r="F134" s="20" t="inlineStr">
        <is>
          <t>m²</t>
        </is>
      </c>
      <c r="G134" s="22" t="n">
        <v>179.1</v>
      </c>
      <c r="H134" s="10" t="n"/>
      <c r="I134" s="10" t="n"/>
      <c r="J134" s="8" t="inlineStr">
        <is>
          <t>zednik</t>
        </is>
      </c>
      <c r="K134" s="24" t="n">
        <v>0.9</v>
      </c>
      <c r="L134" s="20" t="inlineStr">
        <is>
          <t>needs_production_lookup</t>
        </is>
      </c>
      <c r="M134" s="8" t="inlineStr">
        <is>
          <t>DXF rooms 3.NP obvod + výška podlaží 2.63 m (DXF SM_kóty + řez A-A Path C Tier 1) − okenní plocha (DXF) − odpočet dveří 3%</t>
        </is>
      </c>
      <c r="N134" s="20" t="inlineStr">
        <is>
          <t>#3</t>
        </is>
      </c>
      <c r="O134" s="26" t="inlineStr">
        <is>
          <t>ANO</t>
        </is>
      </c>
    </row>
    <row r="135">
      <c r="A135" s="20" t="n">
        <v>134</v>
      </c>
      <c r="B135" s="8" t="inlineStr">
        <is>
          <t>PSV-78 Povrchové úpravy</t>
        </is>
      </c>
      <c r="C135" s="8" t="inlineStr">
        <is>
          <t>SDK podhled — tmelení + úprava 1.NP</t>
        </is>
      </c>
      <c r="D135" s="20" t="inlineStr">
        <is>
          <t>612471141</t>
        </is>
      </c>
      <c r="E135" s="8" t="inlineStr">
        <is>
          <t>SDK podhled + případné předstěny — tmelení spojů Q3 + povrchová úprava před výmalbou (1.NP)</t>
        </is>
      </c>
      <c r="F135" s="20" t="inlineStr">
        <is>
          <t>m²</t>
        </is>
      </c>
      <c r="G135" s="22" t="n">
        <v>59.5</v>
      </c>
      <c r="H135" s="10" t="n"/>
      <c r="I135" s="10" t="n"/>
      <c r="J135" s="8" t="inlineStr">
        <is>
          <t>sadrokartonar</t>
        </is>
      </c>
      <c r="K135" s="24" t="n">
        <v>0.95</v>
      </c>
      <c r="L135" s="20" t="inlineStr">
        <is>
          <t>needs_production_lookup</t>
        </is>
      </c>
      <c r="M135" s="8" t="inlineStr">
        <is>
          <t>DXF km_tabulka místností MTEXT — plocha 1.NP = plocha podhledu (flat ceiling assumption)</t>
        </is>
      </c>
      <c r="N135" s="20" t="inlineStr">
        <is>
          <t>—</t>
        </is>
      </c>
      <c r="O135" s="26" t="inlineStr">
        <is>
          <t>ANO</t>
        </is>
      </c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2.NP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(2.NP)</t>
        </is>
      </c>
      <c r="F136" s="20" t="inlineStr">
        <is>
          <t>m²</t>
        </is>
      </c>
      <c r="G136" s="22" t="n">
        <v>61.1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2.NP = plocha podhledu (flat ceiling assumption)</t>
        </is>
      </c>
      <c r="N136" s="20" t="inlineStr">
        <is>
          <t>—</t>
        </is>
      </c>
      <c r="O136" s="26" t="inlineStr">
        <is>
          <t>ANO</t>
        </is>
      </c>
    </row>
    <row r="137">
      <c r="A137" s="20" t="n">
        <v>136</v>
      </c>
      <c r="B137" s="8" t="inlineStr">
        <is>
          <t>PSV-78 Povrchové úpravy</t>
        </is>
      </c>
      <c r="C137" s="8" t="inlineStr">
        <is>
          <t>SDK podhled — tmelení + úprava 3.NP</t>
        </is>
      </c>
      <c r="D137" s="20" t="inlineStr">
        <is>
          <t>612471141</t>
        </is>
      </c>
      <c r="E137" s="8" t="inlineStr">
        <is>
          <t>SDK podhled + případné předstěny — tmelení spojů Q3 + povrchová úprava před výmalbou (3.NP)</t>
        </is>
      </c>
      <c r="F137" s="20" t="inlineStr">
        <is>
          <t>m²</t>
        </is>
      </c>
      <c r="G137" s="22" t="n">
        <v>64.5</v>
      </c>
      <c r="H137" s="10" t="n"/>
      <c r="I137" s="10" t="n"/>
      <c r="J137" s="8" t="inlineStr">
        <is>
          <t>sadrokartonar</t>
        </is>
      </c>
      <c r="K137" s="24" t="n">
        <v>0.95</v>
      </c>
      <c r="L137" s="20" t="inlineStr">
        <is>
          <t>needs_production_lookup</t>
        </is>
      </c>
      <c r="M137" s="8" t="inlineStr">
        <is>
          <t>DXF km_tabulka místností MTEXT — plocha 3.NP = plocha podhledu (flat ceiling assumption)</t>
        </is>
      </c>
      <c r="N137" s="20" t="inlineStr">
        <is>
          <t>—</t>
        </is>
      </c>
      <c r="O137" s="26" t="inlineStr">
        <is>
          <t>ANO</t>
        </is>
      </c>
    </row>
    <row r="138">
      <c r="A138" s="20" t="n">
        <v>137</v>
      </c>
      <c r="B138" s="8" t="inlineStr">
        <is>
          <t>PSV-78 Povrchové úpravy</t>
        </is>
      </c>
      <c r="C138" s="8" t="inlineStr">
        <is>
          <t>Keramický obklad koupelna 1.05 (1.NP)</t>
        </is>
      </c>
      <c r="D138" s="20" t="inlineStr">
        <is>
          <t>781447001</t>
        </is>
      </c>
      <c r="E138" s="8" t="inlineStr">
        <is>
          <t>Keramický obklad stěn koupelny 1.05 1.NP — výška obkladu 1.6 m (z DXF km Obklady layer)</t>
        </is>
      </c>
      <c r="F138" s="20" t="inlineStr">
        <is>
          <t>m²</t>
        </is>
      </c>
      <c r="G138" s="22" t="n">
        <v>13.4</v>
      </c>
      <c r="H138" s="10" t="n"/>
      <c r="I138" s="10" t="n"/>
      <c r="J138" s="8" t="inlineStr">
        <is>
          <t>obkladac</t>
        </is>
      </c>
      <c r="K138" s="24" t="n">
        <v>0.9</v>
      </c>
      <c r="L138" s="20" t="inlineStr">
        <is>
          <t>needs_production_lookup</t>
        </is>
      </c>
      <c r="M138" s="8" t="inlineStr">
        <is>
          <t>DXF rooms PIP perimeter 1.05 + DXF km Obklady layer (11 LWPOLYLINE markers s bbox heights 1600/2450/2610-2715 mm) — Path C Tier 1</t>
        </is>
      </c>
      <c r="N138" s="20" t="inlineStr">
        <is>
          <t>—</t>
        </is>
      </c>
      <c r="O138" s="26" t="inlineStr">
        <is>
          <t>ANO</t>
        </is>
      </c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2.03 (2.NP)</t>
        </is>
      </c>
      <c r="D139" s="20" t="inlineStr">
        <is>
          <t>781447001</t>
        </is>
      </c>
      <c r="E139" s="8" t="inlineStr">
        <is>
          <t>Keramický obklad stěn koupelny 2.03 2.NP — výška obkladu 2.45 m (z DXF km Obklady layer)</t>
        </is>
      </c>
      <c r="F139" s="20" t="inlineStr">
        <is>
          <t>m²</t>
        </is>
      </c>
      <c r="G139" s="22" t="n">
        <v>15.2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2.03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</row>
    <row r="140">
      <c r="A140" s="20" t="n">
        <v>139</v>
      </c>
      <c r="B140" s="8" t="inlineStr">
        <is>
          <t>PSV-78 Povrchové úpravy</t>
        </is>
      </c>
      <c r="C140" s="8" t="inlineStr">
        <is>
          <t>Keramický obklad koupelna 3.04 (3.NP)</t>
        </is>
      </c>
      <c r="D140" s="20" t="inlineStr">
        <is>
          <t>781447001</t>
        </is>
      </c>
      <c r="E140" s="8" t="inlineStr">
        <is>
          <t>Keramický obklad stěn koupelny 3.04 3.NP — výška obkladu 2.7 m (z DXF km Obklady layer)</t>
        </is>
      </c>
      <c r="F140" s="20" t="inlineStr">
        <is>
          <t>m²</t>
        </is>
      </c>
      <c r="G140" s="22" t="n">
        <v>24.3</v>
      </c>
      <c r="H140" s="10" t="n"/>
      <c r="I140" s="10" t="n"/>
      <c r="J140" s="8" t="inlineStr">
        <is>
          <t>obkladac</t>
        </is>
      </c>
      <c r="K140" s="24" t="n">
        <v>0.9</v>
      </c>
      <c r="L140" s="20" t="inlineStr">
        <is>
          <t>needs_production_lookup</t>
        </is>
      </c>
      <c r="M140" s="8" t="inlineStr">
        <is>
          <t>DXF rooms PIP perimeter 3.04 + DXF km Obklady layer (11 LWPOLYLINE markers s bbox heights 1600/2450/2610-2715 mm) — Path C Tier 1</t>
        </is>
      </c>
      <c r="N140" s="20" t="inlineStr">
        <is>
          <t>—</t>
        </is>
      </c>
      <c r="O140" s="26" t="inlineStr">
        <is>
          <t>ANO</t>
        </is>
      </c>
    </row>
    <row r="141">
      <c r="A141" s="20" t="n">
        <v>140</v>
      </c>
      <c r="B141" s="8" t="inlineStr">
        <is>
          <t>PSV-78 Povrchové úpravy</t>
        </is>
      </c>
      <c r="C141" s="8" t="inlineStr">
        <is>
          <t>Obklad za kuchyňskou linkou</t>
        </is>
      </c>
      <c r="D141" s="20" t="inlineStr">
        <is>
          <t>781447001</t>
        </is>
      </c>
      <c r="E141" s="8" t="inlineStr">
        <is>
          <t>Keramický obklad za kuchyňskou linkou nad pracovní deskou — 2 kuchyně × ~5 m² (1.06 byt rodičů + 3.05 byt 3.NP)</t>
        </is>
      </c>
      <c r="F141" s="20" t="inlineStr">
        <is>
          <t>m²</t>
        </is>
      </c>
      <c r="G141" s="22" t="n">
        <v>10</v>
      </c>
      <c r="H141" s="10" t="n"/>
      <c r="I141" s="10" t="n"/>
      <c r="J141" s="8" t="inlineStr">
        <is>
          <t>obkladac</t>
        </is>
      </c>
      <c r="K141" s="24" t="n">
        <v>0.95</v>
      </c>
      <c r="L141" s="20" t="inlineStr">
        <is>
          <t>needs_production_lookup</t>
        </is>
      </c>
      <c r="M141" s="8" t="inlineStr">
        <is>
          <t>DXF dum_DPZ 2× kuchyně MTEXT + TZ ARS</t>
        </is>
      </c>
      <c r="N141" s="20" t="inlineStr">
        <is>
          <t>—</t>
        </is>
      </c>
      <c r="O141" s="26" t="inlineStr">
        <is>
          <t>ANO</t>
        </is>
      </c>
    </row>
    <row r="142">
      <c r="A142" s="20" t="n">
        <v>141</v>
      </c>
      <c r="B142" s="8" t="inlineStr">
        <is>
          <t>PSV-78 Povrchové úpravy</t>
        </is>
      </c>
      <c r="C142" s="8" t="inlineStr">
        <is>
          <t>Interiérová výmalba</t>
        </is>
      </c>
      <c r="D142" s="20" t="inlineStr">
        <is>
          <t>784121011</t>
        </is>
      </c>
      <c r="E142" s="8" t="inlineStr">
        <is>
          <t>Interiérová výmalba akrylátová bílá 2× — všechny stěny + podhledy mimo obklad</t>
        </is>
      </c>
      <c r="F142" s="20" t="inlineStr">
        <is>
          <t>m²</t>
        </is>
      </c>
      <c r="G142" s="22" t="n">
        <v>0</v>
      </c>
      <c r="H142" s="10" t="n"/>
      <c r="I142" s="10" t="n"/>
      <c r="J142" s="8" t="inlineStr">
        <is>
          <t>malir</t>
        </is>
      </c>
      <c r="K142" s="24" t="n">
        <v>0.75</v>
      </c>
      <c r="L142" s="20" t="inlineStr">
        <is>
          <t>needs_production_lookup</t>
        </is>
      </c>
      <c r="M142" s="8" t="inlineStr">
        <is>
          <t>TZ ARS — interiérová výmalba (aggregate, no TZ per-room directive)</t>
        </is>
      </c>
      <c r="N142" s="20" t="inlineStr">
        <is>
          <t>—</t>
        </is>
      </c>
      <c r="O142" s="26" t="inlineStr">
        <is>
          <t>ANO</t>
        </is>
      </c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 1.NP</t>
        </is>
      </c>
      <c r="D143" s="20" t="inlineStr">
        <is>
          <t>784121011</t>
        </is>
      </c>
      <c r="E143" s="8" t="inlineStr">
        <is>
          <t>Interiérová výmalba 1.NP — stěny + SDK podhled − obklad koupelny 1.05 (1.6 m výška)</t>
        </is>
      </c>
      <c r="F143" s="20" t="inlineStr">
        <is>
          <t>m²</t>
        </is>
      </c>
      <c r="G143" s="22" t="n">
        <v>254.5</v>
      </c>
      <c r="H143" s="10" t="n"/>
      <c r="I143" s="10" t="n"/>
      <c r="J143" s="8" t="inlineStr">
        <is>
          <t>malir</t>
        </is>
      </c>
      <c r="K143" s="24" t="n">
        <v>0.85</v>
      </c>
      <c r="L143" s="20" t="inlineStr">
        <is>
          <t>needs_production_lookup</t>
        </is>
      </c>
      <c r="M143" s="8" t="inlineStr">
        <is>
          <t>Per-podlaží split z PSV78.012 (audit v2 GAP_007 fix); omítka PSV78.002 + SDK podhled PSV78.005</t>
        </is>
      </c>
      <c r="N143" s="20" t="inlineStr">
        <is>
          <t>—</t>
        </is>
      </c>
      <c r="O143" s="26" t="inlineStr">
        <is>
          <t>ANO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1.PP</t>
        </is>
      </c>
      <c r="D144" s="20" t="inlineStr">
        <is>
          <t>784121011</t>
        </is>
      </c>
      <c r="E144" s="8" t="inlineStr">
        <is>
          <t>Interiérová výmalba 1.PP — sklep stěny + klenba bílá vápenná 2×</t>
        </is>
      </c>
      <c r="F144" s="20" t="inlineStr">
        <is>
          <t>m²</t>
        </is>
      </c>
      <c r="G144" s="22" t="n">
        <v>78.2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PSV78.001 + SDK podhled PSV78.—</t>
        </is>
      </c>
      <c r="N144" s="20" t="inlineStr">
        <is>
          <t>—</t>
        </is>
      </c>
      <c r="O144" s="26" t="inlineStr">
        <is>
          <t>ANO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2.NP</t>
        </is>
      </c>
      <c r="D145" s="20" t="inlineStr">
        <is>
          <t>784121011</t>
        </is>
      </c>
      <c r="E145" s="8" t="inlineStr">
        <is>
          <t>Interiérová výmalba 2.NP — stěny + SDK podhled − obklad koupelny 2.03 (2.45 m výška)</t>
        </is>
      </c>
      <c r="F145" s="20" t="inlineStr">
        <is>
          <t>m²</t>
        </is>
      </c>
      <c r="G145" s="22" t="n">
        <v>247.5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PSV78.003 + SDK podhled PSV78.006</t>
        </is>
      </c>
      <c r="N145" s="20" t="inlineStr">
        <is>
          <t>—</t>
        </is>
      </c>
      <c r="O145" s="26" t="inlineStr">
        <is>
          <t>ANO</t>
        </is>
      </c>
    </row>
    <row r="146">
      <c r="A146" s="20" t="n">
        <v>145</v>
      </c>
      <c r="B146" s="8" t="inlineStr">
        <is>
          <t>PSV-78 Povrchové úpravy</t>
        </is>
      </c>
      <c r="C146" s="8" t="inlineStr">
        <is>
          <t>Interiérová výmalba 3.NP</t>
        </is>
      </c>
      <c r="D146" s="20" t="inlineStr">
        <is>
          <t>784121011</t>
        </is>
      </c>
      <c r="E146" s="8" t="inlineStr">
        <is>
          <t>Interiérová výmalba 3.NP — stěny + SDK podhled − obklad koupelny 3.04 (2.7 m výška)</t>
        </is>
      </c>
      <c r="F146" s="20" t="inlineStr">
        <is>
          <t>m²</t>
        </is>
      </c>
      <c r="G146" s="22" t="n">
        <v>219.3</v>
      </c>
      <c r="H146" s="10" t="n"/>
      <c r="I146" s="10" t="n"/>
      <c r="J146" s="8" t="inlineStr">
        <is>
          <t>malir</t>
        </is>
      </c>
      <c r="K146" s="24" t="n">
        <v>0.85</v>
      </c>
      <c r="L146" s="20" t="inlineStr">
        <is>
          <t>needs_production_lookup</t>
        </is>
      </c>
      <c r="M146" s="8" t="inlineStr">
        <is>
          <t>Per-podlaží split z PSV78.012 (audit v2 GAP_007 fix); omítka PSV78.004 + SDK podhled PSV78.007</t>
        </is>
      </c>
      <c r="N146" s="20" t="inlineStr">
        <is>
          <t>—</t>
        </is>
      </c>
      <c r="O146" s="26" t="inlineStr">
        <is>
          <t>ANO</t>
        </is>
      </c>
    </row>
    <row r="147">
      <c r="A147" s="20" t="n">
        <v>146</v>
      </c>
      <c r="B147" s="8" t="inlineStr">
        <is>
          <t>PSV-95 Detekce požární</t>
        </is>
      </c>
      <c r="C147" s="8" t="inlineStr">
        <is>
          <t>Autonomní hlásič kouře</t>
        </is>
      </c>
      <c r="D147" s="20" t="inlineStr">
        <is>
          <t>375211101</t>
        </is>
      </c>
      <c r="E147" s="8" t="inlineStr">
        <is>
          <t>Autonomní hlásič kouře dle ČSN EN 14604 — 4 ks v místnostech 1.01, 1.02, 2.04, 3.03 dle PBŘ</t>
        </is>
      </c>
      <c r="F147" s="20" t="inlineStr">
        <is>
          <t>ks</t>
        </is>
      </c>
      <c r="G147" s="23" t="n">
        <v>4</v>
      </c>
      <c r="H147" s="10" t="n"/>
      <c r="I147" s="10" t="n"/>
      <c r="J147" s="8" t="inlineStr">
        <is>
          <t>elektroinstalater</t>
        </is>
      </c>
      <c r="K147" s="24" t="n">
        <v>0.85</v>
      </c>
      <c r="L147" s="20" t="inlineStr">
        <is>
          <t>family_verified_leaf_needs_production_lookup</t>
        </is>
      </c>
      <c r="M147" s="8" t="inlineStr">
        <is>
          <t>TZ PBŘ dům — ČSN EN 14604 autonomní hlásič kouře 4 ks</t>
        </is>
      </c>
      <c r="N147" s="20" t="inlineStr">
        <is>
          <t>—</t>
        </is>
      </c>
      <c r="O147" s="26" t="inlineStr">
        <is>
          <t>ANO</t>
        </is>
      </c>
    </row>
    <row r="148">
      <c r="A148" s="20" t="n">
        <v>147</v>
      </c>
      <c r="B148" s="8" t="inlineStr">
        <is>
          <t>PSV-95 Detekce požární</t>
        </is>
      </c>
      <c r="C148" s="8" t="inlineStr">
        <is>
          <t>Přenosný hasicí přístroj 34A</t>
        </is>
      </c>
      <c r="D148" s="20" t="inlineStr">
        <is>
          <t>966067121</t>
        </is>
      </c>
      <c r="E148" s="8" t="inlineStr">
        <is>
          <t>Přenosný hasicí přístroj 34A dle PBŘ — min. 1 ks na společné chodbě</t>
        </is>
      </c>
      <c r="F148" s="20" t="inlineStr">
        <is>
          <t>ks</t>
        </is>
      </c>
      <c r="G148" s="23" t="n">
        <v>1</v>
      </c>
      <c r="H148" s="10" t="n"/>
      <c r="I148" s="10" t="n"/>
      <c r="J148" s="8" t="inlineStr">
        <is>
          <t>VRN_management</t>
        </is>
      </c>
      <c r="K148" s="24" t="n">
        <v>0.85</v>
      </c>
      <c r="L148" s="20" t="inlineStr">
        <is>
          <t>needs_production_lookup</t>
        </is>
      </c>
      <c r="M148" s="8" t="inlineStr">
        <is>
          <t>TZ PBŘ dům — PHP 34A 1 ks minimum</t>
        </is>
      </c>
      <c r="N148" s="20" t="inlineStr">
        <is>
          <t>—</t>
        </is>
      </c>
      <c r="O148" s="26" t="inlineStr">
        <is>
          <t>ANO</t>
        </is>
      </c>
    </row>
    <row r="149">
      <c r="A149" s="20" t="n">
        <v>148</v>
      </c>
      <c r="B149" s="8" t="inlineStr">
        <is>
          <t>PSV-95 Detekce požární</t>
        </is>
      </c>
      <c r="C149" s="8" t="inlineStr">
        <is>
          <t>Předávací protokol krbu + kontrola bezpečných vzdáleností</t>
        </is>
      </c>
      <c r="D149" s="20" t="inlineStr">
        <is>
          <t>—</t>
        </is>
      </c>
      <c r="E149" s="8" t="inlineStr">
        <is>
          <t>Předávací protokol krbu na tuhá paliva + kontrola bezpečných vzdáleností (800 mm směr sálání / 400 mm strany, nehořlavá zóna podlahy) dle PBŘ</t>
        </is>
      </c>
      <c r="F149" s="20" t="inlineStr">
        <is>
          <t>soubor</t>
        </is>
      </c>
      <c r="G149" s="23" t="n">
        <v>1</v>
      </c>
      <c r="H149" s="10" t="n"/>
      <c r="I149" s="10" t="n"/>
      <c r="J149" s="8" t="inlineStr">
        <is>
          <t>topenar</t>
        </is>
      </c>
      <c r="K149" s="24" t="n">
        <v>0.8</v>
      </c>
      <c r="L149" s="20" t="inlineStr">
        <is>
          <t>needs_production_lookup</t>
        </is>
      </c>
      <c r="M149" s="8" t="inlineStr">
        <is>
          <t>PBŘ D.3</t>
        </is>
      </c>
      <c r="N149" s="20" t="inlineStr">
        <is>
          <t>—</t>
        </is>
      </c>
      <c r="O149" s="26" t="inlineStr">
        <is>
          <t>ANO</t>
        </is>
      </c>
    </row>
    <row r="150">
      <c r="A150" s="20" t="n">
        <v>149</v>
      </c>
      <c r="B150" s="8" t="inlineStr">
        <is>
          <t>M-21 ELI silnoproud</t>
        </is>
      </c>
      <c r="C150" s="8" t="inlineStr">
        <is>
          <t>Demontáž stávající ELI</t>
        </is>
      </c>
      <c r="D150" s="20" t="inlineStr">
        <is>
          <t>210010011</t>
        </is>
      </c>
      <c r="E150" s="8" t="inlineStr">
        <is>
          <t>Demontáž stávající elektroinstalace v celém domě (vodiče, rozvaděč, zásuvky, svítidla) — recyklace mědi</t>
        </is>
      </c>
      <c r="F150" s="20" t="inlineStr">
        <is>
          <t>kpl</t>
        </is>
      </c>
      <c r="G150" s="23" t="n">
        <v>1</v>
      </c>
      <c r="H150" s="10" t="n"/>
      <c r="I150" s="10" t="n"/>
      <c r="J150" s="8" t="inlineStr">
        <is>
          <t>elektroinstalater</t>
        </is>
      </c>
      <c r="K150" s="24" t="n">
        <v>0.85</v>
      </c>
      <c r="L150" s="20" t="inlineStr">
        <is>
          <t>needs_production_lookup</t>
        </is>
      </c>
      <c r="M150" s="8" t="inlineStr">
        <is>
          <t>TZ ARS dům §4 — kompletně nová ELI</t>
        </is>
      </c>
      <c r="N150" s="20" t="inlineStr">
        <is>
          <t>#7</t>
        </is>
      </c>
      <c r="O150" s="26" t="inlineStr">
        <is>
          <t>ANO</t>
        </is>
      </c>
    </row>
    <row r="151">
      <c r="A151" s="20" t="n">
        <v>150</v>
      </c>
      <c r="B151" s="8" t="inlineStr">
        <is>
          <t>M-21 ELI silnoproud</t>
        </is>
      </c>
      <c r="C151" s="8" t="inlineStr">
        <is>
          <t>Pojistková skříň + 3× podružný rozvaděč</t>
        </is>
      </c>
      <c r="D151" s="20" t="inlineStr">
        <is>
          <t>210110023</t>
        </is>
      </c>
      <c r="E151" s="8" t="inlineStr">
        <is>
          <t>Nová pojistková skříň + 3× podružný rozvaděč pro každé patro (1.NP, 2.NP, 3.NP) s podružným měřením</t>
        </is>
      </c>
      <c r="F151" s="20" t="inlineStr">
        <is>
          <t>ks</t>
        </is>
      </c>
      <c r="G151" s="23" t="n">
        <v>4</v>
      </c>
      <c r="H151" s="10" t="n"/>
      <c r="I151" s="10" t="n"/>
      <c r="J151" s="8" t="inlineStr">
        <is>
          <t>elektroinstalater</t>
        </is>
      </c>
      <c r="K151" s="24" t="n">
        <v>0.85</v>
      </c>
      <c r="L151" s="20" t="inlineStr">
        <is>
          <t>needs_production_lookup</t>
        </is>
      </c>
      <c r="M151" s="8" t="inlineStr">
        <is>
          <t>TZ ARS dům §4 — 'nová pojistková skříň s podružným měřením pro každé patro'</t>
        </is>
      </c>
      <c r="N151" s="20" t="inlineStr">
        <is>
          <t>#7</t>
        </is>
      </c>
      <c r="O151" s="26" t="inlineStr">
        <is>
          <t>ANO</t>
        </is>
      </c>
    </row>
    <row r="152">
      <c r="A152" s="20" t="n">
        <v>151</v>
      </c>
      <c r="B152" s="8" t="inlineStr">
        <is>
          <t>M-21 ELI silnoproud</t>
        </is>
      </c>
      <c r="C152" s="8" t="inlineStr">
        <is>
          <t>Rozvody silnoproud</t>
        </is>
      </c>
      <c r="D152" s="20" t="inlineStr">
        <is>
          <t>210800012</t>
        </is>
      </c>
      <c r="E152" s="8" t="inlineStr">
        <is>
          <t>Nové silnoproudé rozvody — vodiče CYKY 3×1.5 / 3×2.5 / 5×2.5 / 5×6 + krabice + instalační trubky</t>
        </is>
      </c>
      <c r="F152" s="20" t="inlineStr">
        <is>
          <t>bm</t>
        </is>
      </c>
      <c r="G152" s="22" t="n">
        <v>700</v>
      </c>
      <c r="H152" s="10" t="n"/>
      <c r="I152" s="10" t="n"/>
      <c r="J152" s="8" t="inlineStr">
        <is>
          <t>elektroinstalater</t>
        </is>
      </c>
      <c r="K152" s="24" t="n">
        <v>0.8</v>
      </c>
      <c r="L152" s="20" t="inlineStr">
        <is>
          <t>needs_production_lookup</t>
        </is>
      </c>
      <c r="M152" s="8" t="inlineStr">
        <is>
          <t>TZ ARS + B4_productivity standard RD 3-byt. dispozice</t>
        </is>
      </c>
      <c r="N152" s="20" t="inlineStr">
        <is>
          <t>#7</t>
        </is>
      </c>
      <c r="O152" s="26" t="inlineStr">
        <is>
          <t>ANO</t>
        </is>
      </c>
    </row>
    <row r="153">
      <c r="A153" s="20" t="n">
        <v>152</v>
      </c>
      <c r="B153" s="8" t="inlineStr">
        <is>
          <t>M-21 ELI silnoproud</t>
        </is>
      </c>
      <c r="C153" s="8" t="inlineStr">
        <is>
          <t>Zásuvky a vypínače</t>
        </is>
      </c>
      <c r="D153" s="20" t="inlineStr">
        <is>
          <t>210810050</t>
        </is>
      </c>
      <c r="E153" s="8" t="inlineStr">
        <is>
          <t>Zásuvky a vypínače dodávka + montáž — ~70 ks (60-80 dle vyjasnění #7)</t>
        </is>
      </c>
      <c r="F153" s="20" t="inlineStr">
        <is>
          <t>ks</t>
        </is>
      </c>
      <c r="G153" s="23" t="n">
        <v>70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 220 m² 3-byt.</t>
        </is>
      </c>
      <c r="N153" s="20" t="inlineStr">
        <is>
          <t>#7</t>
        </is>
      </c>
      <c r="O153" s="26" t="inlineStr">
        <is>
          <t>ANO</t>
        </is>
      </c>
    </row>
    <row r="154">
      <c r="A154" s="20" t="n">
        <v>153</v>
      </c>
      <c r="B154" s="8" t="inlineStr">
        <is>
          <t>M-21 ELI silnoproud</t>
        </is>
      </c>
      <c r="C154" s="8" t="inlineStr">
        <is>
          <t>Svítidla</t>
        </is>
      </c>
      <c r="D154" s="20" t="inlineStr">
        <is>
          <t>210820002</t>
        </is>
      </c>
      <c r="E154" s="8" t="inlineStr">
        <is>
          <t>Svítidla dodávka + montáž — ~35 ks (30-40 dle vyjasnění #7) interiér + venkovní u vstupů</t>
        </is>
      </c>
      <c r="F154" s="20" t="inlineStr">
        <is>
          <t>ks</t>
        </is>
      </c>
      <c r="G154" s="23" t="n">
        <v>35</v>
      </c>
      <c r="H154" s="10" t="n"/>
      <c r="I154" s="10" t="n"/>
      <c r="J154" s="8" t="inlineStr">
        <is>
          <t>elektroinstalater</t>
        </is>
      </c>
      <c r="K154" s="24" t="n">
        <v>0.8</v>
      </c>
      <c r="L154" s="20" t="inlineStr">
        <is>
          <t>needs_production_lookup</t>
        </is>
      </c>
      <c r="M154" s="8" t="inlineStr">
        <is>
          <t>TZ ARS + B4_productivity standard RD</t>
        </is>
      </c>
      <c r="N154" s="20" t="inlineStr">
        <is>
          <t>#7</t>
        </is>
      </c>
      <c r="O154" s="26" t="inlineStr">
        <is>
          <t>ANO</t>
        </is>
      </c>
    </row>
    <row r="155">
      <c r="A155" s="20" t="n">
        <v>154</v>
      </c>
      <c r="B155" s="8" t="inlineStr">
        <is>
          <t>M-21 ELI silnoproud</t>
        </is>
      </c>
      <c r="C155" s="8" t="inlineStr">
        <is>
          <t>Příprava FVE</t>
        </is>
      </c>
      <c r="D155" s="20" t="inlineStr">
        <is>
          <t>210800099</t>
        </is>
      </c>
      <c r="E155" s="8" t="inlineStr">
        <is>
          <t>Příprava na osazení FVE — rezerva v rozvaděči (jistič + zásuvka pro střídač) + trasy do střechy</t>
        </is>
      </c>
      <c r="F155" s="20" t="inlineStr">
        <is>
          <t>kpl</t>
        </is>
      </c>
      <c r="G155" s="23" t="n">
        <v>1</v>
      </c>
      <c r="H155" s="10" t="n"/>
      <c r="I155" s="10" t="n"/>
      <c r="J155" s="8" t="inlineStr">
        <is>
          <t>elektroinstalater</t>
        </is>
      </c>
      <c r="K155" s="24" t="n">
        <v>0.85</v>
      </c>
      <c r="L155" s="20" t="inlineStr">
        <is>
          <t>needs_production_lookup</t>
        </is>
      </c>
      <c r="M155" s="8" t="inlineStr">
        <is>
          <t>TZ ARS dům §4 — FVE příprava (bez panelů samotných)</t>
        </is>
      </c>
      <c r="N155" s="20" t="inlineStr">
        <is>
          <t>#7</t>
        </is>
      </c>
      <c r="O155" s="26" t="inlineStr">
        <is>
          <t>ANO</t>
        </is>
      </c>
    </row>
    <row r="156">
      <c r="A156" s="20" t="n">
        <v>155</v>
      </c>
      <c r="B156" s="8" t="inlineStr">
        <is>
          <t>M-21 ELI silnoproud</t>
        </is>
      </c>
      <c r="C156" s="8" t="inlineStr">
        <is>
          <t>Revize ELI při kolaudaci</t>
        </is>
      </c>
      <c r="D156" s="20" t="inlineStr">
        <is>
          <t>996019011</t>
        </is>
      </c>
      <c r="E156" s="8" t="inlineStr">
        <is>
          <t>Výchozí revize elektrické instalace dle ČSN 33 2000-6 + revizní zpráva pro kolaudaci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revize_specialista</t>
        </is>
      </c>
      <c r="K156" s="24" t="n">
        <v>0.99</v>
      </c>
      <c r="L156" s="20" t="inlineStr">
        <is>
          <t>needs_production_lookup</t>
        </is>
      </c>
      <c r="M156" s="8" t="inlineStr">
        <is>
          <t>Povinná revize ELI dle ČSN 33 2000-6 + kolaudace</t>
        </is>
      </c>
      <c r="N156" s="20" t="inlineStr">
        <is>
          <t>—</t>
        </is>
      </c>
      <c r="O156" s="26" t="inlineStr">
        <is>
          <t>ANO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Revize stávajících přípojek</t>
        </is>
      </c>
      <c r="D157" s="20" t="inlineStr">
        <is>
          <t>722290515</t>
        </is>
      </c>
      <c r="E157" s="8" t="inlineStr">
        <is>
          <t>Revize stávajícího napojení vodovodu + kanalizace na pozemku — kontrola stavu, čištění, tlaková zkouška</t>
        </is>
      </c>
      <c r="F157" s="20" t="inlineStr">
        <is>
          <t>kpl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0.85</v>
      </c>
      <c r="L157" s="20" t="inlineStr">
        <is>
          <t>family_verified_leaf_needs_production_lookup</t>
        </is>
      </c>
      <c r="M157" s="8" t="inlineStr">
        <is>
          <t>TZ ARS dům §4 — vodovod + kanalizace stávající, bez změny</t>
        </is>
      </c>
      <c r="N157" s="20" t="inlineStr">
        <is>
          <t>#6</t>
        </is>
      </c>
      <c r="O157" s="26" t="inlineStr">
        <is>
          <t>ANO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Nové rozvody vody do 3.NP</t>
        </is>
      </c>
      <c r="D158" s="20" t="inlineStr">
        <is>
          <t>722172011</t>
        </is>
      </c>
      <c r="E158" s="8" t="inlineStr">
        <is>
          <t>Nové rozvody studené + teplé vody do koupelen 1.NP + 2.NP + 3.NP a kuchyní (PEX/Cu, dimenze DN15-25)</t>
        </is>
      </c>
      <c r="F158" s="20" t="inlineStr">
        <is>
          <t>bm</t>
        </is>
      </c>
      <c r="G158" s="22" t="n">
        <v>80</v>
      </c>
      <c r="H158" s="10" t="n"/>
      <c r="I158" s="10" t="n"/>
      <c r="J158" s="8" t="inlineStr">
        <is>
          <t>vodar</t>
        </is>
      </c>
      <c r="K158" s="24" t="n">
        <v>0.75</v>
      </c>
      <c r="L158" s="20" t="inlineStr">
        <is>
          <t>family_verified_leaf_needs_production_lookup</t>
        </is>
      </c>
      <c r="M158" s="8" t="inlineStr">
        <is>
          <t>TZ ARS dům §4 — nové koupelny + kuchyně, vyjasnění #6 working assumption</t>
        </is>
      </c>
      <c r="N158" s="20" t="inlineStr">
        <is>
          <t>#6</t>
        </is>
      </c>
      <c r="O158" s="26" t="inlineStr">
        <is>
          <t>ANO</t>
        </is>
      </c>
    </row>
    <row r="159">
      <c r="A159" s="20" t="n">
        <v>158</v>
      </c>
      <c r="B159" s="8" t="inlineStr">
        <is>
          <t>PSV-72 ZTI</t>
        </is>
      </c>
      <c r="C159" s="8" t="inlineStr">
        <is>
          <t>Nové odpadní rozvody</t>
        </is>
      </c>
      <c r="D159" s="20" t="inlineStr">
        <is>
          <t>721174021</t>
        </is>
      </c>
      <c r="E159" s="8" t="inlineStr">
        <is>
          <t>Nové odpadní rozvody PVC-HT DN40-DN110 ke koupelnám 1.NP, 2.NP, 3.NP a kuchyním + napojení na stávající</t>
        </is>
      </c>
      <c r="F159" s="20" t="inlineStr">
        <is>
          <t>bm</t>
        </is>
      </c>
      <c r="G159" s="22" t="n">
        <v>60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TZ ARS dům §4 — nové koupelny + kuchyně, odpad do stávající kanalizace</t>
        </is>
      </c>
      <c r="N159" s="20" t="inlineStr">
        <is>
          <t>#6</t>
        </is>
      </c>
      <c r="O159" s="26" t="inlineStr">
        <is>
          <t>ANO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Sanitární keramika koupelna 1.05 (1.NP)</t>
        </is>
      </c>
      <c r="D160" s="20" t="inlineStr">
        <is>
          <t>725291131</t>
        </is>
      </c>
      <c r="E160" s="8" t="inlineStr">
        <is>
          <t>Sanitární keramika dodávka + montáž v koupelně 1.05 1.NP: 1× vana (DXF) + 1× umyvadlo (DXF) + 1× WC (TZ standard)</t>
        </is>
      </c>
      <c r="F160" s="20" t="inlineStr">
        <is>
          <t>set</t>
        </is>
      </c>
      <c r="G160" s="22" t="n">
        <v>0</v>
      </c>
      <c r="H160" s="10" t="n"/>
      <c r="I160" s="10" t="n"/>
      <c r="J160" s="8" t="inlineStr">
        <is>
          <t>vodar</t>
        </is>
      </c>
      <c r="K160" s="24" t="n">
        <v>0.75</v>
      </c>
      <c r="L160" s="20" t="inlineStr">
        <is>
          <t>needs_production_lookup</t>
        </is>
      </c>
      <c r="M160" s="8" t="inlineStr">
        <is>
          <t>DXF dum_DPZ INSERT positions PIP do room 1.05 polygon (partial — 4/13 fixtures matched celkem) + TZ ARS § koupelny standard pattern</t>
        </is>
      </c>
      <c r="N160" s="20" t="inlineStr">
        <is>
          <t>#6</t>
        </is>
      </c>
      <c r="O160" s="26" t="inlineStr">
        <is>
          <t>ANO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 / fixture A</t>
        </is>
      </c>
      <c r="D161" s="20" t="inlineStr">
        <is>
          <t>725211101</t>
        </is>
      </c>
      <c r="E161" s="8" t="inlineStr">
        <is>
          <t>Vana koupelnová obdélníková 170×70 cm — koupelna 1.05 1.NP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0.9</v>
      </c>
      <c r="L161" s="20" t="inlineStr">
        <is>
          <t>needs_production_lookup</t>
        </is>
      </c>
      <c r="M161" s="8" t="inlineStr">
        <is>
          <t>DXF dum_DPZ MTEXT room 1.05 1.NP + TZ ARS koupelna kompletace</t>
        </is>
      </c>
      <c r="N161" s="20" t="inlineStr">
        <is>
          <t>—</t>
        </is>
      </c>
      <c r="O161" s="26" t="inlineStr">
        <is>
          <t>ANO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B</t>
        </is>
      </c>
      <c r="D162" s="20" t="inlineStr">
        <is>
          <t>725311111</t>
        </is>
      </c>
      <c r="E162" s="8" t="inlineStr">
        <is>
          <t>Umyvadlo bílé keramické se sloupcem 60 cm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1.05 (1.NP) / fixture C</t>
        </is>
      </c>
      <c r="D163" s="20" t="inlineStr">
        <is>
          <t>725111101</t>
        </is>
      </c>
      <c r="E163" s="8" t="inlineStr">
        <is>
          <t>WC kombi keramické bílé — koupelna 1.05 1.NP</t>
        </is>
      </c>
      <c r="F163" s="20" t="inlineStr">
        <is>
          <t>ks</t>
        </is>
      </c>
      <c r="G163" s="23" t="n">
        <v>1</v>
      </c>
      <c r="H163" s="10" t="n"/>
      <c r="I163" s="10" t="n"/>
      <c r="J163" s="8" t="inlineStr">
        <is>
          <t>vodar</t>
        </is>
      </c>
      <c r="K163" s="24" t="n">
        <v>0.9</v>
      </c>
      <c r="L163" s="20" t="inlineStr">
        <is>
          <t>needs_production_lookup</t>
        </is>
      </c>
      <c r="M163" s="8" t="inlineStr">
        <is>
          <t>DXF dum_DPZ MTEXT room 1.05 1.NP + TZ ARS koupelna kompletace</t>
        </is>
      </c>
      <c r="N163" s="20" t="inlineStr">
        <is>
          <t>—</t>
        </is>
      </c>
      <c r="O163" s="26" t="inlineStr">
        <is>
          <t>ANO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2.03 (2.NP)</t>
        </is>
      </c>
      <c r="D164" s="20" t="inlineStr">
        <is>
          <t>725291131</t>
        </is>
      </c>
      <c r="E164" s="8" t="inlineStr">
        <is>
          <t>Sanitární keramika dodávka + montáž v koupelně 2.03 2.NP: 1× umyvadlo (DXF) + 1× WC (TZ standard) + 1× sprcha (TZ standard)</t>
        </is>
      </c>
      <c r="F164" s="20" t="inlineStr">
        <is>
          <t>set</t>
        </is>
      </c>
      <c r="G164" s="22" t="n">
        <v>0</v>
      </c>
      <c r="H164" s="10" t="n"/>
      <c r="I164" s="10" t="n"/>
      <c r="J164" s="8" t="inlineStr">
        <is>
          <t>vodar</t>
        </is>
      </c>
      <c r="K164" s="24" t="n">
        <v>0.75</v>
      </c>
      <c r="L164" s="20" t="inlineStr">
        <is>
          <t>needs_production_lookup</t>
        </is>
      </c>
      <c r="M164" s="8" t="inlineStr">
        <is>
          <t>DXF dum_DPZ INSERT positions PIP do room 2.03 polygon (partial — 4/13 fixtures matched celkem) + TZ ARS § koupelny standard pattern</t>
        </is>
      </c>
      <c r="N164" s="20" t="inlineStr">
        <is>
          <t>#6</t>
        </is>
      </c>
      <c r="O164" s="26" t="inlineStr">
        <is>
          <t>ANO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 / fixture A</t>
        </is>
      </c>
      <c r="D165" s="20" t="inlineStr">
        <is>
          <t>725311111</t>
        </is>
      </c>
      <c r="E165" s="8" t="inlineStr">
        <is>
          <t>Umyvadlo bílé keramické se sloupcem 60 cm — koupelna 2.03 2.NP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vodar</t>
        </is>
      </c>
      <c r="K165" s="24" t="n">
        <v>0.9</v>
      </c>
      <c r="L165" s="20" t="inlineStr">
        <is>
          <t>needs_production_lookup</t>
        </is>
      </c>
      <c r="M165" s="8" t="inlineStr">
        <is>
          <t>DXF dum_DPZ MTEXT room 2.03 2.NP + TZ ARS koupelna kompletace</t>
        </is>
      </c>
      <c r="N165" s="20" t="inlineStr">
        <is>
          <t>—</t>
        </is>
      </c>
      <c r="O165" s="26" t="inlineStr">
        <is>
          <t>ANO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B</t>
        </is>
      </c>
      <c r="D166" s="20" t="inlineStr">
        <is>
          <t>725221201</t>
        </is>
      </c>
      <c r="E166" s="8" t="inlineStr">
        <is>
          <t>Sprchový kout 90×90 cm vč. vaničky + skleněných dveří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2.03 (2.NP) / fixture C</t>
        </is>
      </c>
      <c r="D167" s="20" t="inlineStr">
        <is>
          <t>725111101</t>
        </is>
      </c>
      <c r="E167" s="8" t="inlineStr">
        <is>
          <t>WC kombi keramické bílé — koupelna 2.03 2.NP</t>
        </is>
      </c>
      <c r="F167" s="20" t="inlineStr">
        <is>
          <t>ks</t>
        </is>
      </c>
      <c r="G167" s="23" t="n">
        <v>1</v>
      </c>
      <c r="H167" s="10" t="n"/>
      <c r="I167" s="10" t="n"/>
      <c r="J167" s="8" t="inlineStr">
        <is>
          <t>vodar</t>
        </is>
      </c>
      <c r="K167" s="24" t="n">
        <v>0.9</v>
      </c>
      <c r="L167" s="20" t="inlineStr">
        <is>
          <t>needs_production_lookup</t>
        </is>
      </c>
      <c r="M167" s="8" t="inlineStr">
        <is>
          <t>DXF dum_DPZ MTEXT room 2.03 2.NP + TZ ARS koupelna kompletace</t>
        </is>
      </c>
      <c r="N167" s="20" t="inlineStr">
        <is>
          <t>—</t>
        </is>
      </c>
      <c r="O167" s="26" t="inlineStr">
        <is>
          <t>ANO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3.04 (3.NP)</t>
        </is>
      </c>
      <c r="D168" s="20" t="inlineStr">
        <is>
          <t>725291131</t>
        </is>
      </c>
      <c r="E168" s="8" t="inlineStr">
        <is>
          <t>Sanitární keramika dodávka + montáž v koupelně 3.04 3.NP: 1× WC (DXF) + 1× umyvadlo (TZ standard) + 1× sprcha (TZ standard)</t>
        </is>
      </c>
      <c r="F168" s="20" t="inlineStr">
        <is>
          <t>set</t>
        </is>
      </c>
      <c r="G168" s="22" t="n">
        <v>0</v>
      </c>
      <c r="H168" s="10" t="n"/>
      <c r="I168" s="10" t="n"/>
      <c r="J168" s="8" t="inlineStr">
        <is>
          <t>vodar</t>
        </is>
      </c>
      <c r="K168" s="24" t="n">
        <v>0.75</v>
      </c>
      <c r="L168" s="20" t="inlineStr">
        <is>
          <t>needs_production_lookup</t>
        </is>
      </c>
      <c r="M168" s="8" t="inlineStr">
        <is>
          <t>DXF dum_DPZ INSERT positions PIP do room 3.04 polygon (partial — 4/13 fixtures matched celkem) + TZ ARS § koupelny standard pattern</t>
        </is>
      </c>
      <c r="N168" s="20" t="inlineStr">
        <is>
          <t>#6</t>
        </is>
      </c>
      <c r="O168" s="26" t="inlineStr">
        <is>
          <t>ANO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 / fixture A</t>
        </is>
      </c>
      <c r="D169" s="20" t="inlineStr">
        <is>
          <t>725111101</t>
        </is>
      </c>
      <c r="E169" s="8" t="inlineStr">
        <is>
          <t>WC kombi keramické bílé — koupelna 3.04 3.NP</t>
        </is>
      </c>
      <c r="F169" s="20" t="inlineStr">
        <is>
          <t>ks</t>
        </is>
      </c>
      <c r="G169" s="23" t="n">
        <v>1</v>
      </c>
      <c r="H169" s="10" t="n"/>
      <c r="I169" s="10" t="n"/>
      <c r="J169" s="8" t="inlineStr">
        <is>
          <t>vodar</t>
        </is>
      </c>
      <c r="K169" s="24" t="n">
        <v>0.9</v>
      </c>
      <c r="L169" s="20" t="inlineStr">
        <is>
          <t>needs_production_lookup</t>
        </is>
      </c>
      <c r="M169" s="8" t="inlineStr">
        <is>
          <t>DXF dum_DPZ MTEXT room 3.04 3.NP + TZ ARS koupelna kompletace</t>
        </is>
      </c>
      <c r="N169" s="20" t="inlineStr">
        <is>
          <t>—</t>
        </is>
      </c>
      <c r="O169" s="26" t="inlineStr">
        <is>
          <t>ANO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B</t>
        </is>
      </c>
      <c r="D170" s="20" t="inlineStr">
        <is>
          <t>725311111</t>
        </is>
      </c>
      <c r="E170" s="8" t="inlineStr">
        <is>
          <t>Umyvadlo bílé keramické se sloupcem 60 cm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Sanitární keramika koupelna 3.04 (3.NP) / fixture C</t>
        </is>
      </c>
      <c r="D171" s="20" t="inlineStr">
        <is>
          <t>725221201</t>
        </is>
      </c>
      <c r="E171" s="8" t="inlineStr">
        <is>
          <t>Sprchový kout 90×90 cm vč. vaničky + skleněných dveří — koupelna 3.04 3.NP</t>
        </is>
      </c>
      <c r="F171" s="20" t="inlineStr">
        <is>
          <t>ks</t>
        </is>
      </c>
      <c r="G171" s="23" t="n">
        <v>1</v>
      </c>
      <c r="H171" s="10" t="n"/>
      <c r="I171" s="10" t="n"/>
      <c r="J171" s="8" t="inlineStr">
        <is>
          <t>vodar</t>
        </is>
      </c>
      <c r="K171" s="24" t="n">
        <v>0.9</v>
      </c>
      <c r="L171" s="20" t="inlineStr">
        <is>
          <t>needs_production_lookup</t>
        </is>
      </c>
      <c r="M171" s="8" t="inlineStr">
        <is>
          <t>DXF dum_DPZ MTEXT room 3.04 3.NP + TZ ARS koupelna kompletace</t>
        </is>
      </c>
      <c r="N171" s="20" t="inlineStr">
        <is>
          <t>—</t>
        </is>
      </c>
      <c r="O171" s="26" t="inlineStr">
        <is>
          <t>ANO</t>
        </is>
      </c>
    </row>
    <row r="172">
      <c r="A172" s="20" t="n">
        <v>171</v>
      </c>
      <c r="B172" s="8" t="inlineStr">
        <is>
          <t>PSV-72 ZTI</t>
        </is>
      </c>
      <c r="C172" s="8" t="inlineStr">
        <is>
          <t>Kuchyňský dřez 2 ks (1.06 + 3.05)</t>
        </is>
      </c>
      <c r="D172" s="20" t="inlineStr">
        <is>
          <t>725840111</t>
        </is>
      </c>
      <c r="E172" s="8" t="inlineStr">
        <is>
          <t>Kuchyňský dřez nerez + montáž — 2 ks (kuchyně 1.06 byt rodičů + kuchyně 3.05 byt 3.NP)</t>
        </is>
      </c>
      <c r="F172" s="20" t="inlineStr">
        <is>
          <t>ks</t>
        </is>
      </c>
      <c r="G172" s="23" t="n">
        <v>2</v>
      </c>
      <c r="H172" s="10" t="n"/>
      <c r="I172" s="10" t="n"/>
      <c r="J172" s="8" t="inlineStr">
        <is>
          <t>vodar</t>
        </is>
      </c>
      <c r="K172" s="24" t="n">
        <v>0.95</v>
      </c>
      <c r="L172" s="20" t="inlineStr">
        <is>
          <t>needs_production_lookup</t>
        </is>
      </c>
      <c r="M172" s="8" t="inlineStr">
        <is>
          <t>DXF kuchyně MTEXT 2× + TZ ARS — dispozice byty</t>
        </is>
      </c>
      <c r="N172" s="20" t="inlineStr">
        <is>
          <t>#6</t>
        </is>
      </c>
      <c r="O172" s="26" t="inlineStr">
        <is>
          <t>ANO</t>
        </is>
      </c>
    </row>
    <row r="173">
      <c r="A173" s="20" t="n">
        <v>172</v>
      </c>
      <c r="B173" s="8" t="inlineStr">
        <is>
          <t>PSV-72 ZTI</t>
        </is>
      </c>
      <c r="C173" s="8" t="inlineStr">
        <is>
          <t>Vodovodní baterie + drobnosti</t>
        </is>
      </c>
      <c r="D173" s="20" t="inlineStr">
        <is>
          <t>725822611</t>
        </is>
      </c>
      <c r="E173" s="8" t="inlineStr">
        <is>
          <t>Vodovodní baterie (WC ventil + páková umyvadlová + sprchové + dřezové + termostat sprchové) — ~15 ks + drobné instalační materiály</t>
        </is>
      </c>
      <c r="F173" s="20" t="inlineStr">
        <is>
          <t>ks</t>
        </is>
      </c>
      <c r="G173" s="23" t="n">
        <v>15</v>
      </c>
      <c r="H173" s="10" t="n"/>
      <c r="I173" s="10" t="n"/>
      <c r="J173" s="8" t="inlineStr">
        <is>
          <t>vodar</t>
        </is>
      </c>
      <c r="K173" s="24" t="n">
        <v>0.75</v>
      </c>
      <c r="L173" s="20" t="inlineStr">
        <is>
          <t>needs_production_lookup</t>
        </is>
      </c>
      <c r="M173" s="8" t="inlineStr">
        <is>
          <t>TZ ARS — kompletní baterie nové</t>
        </is>
      </c>
      <c r="N173" s="20" t="inlineStr">
        <is>
          <t>#6</t>
        </is>
      </c>
      <c r="O173" s="26" t="inlineStr">
        <is>
          <t>ANO</t>
        </is>
      </c>
    </row>
    <row r="174">
      <c r="A174" s="20" t="n">
        <v>173</v>
      </c>
      <c r="B174" s="8" t="inlineStr">
        <is>
          <t>PSV-72 ZTI</t>
        </is>
      </c>
      <c r="C174" s="8" t="inlineStr">
        <is>
          <t>Akumulační zásobník TUV v suterénu</t>
        </is>
      </c>
      <c r="D174" s="20" t="inlineStr">
        <is>
          <t>732419411</t>
        </is>
      </c>
      <c r="E174" s="8" t="inlineStr">
        <is>
          <t>Akumulační zásobník TUV ~300 l v 1.PP napojený na topný systém (sporáková kamna + krb + elektrokotel) — nepřímotop</t>
        </is>
      </c>
      <c r="F174" s="20" t="inlineStr">
        <is>
          <t>ks</t>
        </is>
      </c>
      <c r="G174" s="23" t="n">
        <v>1</v>
      </c>
      <c r="H174" s="10" t="n"/>
      <c r="I174" s="10" t="n"/>
      <c r="J174" s="8" t="inlineStr">
        <is>
          <t>instalater_TUV_akumulacni_zasobnik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ARS dům §4 — kombi akumulační zásobník napojený na multivariantní topný systém</t>
        </is>
      </c>
      <c r="N174" s="20" t="inlineStr">
        <is>
          <t>#6</t>
        </is>
      </c>
      <c r="O174" s="26" t="inlineStr">
        <is>
          <t>ANO</t>
        </is>
      </c>
    </row>
    <row r="175">
      <c r="A175" s="20" t="n">
        <v>174</v>
      </c>
      <c r="B175" s="8" t="inlineStr">
        <is>
          <t>PSV-72 ZTI</t>
        </is>
      </c>
      <c r="C175" s="8" t="inlineStr">
        <is>
          <t>Elektrický bojler 3.NP</t>
        </is>
      </c>
      <c r="D175" s="20" t="inlineStr">
        <is>
          <t>732429211</t>
        </is>
      </c>
      <c r="E175" s="8" t="inlineStr">
        <is>
          <t>Elektrický bojler ~80 l v koupelně 3.NP (nezávislý zdroj pro samostatný byt)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vodar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elektrický bojler v 3.NP koupelně, vyjasnění #6 odhad 80 l</t>
        </is>
      </c>
      <c r="N175" s="20" t="inlineStr">
        <is>
          <t>#6</t>
        </is>
      </c>
      <c r="O175" s="26" t="inlineStr">
        <is>
          <t>ANO</t>
        </is>
      </c>
    </row>
    <row r="176">
      <c r="A176" s="20" t="n">
        <v>175</v>
      </c>
      <c r="B176" s="8" t="inlineStr">
        <is>
          <t>PSV-73 Vytápění</t>
        </is>
      </c>
      <c r="C176" s="8" t="inlineStr">
        <is>
          <t>Sporáková kamna na tuhá paliva</t>
        </is>
      </c>
      <c r="D176" s="20" t="inlineStr">
        <is>
          <t>733241011</t>
        </is>
      </c>
      <c r="E176" s="8" t="inlineStr">
        <is>
          <t>Sporáková kamna na tuhá paliva ~10 kW s akumulačním zásobníkem TUV — dodávka</t>
        </is>
      </c>
      <c r="F176" s="20" t="inlineStr">
        <is>
          <t>ks</t>
        </is>
      </c>
      <c r="G176" s="23" t="n">
        <v>1</v>
      </c>
      <c r="H176" s="10" t="n"/>
      <c r="I176" s="10" t="n"/>
      <c r="J176" s="8" t="inlineStr">
        <is>
          <t>topenar</t>
        </is>
      </c>
      <c r="K176" s="24" t="n">
        <v>0.85</v>
      </c>
      <c r="L176" s="20" t="inlineStr">
        <is>
          <t>needs_production_lookup</t>
        </is>
      </c>
      <c r="M176" s="8" t="inlineStr">
        <is>
          <t>TZ ARS dům §4 — primární zdroj 1.NP/2.NP, ~10 kW odhad standard RD</t>
        </is>
      </c>
      <c r="N176" s="20" t="inlineStr">
        <is>
          <t>#6</t>
        </is>
      </c>
      <c r="O176" s="26" t="inlineStr">
        <is>
          <t>ANO</t>
        </is>
      </c>
    </row>
    <row r="177">
      <c r="A177" s="20" t="n">
        <v>176</v>
      </c>
      <c r="B177" s="8" t="inlineStr">
        <is>
          <t>PSV-73 Vytápění</t>
        </is>
      </c>
      <c r="C177" s="8" t="inlineStr">
        <is>
          <t>Sporáková kamna — montáž</t>
        </is>
      </c>
      <c r="D177" s="20" t="inlineStr">
        <is>
          <t>733281011</t>
        </is>
      </c>
      <c r="E177" s="8" t="inlineStr">
        <is>
          <t>Sporáková kamna — montáž vč. napojení na komín + akumulační zásobník (cca 8 Nh)</t>
        </is>
      </c>
      <c r="F177" s="20" t="inlineStr">
        <is>
          <t>kpl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0.75</v>
      </c>
      <c r="L177" s="20" t="inlineStr">
        <is>
          <t>needs_production_lookup</t>
        </is>
      </c>
      <c r="M177" s="8" t="inlineStr">
        <is>
          <t>Standard montáž kamen s napojením na zásobník</t>
        </is>
      </c>
      <c r="N177" s="20" t="inlineStr">
        <is>
          <t>—</t>
        </is>
      </c>
      <c r="O177" s="26" t="inlineStr">
        <is>
          <t>ANO</t>
        </is>
      </c>
    </row>
    <row r="178">
      <c r="A178" s="20" t="n">
        <v>177</v>
      </c>
      <c r="B178" s="8" t="inlineStr">
        <is>
          <t>PSV-73 Vytápění</t>
        </is>
      </c>
      <c r="C178" s="8" t="inlineStr">
        <is>
          <t>Elektrokotel 3.NP</t>
        </is>
      </c>
      <c r="D178" s="20" t="inlineStr">
        <is>
          <t>733131221</t>
        </is>
      </c>
      <c r="E178" s="8" t="inlineStr">
        <is>
          <t>Elektrokotel ~8 kW pro 3.NP samostatný byt — dodávka + montáž + napojení</t>
        </is>
      </c>
      <c r="F178" s="20" t="inlineStr">
        <is>
          <t>ks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0.85</v>
      </c>
      <c r="L178" s="20" t="inlineStr">
        <is>
          <t>needs_production_lookup</t>
        </is>
      </c>
      <c r="M178" s="8" t="inlineStr">
        <is>
          <t>TZ ARS dům §4 — 'Nově navržené 3.NP bude vytápěno elektrokotlem'; ~8 kW odhad</t>
        </is>
      </c>
      <c r="N178" s="20" t="inlineStr">
        <is>
          <t>#6</t>
        </is>
      </c>
      <c r="O178" s="26" t="inlineStr">
        <is>
          <t>ANO</t>
        </is>
      </c>
    </row>
    <row r="179">
      <c r="A179" s="20" t="n">
        <v>178</v>
      </c>
      <c r="B179" s="8" t="inlineStr">
        <is>
          <t>PSV-73 Vytápění</t>
        </is>
      </c>
      <c r="C179" s="8" t="inlineStr">
        <is>
          <t>Krb na tuhá paliva 3.NP</t>
        </is>
      </c>
      <c r="D179" s="20" t="inlineStr">
        <is>
          <t>733241011</t>
        </is>
      </c>
      <c r="E179" s="8" t="inlineStr">
        <is>
          <t>Krb na tuhá paliva v 3.NP ~6 kW — dodávka + montáž s napojením na samostatný komín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topenar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krb v 3.NP, ~6 kW odhad</t>
        </is>
      </c>
      <c r="N179" s="20" t="inlineStr">
        <is>
          <t>#6</t>
        </is>
      </c>
      <c r="O179" s="26" t="inlineStr">
        <is>
          <t>ANO</t>
        </is>
      </c>
    </row>
    <row r="180">
      <c r="A180" s="20" t="n">
        <v>179</v>
      </c>
      <c r="B180" s="8" t="inlineStr">
        <is>
          <t>PSV-73 Vytápění</t>
        </is>
      </c>
      <c r="C180" s="8" t="inlineStr">
        <is>
          <t>Multisplit TČ — venkovní jednotka</t>
        </is>
      </c>
      <c r="D180" s="20" t="inlineStr">
        <is>
          <t>733425211</t>
        </is>
      </c>
      <c r="E180" s="8" t="inlineStr">
        <is>
          <t>Multisplit tepelné čerpadlo vzduch-vzduch — 1× venkovní jednotka ~10 kW (silent mode hl. tlaku ≤49 dBA)</t>
        </is>
      </c>
      <c r="F180" s="20" t="inlineStr">
        <is>
          <t>ks</t>
        </is>
      </c>
      <c r="G180" s="23" t="n">
        <v>1</v>
      </c>
      <c r="H180" s="10" t="n"/>
      <c r="I180" s="10" t="n"/>
      <c r="J180" s="8" t="inlineStr">
        <is>
          <t>specialista_TC_multisplit</t>
        </is>
      </c>
      <c r="K180" s="24" t="n">
        <v>0.85</v>
      </c>
      <c r="L180" s="20" t="inlineStr">
        <is>
          <t>needs_production_lookup</t>
        </is>
      </c>
      <c r="M180" s="8" t="inlineStr">
        <is>
          <t>TZ ARS dům §4 — multisplit TČ s akustikou hl. tlaku ≤49 dBA, NV 272/2011</t>
        </is>
      </c>
      <c r="N180" s="20" t="inlineStr">
        <is>
          <t>#6</t>
        </is>
      </c>
      <c r="O180" s="26" t="inlineStr">
        <is>
          <t>ANO</t>
        </is>
      </c>
    </row>
    <row r="181">
      <c r="A181" s="20" t="n">
        <v>180</v>
      </c>
      <c r="B181" s="8" t="inlineStr">
        <is>
          <t>PSV-73 Vytápění</t>
        </is>
      </c>
      <c r="C181" s="8" t="inlineStr">
        <is>
          <t>Multisplit TČ — vnitřní jednotky</t>
        </is>
      </c>
      <c r="D181" s="20" t="inlineStr">
        <is>
          <t>733425221</t>
        </is>
      </c>
      <c r="E181" s="8" t="inlineStr">
        <is>
          <t>Multisplit TČ — 5× vnitřní jednotka v obytných místnostech (1.NP, 2.NP, 3.NP — chlazení + vytápění)</t>
        </is>
      </c>
      <c r="F181" s="20" t="inlineStr">
        <is>
          <t>ks</t>
        </is>
      </c>
      <c r="G181" s="23" t="n">
        <v>5</v>
      </c>
      <c r="H181" s="10" t="n"/>
      <c r="I181" s="10" t="n"/>
      <c r="J181" s="8" t="inlineStr">
        <is>
          <t>specialista_TC_multisplit</t>
        </is>
      </c>
      <c r="K181" s="24" t="n">
        <v>0.75</v>
      </c>
      <c r="L181" s="20" t="inlineStr">
        <is>
          <t>needs_production_lookup</t>
        </is>
      </c>
      <c r="M181" s="8" t="inlineStr">
        <is>
          <t>TZ ARS dům §4 — vnitřní jednotky multisplit, vyjasnění #6 odhad 5 ks</t>
        </is>
      </c>
      <c r="N181" s="20" t="inlineStr">
        <is>
          <t>#6</t>
        </is>
      </c>
      <c r="O181" s="26" t="inlineStr">
        <is>
          <t>ANO</t>
        </is>
      </c>
    </row>
    <row r="182">
      <c r="A182" s="20" t="n">
        <v>181</v>
      </c>
      <c r="B182" s="8" t="inlineStr">
        <is>
          <t>PSV-73 Vytápění</t>
        </is>
      </c>
      <c r="C182" s="8" t="inlineStr">
        <is>
          <t>Revize komínu</t>
        </is>
      </c>
      <c r="D182" s="20" t="inlineStr">
        <is>
          <t>734262122</t>
        </is>
      </c>
      <c r="E182" s="8" t="inlineStr">
        <is>
          <t>Revize stávajícího komínu — kontrola, čištění, vystrojení vložkou nerez DN160 pro kamna + krb 3.NP</t>
        </is>
      </c>
      <c r="F182" s="20" t="inlineStr">
        <is>
          <t>kpl</t>
        </is>
      </c>
      <c r="G182" s="23" t="n">
        <v>1</v>
      </c>
      <c r="H182" s="10" t="n"/>
      <c r="I182" s="10" t="n"/>
      <c r="J182" s="8" t="inlineStr">
        <is>
          <t>kominik</t>
        </is>
      </c>
      <c r="K182" s="24" t="n">
        <v>0.85</v>
      </c>
      <c r="L182" s="20" t="inlineStr">
        <is>
          <t>needs_production_lookup</t>
        </is>
      </c>
      <c r="M182" s="8" t="inlineStr">
        <is>
          <t>TZ ARS dům §4 — komín stávající, vystrojení vložkou pro kamna + krb</t>
        </is>
      </c>
      <c r="N182" s="20" t="inlineStr">
        <is>
          <t>#6</t>
        </is>
      </c>
      <c r="O182" s="26" t="inlineStr">
        <is>
          <t>ANO</t>
        </is>
      </c>
    </row>
    <row r="183">
      <c r="A183" s="20" t="n">
        <v>182</v>
      </c>
      <c r="B183" s="8" t="inlineStr">
        <is>
          <t>PSV-73 Vytápění</t>
        </is>
      </c>
      <c r="C183" s="8" t="inlineStr">
        <is>
          <t>Rozvody otopné soustavy</t>
        </is>
      </c>
      <c r="D183" s="20" t="inlineStr">
        <is>
          <t>733111021</t>
        </is>
      </c>
      <c r="E183" s="8" t="inlineStr">
        <is>
          <t>Rozvody otopné soustavy Cu/PEX k vnitřním jednotkám TČ + radiátorům pro doplňkové (cca 100 bm odhad)</t>
        </is>
      </c>
      <c r="F183" s="20" t="inlineStr">
        <is>
          <t>bm</t>
        </is>
      </c>
      <c r="G183" s="22" t="n">
        <v>100</v>
      </c>
      <c r="H183" s="10" t="n"/>
      <c r="I183" s="10" t="n"/>
      <c r="J183" s="8" t="inlineStr">
        <is>
          <t>topenar</t>
        </is>
      </c>
      <c r="K183" s="24" t="n">
        <v>0.75</v>
      </c>
      <c r="L183" s="20" t="inlineStr">
        <is>
          <t>needs_production_lookup</t>
        </is>
      </c>
      <c r="M183" s="8" t="inlineStr">
        <is>
          <t>TZ ARS dům §4 — rozvody otopné soustavy</t>
        </is>
      </c>
      <c r="N183" s="20" t="inlineStr">
        <is>
          <t>#6</t>
        </is>
      </c>
      <c r="O183" s="26" t="inlineStr">
        <is>
          <t>ANO</t>
        </is>
      </c>
    </row>
    <row r="184">
      <c r="A184" s="20" t="n">
        <v>183</v>
      </c>
      <c r="B184" s="8" t="inlineStr">
        <is>
          <t>VRN — BOZP</t>
        </is>
      </c>
      <c r="C184" s="8" t="inlineStr">
        <is>
          <t>Koordinace BOZP</t>
        </is>
      </c>
      <c r="D184" s="20" t="inlineStr">
        <is>
          <t>030091000</t>
        </is>
      </c>
      <c r="E184" s="8" t="inlineStr">
        <is>
          <t>Koordinátor BOZP na staveništi dle zákona 309/2006 Sb. — pro stavbu s více než jedním zhotovitelem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VRN_management</t>
        </is>
      </c>
      <c r="K184" s="24" t="n">
        <v>0.99</v>
      </c>
      <c r="L184" s="20" t="inlineStr">
        <is>
          <t>needs_production_lookup</t>
        </is>
      </c>
      <c r="M184" s="8" t="inlineStr">
        <is>
          <t>Zákon 309/2006 Sb. — povinný BOZP koordinátor pro vícezhotovitelskou stavbu</t>
        </is>
      </c>
      <c r="N184" s="20" t="inlineStr">
        <is>
          <t>#10</t>
        </is>
      </c>
      <c r="O184" s="26" t="inlineStr">
        <is>
          <t>ANO</t>
        </is>
      </c>
    </row>
    <row r="185">
      <c r="A185" s="20" t="n">
        <v>184</v>
      </c>
      <c r="B185" s="8" t="inlineStr">
        <is>
          <t>VRN — Dokumentace</t>
        </is>
      </c>
      <c r="C185" s="8" t="inlineStr">
        <is>
          <t>Předávací protokoly + DSP</t>
        </is>
      </c>
      <c r="D185" s="20" t="inlineStr">
        <is>
          <t>030151000</t>
        </is>
      </c>
      <c r="E185" s="8" t="inlineStr">
        <is>
          <t>Předávací protokoly + Dokumentace skutečného provedení (DSP) — sestavení, vázání, dodávka 2× tiskem + elektronická verze</t>
        </is>
      </c>
      <c r="F185" s="20" t="inlineStr">
        <is>
          <t>kpl</t>
        </is>
      </c>
      <c r="G185" s="23" t="n">
        <v>1</v>
      </c>
      <c r="H185" s="10" t="n"/>
      <c r="I185" s="10" t="n"/>
      <c r="J185" s="8" t="inlineStr">
        <is>
          <t>VRN_management</t>
        </is>
      </c>
      <c r="K185" s="24" t="n">
        <v>0.99</v>
      </c>
      <c r="L185" s="20" t="inlineStr">
        <is>
          <t>needs_production_lookup</t>
        </is>
      </c>
      <c r="M185" s="8" t="inlineStr">
        <is>
          <t>Vyhláška 499/2006 Sb. + ČKAIT — DSP povinná pro kolaudaci</t>
        </is>
      </c>
      <c r="N185" s="20" t="inlineStr">
        <is>
          <t>—</t>
        </is>
      </c>
      <c r="O185" s="26" t="inlineStr">
        <is>
          <t>ANO</t>
        </is>
      </c>
    </row>
    <row r="186">
      <c r="A186" s="20" t="n">
        <v>185</v>
      </c>
      <c r="B186" s="8" t="inlineStr">
        <is>
          <t>VRN — Doprava + odpad</t>
        </is>
      </c>
      <c r="C186" s="8" t="inlineStr">
        <is>
          <t>Kontejnery suti tříděné</t>
        </is>
      </c>
      <c r="D186" s="20" t="inlineStr">
        <is>
          <t>997013211</t>
        </is>
      </c>
      <c r="E186" s="8" t="inlineStr">
        <is>
          <t>Kontejnery na suť tříděnou velkoobjemové (beton/cihly, dřevo, kovy, EPS, sádra, směs) — pronájem + svozy</t>
        </is>
      </c>
      <c r="F186" s="20" t="inlineStr">
        <is>
          <t>ks</t>
        </is>
      </c>
      <c r="G186" s="23" t="n">
        <v>7</v>
      </c>
      <c r="H186" s="10" t="n"/>
      <c r="I186" s="10" t="n"/>
      <c r="J186" s="8" t="inlineStr">
        <is>
          <t>bourani_demolice</t>
        </is>
      </c>
      <c r="K186" s="24" t="n">
        <v>0.85</v>
      </c>
      <c r="L186" s="20" t="inlineStr">
        <is>
          <t>needs_production_lookup</t>
        </is>
      </c>
      <c r="M186" s="8" t="inlineStr">
        <is>
          <t>TZ B m.10.e: beton/cihly 46 t + dřevo 9 t + kovy 0.1 + EPS 0.1 + sádra 0.2 + směs 1.0</t>
        </is>
      </c>
      <c r="N186" s="20" t="inlineStr">
        <is>
          <t>#9, #10</t>
        </is>
      </c>
      <c r="O186" s="26" t="inlineStr">
        <is>
          <t>ANO</t>
        </is>
      </c>
    </row>
    <row r="187">
      <c r="A187" s="20" t="n">
        <v>186</v>
      </c>
      <c r="B187" s="8" t="inlineStr">
        <is>
          <t>VRN — Doprava + odpad</t>
        </is>
      </c>
      <c r="C187" s="8" t="inlineStr">
        <is>
          <t>Doprava materiálu</t>
        </is>
      </c>
      <c r="D187" s="20" t="inlineStr">
        <is>
          <t>031031000</t>
        </is>
      </c>
      <c r="E187" s="8" t="inlineStr">
        <is>
          <t>Doprava materiálu na stavbu (centrální koordinace) — paušál ~2-3 % z PN materiál</t>
        </is>
      </c>
      <c r="F187" s="20" t="inlineStr">
        <is>
          <t>paušál</t>
        </is>
      </c>
      <c r="G187" s="23" t="n">
        <v>1</v>
      </c>
      <c r="H187" s="10" t="n"/>
      <c r="I187" s="10" t="n"/>
      <c r="J187" s="8" t="inlineStr">
        <is>
          <t>VRN_management</t>
        </is>
      </c>
      <c r="K187" s="24" t="n">
        <v>0.8</v>
      </c>
      <c r="L187" s="20" t="inlineStr">
        <is>
          <t>needs_production_lookup</t>
        </is>
      </c>
      <c r="M187" s="8" t="inlineStr">
        <is>
          <t>B4_productivity — standard doprava RD městská zástavba</t>
        </is>
      </c>
      <c r="N187" s="20" t="inlineStr">
        <is>
          <t>#10</t>
        </is>
      </c>
      <c r="O187" s="26" t="inlineStr">
        <is>
          <t>ANO</t>
        </is>
      </c>
    </row>
    <row r="188">
      <c r="A188" s="20" t="n">
        <v>187</v>
      </c>
      <c r="B188" s="8" t="inlineStr">
        <is>
          <t>VRN — Doprava + odpad</t>
        </is>
      </c>
      <c r="C188" s="8" t="inlineStr">
        <is>
          <t>Likvidace odpadů 56.9 t</t>
        </is>
      </c>
      <c r="D188" s="20" t="inlineStr">
        <is>
          <t>997013211</t>
        </is>
      </c>
      <c r="E188" s="8" t="inlineStr">
        <is>
          <t>Likvidace stavební suti dle vyhl. 8/2021 Sb. — skládkovné + recyklace + třídění (56.9 t celkem per TZ B m.10.e)</t>
        </is>
      </c>
      <c r="F188" s="20" t="inlineStr">
        <is>
          <t>t</t>
        </is>
      </c>
      <c r="G188" s="22" t="n">
        <v>56.9</v>
      </c>
      <c r="H188" s="10" t="n"/>
      <c r="I188" s="10" t="n"/>
      <c r="J188" s="8" t="inlineStr">
        <is>
          <t>bourani_demolice</t>
        </is>
      </c>
      <c r="K188" s="24" t="n">
        <v>0.85</v>
      </c>
      <c r="L188" s="20" t="inlineStr">
        <is>
          <t>needs_production_lookup</t>
        </is>
      </c>
      <c r="M188" s="8" t="inlineStr">
        <is>
          <t>TZ B m.10.e bilance odpadů celkem dům</t>
        </is>
      </c>
      <c r="N188" s="20" t="inlineStr">
        <is>
          <t>#9, #10</t>
        </is>
      </c>
      <c r="O188" s="26" t="inlineStr">
        <is>
          <t>ANO</t>
        </is>
      </c>
    </row>
    <row r="189">
      <c r="A189" s="20" t="n">
        <v>188</v>
      </c>
      <c r="B189" s="8" t="inlineStr">
        <is>
          <t>VRN — Geodet</t>
        </is>
      </c>
      <c r="C189" s="8" t="inlineStr">
        <is>
          <t>Geodetické zaměření před + po realizaci</t>
        </is>
      </c>
      <c r="D189" s="20" t="inlineStr">
        <is>
          <t>030141000</t>
        </is>
      </c>
      <c r="E189" s="8" t="inlineStr">
        <is>
          <t>Geodetické zaměření před realizací (verifikace polohopis + výškopis) + po dokončení (zaměření skutečného provedení pro kolaudaci)</t>
        </is>
      </c>
      <c r="F189" s="20" t="inlineStr">
        <is>
          <t>kpl</t>
        </is>
      </c>
      <c r="G189" s="23" t="n">
        <v>2</v>
      </c>
      <c r="H189" s="10" t="n"/>
      <c r="I189" s="10" t="n"/>
      <c r="J189" s="8" t="inlineStr">
        <is>
          <t>geodet</t>
        </is>
      </c>
      <c r="K189" s="24" t="n">
        <v>0.99</v>
      </c>
      <c r="L189" s="20" t="inlineStr">
        <is>
          <t>needs_production_lookup</t>
        </is>
      </c>
      <c r="M189" s="8" t="inlineStr">
        <is>
          <t>Standard — geodet před+po pro každou stavbu</t>
        </is>
      </c>
      <c r="N189" s="20" t="inlineStr">
        <is>
          <t>—</t>
        </is>
      </c>
      <c r="O189" s="26" t="inlineStr">
        <is>
          <t>ANO</t>
        </is>
      </c>
    </row>
    <row r="190">
      <c r="A190" s="20" t="n">
        <v>189</v>
      </c>
      <c r="B190" s="8" t="inlineStr">
        <is>
          <t>VRN — Kolaudace</t>
        </is>
      </c>
      <c r="C190" s="8" t="inlineStr">
        <is>
          <t>Kolaudační řízení</t>
        </is>
      </c>
      <c r="D190" s="20" t="inlineStr">
        <is>
          <t>030171000</t>
        </is>
      </c>
      <c r="E190" s="8" t="inlineStr">
        <is>
          <t>Kolaudační řízení — paušál (správní poplatky + součinnost) dle zákona 183/2006 Sb.</t>
        </is>
      </c>
      <c r="F190" s="20" t="inlineStr">
        <is>
          <t>paušál</t>
        </is>
      </c>
      <c r="G190" s="23" t="n">
        <v>1</v>
      </c>
      <c r="H190" s="10" t="n"/>
      <c r="I190" s="10" t="n"/>
      <c r="J190" s="8" t="inlineStr">
        <is>
          <t>VRN_management</t>
        </is>
      </c>
      <c r="K190" s="24" t="n">
        <v>0.99</v>
      </c>
      <c r="L190" s="20" t="inlineStr">
        <is>
          <t>needs_production_lookup</t>
        </is>
      </c>
      <c r="M190" s="8" t="inlineStr">
        <is>
          <t>Zákon 183/2006 Sb. + vyhl. 499/2006 Sb.</t>
        </is>
      </c>
      <c r="N190" s="20" t="inlineStr">
        <is>
          <t>—</t>
        </is>
      </c>
      <c r="O190" s="26" t="inlineStr">
        <is>
          <t>ANO</t>
        </is>
      </c>
    </row>
    <row r="191">
      <c r="A191" s="20" t="n">
        <v>190</v>
      </c>
      <c r="B191" s="8" t="inlineStr">
        <is>
          <t>VRN — Lešení</t>
        </is>
      </c>
      <c r="C191" s="8" t="inlineStr">
        <is>
          <t>Fasádní lešení (ETICS + krov + klempířina)</t>
        </is>
      </c>
      <c r="D191" s="20" t="inlineStr">
        <is>
          <t>—</t>
        </is>
      </c>
      <c r="E191" s="8" t="inlineStr">
        <is>
          <t>Fasádní lešení trubkové/rámové vč. montáže + pronájmu + demontáže — pro provedení ETICS fasády, krovu a klempířiny po obvodu domu (výška 13 m)</t>
        </is>
      </c>
      <c r="F191" s="20" t="inlineStr">
        <is>
          <t>m²</t>
        </is>
      </c>
      <c r="G191" s="22" t="n">
        <v>503.1</v>
      </c>
      <c r="H191" s="10" t="n"/>
      <c r="I191" s="10" t="n"/>
      <c r="J191" s="8" t="inlineStr">
        <is>
          <t>VRN_management</t>
        </is>
      </c>
      <c r="K191" s="24" t="n">
        <v>0.8</v>
      </c>
      <c r="L191" s="20" t="inlineStr">
        <is>
          <t>needs_production_lookup</t>
        </is>
      </c>
      <c r="M191" s="8" t="inlineStr">
        <is>
          <t>anchor checklist PM02 — technical necessity (ETICS 276.7 m² nelze provést bez lešení, 941xxx URS família) + DXF obvod 38.7 m + řez výška 13 m</t>
        </is>
      </c>
      <c r="N191" s="20" t="inlineStr">
        <is>
          <t>—</t>
        </is>
      </c>
      <c r="O191" s="26" t="inlineStr">
        <is>
          <t>ANO</t>
        </is>
      </c>
    </row>
    <row r="192">
      <c r="A192" s="20" t="n">
        <v>191</v>
      </c>
      <c r="B192" s="8" t="inlineStr">
        <is>
          <t>VRN — Pojištění + zábory</t>
        </is>
      </c>
      <c r="C192" s="8" t="inlineStr">
        <is>
          <t>Pojištění stavby (montážní + odpovědnostní)</t>
        </is>
      </c>
      <c r="D192" s="20" t="inlineStr">
        <is>
          <t>030081000</t>
        </is>
      </c>
      <c r="E192" s="8" t="inlineStr">
        <is>
          <t>Montážní pojištění stavby (CAR) + pojištění odpovědnosti za škodu (zhotovitel) — paušál cca 0.3-0.5 % z PN</t>
        </is>
      </c>
      <c r="F192" s="20" t="inlineStr">
        <is>
          <t>paušál</t>
        </is>
      </c>
      <c r="G192" s="23" t="n">
        <v>1</v>
      </c>
      <c r="H192" s="10" t="n"/>
      <c r="I192" s="10" t="n"/>
      <c r="J192" s="8" t="inlineStr">
        <is>
          <t>VRN_management</t>
        </is>
      </c>
      <c r="K192" s="24" t="n">
        <v>0.99</v>
      </c>
      <c r="L192" s="20" t="inlineStr">
        <is>
          <t>needs_production_lookup</t>
        </is>
      </c>
      <c r="M192" s="8" t="inlineStr">
        <is>
          <t>Standard zhotovitel — pojistná povinnost</t>
        </is>
      </c>
      <c r="N192" s="20" t="inlineStr">
        <is>
          <t>#10</t>
        </is>
      </c>
      <c r="O192" s="26" t="inlineStr">
        <is>
          <t>ANO</t>
        </is>
      </c>
    </row>
    <row r="193">
      <c r="A193" s="20" t="n">
        <v>192</v>
      </c>
      <c r="B193" s="8" t="inlineStr">
        <is>
          <t>VRN — Pojištění + zábory</t>
        </is>
      </c>
      <c r="C193" s="8" t="inlineStr">
        <is>
          <t>Krátkodobé zábory ul. Fibichova</t>
        </is>
      </c>
      <c r="D193" s="20" t="inlineStr">
        <is>
          <t>030083000</t>
        </is>
      </c>
      <c r="E193" s="8" t="inlineStr">
        <is>
          <t>Krátkodobé zábory ulice Fibichova pro materiál a kontejnery (povolení MU Jáchymov + DI) — odhad 30 dnů kumulativně</t>
        </is>
      </c>
      <c r="F193" s="20" t="inlineStr">
        <is>
          <t>kpl</t>
        </is>
      </c>
      <c r="G193" s="23" t="n">
        <v>1</v>
      </c>
      <c r="H193" s="10" t="n"/>
      <c r="I193" s="10" t="n"/>
      <c r="J193" s="8" t="inlineStr">
        <is>
          <t>VRN_management</t>
        </is>
      </c>
      <c r="K193" s="24" t="n">
        <v>0.75</v>
      </c>
      <c r="L193" s="20" t="inlineStr">
        <is>
          <t>needs_production_lookup</t>
        </is>
      </c>
      <c r="M193" s="8" t="inlineStr">
        <is>
          <t>TZ B m.10 + situace — řadovka ul. Fibichova</t>
        </is>
      </c>
      <c r="N193" s="20" t="inlineStr">
        <is>
          <t>#10</t>
        </is>
      </c>
      <c r="O193" s="26" t="inlineStr">
        <is>
          <t>ANO</t>
        </is>
      </c>
    </row>
    <row r="194">
      <c r="A194" s="20" t="n">
        <v>193</v>
      </c>
      <c r="B194" s="8" t="inlineStr">
        <is>
          <t>VRN — Průzkumy</t>
        </is>
      </c>
      <c r="C194" s="8" t="inlineStr">
        <is>
          <t>Mykologický průzkum dřeva při bourání</t>
        </is>
      </c>
      <c r="D194" s="20" t="inlineStr">
        <is>
          <t>030131000</t>
        </is>
      </c>
      <c r="E194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mykolog</t>
        </is>
      </c>
      <c r="K194" s="24" t="n">
        <v>0.85</v>
      </c>
      <c r="L194" s="20" t="inlineStr">
        <is>
          <t>needs_production_lookup</t>
        </is>
      </c>
      <c r="M194" s="8" t="inlineStr">
        <is>
          <t>TZ ARS dům §3.2.3 + POZN.2.05 z půdorysů návrh + řez A-A návrh (explicit dřevokazný hmyz scope per drawing wording)</t>
        </is>
      </c>
      <c r="N194" s="20" t="inlineStr">
        <is>
          <t>#10</t>
        </is>
      </c>
      <c r="O194" s="26" t="inlineStr">
        <is>
          <t>ANO</t>
        </is>
      </c>
    </row>
    <row r="195">
      <c r="A195" s="20" t="n">
        <v>194</v>
      </c>
      <c r="B195" s="8" t="inlineStr">
        <is>
          <t>VRN — Průzkumy</t>
        </is>
      </c>
      <c r="C195" s="8" t="inlineStr">
        <is>
          <t>Azbestový průzkum podrobný před demolicí</t>
        </is>
      </c>
      <c r="D195" s="20" t="inlineStr">
        <is>
          <t>030133000</t>
        </is>
      </c>
      <c r="E195" s="8" t="inlineStr">
        <is>
          <t>Azbestový průzkum podrobný před demolicí — laboratorní vzorky a posudek (B kap. m.7.a předběžně negativní, ale podrobný před bouráním povinný)</t>
        </is>
      </c>
      <c r="F195" s="20" t="inlineStr">
        <is>
          <t>kpl</t>
        </is>
      </c>
      <c r="G195" s="23" t="n">
        <v>1</v>
      </c>
      <c r="H195" s="10" t="n"/>
      <c r="I195" s="10" t="n"/>
      <c r="J195" s="8" t="inlineStr">
        <is>
          <t>azbestovy_specialista</t>
        </is>
      </c>
      <c r="K195" s="24" t="n">
        <v>0.85</v>
      </c>
      <c r="L195" s="20" t="inlineStr">
        <is>
          <t>needs_production_lookup</t>
        </is>
      </c>
      <c r="M195" s="8" t="inlineStr">
        <is>
          <t>TZ B m.7.a + ARS §3.2 — azbestový průzkum povinný před demolicí</t>
        </is>
      </c>
      <c r="N195" s="20" t="inlineStr">
        <is>
          <t>#10</t>
        </is>
      </c>
      <c r="O195" s="26" t="inlineStr">
        <is>
          <t>ANO</t>
        </is>
      </c>
    </row>
    <row r="196">
      <c r="A196" s="20" t="n">
        <v>195</v>
      </c>
      <c r="B196" s="8" t="inlineStr">
        <is>
          <t>VRN — Přesun hmot</t>
        </is>
      </c>
      <c r="C196" s="8" t="inlineStr">
        <is>
          <t>Přesun hmot pro budovu</t>
        </is>
      </c>
      <c r="D196" s="20" t="inlineStr">
        <is>
          <t>—</t>
        </is>
      </c>
      <c r="E196" s="8" t="inlineStr">
        <is>
          <t>Přesun hmot pro budovu — vnitrostaveništní vertikální + horizontální doprava materiálu a hmot (rekonstrukce vícepodlažní RD + nástavba 3.NP)</t>
        </is>
      </c>
      <c r="F196" s="20" t="inlineStr">
        <is>
          <t>t</t>
        </is>
      </c>
      <c r="G196" s="22" t="n">
        <v>0</v>
      </c>
      <c r="H196" s="10" t="n"/>
      <c r="I196" s="10" t="n"/>
      <c r="J196" s="8" t="inlineStr">
        <is>
          <t>VRN_management</t>
        </is>
      </c>
      <c r="K196" s="24" t="n">
        <v>0.6</v>
      </c>
      <c r="L196" s="20" t="inlineStr">
        <is>
          <t>needs_production_lookup</t>
        </is>
      </c>
      <c r="M196" s="8" t="inlineStr">
        <is>
          <t>anchor checklist PM01 — technical necessity (povinná položka každého rozpočtu, 998xxx URS família)</t>
        </is>
      </c>
      <c r="N196" s="20" t="inlineStr">
        <is>
          <t>—</t>
        </is>
      </c>
      <c r="O196" s="26" t="inlineStr">
        <is>
          <t>ANO</t>
        </is>
      </c>
    </row>
    <row r="197">
      <c r="A197" s="20" t="n">
        <v>196</v>
      </c>
      <c r="B197" s="8" t="inlineStr">
        <is>
          <t>VRN — Revize</t>
        </is>
      </c>
      <c r="C197" s="8" t="inlineStr">
        <is>
          <t>Revize hydrantu vnějšího</t>
        </is>
      </c>
      <c r="D197" s="20" t="inlineStr">
        <is>
          <t>030161000</t>
        </is>
      </c>
      <c r="E197" s="8" t="inlineStr">
        <is>
          <t>Revize vnějšího hydrantu pro požární zabezpečení (DN min. 80, vzdálenost 100 m dle TZ PBŘ) — periodická kontrola</t>
        </is>
      </c>
      <c r="F197" s="20" t="inlineStr">
        <is>
          <t>kpl</t>
        </is>
      </c>
      <c r="G197" s="23" t="n">
        <v>1</v>
      </c>
      <c r="H197" s="10" t="n"/>
      <c r="I197" s="10" t="n"/>
      <c r="J197" s="8" t="inlineStr">
        <is>
          <t>revize_specialista</t>
        </is>
      </c>
      <c r="K197" s="24" t="n">
        <v>0.85</v>
      </c>
      <c r="L197" s="20" t="inlineStr">
        <is>
          <t>needs_production_lookup</t>
        </is>
      </c>
      <c r="M197" s="8" t="inlineStr">
        <is>
          <t>TZ PBŘ dům — vnější odběrné místo požární vody, revize před kolaudací</t>
        </is>
      </c>
      <c r="N197" s="20" t="inlineStr">
        <is>
          <t>—</t>
        </is>
      </c>
      <c r="O197" s="26" t="inlineStr">
        <is>
          <t>ANO</t>
        </is>
      </c>
    </row>
    <row r="198">
      <c r="A198" s="20" t="n">
        <v>197</v>
      </c>
      <c r="B198" s="8" t="inlineStr">
        <is>
          <t>VRN — Zařízení staveniště</t>
        </is>
      </c>
      <c r="C198" s="8" t="inlineStr">
        <is>
          <t>Buňky kancelář + sociální</t>
        </is>
      </c>
      <c r="D198" s="20" t="inlineStr">
        <is>
          <t>030011000</t>
        </is>
      </c>
      <c r="E198" s="8" t="inlineStr">
        <is>
          <t>Zařízení staveniště — buňka kancelář + sociální buňka (WC + šatna), pronájem ~8 měsíců</t>
        </is>
      </c>
      <c r="F198" s="20" t="inlineStr">
        <is>
          <t>kpl-měs</t>
        </is>
      </c>
      <c r="G198" s="23" t="n">
        <v>8</v>
      </c>
      <c r="H198" s="10" t="n"/>
      <c r="I198" s="10" t="n"/>
      <c r="J198" s="8" t="inlineStr">
        <is>
          <t>VRN_management</t>
        </is>
      </c>
      <c r="K198" s="24" t="n">
        <v>0.8</v>
      </c>
      <c r="L198" s="20" t="inlineStr">
        <is>
          <t>needs_production_lookup</t>
        </is>
      </c>
      <c r="M198" s="8" t="inlineStr">
        <is>
          <t>TZ B m.1.m realizace 2026-2027 + standard staveniště RD městská zástavba</t>
        </is>
      </c>
      <c r="N198" s="20" t="inlineStr">
        <is>
          <t>#10</t>
        </is>
      </c>
      <c r="O198" s="26" t="inlineStr">
        <is>
          <t>ANO</t>
        </is>
      </c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Mobilní WC</t>
        </is>
      </c>
      <c r="D199" s="20" t="inlineStr">
        <is>
          <t>030013000</t>
        </is>
      </c>
      <c r="E199" s="8" t="inlineStr">
        <is>
          <t>Mobilní chemické WC TOI TOI pro pracovníky — pronájem ~8 měsíců</t>
        </is>
      </c>
      <c r="F199" s="20" t="inlineStr">
        <is>
          <t>ks-měs</t>
        </is>
      </c>
      <c r="G199" s="23" t="n">
        <v>8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BOZP — mobilní WC povinné pro stavbu RD</t>
        </is>
      </c>
      <c r="N199" s="20" t="inlineStr">
        <is>
          <t>#10</t>
        </is>
      </c>
      <c r="O199" s="26" t="inlineStr">
        <is>
          <t>ANO</t>
        </is>
      </c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El. odběr + vodovodní odběr stavby</t>
        </is>
      </c>
      <c r="D200" s="20" t="inlineStr">
        <is>
          <t>031011000</t>
        </is>
      </c>
      <c r="E200" s="8" t="inlineStr">
        <is>
          <t>El. odběr stavby (zřízení staveništního rozvaděče + měřič) + vodovodní odběr (zřízení staveništní přípojky + vodoměr) — ~8 měsíců</t>
        </is>
      </c>
      <c r="F200" s="20" t="inlineStr">
        <is>
          <t>kpl</t>
        </is>
      </c>
      <c r="G200" s="23" t="n">
        <v>1</v>
      </c>
      <c r="H200" s="10" t="n"/>
      <c r="I200" s="10" t="n"/>
      <c r="J200" s="8" t="inlineStr">
        <is>
          <t>VRN_management</t>
        </is>
      </c>
      <c r="K200" s="24" t="n">
        <v>0.8</v>
      </c>
      <c r="L200" s="20" t="inlineStr">
        <is>
          <t>needs_production_lookup</t>
        </is>
      </c>
      <c r="M200" s="8" t="inlineStr">
        <is>
          <t>Standard staveniště — el. + voda zřízení a odběr po dobu stavby</t>
        </is>
      </c>
      <c r="N200" s="20" t="inlineStr">
        <is>
          <t>#10</t>
        </is>
      </c>
      <c r="O200" s="26" t="inlineStr">
        <is>
          <t>ANO</t>
        </is>
      </c>
    </row>
    <row r="201">
      <c r="A201" s="20" t="n">
        <v>200</v>
      </c>
      <c r="B201" s="8" t="inlineStr">
        <is>
          <t>VRN — Zařízení staveniště</t>
        </is>
      </c>
      <c r="C201" s="8" t="inlineStr">
        <is>
          <t>Voda staveniště</t>
        </is>
      </c>
      <c r="D201" s="20" t="inlineStr">
        <is>
          <t>012103101</t>
        </is>
      </c>
      <c r="E201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1" s="20" t="inlineStr">
        <is>
          <t>kpl</t>
        </is>
      </c>
      <c r="G201" s="23" t="n">
        <v>1</v>
      </c>
      <c r="H201" s="10" t="n"/>
      <c r="I201" s="10" t="n"/>
      <c r="J201" s="8" t="inlineStr">
        <is>
          <t>VRN_management</t>
        </is>
      </c>
      <c r="K201" s="24" t="n">
        <v>0.9</v>
      </c>
      <c r="L201" s="20" t="inlineStr">
        <is>
          <t>needs_production_lookup</t>
        </is>
      </c>
      <c r="M201" s="8" t="inlineStr">
        <is>
          <t>TZ B Souhrnná m.5 — 'Stávající vodovodní přípojka z veřejného vodovodu'</t>
        </is>
      </c>
      <c r="N201" s="20" t="inlineStr">
        <is>
          <t>—</t>
        </is>
      </c>
      <c r="O201" s="26" t="inlineStr">
        <is>
          <t>ANO</t>
        </is>
      </c>
    </row>
    <row r="202">
      <c r="A202" s="20" t="n">
        <v>201</v>
      </c>
      <c r="B202" s="8" t="inlineStr">
        <is>
          <t>M-21 ELI silnoproud</t>
        </is>
      </c>
      <c r="C202" s="8" t="inlineStr">
        <is>
          <t>Hlavní vypínač TOTAL STOP + požární značení</t>
        </is>
      </c>
      <c r="D202" s="20" t="inlineStr">
        <is>
          <t>—</t>
        </is>
      </c>
      <c r="E202" s="8" t="inlineStr">
        <is>
          <t>Hlavní vypínač elektrické energie TOTAL STOP + požární značení rozvodného zařízení a uzávěrů (voda/elektro)</t>
        </is>
      </c>
      <c r="F202" s="20" t="inlineStr">
        <is>
          <t>soubor</t>
        </is>
      </c>
      <c r="G202" s="23" t="n">
        <v>1</v>
      </c>
      <c r="H202" s="10" t="n"/>
      <c r="I202" s="10" t="n"/>
      <c r="J202" s="8" t="inlineStr">
        <is>
          <t>elektrikar</t>
        </is>
      </c>
      <c r="K202" s="24" t="n">
        <v>0.8</v>
      </c>
      <c r="L202" s="20" t="inlineStr">
        <is>
          <t>needs_production_lookup</t>
        </is>
      </c>
      <c r="M202" s="8" t="inlineStr">
        <is>
          <t>PBŘ D.3 §16.05/16.06</t>
        </is>
      </c>
      <c r="N202" s="20" t="inlineStr">
        <is>
          <t>—</t>
        </is>
      </c>
      <c r="O202" s="26" t="inlineStr">
        <is>
          <t>ANO</t>
        </is>
      </c>
    </row>
    <row r="203">
      <c r="A203" s="20" t="n">
        <v>202</v>
      </c>
      <c r="B203" s="8" t="inlineStr">
        <is>
          <t>M-24 VZT</t>
        </is>
      </c>
      <c r="C203" s="8" t="inlineStr">
        <is>
          <t>Lokální odtah digestoří kuchyní</t>
        </is>
      </c>
      <c r="D203" s="20" t="inlineStr">
        <is>
          <t>—</t>
        </is>
      </c>
      <c r="E203" s="8" t="inlineStr">
        <is>
          <t>Lokální odtah digestoří kuchyní (1.NP + 3.NP) — dodávka + montáž digestoře + prostup fasádou/střechou + zpětná klapka</t>
        </is>
      </c>
      <c r="F203" s="20" t="inlineStr">
        <is>
          <t>ks</t>
        </is>
      </c>
      <c r="G203" s="23" t="n">
        <v>2</v>
      </c>
      <c r="H203" s="10" t="n"/>
      <c r="I203" s="10" t="n"/>
      <c r="J203" s="8" t="inlineStr">
        <is>
          <t>vzduchotechnik</t>
        </is>
      </c>
      <c r="K203" s="24" t="n">
        <v>0.7</v>
      </c>
      <c r="L203" s="20" t="inlineStr">
        <is>
          <t>needs_production_lookup</t>
        </is>
      </c>
      <c r="M203" s="8" t="inlineStr">
        <is>
          <t>B zpráva — VZT: obytné místnosti větrání okny, kuchyně lokální odtah digestoří</t>
        </is>
      </c>
      <c r="N203" s="20" t="inlineStr">
        <is>
          <t>—</t>
        </is>
      </c>
      <c r="O203" s="26" t="inlineStr">
        <is>
          <t>ANO</t>
        </is>
      </c>
    </row>
  </sheetData>
  <autoFilter ref="A1:O203"/>
  <conditionalFormatting sqref="K2:K203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7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HSV-5 Komunikace + vjezd</t>
        </is>
      </c>
      <c r="C24" s="8" t="inlineStr">
        <is>
          <t>Vjezd Dvořákova — napojení na komunikaci</t>
        </is>
      </c>
      <c r="D24" s="20" t="inlineStr">
        <is>
          <t>—</t>
        </is>
      </c>
      <c r="E24" s="8" t="inlineStr">
        <is>
          <t>Napojení vjezdu na ulici Dvořákova — vydláždění z betonových dlaždic + spádování na pozemek investora + odvodnění dešťové vody na pozemek (ne na komunikaci)</t>
        </is>
      </c>
      <c r="F24" s="20" t="inlineStr">
        <is>
          <t>m²</t>
        </is>
      </c>
      <c r="G24" s="22" t="n"/>
      <c r="H24" s="10" t="n"/>
      <c r="I24" s="10" t="n"/>
      <c r="J24" s="8" t="inlineStr">
        <is>
          <t>komunikace</t>
        </is>
      </c>
      <c r="K24" s="24" t="n">
        <v>0</v>
      </c>
      <c r="L24" s="20" t="inlineStr">
        <is>
          <t>needs_production_lookup</t>
        </is>
      </c>
      <c r="M24" s="8" t="inlineStr">
        <is>
          <t>Dodatek PD č.1 (E.01) / DI PČR požadavek</t>
        </is>
      </c>
      <c r="N24" s="20" t="inlineStr">
        <is>
          <t>—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PSV-76 Výplně otvorů</t>
        </is>
      </c>
      <c r="C25" s="8" t="inlineStr">
        <is>
          <t>Bezpečnostní dveře RC3 sklad</t>
        </is>
      </c>
      <c r="D25" s="20" t="inlineStr">
        <is>
          <t>766682111</t>
        </is>
      </c>
      <c r="E25" s="8" t="inlineStr">
        <is>
          <t>Bezpečnostní dveře RC3 v ocelové zárubni — vrata skladu (TZ statika §1.4 RC3 certifikované)</t>
        </is>
      </c>
      <c r="F25" s="20" t="inlineStr">
        <is>
          <t>ks</t>
        </is>
      </c>
      <c r="G25" s="23" t="n">
        <v>1</v>
      </c>
      <c r="H25" s="10" t="n"/>
      <c r="I25" s="10" t="n"/>
      <c r="J25" s="8" t="inlineStr">
        <is>
          <t>specialista_RC3_dvere</t>
        </is>
      </c>
      <c r="K25" s="24" t="n">
        <v>0.85</v>
      </c>
      <c r="L25" s="20" t="inlineStr">
        <is>
          <t>needs_production_lookup</t>
        </is>
      </c>
      <c r="M25" s="8" t="inlineStr">
        <is>
          <t>TZ statika sklad §1.4 — RC3 bezpečnostní dveře v ocelové zárubni</t>
        </is>
      </c>
      <c r="N25" s="20" t="inlineStr">
        <is>
          <t>—</t>
        </is>
      </c>
      <c r="O25" s="26" t="inlineStr">
        <is>
          <t>ANO</t>
        </is>
      </c>
    </row>
    <row r="26">
      <c r="A26" s="20" t="n">
        <v>25</v>
      </c>
      <c r="B26" s="8" t="inlineStr">
        <is>
          <t>PSV-76 Zámečnictví</t>
        </is>
      </c>
      <c r="C26" s="8" t="inlineStr">
        <is>
          <t>Vjezdová brána</t>
        </is>
      </c>
      <c r="D26" s="20" t="inlineStr">
        <is>
          <t>—</t>
        </is>
      </c>
      <c r="E26" s="8" t="inlineStr">
        <is>
          <t>Vjezdová brána na pozemku investora (ocelová) — dodávka + montáž</t>
        </is>
      </c>
      <c r="F26" s="20" t="inlineStr">
        <is>
          <t>ks</t>
        </is>
      </c>
      <c r="G26" s="23" t="n">
        <v>1</v>
      </c>
      <c r="H26" s="10" t="n"/>
      <c r="I26" s="10" t="n"/>
      <c r="J26" s="8" t="inlineStr">
        <is>
          <t>zamecnik</t>
        </is>
      </c>
      <c r="K26" s="24" t="n">
        <v>0.6</v>
      </c>
      <c r="L26" s="20" t="inlineStr">
        <is>
          <t>needs_production_lookup</t>
        </is>
      </c>
      <c r="M26" s="8" t="inlineStr">
        <is>
          <t>Dodatek PD č.1 (E.01)</t>
        </is>
      </c>
      <c r="N26" s="20" t="inlineStr">
        <is>
          <t>—</t>
        </is>
      </c>
      <c r="O26" s="26" t="inlineStr">
        <is>
          <t>ANO</t>
        </is>
      </c>
    </row>
    <row r="27">
      <c r="A27" s="20" t="n">
        <v>26</v>
      </c>
      <c r="B27" s="8" t="inlineStr">
        <is>
          <t>PSV-77 Podlahy</t>
        </is>
      </c>
      <c r="C27" s="8" t="inlineStr">
        <is>
          <t>Betonová dlažba sklad</t>
        </is>
      </c>
      <c r="D27" s="27" t="inlineStr">
        <is>
          <t>596??? ?</t>
        </is>
      </c>
      <c r="E27" s="8" t="inlineStr">
        <is>
          <t>Betonová dlažba do pískového lože — povrch podlahy skladu (~21 m²)</t>
        </is>
      </c>
      <c r="F27" s="20" t="inlineStr">
        <is>
          <t>m²</t>
        </is>
      </c>
      <c r="G27" s="22" t="n">
        <v>17.6</v>
      </c>
      <c r="H27" s="10" t="n"/>
      <c r="I27" s="10" t="n"/>
      <c r="J27" s="8" t="inlineStr">
        <is>
          <t>podlahar</t>
        </is>
      </c>
      <c r="K27" s="24" t="n">
        <v>0.95</v>
      </c>
      <c r="L27" s="20" t="inlineStr">
        <is>
          <t>wrong_leaf_disambiguation_needed</t>
        </is>
      </c>
      <c r="M27" s="8" t="inlineStr">
        <is>
          <t>DXF sklad_DPZ km_tabulka místností + Phase 3.5 sklad qty crosscheck (Pattern 17 Phase 0a Layer 2 + Pattern 31 CEV Matrix D.2)</t>
        </is>
      </c>
      <c r="N27" s="20" t="inlineStr">
        <is>
          <t>—</t>
        </is>
      </c>
      <c r="O27" s="28" t="inlineStr">
        <is>
          <t>LEAF CHYBNÝ — viz alternatives</t>
        </is>
      </c>
    </row>
    <row r="28">
      <c r="A28" s="20" t="n">
        <v>27</v>
      </c>
      <c r="B28" s="8" t="inlineStr">
        <is>
          <t>VRN — Doprava + odpad</t>
        </is>
      </c>
      <c r="C28" s="8" t="inlineStr">
        <is>
          <t>Doprava prefa H-BLOK auto s hyd. rukou</t>
        </is>
      </c>
      <c r="D28" s="20" t="inlineStr">
        <is>
          <t>031032000</t>
        </is>
      </c>
      <c r="E28" s="8" t="inlineStr">
        <is>
          <t>Doprava prefa H-BLOK Standard z výrobny Herkul (Obrnice) auto s hydraulickou rukou — celkem ~60 ks bloků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prefa_bloky_specialista</t>
        </is>
      </c>
      <c r="K28" s="24" t="n">
        <v>0.85</v>
      </c>
      <c r="L28" s="20" t="inlineStr">
        <is>
          <t>needs_production_lookup</t>
        </is>
      </c>
      <c r="M28" s="8" t="inlineStr">
        <is>
          <t>TZ statika sklad §4 + ARS — auto s hyd. rukou pro osazení H-BLOK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VRN — Doprava + odpad</t>
        </is>
      </c>
      <c r="C29" s="8" t="inlineStr">
        <is>
          <t>Likvidace odpadu sklad</t>
        </is>
      </c>
      <c r="D29" s="20" t="inlineStr">
        <is>
          <t>997013211</t>
        </is>
      </c>
      <c r="E29" s="8" t="inlineStr">
        <is>
          <t>Likvidace odpadu sklad — kameny ze zídek + výkop + dřevo (drobné množství)</t>
        </is>
      </c>
      <c r="F29" s="20" t="inlineStr">
        <is>
          <t>t</t>
        </is>
      </c>
      <c r="G29" s="22" t="n">
        <v>8</v>
      </c>
      <c r="H29" s="10" t="n"/>
      <c r="I29" s="10" t="n"/>
      <c r="J29" s="8" t="inlineStr">
        <is>
          <t>bourani_demolice</t>
        </is>
      </c>
      <c r="K29" s="24" t="n">
        <v>0.75</v>
      </c>
      <c r="L29" s="20" t="inlineStr">
        <is>
          <t>needs_production_lookup</t>
        </is>
      </c>
      <c r="M29" s="8" t="inlineStr">
        <is>
          <t>TZ ARS sklad §3 — kamenné zídky + schodiště odstraneny</t>
        </is>
      </c>
      <c r="N29" s="20" t="inlineStr">
        <is>
          <t>—</t>
        </is>
      </c>
      <c r="O29" s="26" t="inlineStr">
        <is>
          <t>ANO</t>
        </is>
      </c>
    </row>
    <row r="30">
      <c r="A30" s="20" t="n">
        <v>29</v>
      </c>
      <c r="B30" s="8" t="inlineStr">
        <is>
          <t>VRN — Geodet</t>
        </is>
      </c>
      <c r="C30" s="8" t="inlineStr">
        <is>
          <t>Geodetické vytýčení sklad</t>
        </is>
      </c>
      <c r="D30" s="20" t="inlineStr">
        <is>
          <t>030141000</t>
        </is>
      </c>
      <c r="E30" s="8" t="inlineStr">
        <is>
          <t>Geodetické vytýčení sklad+parking+schodiště ze situace (před realizací)</t>
        </is>
      </c>
      <c r="F30" s="20" t="inlineStr">
        <is>
          <t>kpl</t>
        </is>
      </c>
      <c r="G30" s="23" t="n">
        <v>1</v>
      </c>
      <c r="H30" s="10" t="n"/>
      <c r="I30" s="10" t="n"/>
      <c r="J30" s="8" t="inlineStr">
        <is>
          <t>geodet</t>
        </is>
      </c>
      <c r="K30" s="24" t="n">
        <v>0.99</v>
      </c>
      <c r="L30" s="20" t="inlineStr">
        <is>
          <t>needs_production_lookup</t>
        </is>
      </c>
      <c r="M30" s="8" t="inlineStr">
        <is>
          <t>Standard — geodet vytýčení pro každý nový objekt</t>
        </is>
      </c>
      <c r="N30" s="20" t="inlineStr">
        <is>
          <t>—</t>
        </is>
      </c>
      <c r="O30" s="26" t="inlineStr">
        <is>
          <t>ANO</t>
        </is>
      </c>
    </row>
    <row r="31">
      <c r="A31" s="20" t="n">
        <v>30</v>
      </c>
      <c r="B31" s="8" t="inlineStr">
        <is>
          <t>VRN — Geodet / PČR</t>
        </is>
      </c>
      <c r="C31" s="8" t="inlineStr">
        <is>
          <t>Rozhledové trojúhelníky — vytyčení + kontrola</t>
        </is>
      </c>
      <c r="D31" s="20" t="inlineStr">
        <is>
          <t>—</t>
        </is>
      </c>
      <c r="E31" s="8" t="inlineStr">
        <is>
          <t>Vytyčení + kontrola rozhledových trojúhelníků (Vn=40 km/h, Dz=25 m) dle požadavku DI PČR</t>
        </is>
      </c>
      <c r="F31" s="20" t="inlineStr">
        <is>
          <t>soubor</t>
        </is>
      </c>
      <c r="G31" s="23" t="n">
        <v>1</v>
      </c>
      <c r="H31" s="10" t="n"/>
      <c r="I31" s="10" t="n"/>
      <c r="J31" s="8" t="inlineStr">
        <is>
          <t>geodet</t>
        </is>
      </c>
      <c r="K31" s="24" t="n">
        <v>0.7</v>
      </c>
      <c r="L31" s="20" t="inlineStr">
        <is>
          <t>needs_production_lookup</t>
        </is>
      </c>
      <c r="M31" s="8" t="inlineStr">
        <is>
          <t>Dodatek PD č.1 (E.01) / DI PČR</t>
        </is>
      </c>
      <c r="N31" s="20" t="inlineStr">
        <is>
          <t>—</t>
        </is>
      </c>
      <c r="O31" s="26" t="inlineStr">
        <is>
          <t>ANO</t>
        </is>
      </c>
    </row>
    <row r="32">
      <c r="A32" s="20" t="n">
        <v>31</v>
      </c>
      <c r="B32" s="8" t="inlineStr">
        <is>
          <t>VRN — Společné</t>
        </is>
      </c>
      <c r="C32" s="8" t="inlineStr">
        <is>
          <t>Podíl na obecných VRN dům</t>
        </is>
      </c>
      <c r="D32" s="20" t="inlineStr">
        <is>
          <t>030001000</t>
        </is>
      </c>
      <c r="E32" s="8" t="inlineStr">
        <is>
          <t>Podíl na obecných VRN domu (buňky, BOZP, pojištění, kolaudace) — paušál ~10 % nákladů sklad nebo % alokace</t>
        </is>
      </c>
      <c r="F32" s="20" t="inlineStr">
        <is>
          <t>paušál</t>
        </is>
      </c>
      <c r="G32" s="23" t="n">
        <v>1</v>
      </c>
      <c r="H32" s="10" t="n"/>
      <c r="I32" s="10" t="n"/>
      <c r="J32" s="8" t="inlineStr">
        <is>
          <t>VRN_management</t>
        </is>
      </c>
      <c r="K32" s="24" t="n">
        <v>0.8</v>
      </c>
      <c r="L32" s="20" t="inlineStr">
        <is>
          <t>needs_production_lookup</t>
        </is>
      </c>
      <c r="M32" s="8" t="inlineStr">
        <is>
          <t>Standard zhotovitel — alokace VRN pro paralelně realizovaný sklad</t>
        </is>
      </c>
      <c r="N32" s="20" t="inlineStr">
        <is>
          <t>—</t>
        </is>
      </c>
      <c r="O32" s="26" t="inlineStr">
        <is>
          <t>ANO</t>
        </is>
      </c>
    </row>
  </sheetData>
  <autoFilter ref="A1:O32"/>
  <conditionalFormatting sqref="K2:K3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2026-06-01T11:21:04Z</dcterms:created>
  <dcterms:modified xmlns:dcterms="http://purl.org/dc/terms/" xmlns:xsi="http://www.w3.org/2001/XMLSchema-instance" xsi:type="dcterms:W3CDTF">2026-06-01T11:21:04Z</dcterms:modified>
</cp:coreProperties>
</file>
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'Var_C_Hybrid'!$A$1:$J$119</definedName>
    <definedName name="_xlnm._FilterDatabase" localSheetId="4" hidden="1">'Var_B_Polozkovy_Dum'!$A$1:$O$189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(106 ks) + PSV/TZB/VRN agregovaně (12 skupin) = 118 řádků.</t>
        </is>
      </c>
      <c r="C24" s="9" t="n">
        <v>118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(188 dum + 28 sklad = 216 položek). Cílový rozsah pro produkční pricing.</t>
        </is>
      </c>
      <c r="C25" s="9" t="n">
        <v>216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216 (188 dum + 28 sklad)</t>
        </is>
      </c>
    </row>
    <row r="32">
      <c r="A32" s="4" t="inlineStr">
        <is>
          <t>Gate distribution</t>
        </is>
      </c>
      <c r="B32" s="5" t="inlineStr">
        <is>
          <t>HSV 106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69 | 0.70: 1 | 0.60: 2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140 needs_production_lookup (64.8 %)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24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216 položek celkem (188 dum + 28 sklad), 4 corpus patterns aplikované, zero-fabrication policy.
Confidence distribution: 17×0.99 · 32×0.95 · 35×0.90 · 41×0.85 · 19×0.80 · 69×0.75 · 1×0.70 · 2×0.60.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(+13 dalších)</t>
        </is>
      </c>
      <c r="D6" s="9" t="n">
        <v>17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PSV-76 — Výplně otvorů + klempířina + zámečnictví + truhlář</t>
        </is>
      </c>
      <c r="D108" s="8" t="inlineStr">
        <is>
          <t>[agregát] 1 položek: Bezpečnostní dveře RC3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PSV-77 — Podlahy</t>
        </is>
      </c>
      <c r="D109" s="8" t="inlineStr">
        <is>
          <t>[agregát] 1 položek: Betonová dlažba sklad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260217_sklad</t>
        </is>
      </c>
      <c r="C110" s="21" t="inlineStr">
        <is>
          <t>VRN — Vedlejší rozpočtové náklady</t>
        </is>
      </c>
      <c r="D110" s="8" t="inlineStr">
        <is>
          <t>[agregát] 4 položek: Doprava prefa H-BLOK auto s hyd. rukou; Likvidace odpadu sklad; Geodetické vytýčení sklad; … (+1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M-21 — Elektroinstalace silnoproudá</t>
        </is>
      </c>
      <c r="D111" s="8" t="inlineStr">
        <is>
          <t>[agregát] 7 položek: Demontáž stávající ELI; Pojistková skříň + 3× podružný rozvaděč; Rozvody silnoproud; … (+4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PSV-71 — Izolace HI + TI</t>
        </is>
      </c>
      <c r="D112" s="8" t="inlineStr">
        <is>
          <t>[agregát] 5 položek: HI pod ŽB deskou 1.NP; Odvětrání radonu z podloží; HI koupelny 1.NP + 2.NP + 3.NP; … (+2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PSV-72 — ZTI (vodovod + kanalizace + sanita)</t>
        </is>
      </c>
      <c r="D113" s="8" t="inlineStr">
        <is>
          <t>[agregát] 19 položek: Revize stávajících přípojek; Nové rozvody vody do 3.NP; Nové odpadní rozvody; … (+16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PSV-73 — Vytápění + komín</t>
        </is>
      </c>
      <c r="D114" s="8" t="inlineStr">
        <is>
          <t>[agregát] 8 položek: Sporáková kamna na tuhá paliva; Sporáková kamna — montáž; Elektrokotel 3.NP; … (+5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PSV-76 — Výplně otvorů + klempířina + zámečnictví + truhlář</t>
        </is>
      </c>
      <c r="D115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PSV-77 — Podlahy</t>
        </is>
      </c>
      <c r="D116" s="8" t="inlineStr">
        <is>
          <t>[agregát] 7 položek: Nášlap vinyl obytné místnosti; Nášlap keramická dlažba — mokré zóny; Nášlap keramická dlažba — 1.PP sklep; … (+4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PSV-78 — Povrchové úpravy</t>
        </is>
      </c>
      <c r="D117" s="8" t="inlineStr">
        <is>
          <t>[agregát] 16 položek: Omítka jádrová + štuk 1.PP; Omítka jádrová + štuk 1.NP; Omítka jádrová + štuk 2.NP; … (+13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PSV-95 — Detekce požární</t>
        </is>
      </c>
      <c r="D118" s="8" t="inlineStr">
        <is>
          <t>[agregát] 2 položek: Autonomní hlásič kouře; Přenosný hasicí přístroj 34A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  <row r="119">
      <c r="A119" s="20" t="n">
        <v>118</v>
      </c>
      <c r="B119" s="20" t="inlineStr">
        <is>
          <t>260219_dum</t>
        </is>
      </c>
      <c r="C119" s="21" t="inlineStr">
        <is>
          <t>VRN — Vedlejší rozpočtové náklady</t>
        </is>
      </c>
      <c r="D119" s="8" t="inlineStr">
        <is>
          <t>[agregát] 18 položek: Buňky kancelář + sociální; Mobilní WC; El. odběr + vodovodní odběr stavby; … (+15 dalších)</t>
        </is>
      </c>
      <c r="E119" s="20" t="inlineStr">
        <is>
          <t>kpl</t>
        </is>
      </c>
      <c r="F119" s="9" t="n">
        <v>1</v>
      </c>
      <c r="G119" s="10" t="n"/>
      <c r="H119" s="10" t="n"/>
      <c r="I119" s="8" t="inlineStr">
        <is>
          <t>—</t>
        </is>
      </c>
      <c r="J119" s="8" t="inlineStr">
        <is>
          <t>agregát</t>
        </is>
      </c>
    </row>
  </sheetData>
  <autoFilter ref="A1:J1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762332122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matched_catalog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762332122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matched_catalog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762332122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matched_catalog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762332121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matched_catalog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Spojovací prostředky krovu — svorníky tesařských spojů</t>
        </is>
      </c>
      <c r="D62" s="20" t="inlineStr">
        <is>
          <t>762085112</t>
        </is>
      </c>
      <c r="E62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2" s="20" t="inlineStr">
        <is>
          <t>ks</t>
        </is>
      </c>
      <c r="G62" s="23" t="n">
        <v>50</v>
      </c>
      <c r="H62" s="10" t="n"/>
      <c r="I62" s="10" t="n"/>
      <c r="J62" s="8" t="inlineStr">
        <is>
          <t>tesar</t>
        </is>
      </c>
      <c r="K62" s="24" t="n">
        <v>0.6</v>
      </c>
      <c r="L62" s="20" t="inlineStr">
        <is>
          <t>matched_catalog</t>
        </is>
      </c>
      <c r="M62" s="8" t="inlineStr">
        <is>
          <t>KROS/ÚRS catalog (762085112 montáž svorníků tesařských spojů) + STAVAGENT MCP; TZ statika §4 krov ocelové spojky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kompletního stávajícího krovu</t>
        </is>
      </c>
      <c r="D63" s="20" t="inlineStr">
        <is>
          <t>962041141</t>
        </is>
      </c>
      <c r="E63" s="8" t="inlineStr">
        <is>
          <t>Bourání kompletního stávajícího krovu vč. vikýřů — vaznicový s ležatou stolicí — manuálně, odvoz</t>
        </is>
      </c>
      <c r="F63" s="20" t="inlineStr">
        <is>
          <t>m³</t>
        </is>
      </c>
      <c r="G63" s="22" t="n">
        <v>12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family_verified_leaf_needs_production_lookup</t>
        </is>
      </c>
      <c r="M63" s="8" t="inlineStr">
        <is>
          <t>TZ B m.10.e — 9 t dřeva celkem; krov hlavní zdroj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plechové střešní krytiny</t>
        </is>
      </c>
      <c r="D64" s="27" t="inlineStr">
        <is>
          <t>762??? ?</t>
        </is>
      </c>
      <c r="E64" s="8" t="inlineStr">
        <is>
          <t>Bourání stávající plechové krytiny (manuálně, recyklace plechu)</t>
        </is>
      </c>
      <c r="F64" s="20" t="inlineStr">
        <is>
          <t>m²</t>
        </is>
      </c>
      <c r="G64" s="22" t="n">
        <v>140.9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wrong_leaf_disambiguation_needed</t>
        </is>
      </c>
      <c r="M64" s="8" t="inlineStr">
        <is>
          <t>TZ B m.10.e — 0.1 t kovů; stávající plech krytina</t>
        </is>
      </c>
      <c r="N64" s="20" t="inlineStr">
        <is>
          <t>#9</t>
        </is>
      </c>
      <c r="O64" s="28" t="inlineStr">
        <is>
          <t>LEAF CHYBNÝ — viz alternatives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nadezdívek nad stropem 2.NP</t>
        </is>
      </c>
      <c r="D65" s="20" t="inlineStr">
        <is>
          <t>962031132</t>
        </is>
      </c>
      <c r="E65" s="8" t="inlineStr">
        <is>
          <t>Bourání zděných nadezdívek nad stropem 2.NP (mimo štítových stěn) — cihla pálená</t>
        </is>
      </c>
      <c r="F65" s="20" t="inlineStr">
        <is>
          <t>m³</t>
        </is>
      </c>
      <c r="G65" s="22" t="n">
        <v>6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bourání nadezdívek mimo štítů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trámového stropu 2.NP/podkroví</t>
        </is>
      </c>
      <c r="D66" s="20" t="inlineStr">
        <is>
          <t>962041141</t>
        </is>
      </c>
      <c r="E66" s="8" t="inlineStr">
        <is>
          <t>Bourání trámového stropu 2.NP/podkroví — kompletně (vč. zajištění schodiště)</t>
        </is>
      </c>
      <c r="F66" s="20" t="inlineStr">
        <is>
          <t>m²</t>
        </is>
      </c>
      <c r="G66" s="22" t="n">
        <v>104.4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strop 2.NP/3.NP KOMPLETNĚ bourán</t>
        </is>
      </c>
      <c r="N66" s="20" t="inlineStr">
        <is>
          <t>#9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lehkých příček</t>
        </is>
      </c>
      <c r="D67" s="20" t="inlineStr">
        <is>
          <t>962031132</t>
        </is>
      </c>
      <c r="E67" s="8" t="inlineStr">
        <is>
          <t>Bourání stávajících lehkých příček (cihla, sádrokarton, dřevo)</t>
        </is>
      </c>
      <c r="F67" s="20" t="inlineStr">
        <is>
          <t>m²</t>
        </is>
      </c>
      <c r="G67" s="22" t="n">
        <v>80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§3 — lehké příčky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otvorů pro nové dveře/okna</t>
        </is>
      </c>
      <c r="D68" s="20" t="inlineStr">
        <is>
          <t>962031132</t>
        </is>
      </c>
      <c r="E68" s="8" t="inlineStr">
        <is>
          <t>Bourání 8 nových otvorů v nosných cihelných zdech pro dveře/okna (~1.0 × 2.1 m)</t>
        </is>
      </c>
      <c r="F68" s="20" t="inlineStr">
        <is>
          <t>ks</t>
        </is>
      </c>
      <c r="G68" s="23" t="n">
        <v>8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+ statika — nové otvory s IPN160 překlady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Bourání obkladů v koupelnách</t>
        </is>
      </c>
      <c r="D69" s="20" t="inlineStr">
        <is>
          <t>781473810</t>
        </is>
      </c>
      <c r="E69" s="8" t="inlineStr">
        <is>
          <t>Bourání keramických obkladů a zařizovacích předmětů v koupelnách 1.NP + 2.NP</t>
        </is>
      </c>
      <c r="F69" s="20" t="inlineStr">
        <is>
          <t>m²</t>
        </is>
      </c>
      <c r="G69" s="22" t="n">
        <v>60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family_verified_leaf_needs_production_lookup</t>
        </is>
      </c>
      <c r="M69" s="8" t="inlineStr">
        <is>
          <t>TZ ARS dům §3 — koupelny kompletně bourány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Bourání podlah 1.NP + 2.NP</t>
        </is>
      </c>
      <c r="D70" s="20" t="inlineStr">
        <is>
          <t>974031132</t>
        </is>
      </c>
      <c r="E70" s="8" t="inlineStr">
        <is>
          <t>Sejmutí podlah 1.NP a 2.NP — vč. nášlapů, podkladních vrstev</t>
        </is>
      </c>
      <c r="F70" s="20" t="inlineStr">
        <is>
          <t>m²</t>
        </is>
      </c>
      <c r="G70" s="22" t="n">
        <v>153.51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podlahy 1.NP+2.NP sejmuty</t>
        </is>
      </c>
      <c r="N70" s="20" t="inlineStr">
        <is>
          <t>#9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Záklop + zásyp — demontáž</t>
        </is>
      </c>
      <c r="D71" s="20" t="inlineStr">
        <is>
          <t>974041151</t>
        </is>
      </c>
      <c r="E71" s="8" t="inlineStr">
        <is>
          <t>Demontáž záklopu a zásypů stropu 1.NP (prkenný záklop na trámech zachován)</t>
        </is>
      </c>
      <c r="F71" s="20" t="inlineStr">
        <is>
          <t>m³</t>
        </is>
      </c>
      <c r="G71" s="22" t="n">
        <v>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záklop+zásyp demontován; trámy zachovány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oken a dveří</t>
        </is>
      </c>
      <c r="D72" s="20" t="inlineStr">
        <is>
          <t>968071120</t>
        </is>
      </c>
      <c r="E72" s="8" t="inlineStr">
        <is>
          <t>Demontáž všech oken a dveří stávajících (recyklace)</t>
        </is>
      </c>
      <c r="F72" s="20" t="inlineStr">
        <is>
          <t>ks</t>
        </is>
      </c>
      <c r="G72" s="23" t="n">
        <v>25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VŠECHNY okna a dveře demontovány</t>
        </is>
      </c>
      <c r="N72" s="20" t="inlineStr">
        <is>
          <t>#5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zařizovacích předmětů</t>
        </is>
      </c>
      <c r="D73" s="20" t="inlineStr">
        <is>
          <t>725900001</t>
        </is>
      </c>
      <c r="E73" s="8" t="inlineStr">
        <is>
          <t>Demontáž všech sanitárních zařizovacích předmětů (WC, umyvadla, baterie, sprcha)</t>
        </is>
      </c>
      <c r="F73" s="20" t="inlineStr">
        <is>
          <t>ks</t>
        </is>
      </c>
      <c r="G73" s="23" t="n">
        <v>12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zařizovací předměty kompletně demontovány</t>
        </is>
      </c>
      <c r="N73" s="20" t="inlineStr">
        <is>
          <t>—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Odvoz suti a likvidace</t>
        </is>
      </c>
      <c r="D74" s="20" t="inlineStr">
        <is>
          <t>997013501</t>
        </is>
      </c>
      <c r="E74" s="8" t="inlineStr">
        <is>
          <t>Odvoz a likvidace stavební suti dle vyhl. 8/2021 Sb. — celková tonáž odpadů</t>
        </is>
      </c>
      <c r="F74" s="20" t="inlineStr">
        <is>
          <t>t</t>
        </is>
      </c>
      <c r="G74" s="22" t="n">
        <v>56.5</v>
      </c>
      <c r="H74" s="10" t="n"/>
      <c r="I74" s="10" t="n"/>
      <c r="J74" s="8" t="inlineStr">
        <is>
          <t>bourani_demolice</t>
        </is>
      </c>
      <c r="K74" s="24" t="n">
        <v>0.85</v>
      </c>
      <c r="L74" s="20" t="inlineStr">
        <is>
          <t>needs_production_lookup</t>
        </is>
      </c>
      <c r="M74" s="8" t="inlineStr">
        <is>
          <t>TZ B m.10.e bilance odpadů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oken</t>
        </is>
      </c>
      <c r="D75" s="20" t="inlineStr">
        <is>
          <t>978013181</t>
        </is>
      </c>
      <c r="E75" s="8" t="inlineStr">
        <is>
          <t>Demontáž stávajících dřevěných oken vč. rámů a parapetů — 16 ks (návrh všechna okna nová plastová trojsklem)</t>
        </is>
      </c>
      <c r="F75" s="20" t="inlineStr">
        <is>
          <t>ks</t>
        </is>
      </c>
      <c r="G75" s="23" t="n">
        <v>16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okno* (Path C Tier 4) + TZ ARS — všechna okna nová</t>
        </is>
      </c>
      <c r="N75" s="20" t="inlineStr">
        <is>
          <t>#3</t>
        </is>
      </c>
      <c r="O75" s="25" t="inlineStr">
        <is>
          <t>OVĚŘENO ✓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vstupních dveří venkovních</t>
        </is>
      </c>
      <c r="D76" s="20" t="inlineStr">
        <is>
          <t>978013181</t>
        </is>
      </c>
      <c r="E76" s="8" t="inlineStr">
        <is>
          <t>Demontáž stávajících vstupních dveří + rámů — 2 ks (1× ulice Fibichova + 1× zahrada; návrh nové plastové vstupní dveře)</t>
        </is>
      </c>
      <c r="F76" s="20" t="inlineStr">
        <is>
          <t>ks</t>
        </is>
      </c>
      <c r="G76" s="23" t="n">
        <v>2</v>
      </c>
      <c r="H76" s="10" t="n"/>
      <c r="I76" s="10" t="n"/>
      <c r="J76" s="8" t="inlineStr">
        <is>
          <t>bourani_demolice</t>
        </is>
      </c>
      <c r="K76" s="24" t="n">
        <v>0.95</v>
      </c>
      <c r="L76" s="20" t="inlineStr">
        <is>
          <t>matched_websearch_verified</t>
        </is>
      </c>
      <c r="M76" s="8" t="inlineStr">
        <is>
          <t>DXF blocks dveře (vstupní 2) + TZ ARS — 'plastové vstupní dveře' x 2</t>
        </is>
      </c>
      <c r="N76" s="20" t="inlineStr">
        <is>
          <t>#3</t>
        </is>
      </c>
      <c r="O76" s="25" t="inlineStr">
        <is>
          <t>OVĚŘENO ✓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Demontáž vnitřních dveří vč. zárubní</t>
        </is>
      </c>
      <c r="D77" s="20" t="inlineStr">
        <is>
          <t>968072456</t>
        </is>
      </c>
      <c r="E77" s="8" t="inlineStr">
        <is>
          <t>Demontáž stávajících vnitřních dveří vč. ocelových/dřevěných zárubní — odhad 15 ks (3 patra × ~5 dveří/patro per DXF SM__dveře layer)</t>
        </is>
      </c>
      <c r="F77" s="20" t="inlineStr">
        <is>
          <t>ks</t>
        </is>
      </c>
      <c r="G77" s="23" t="n">
        <v>15</v>
      </c>
      <c r="H77" s="10" t="n"/>
      <c r="I77" s="10" t="n"/>
      <c r="J77" s="8" t="inlineStr">
        <is>
          <t>bourani_demolice</t>
        </is>
      </c>
      <c r="K77" s="24" t="n">
        <v>0.8</v>
      </c>
      <c r="L77" s="20" t="inlineStr">
        <is>
          <t>needs_production_lookup</t>
        </is>
      </c>
      <c r="M77" s="8" t="inlineStr">
        <is>
          <t>DXF SM__dveře polyline count → estimate (Path C Tier 4)</t>
        </is>
      </c>
      <c r="N77" s="20" t="inlineStr">
        <is>
          <t>#3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zdiva komínu</t>
        </is>
      </c>
      <c r="D78" s="20" t="inlineStr">
        <is>
          <t>962024141</t>
        </is>
      </c>
      <c r="E78" s="8" t="inlineStr">
        <is>
          <t>Bourání vrchní části stávajícího komínu v posledním podlaží (cihelné zdivo, ručně), vč. likvidace cihelné suti</t>
        </is>
      </c>
      <c r="F78" s="20" t="inlineStr">
        <is>
          <t>m³</t>
        </is>
      </c>
      <c r="G78" s="22" t="n">
        <v>0.6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family_verified_leaf_needs_production_lookup</t>
        </is>
      </c>
      <c r="M78" s="8" t="inlineStr">
        <is>
          <t>DXF dum_DPZ řez A-A bourání + POZN.1.02 z půdorysů bourání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Bourání venkovních konstrukcí</t>
        </is>
      </c>
      <c r="D79" s="20" t="inlineStr">
        <is>
          <t>961044111</t>
        </is>
      </c>
      <c r="E79" s="8" t="inlineStr">
        <is>
          <t>Bourání stávajících opěrných zídek a venkovního schodiště v zahradě/dvoře — částečné, dle vyznačení v půdorysech bourání</t>
        </is>
      </c>
      <c r="F79" s="20" t="inlineStr">
        <is>
          <t>m³</t>
        </is>
      </c>
      <c r="G79" s="22" t="n">
        <v>8</v>
      </c>
      <c r="H79" s="10" t="n"/>
      <c r="I79" s="10" t="n"/>
      <c r="J79" s="8" t="inlineStr">
        <is>
          <t>bourani_demolice</t>
        </is>
      </c>
      <c r="K79" s="24" t="n">
        <v>0.7</v>
      </c>
      <c r="L79" s="20" t="inlineStr">
        <is>
          <t>family_verified_leaf_needs_production_lookup</t>
        </is>
      </c>
      <c r="M79" s="8" t="inlineStr">
        <is>
          <t>DXF dum_DPZ řez A-A bourání + POZN.1.03 + půdorys bourání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Příprava podkladu</t>
        </is>
      </c>
      <c r="D80" s="20" t="inlineStr">
        <is>
          <t>622401110</t>
        </is>
      </c>
      <c r="E80" s="8" t="inlineStr">
        <is>
          <t>Příprava fasádního podkladu — očištění tlakovou vodou, vyspravení omítek, fungicidní nátěr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needs_production_lookup</t>
        </is>
      </c>
      <c r="M80" s="8" t="inlineStr">
        <is>
          <t>TZ ARS dům §3.2 — ETICS kontaktní, podklad existující omítka + DXF perimeter</t>
        </is>
      </c>
      <c r="N80" s="20" t="inlineStr">
        <is>
          <t>#3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ETICS EPS 70F grey 160 mm</t>
        </is>
      </c>
      <c r="D81" s="20" t="inlineStr">
        <is>
          <t>622221121</t>
        </is>
      </c>
      <c r="E81" s="8" t="inlineStr">
        <is>
          <t>ETICS kontaktní zateplení — EPS 70F grey λ=0.032 tl. 160 mm + síťka + lepidlo + zatírací stěrka (řez S01+S12a explicit, ne 200 mm fallback)</t>
        </is>
      </c>
      <c r="F81" s="20" t="inlineStr">
        <is>
          <t>m²</t>
        </is>
      </c>
      <c r="G81" s="22" t="n">
        <v>276.7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EXPLICIT 'fasádní EPS 70f grey (λ=0,032 W/mK)' + PBŘ EXPLICIT 'EPS tl. max. 200 mm' + DXF perimeter</t>
        </is>
      </c>
      <c r="N81" s="20" t="inlineStr">
        <is>
          <t>#3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ETICS sokl XPS</t>
        </is>
      </c>
      <c r="D82" s="20" t="inlineStr">
        <is>
          <t>622223111</t>
        </is>
      </c>
      <c r="E82" s="8" t="inlineStr">
        <is>
          <t>ETICS sokl — XPS λ=0.034 tl. 120 mm + soklový profil + cihelný obklad spárovaný</t>
        </is>
      </c>
      <c r="F82" s="20" t="inlineStr">
        <is>
          <t>m²</t>
        </is>
      </c>
      <c r="G82" s="22" t="n">
        <v>13.5</v>
      </c>
      <c r="H82" s="10" t="n"/>
      <c r="I82" s="10" t="n"/>
      <c r="J82" s="8" t="inlineStr">
        <is>
          <t>fasadnik_etics</t>
        </is>
      </c>
      <c r="K82" s="24" t="n">
        <v>0.9</v>
      </c>
      <c r="L82" s="20" t="inlineStr">
        <is>
          <t>family_verified_leaf_needs_production_lookup</t>
        </is>
      </c>
      <c r="M82" s="8" t="inlineStr">
        <is>
          <t>TZ ARS dům §3.2 — sokl XPS + cihelný obklad + DXF perimeter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Špalety EPS</t>
        </is>
      </c>
      <c r="D83" s="20" t="inlineStr">
        <is>
          <t>622221221</t>
        </is>
      </c>
      <c r="E83" s="8" t="inlineStr">
        <is>
          <t>Špalety oken — EPS přesah 35-40 mm + síťka + omítka</t>
        </is>
      </c>
      <c r="F83" s="20" t="inlineStr">
        <is>
          <t>bm</t>
        </is>
      </c>
      <c r="G83" s="22" t="n">
        <v>82.2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DXF okna per typ bbox + TZ ARS §3.2 EPS přesah na špaletách 35-40 mm</t>
        </is>
      </c>
      <c r="N83" s="20" t="inlineStr">
        <is>
          <t>#5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HSV-7 Fasáda ETICS</t>
        </is>
      </c>
      <c r="C84" s="8" t="inlineStr">
        <is>
          <t>Profilace fasády</t>
        </is>
      </c>
      <c r="D84" s="20" t="inlineStr">
        <is>
          <t>622221221</t>
        </is>
      </c>
      <c r="E84" s="8" t="inlineStr">
        <is>
          <t>Profilace fasády — různé tloušťky EPS (kordony, šambrány, rámování oken) — paušál podle pohledů</t>
        </is>
      </c>
      <c r="F84" s="20" t="inlineStr">
        <is>
          <t>soubor</t>
        </is>
      </c>
      <c r="G84" s="23" t="n">
        <v>1</v>
      </c>
      <c r="H84" s="10" t="n"/>
      <c r="I84" s="10" t="n"/>
      <c r="J84" s="8" t="inlineStr">
        <is>
          <t>fasadnik_etics</t>
        </is>
      </c>
      <c r="K84" s="24" t="n">
        <v>0.99</v>
      </c>
      <c r="L84" s="20" t="inlineStr">
        <is>
          <t>needs_production_lookup</t>
        </is>
      </c>
      <c r="M84" s="8" t="inlineStr">
        <is>
          <t>TZ ARS dům §3.2 — profilace různými tl. EPS</t>
        </is>
      </c>
      <c r="N84" s="20" t="inlineStr">
        <is>
          <t>—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HSV-7 Fasáda ETICS</t>
        </is>
      </c>
      <c r="C85" s="8" t="inlineStr">
        <is>
          <t>Tenkovrstvá omítka pastovitá</t>
        </is>
      </c>
      <c r="D85" s="20" t="inlineStr">
        <is>
          <t>622521111</t>
        </is>
      </c>
      <c r="E85" s="8" t="inlineStr">
        <is>
          <t>Tenkovrstvá pastovitá probarvená omítka, lomená bílá NCS NZÚ — finální vrstva ETICS</t>
        </is>
      </c>
      <c r="F85" s="20" t="inlineStr">
        <is>
          <t>m²</t>
        </is>
      </c>
      <c r="G85" s="22" t="n">
        <v>290.2</v>
      </c>
      <c r="H85" s="10" t="n"/>
      <c r="I85" s="10" t="n"/>
      <c r="J85" s="8" t="inlineStr">
        <is>
          <t>fasadnik_etics</t>
        </is>
      </c>
      <c r="K85" s="24" t="n">
        <v>0.9</v>
      </c>
      <c r="L85" s="20" t="inlineStr">
        <is>
          <t>family_verified_leaf_needs_production_lookup</t>
        </is>
      </c>
      <c r="M85" s="8" t="inlineStr">
        <is>
          <t>TZ ARS dům §3.2 — pastovitá probarvená lomená bílá + DXF perimeter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pod ŽB deskou 1.NP</t>
        </is>
      </c>
      <c r="D86" s="20" t="inlineStr">
        <is>
          <t>712311101</t>
        </is>
      </c>
      <c r="E86" s="8" t="inlineStr">
        <is>
          <t>Hydroizolace pod ŽB deskou 1.NP — modifikované asfaltové pásy SBS 2× (zároveň protiradonová bariéra)</t>
        </is>
      </c>
      <c r="F86" s="20" t="inlineStr">
        <is>
          <t>m²</t>
        </is>
      </c>
      <c r="G86" s="22" t="n">
        <v>80.40000000000001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ARS dům §4 + statika §5.5 — asfaltové pásy mod. proti radonu</t>
        </is>
      </c>
      <c r="N86" s="20" t="inlineStr">
        <is>
          <t>#3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Odvětrání radonu z podloží</t>
        </is>
      </c>
      <c r="D87" s="20" t="inlineStr">
        <is>
          <t>712381111</t>
        </is>
      </c>
      <c r="E87" s="8" t="inlineStr">
        <is>
          <t>Odvětrání radonu z podloží — perforované DN50 trubky v štěrkovém loži + výdech nad střechu</t>
        </is>
      </c>
      <c r="F87" s="20" t="inlineStr">
        <is>
          <t>bm</t>
        </is>
      </c>
      <c r="G87" s="22" t="n">
        <v>12</v>
      </c>
      <c r="H87" s="10" t="n"/>
      <c r="I87" s="10" t="n"/>
      <c r="J87" s="8" t="inlineStr">
        <is>
          <t>izolater_HI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statika §5.5 'ochrana proti radonu — modifikované asf. pásy + odvětrání'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HI</t>
        </is>
      </c>
      <c r="C88" s="8" t="inlineStr">
        <is>
          <t>HI koupelny 1.NP + 2.NP + 3.NP</t>
        </is>
      </c>
      <c r="D88" s="27" t="inlineStr">
        <is>
          <t>711??? ?</t>
        </is>
      </c>
      <c r="E88" s="8" t="inlineStr">
        <is>
          <t>Hydroizolační stěrka koupelen 3 ks — podlaha + sokl 200 mm + sprchový kout výška 2.0 m</t>
        </is>
      </c>
      <c r="F88" s="20" t="inlineStr">
        <is>
          <t>m²</t>
        </is>
      </c>
      <c r="G88" s="22" t="n">
        <v>40.5</v>
      </c>
      <c r="H88" s="10" t="n"/>
      <c r="I88" s="10" t="n"/>
      <c r="J88" s="8" t="inlineStr">
        <is>
          <t>izolater_HI</t>
        </is>
      </c>
      <c r="K88" s="24" t="n">
        <v>0.95</v>
      </c>
      <c r="L88" s="20" t="inlineStr">
        <is>
          <t>family_verified_leaf_needs_production_lookup</t>
        </is>
      </c>
      <c r="M88" s="8" t="inlineStr">
        <is>
          <t>DXF dum_DPZ MTEXT labels: 3× koupelna; TZ ARS — HI vana koupelny</t>
        </is>
      </c>
      <c r="N88" s="20" t="inlineStr">
        <is>
          <t>#4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Podlahový EPS 150</t>
        </is>
      </c>
      <c r="D89" s="27" t="inlineStr">
        <is>
          <t>713121??? ?</t>
        </is>
      </c>
      <c r="E89" s="8" t="inlineStr">
        <is>
          <t>Podlahový EPS 150 λ=0.035 tl. 120 mm — pod betonový potěr 1.NP a 3.NP</t>
        </is>
      </c>
      <c r="F89" s="20" t="inlineStr">
        <is>
          <t>m²</t>
        </is>
      </c>
      <c r="G89" s="22" t="n">
        <v>177.5</v>
      </c>
      <c r="H89" s="10" t="n"/>
      <c r="I89" s="10" t="n"/>
      <c r="J89" s="8" t="inlineStr">
        <is>
          <t>izolater_TI</t>
        </is>
      </c>
      <c r="K89" s="24" t="n">
        <v>0.75</v>
      </c>
      <c r="L89" s="20" t="inlineStr">
        <is>
          <t>family_verified_leaf_needs_production_lookup</t>
        </is>
      </c>
      <c r="M89" s="8" t="inlineStr">
        <is>
          <t>TZ ARS dům §4 — EPS 150 λ=0.035 tl. 120 mm</t>
        </is>
      </c>
      <c r="N89" s="20" t="inlineStr">
        <is>
          <t>#4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PSV-71 Izolace TI</t>
        </is>
      </c>
      <c r="C90" s="8" t="inlineStr">
        <is>
          <t>Kročejová EPS nad ocelobeton</t>
        </is>
      </c>
      <c r="D90" s="27" t="inlineStr">
        <is>
          <t>713121??? ?</t>
        </is>
      </c>
      <c r="E90" s="8" t="inlineStr">
        <is>
          <t>Kročejová EPS 150 / 30 dB tl. 30 mm nad ocelobetonovým stropem 2.NP/3.NP</t>
        </is>
      </c>
      <c r="F90" s="20" t="inlineStr">
        <is>
          <t>m²</t>
        </is>
      </c>
      <c r="G90" s="22" t="n">
        <v>104.4</v>
      </c>
      <c r="H90" s="10" t="n"/>
      <c r="I90" s="10" t="n"/>
      <c r="J90" s="8" t="inlineStr">
        <is>
          <t>izolater_TI</t>
        </is>
      </c>
      <c r="K90" s="24" t="n">
        <v>0.85</v>
      </c>
      <c r="L90" s="20" t="inlineStr">
        <is>
          <t>family_verified_leaf_needs_production_lookup</t>
        </is>
      </c>
      <c r="M90" s="8" t="inlineStr">
        <is>
          <t>TZ ARS dům §4 — kročejová EPS shora ocelobeton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Oplechování krytiny</t>
        </is>
      </c>
      <c r="D91" s="20" t="inlineStr">
        <is>
          <t>764312235</t>
        </is>
      </c>
      <c r="E91" s="8" t="inlineStr">
        <is>
          <t>Klempířské oplechování krytiny — úžlabí, hřeben, štítové lemy (Al / Pzn lakovaný 0.55 mm)</t>
        </is>
      </c>
      <c r="F91" s="20" t="inlineStr">
        <is>
          <t>bm</t>
        </is>
      </c>
      <c r="G91" s="22" t="n">
        <v>69.5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MA_klempíř (75.4 m) + SM__ klempířina (98.4 m) total = 173.8 m × 0.40 split heuristic — Path C Tier 3</t>
        </is>
      </c>
      <c r="N91" s="20" t="inlineStr">
        <is>
          <t>#5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Venkovní parapety oken</t>
        </is>
      </c>
      <c r="D92" s="20" t="inlineStr">
        <is>
          <t>764218201</t>
        </is>
      </c>
      <c r="E92" s="8" t="inlineStr">
        <is>
          <t>Venkovní parapety oken — Pzn plech lakovaný 250 mm × tl. 0.55 mm × 16 ks oken</t>
        </is>
      </c>
      <c r="F92" s="20" t="inlineStr">
        <is>
          <t>bm</t>
        </is>
      </c>
      <c r="G92" s="22" t="n">
        <v>20.8</v>
      </c>
      <c r="H92" s="10" t="n"/>
      <c r="I92" s="10" t="n"/>
      <c r="J92" s="8" t="inlineStr">
        <is>
          <t>klempir</t>
        </is>
      </c>
      <c r="K92" s="24" t="n">
        <v>0.95</v>
      </c>
      <c r="L92" s="20" t="inlineStr">
        <is>
          <t>family_verified_leaf_needs_production_lookup</t>
        </is>
      </c>
      <c r="M92" s="8" t="inlineStr">
        <is>
          <t>DXF okna 16 ks INSERT blocks + standard parapet width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Dešťové svody + žlaby</t>
        </is>
      </c>
      <c r="D93" s="20" t="inlineStr">
        <is>
          <t>764454802</t>
        </is>
      </c>
      <c r="E93" s="8" t="inlineStr">
        <is>
          <t>Dešťové svody Pzn 100 mm + žlaby — 4 svody × ~14 m + žlaby per obvod střechy</t>
        </is>
      </c>
      <c r="F93" s="20" t="inlineStr">
        <is>
          <t>bm</t>
        </is>
      </c>
      <c r="G93" s="22" t="n">
        <v>43.5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lengths split + TZ ARS dešťové svody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Klempíř</t>
        </is>
      </c>
      <c r="C94" s="8" t="inlineStr">
        <is>
          <t>Vikýře + atika + závětrné lemy</t>
        </is>
      </c>
      <c r="D94" s="20" t="inlineStr">
        <is>
          <t>764315235</t>
        </is>
      </c>
      <c r="E94" s="8" t="inlineStr">
        <is>
          <t>Klempířské doplňky vikýřů + atika + závětrné lemy (4 vikýře komplexní detail)</t>
        </is>
      </c>
      <c r="F94" s="20" t="inlineStr">
        <is>
          <t>bm</t>
        </is>
      </c>
      <c r="G94" s="22" t="n">
        <v>26.1</v>
      </c>
      <c r="H94" s="10" t="n"/>
      <c r="I94" s="10" t="n"/>
      <c r="J94" s="8" t="inlineStr">
        <is>
          <t>klempir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DXF klempířina geometry split + TZ ARS 4 vikýře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Truhlář</t>
        </is>
      </c>
      <c r="C95" s="8" t="inlineStr">
        <is>
          <t>Dřevěné stupně schodišť</t>
        </is>
      </c>
      <c r="D95" s="20" t="inlineStr">
        <is>
          <t>766811111</t>
        </is>
      </c>
      <c r="E95" s="8" t="inlineStr">
        <is>
          <t>Dřevěné stupně ocelových schodišť (truhlářské, dub masiv tl. 40 mm)</t>
        </is>
      </c>
      <c r="F95" s="20" t="inlineStr">
        <is>
          <t>ks</t>
        </is>
      </c>
      <c r="G95" s="23" t="n">
        <v>16</v>
      </c>
      <c r="H95" s="10" t="n"/>
      <c r="I95" s="10" t="n"/>
      <c r="J95" s="8" t="inlineStr">
        <is>
          <t>truhlar</t>
        </is>
      </c>
      <c r="K95" s="24" t="n">
        <v>0.75</v>
      </c>
      <c r="L95" s="20" t="inlineStr">
        <is>
          <t>needs_production_lookup</t>
        </is>
      </c>
      <c r="M95" s="8" t="inlineStr">
        <is>
          <t>TZ ARS dům §4 — ocelové schodiště s dřevěnými stupni truhlářské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Truhlář</t>
        </is>
      </c>
      <c r="C96" s="8" t="inlineStr">
        <is>
          <t>Terasa garapa za opěrnou stěnou — dřevěná pochozí vrstva</t>
        </is>
      </c>
      <c r="D96" s="27" t="inlineStr">
        <is>
          <t>762??? ?</t>
        </is>
      </c>
      <c r="E96" s="8" t="inlineStr">
        <is>
          <t>Dřevěná terasa za opěrnou stěnou — prkna garapa 145×25 mm na dřevěném roštu z hranolů 50 mm na rektifikovatelných terčích (terče + podkladní skladba viz HSV1.005)</t>
        </is>
      </c>
      <c r="F96" s="20" t="inlineStr">
        <is>
          <t>m²</t>
        </is>
      </c>
      <c r="G96" s="22" t="n">
        <v>9.23</v>
      </c>
      <c r="H96" s="10" t="n"/>
      <c r="I96" s="10" t="n"/>
      <c r="J96" s="8" t="inlineStr">
        <is>
          <t>truhlar</t>
        </is>
      </c>
      <c r="K96" s="24" t="n">
        <v>0.95</v>
      </c>
      <c r="L96" s="20" t="inlineStr">
        <is>
          <t>family_762_leaf_lookup_required</t>
        </is>
      </c>
      <c r="M96" s="8" t="inlineStr">
        <is>
          <t>TZ ARS dům §4 + DXF dum_situace PLOT_DREVENY_04 (terasa, ne 3.NP); ŘEZ C-C potvrzuje dřevěný rošt z hranolů (NE hliníkový) + dřevěnou pochozí vrstvu</t>
        </is>
      </c>
      <c r="N96" s="20" t="inlineStr">
        <is>
          <t>—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1.NP' (ulice)</t>
        </is>
      </c>
      <c r="D97" s="20" t="inlineStr">
        <is>
          <t>766621011</t>
        </is>
      </c>
      <c r="E97" s="8" t="inlineStr">
        <is>
          <t>Plastové okno izolačním trojsklem Uw=0.85 W/m²K — typ 'okno 1.NP' velikost 1185×1600 mm × 2 ks (fasáda ulice)</t>
        </is>
      </c>
      <c r="F97" s="20" t="inlineStr">
        <is>
          <t>ks</t>
        </is>
      </c>
      <c r="G97" s="23" t="n">
        <v>2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family_verified_leaf_needs_production_lookup</t>
        </is>
      </c>
      <c r="M97" s="8" t="inlineStr">
        <is>
          <t>DXF dum_DPZ INSERT block 'okno 1.NP'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1.NP vzadu' (zahrada)</t>
        </is>
      </c>
      <c r="D98" s="20" t="inlineStr">
        <is>
          <t>766621011</t>
        </is>
      </c>
      <c r="E98" s="8" t="inlineStr">
        <is>
          <t>Plastové okno izolačním trojsklem Uw=0.85 W/m²K — typ 'okno 1.NP vzadu' velikost 920×1600 mm × 3 ks (fasáda zahrada)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1.NP vzadu'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2.NP' (ulice)</t>
        </is>
      </c>
      <c r="D99" s="20" t="inlineStr">
        <is>
          <t>766621011</t>
        </is>
      </c>
      <c r="E99" s="8" t="inlineStr">
        <is>
          <t>Plastové okno izolačním trojsklem Uw=0.85 W/m²K — typ 'okno 2.NP' velikost 1160×1480 mm × 4 ks (fasáda ulice)</t>
        </is>
      </c>
      <c r="F99" s="20" t="inlineStr">
        <is>
          <t>ks</t>
        </is>
      </c>
      <c r="G99" s="23" t="n">
        <v>4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2.NP'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3.NP' (ulice)</t>
        </is>
      </c>
      <c r="D100" s="20" t="inlineStr">
        <is>
          <t>766621011</t>
        </is>
      </c>
      <c r="E100" s="8" t="inlineStr">
        <is>
          <t>Plastové okno izolačním trojsklem Uw=0.85 W/m²K — typ 'okno 3.NP' velikost 1785×1241 mm × 3 ks (fasáda ulice)</t>
        </is>
      </c>
      <c r="F100" s="20" t="inlineStr">
        <is>
          <t>ks</t>
        </is>
      </c>
      <c r="G100" s="23" t="n">
        <v>3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3.NP vzadu' velikost 2075×1241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male 3.NP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male 3.NP vzadu' velikost 800×1241 mm × 1 ks (fasáda zahrada)</t>
        </is>
      </c>
      <c r="F102" s="20" t="inlineStr">
        <is>
          <t>ks</t>
        </is>
      </c>
      <c r="G102" s="23" t="n">
        <v>1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male 3.NP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Plastové okno trojsklo — 'okno malé vzadu' (zahrada)</t>
        </is>
      </c>
      <c r="D103" s="20" t="inlineStr">
        <is>
          <t>766621011</t>
        </is>
      </c>
      <c r="E103" s="8" t="inlineStr">
        <is>
          <t>Plastové okno izolačním trojsklem Uw=0.85 W/m²K — typ 'okno malé vzadu' velikost 700×800 mm × 2 ks (fasáda zahrada)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0.99</v>
      </c>
      <c r="L103" s="20" t="inlineStr">
        <is>
          <t>needs_production_lookup</t>
        </is>
      </c>
      <c r="M103" s="8" t="inlineStr">
        <is>
          <t>DXF dum_DPZ INSERT block 'okno malé vzadu' bbox z block definition + TZ ARS Uw=0.85 W/m²K</t>
        </is>
      </c>
      <c r="N103" s="20" t="inlineStr">
        <is>
          <t>#5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Žaluzie kastlík purenit</t>
        </is>
      </c>
      <c r="D104" s="20" t="inlineStr">
        <is>
          <t>766631211</t>
        </is>
      </c>
      <c r="E104" s="8" t="inlineStr">
        <is>
          <t>Integrované stínící venkovní žaluzie v kastlíku pod omítkou s purenitovou izolací — uliční fasáda Fibichova (9 ks)</t>
        </is>
      </c>
      <c r="F104" s="20" t="inlineStr">
        <is>
          <t>ks</t>
        </is>
      </c>
      <c r="G104" s="23" t="n">
        <v>9</v>
      </c>
      <c r="H104" s="10" t="n"/>
      <c r="I104" s="10" t="n"/>
      <c r="J104" s="8" t="inlineStr">
        <is>
          <t>okenni_zaluzie_kastlik_purenit</t>
        </is>
      </c>
      <c r="K104" s="24" t="n">
        <v>0.95</v>
      </c>
      <c r="L104" s="20" t="inlineStr">
        <is>
          <t>needs_production_lookup</t>
        </is>
      </c>
      <c r="M104" s="8" t="inlineStr">
        <is>
          <t>TZ ARS dům §3.2 — 'do ulice Fibichova s integrovanými stínícími žaluziemi v kastlíku pod omítkou s purenitovou izolací'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Vstupní plastové dveře</t>
        </is>
      </c>
      <c r="D105" s="20" t="inlineStr">
        <is>
          <t>766682111</t>
        </is>
      </c>
      <c r="E105" s="8" t="inlineStr">
        <is>
          <t>Plastové vstupní dveře (ulice + zahrada) — 2 ks</t>
        </is>
      </c>
      <c r="F105" s="20" t="inlineStr">
        <is>
          <t>ks</t>
        </is>
      </c>
      <c r="G105" s="23" t="n">
        <v>2</v>
      </c>
      <c r="H105" s="10" t="n"/>
      <c r="I105" s="10" t="n"/>
      <c r="J105" s="8" t="inlineStr">
        <is>
          <t>okennar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plastové vstupní dveře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Vnitřní dveře DTD laminované</t>
        </is>
      </c>
      <c r="D106" s="20" t="inlineStr">
        <is>
          <t>766660035</t>
        </is>
      </c>
      <c r="E106" s="8" t="inlineStr">
        <is>
          <t>Vnitřní dveře DTD laminované s obložkovou zárubní — odhad 15 ks</t>
        </is>
      </c>
      <c r="F106" s="20" t="inlineStr">
        <is>
          <t>ks</t>
        </is>
      </c>
      <c r="G106" s="23" t="n">
        <v>15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+ DXF MTEXT room labels</t>
        </is>
      </c>
      <c r="N106" s="20" t="inlineStr">
        <is>
          <t>#5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Požárně odolné dveře EI 30 DP3</t>
        </is>
      </c>
      <c r="D107" s="20" t="inlineStr">
        <is>
          <t>766694112</t>
        </is>
      </c>
      <c r="E10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7" s="20" t="inlineStr">
        <is>
          <t>ks</t>
        </is>
      </c>
      <c r="G107" s="23" t="n">
        <v>1</v>
      </c>
      <c r="H107" s="10" t="n"/>
      <c r="I107" s="10" t="n"/>
      <c r="J107" s="8" t="inlineStr">
        <is>
          <t>specialista_RC3_dvere</t>
        </is>
      </c>
      <c r="K107" s="24" t="n">
        <v>0.9</v>
      </c>
      <c r="L107" s="20" t="inlineStr">
        <is>
          <t>needs_production_lookup</t>
        </is>
      </c>
      <c r="M107" s="8" t="inlineStr">
        <is>
          <t>PBŘ TUSPO § Požární uzávěry otvorů 'podzemní 30DP1'; DXF schodiště 1.PP→1.NP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Oplechování venkovních parapetů Pzn — 16 ks</t>
        </is>
      </c>
      <c r="D108" s="20" t="inlineStr">
        <is>
          <t>764811112</t>
        </is>
      </c>
      <c r="E108" s="8" t="inlineStr">
        <is>
          <t>Oplechování venkovních parapetů Pzn plech lakovaný 250 mm × tl. 0.55 mm, vč. okapnice + boční zakončení — 16 ks (per DXF INSERT okno × 16)</t>
        </is>
      </c>
      <c r="F108" s="20" t="inlineStr">
        <is>
          <t>ks</t>
        </is>
      </c>
      <c r="G108" s="23" t="n">
        <v>16</v>
      </c>
      <c r="H108" s="10" t="n"/>
      <c r="I108" s="10" t="n"/>
      <c r="J108" s="8" t="inlineStr">
        <is>
          <t>klempir</t>
        </is>
      </c>
      <c r="K108" s="24" t="n">
        <v>0.95</v>
      </c>
      <c r="L108" s="20" t="inlineStr">
        <is>
          <t>needs_production_lookup</t>
        </is>
      </c>
      <c r="M108" s="8" t="inlineStr">
        <is>
          <t>DXF blocks okno* 16 ks + DXF klempir_parapet 16 ks (Path C Tier 4 INSERT discovery)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UPE200 ze zahrady</t>
        </is>
      </c>
      <c r="D109" s="20" t="inlineStr">
        <is>
          <t>767531111</t>
        </is>
      </c>
      <c r="E109" s="8" t="inlineStr">
        <is>
          <t>Ocelové schodiště ze zahrady na mezipodestu — UPE200 schodnice + dřevěné nášlapy, kotvené do koruny opěrné stěny a zdiva (TZ statika §4)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statika dům §4 — schodiště UPE200 + UPE100 podružné prvky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Ocelové schodiště do spacího patra 3.NP</t>
        </is>
      </c>
      <c r="D110" s="20" t="inlineStr">
        <is>
          <t>767531111</t>
        </is>
      </c>
      <c r="E110" s="8" t="inlineStr">
        <is>
          <t>Interní ocelové schodiště do spacího patra v 3.NP s dřevěnými stupni (truhlářské)</t>
        </is>
      </c>
      <c r="F110" s="20" t="inlineStr">
        <is>
          <t>kpl</t>
        </is>
      </c>
      <c r="G110" s="23" t="n">
        <v>1</v>
      </c>
      <c r="H110" s="10" t="n"/>
      <c r="I110" s="10" t="n"/>
      <c r="J110" s="8" t="inlineStr">
        <is>
          <t>zamecnik_PSV</t>
        </is>
      </c>
      <c r="K110" s="24" t="n">
        <v>0.85</v>
      </c>
      <c r="L110" s="20" t="inlineStr">
        <is>
          <t>family_verified_leaf_needs_production_lookup</t>
        </is>
      </c>
      <c r="M110" s="8" t="inlineStr">
        <is>
          <t>TZ ARS dům §4 — ocelové schodiště s dřevěnými stupni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Zámečnictví</t>
        </is>
      </c>
      <c r="C111" s="8" t="inlineStr">
        <is>
          <t>Stříšky nad vstupy</t>
        </is>
      </c>
      <c r="D111" s="20" t="inlineStr">
        <is>
          <t>767532111</t>
        </is>
      </c>
      <c r="E111" s="8" t="inlineStr">
        <is>
          <t>Stříšky nad vstupy z ocelové konstrukce + Cetris desky + falcovaná krytina — 2 ks (ulice + zahrada)</t>
        </is>
      </c>
      <c r="F111" s="20" t="inlineStr">
        <is>
          <t>ks</t>
        </is>
      </c>
      <c r="G111" s="23" t="n">
        <v>2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stříšky nad vstupy ocel+Cetris+plech</t>
        </is>
      </c>
      <c r="N111" s="20" t="inlineStr">
        <is>
          <t>—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Zámečnictví</t>
        </is>
      </c>
      <c r="C112" s="8" t="inlineStr">
        <is>
          <t>Zábradlí z jeklů + nerez výplň</t>
        </is>
      </c>
      <c r="D112" s="20" t="inlineStr">
        <is>
          <t>767163115</t>
        </is>
      </c>
      <c r="E112" s="8" t="inlineStr">
        <is>
          <t>Ocelové zábradlí svařované z jeklů + nerez výplň pZn antracit — schodiště interier + venkovní terasa</t>
        </is>
      </c>
      <c r="F112" s="20" t="inlineStr">
        <is>
          <t>bm</t>
        </is>
      </c>
      <c r="G112" s="22" t="n">
        <v>18</v>
      </c>
      <c r="H112" s="10" t="n"/>
      <c r="I112" s="10" t="n"/>
      <c r="J112" s="8" t="inlineStr">
        <is>
          <t>zamecnik_PSV</t>
        </is>
      </c>
      <c r="K112" s="24" t="n">
        <v>0.75</v>
      </c>
      <c r="L112" s="20" t="inlineStr">
        <is>
          <t>needs_production_lookup</t>
        </is>
      </c>
      <c r="M112" s="8" t="inlineStr">
        <is>
          <t>TZ ARS dům §4 — zábradlí svařované z jeklů + nerez výplň</t>
        </is>
      </c>
      <c r="N112" s="20" t="inlineStr">
        <is>
          <t>—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vinyl obytné místnosti</t>
        </is>
      </c>
      <c r="D113" s="20" t="inlineStr">
        <is>
          <t>776511820</t>
        </is>
      </c>
      <c r="E113" s="8" t="inlineStr">
        <is>
          <t>Nášlapná vrstva vinyl tl. 4 mm na suchou skladbu — obytné místnosti (ložnice, obývák, kuchyně, chodby)</t>
        </is>
      </c>
      <c r="F113" s="20" t="inlineStr">
        <is>
          <t>m²</t>
        </is>
      </c>
      <c r="G113" s="22" t="n">
        <v>171.5</v>
      </c>
      <c r="H113" s="10" t="n"/>
      <c r="I113" s="10" t="n"/>
      <c r="J113" s="8" t="inlineStr">
        <is>
          <t>podlahar</t>
        </is>
      </c>
      <c r="K113" s="24" t="n">
        <v>0.95</v>
      </c>
      <c r="L113" s="20" t="inlineStr">
        <is>
          <t>family_verified_leaf_needs_production_lookup</t>
        </is>
      </c>
      <c r="M113" s="8" t="inlineStr">
        <is>
          <t>DXF km_tabulka místností MTEXT (návrh) — rooms classified per name (kuchyně/obytná/chodba = vinyl) + TZ ARS §3.2.4 nášlapná vrstva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mokré zóny</t>
        </is>
      </c>
      <c r="D114" s="20" t="inlineStr">
        <is>
          <t>771274102</t>
        </is>
      </c>
      <c r="E114" s="8" t="inlineStr">
        <is>
          <t>Nášlapná vrstva keramická dlažba lepená — koupelny + WC + spíž + komora (NÁDRŽ NP)</t>
        </is>
      </c>
      <c r="F114" s="20" t="inlineStr">
        <is>
          <t>m²</t>
        </is>
      </c>
      <c r="G114" s="22" t="n">
        <v>13.5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rooms classified per name (koupelna/WC/spíž = dlažba mokré) + TZ ARS skladba mokrá</t>
        </is>
      </c>
      <c r="N114" s="20" t="inlineStr">
        <is>
          <t>#4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Nášlap keramická dlažba — 1.PP sklep</t>
        </is>
      </c>
      <c r="D115" s="20" t="inlineStr">
        <is>
          <t>771274102</t>
        </is>
      </c>
      <c r="E115" s="8" t="inlineStr">
        <is>
          <t>Nášlapná vrstva keramická dlažba — 1.PP technické místnosti (sušárna + sklepy + schodiště + chodba)</t>
        </is>
      </c>
      <c r="F115" s="20" t="inlineStr">
        <is>
          <t>m²</t>
        </is>
      </c>
      <c r="G115" s="22" t="n">
        <v>32.4</v>
      </c>
      <c r="H115" s="10" t="n"/>
      <c r="I115" s="10" t="n"/>
      <c r="J115" s="8" t="inlineStr">
        <is>
          <t>obkladac</t>
        </is>
      </c>
      <c r="K115" s="24" t="n">
        <v>0.95</v>
      </c>
      <c r="L115" s="20" t="inlineStr">
        <is>
          <t>needs_production_lookup</t>
        </is>
      </c>
      <c r="M115" s="8" t="inlineStr">
        <is>
          <t>DXF km_tabulka místností MTEXT (návrh) — 1.PP all rooms = dlažba sklep zone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Nášlap biodeska 3.NP spací patro</t>
        </is>
      </c>
      <c r="D116" s="20" t="inlineStr">
        <is>
          <t>766411111</t>
        </is>
      </c>
      <c r="E116" s="8" t="inlineStr">
        <is>
          <t>Nášlapná vrstva biodeska (smrk masiv) nebo OSB v 3.NP spací části nad krovem</t>
        </is>
      </c>
      <c r="F116" s="20" t="inlineStr">
        <is>
          <t>m²</t>
        </is>
      </c>
      <c r="G116" s="22" t="n">
        <v>25</v>
      </c>
      <c r="H116" s="10" t="n"/>
      <c r="I116" s="10" t="n"/>
      <c r="J116" s="8" t="inlineStr">
        <is>
          <t>biodeska_konstrukcni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§3.2.3 — biodeska patro pro přespání</t>
        </is>
      </c>
      <c r="N116" s="20" t="inlineStr">
        <is>
          <t>#3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Betonový potěr s kari nad EPS</t>
        </is>
      </c>
      <c r="D117" s="20" t="inlineStr">
        <is>
          <t>631321311</t>
        </is>
      </c>
      <c r="E117" s="8" t="inlineStr">
        <is>
          <t>Mokrá podlahová skladba — betonový potěr s kari síťkou 4/100/100 tl. 50 mm + samonivelační stěrka</t>
        </is>
      </c>
      <c r="F117" s="20" t="inlineStr">
        <is>
          <t>m²</t>
        </is>
      </c>
      <c r="G117" s="22" t="n">
        <v>126.4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TZ ARS dům §3.2.4 + §3.2.x — 'kročejová izolace + betonový potěr s kari sítí'; DXF rooms areas</t>
        </is>
      </c>
      <c r="N117" s="20" t="inlineStr">
        <is>
          <t>#4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PSV-77 Podlahy</t>
        </is>
      </c>
      <c r="C118" s="8" t="inlineStr">
        <is>
          <t>Soklíky vinyl</t>
        </is>
      </c>
      <c r="D118" s="20" t="inlineStr">
        <is>
          <t>776511831</t>
        </is>
      </c>
      <c r="E118" s="8" t="inlineStr">
        <is>
          <t>Soklíky podlahové laminátové (dub) v obytných místnostech s vinyl podlahou</t>
        </is>
      </c>
      <c r="F118" s="20" t="inlineStr">
        <is>
          <t>bm</t>
        </is>
      </c>
      <c r="G118" s="22" t="n">
        <v>72.03</v>
      </c>
      <c r="H118" s="10" t="n"/>
      <c r="I118" s="10" t="n"/>
      <c r="J118" s="8" t="inlineStr">
        <is>
          <t>podlahar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vinyl + standard ratio per RD geometry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PSV-77 Podlahy</t>
        </is>
      </c>
      <c r="C119" s="8" t="inlineStr">
        <is>
          <t>Soklíky keramické</t>
        </is>
      </c>
      <c r="D119" s="20" t="inlineStr">
        <is>
          <t>771274107</t>
        </is>
      </c>
      <c r="E119" s="8" t="inlineStr">
        <is>
          <t>Soklíky keramické v místnostech s dlažbou (koupelny + WC + spíž + 1.PP)</t>
        </is>
      </c>
      <c r="F119" s="20" t="inlineStr">
        <is>
          <t>bm</t>
        </is>
      </c>
      <c r="G119" s="22" t="n">
        <v>19.28</v>
      </c>
      <c r="H119" s="10" t="n"/>
      <c r="I119" s="10" t="n"/>
      <c r="J119" s="8" t="inlineStr">
        <is>
          <t>obkladac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rooms dlažba + standard ratio per RD geometry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1.PP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1.PP (stávající vyspravené + nové zděné)</t>
        </is>
      </c>
      <c r="F120" s="20" t="inlineStr">
        <is>
          <t>m²</t>
        </is>
      </c>
      <c r="G120" s="22" t="n">
        <v>78.2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1.PP obvod + výška podlaží 2.1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1.NP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1.NP (stávající vyspravené + nové zděné)</t>
        </is>
      </c>
      <c r="F121" s="20" t="inlineStr">
        <is>
          <t>m²</t>
        </is>
      </c>
      <c r="G121" s="22" t="n">
        <v>208.4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1.NP obvod + výška podlaží 2.795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2.NP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2.NP (stávající vyspravené + nové zděné)</t>
        </is>
      </c>
      <c r="F122" s="20" t="inlineStr">
        <is>
          <t>m²</t>
        </is>
      </c>
      <c r="G122" s="22" t="n">
        <v>201.6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2.NP obvod + výška podlaží 2.865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Omítka jádrová + štuk 3.NP</t>
        </is>
      </c>
      <c r="D123" s="20" t="inlineStr">
        <is>
          <t>612311311</t>
        </is>
      </c>
      <c r="E123" s="8" t="inlineStr">
        <is>
          <t>Omítka jádrová vápenocementová tl. 15 mm + štuková povrchová úprava na stěnách 3.NP (stávající vyspravené + nové zděné)</t>
        </is>
      </c>
      <c r="F123" s="20" t="inlineStr">
        <is>
          <t>m²</t>
        </is>
      </c>
      <c r="G123" s="22" t="n">
        <v>179.1</v>
      </c>
      <c r="H123" s="10" t="n"/>
      <c r="I123" s="10" t="n"/>
      <c r="J123" s="8" t="inlineStr">
        <is>
          <t>zednik</t>
        </is>
      </c>
      <c r="K123" s="24" t="n">
        <v>0.9</v>
      </c>
      <c r="L123" s="20" t="inlineStr">
        <is>
          <t>needs_production_lookup</t>
        </is>
      </c>
      <c r="M123" s="8" t="inlineStr">
        <is>
          <t>DXF rooms 3.NP obvod + výška podlaží 2.63 m (DXF SM_kóty + řez A-A Path C Tier 1) − okenní plocha (DXF) − odpočet dveří 3%</t>
        </is>
      </c>
      <c r="N123" s="20" t="inlineStr">
        <is>
          <t>#3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1.NP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(1.NP)</t>
        </is>
      </c>
      <c r="F124" s="20" t="inlineStr">
        <is>
          <t>m²</t>
        </is>
      </c>
      <c r="G124" s="22" t="n">
        <v>59.5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1.NP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2.NP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(2.NP)</t>
        </is>
      </c>
      <c r="F125" s="20" t="inlineStr">
        <is>
          <t>m²</t>
        </is>
      </c>
      <c r="G125" s="22" t="n">
        <v>61.1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2.NP = plocha podhledu (flat ceiling assumption)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SDK podhled — tmelení + úprava 3.NP</t>
        </is>
      </c>
      <c r="D126" s="20" t="inlineStr">
        <is>
          <t>612471141</t>
        </is>
      </c>
      <c r="E126" s="8" t="inlineStr">
        <is>
          <t>SDK podhled + případné předstěny — tmelení spojů Q3 + povrchová úprava před výmalbou (3.NP)</t>
        </is>
      </c>
      <c r="F126" s="20" t="inlineStr">
        <is>
          <t>m²</t>
        </is>
      </c>
      <c r="G126" s="22" t="n">
        <v>64.5</v>
      </c>
      <c r="H126" s="10" t="n"/>
      <c r="I126" s="10" t="n"/>
      <c r="J126" s="8" t="inlineStr">
        <is>
          <t>sadrokartonar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— plocha 3.NP = plocha podhledu (flat ceiling assumption)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1.05 (1.NP)</t>
        </is>
      </c>
      <c r="D127" s="20" t="inlineStr">
        <is>
          <t>781447001</t>
        </is>
      </c>
      <c r="E127" s="8" t="inlineStr">
        <is>
          <t>Keramický obklad stěn koupelny 1.05 1.NP — výška obkladu 1.6 m (z DXF km Obklady layer)</t>
        </is>
      </c>
      <c r="F127" s="20" t="inlineStr">
        <is>
          <t>m²</t>
        </is>
      </c>
      <c r="G127" s="22" t="n">
        <v>13.4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1.05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2.03 (2.NP)</t>
        </is>
      </c>
      <c r="D128" s="20" t="inlineStr">
        <is>
          <t>781447001</t>
        </is>
      </c>
      <c r="E128" s="8" t="inlineStr">
        <is>
          <t>Keramický obklad stěn koupelny 2.03 2.NP — výška obkladu 2.45 m (z DXF km Obklady layer)</t>
        </is>
      </c>
      <c r="F128" s="20" t="inlineStr">
        <is>
          <t>m²</t>
        </is>
      </c>
      <c r="G128" s="22" t="n">
        <v>15.2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2.03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Keramický obklad koupelna 3.04 (3.NP)</t>
        </is>
      </c>
      <c r="D129" s="20" t="inlineStr">
        <is>
          <t>781447001</t>
        </is>
      </c>
      <c r="E129" s="8" t="inlineStr">
        <is>
          <t>Keramický obklad stěn koupelny 3.04 3.NP — výška obkladu 2.7 m (z DXF km Obklady layer)</t>
        </is>
      </c>
      <c r="F129" s="20" t="inlineStr">
        <is>
          <t>m²</t>
        </is>
      </c>
      <c r="G129" s="22" t="n">
        <v>24.3</v>
      </c>
      <c r="H129" s="10" t="n"/>
      <c r="I129" s="10" t="n"/>
      <c r="J129" s="8" t="inlineStr">
        <is>
          <t>obkladac</t>
        </is>
      </c>
      <c r="K129" s="24" t="n">
        <v>0.9</v>
      </c>
      <c r="L129" s="20" t="inlineStr">
        <is>
          <t>needs_production_lookup</t>
        </is>
      </c>
      <c r="M129" s="8" t="inlineStr">
        <is>
          <t>DXF rooms PIP perimeter 3.04 + DXF km Obklady layer (11 LWPOLYLINE markers s bbox heights 1600/2450/2610-2715 mm) — Path C Tier 1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Obklad za kuchyňskou linkou</t>
        </is>
      </c>
      <c r="D130" s="20" t="inlineStr">
        <is>
          <t>781447001</t>
        </is>
      </c>
      <c r="E130" s="8" t="inlineStr">
        <is>
          <t>Keramický obklad za kuchyňskou linkou nad pracovní deskou — 2 kuchyně × ~5 m² (1.06 byt rodičů + 3.05 byt 3.NP)</t>
        </is>
      </c>
      <c r="F130" s="20" t="inlineStr">
        <is>
          <t>m²</t>
        </is>
      </c>
      <c r="G130" s="22" t="n">
        <v>10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dum_DPZ 2× kuchyně MTEXT + TZ ARS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</t>
        </is>
      </c>
      <c r="D131" s="20" t="inlineStr">
        <is>
          <t>784121011</t>
        </is>
      </c>
      <c r="E131" s="8" t="inlineStr">
        <is>
          <t>Interiérová výmalba akrylátová bílá 2× — všechny stěny + podhledy mimo obklad</t>
        </is>
      </c>
      <c r="F131" s="20" t="inlineStr">
        <is>
          <t>m²</t>
        </is>
      </c>
      <c r="G131" s="22" t="n">
        <v>0</v>
      </c>
      <c r="H131" s="10" t="n"/>
      <c r="I131" s="10" t="n"/>
      <c r="J131" s="8" t="inlineStr">
        <is>
          <t>malir</t>
        </is>
      </c>
      <c r="K131" s="24" t="n">
        <v>0.75</v>
      </c>
      <c r="L131" s="20" t="inlineStr">
        <is>
          <t>needs_production_lookup</t>
        </is>
      </c>
      <c r="M131" s="8" t="inlineStr">
        <is>
          <t>TZ ARS — interiérová výmalba (aggregate, no TZ per-room directive)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1.NP</t>
        </is>
      </c>
      <c r="D132" s="20" t="inlineStr">
        <is>
          <t>784121011</t>
        </is>
      </c>
      <c r="E132" s="8" t="inlineStr">
        <is>
          <t>Interiérová výmalba 1.NP — stěny + SDK podhled − obklad koupelny 1.05 (1.6 m výška)</t>
        </is>
      </c>
      <c r="F132" s="20" t="inlineStr">
        <is>
          <t>m²</t>
        </is>
      </c>
      <c r="G132" s="22" t="n">
        <v>254.5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PSV78.002 + SDK podhled PSV78.005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1.PP</t>
        </is>
      </c>
      <c r="D133" s="20" t="inlineStr">
        <is>
          <t>784121011</t>
        </is>
      </c>
      <c r="E133" s="8" t="inlineStr">
        <is>
          <t>Interiérová výmalba 1.PP — sklep stěny + klenba bílá vápenná 2×</t>
        </is>
      </c>
      <c r="F133" s="20" t="inlineStr">
        <is>
          <t>m²</t>
        </is>
      </c>
      <c r="G133" s="22" t="n">
        <v>78.2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PSV78.001 + SDK podhled PSV78.—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2.NP</t>
        </is>
      </c>
      <c r="D134" s="20" t="inlineStr">
        <is>
          <t>784121011</t>
        </is>
      </c>
      <c r="E134" s="8" t="inlineStr">
        <is>
          <t>Interiérová výmalba 2.NP — stěny + SDK podhled − obklad koupelny 2.03 (2.45 m výška)</t>
        </is>
      </c>
      <c r="F134" s="20" t="inlineStr">
        <is>
          <t>m²</t>
        </is>
      </c>
      <c r="G134" s="22" t="n">
        <v>247.5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PSV78.003 + SDK podhled PSV78.006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Interiérová výmalba 3.NP</t>
        </is>
      </c>
      <c r="D135" s="20" t="inlineStr">
        <is>
          <t>784121011</t>
        </is>
      </c>
      <c r="E135" s="8" t="inlineStr">
        <is>
          <t>Interiérová výmalba 3.NP — stěny + SDK podhled − obklad koupelny 3.04 (2.7 m výška)</t>
        </is>
      </c>
      <c r="F135" s="20" t="inlineStr">
        <is>
          <t>m²</t>
        </is>
      </c>
      <c r="G135" s="22" t="n">
        <v>219.3</v>
      </c>
      <c r="H135" s="10" t="n"/>
      <c r="I135" s="10" t="n"/>
      <c r="J135" s="8" t="inlineStr">
        <is>
          <t>malir</t>
        </is>
      </c>
      <c r="K135" s="24" t="n">
        <v>0.85</v>
      </c>
      <c r="L135" s="20" t="inlineStr">
        <is>
          <t>needs_production_lookup</t>
        </is>
      </c>
      <c r="M135" s="8" t="inlineStr">
        <is>
          <t>Per-podlaží split z PSV78.012 (audit v2 GAP_007 fix); omítka PSV78.004 + SDK podhled PSV78.007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Autonomní hlásič kouře</t>
        </is>
      </c>
      <c r="D136" s="20" t="inlineStr">
        <is>
          <t>375211101</t>
        </is>
      </c>
      <c r="E136" s="8" t="inlineStr">
        <is>
          <t>Autonomní hlásič kouře dle ČSN EN 14604 — 4 ks v místnostech 1.01, 1.02, 2.04, 3.03 dle PBŘ</t>
        </is>
      </c>
      <c r="F136" s="20" t="inlineStr">
        <is>
          <t>ks</t>
        </is>
      </c>
      <c r="G136" s="23" t="n">
        <v>4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family_verified_leaf_needs_production_lookup</t>
        </is>
      </c>
      <c r="M136" s="8" t="inlineStr">
        <is>
          <t>TZ PBŘ dům — ČSN EN 14604 autonomní hlásič kouře 4 ks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PSV-95 Detekce požární</t>
        </is>
      </c>
      <c r="C137" s="8" t="inlineStr">
        <is>
          <t>Přenosný hasicí přístroj 34A</t>
        </is>
      </c>
      <c r="D137" s="20" t="inlineStr">
        <is>
          <t>966067121</t>
        </is>
      </c>
      <c r="E137" s="8" t="inlineStr">
        <is>
          <t>Přenosný hasicí přístroj 34A dle PBŘ — min. 1 ks na společné chodbě</t>
        </is>
      </c>
      <c r="F137" s="20" t="inlineStr">
        <is>
          <t>ks</t>
        </is>
      </c>
      <c r="G137" s="23" t="n">
        <v>1</v>
      </c>
      <c r="H137" s="10" t="n"/>
      <c r="I137" s="10" t="n"/>
      <c r="J137" s="8" t="inlineStr">
        <is>
          <t>VRN_management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PBŘ dům — PHP 34A 1 ks minimum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Demontáž stávající ELI</t>
        </is>
      </c>
      <c r="D138" s="20" t="inlineStr">
        <is>
          <t>210010011</t>
        </is>
      </c>
      <c r="E138" s="8" t="inlineStr">
        <is>
          <t>Demontáž stávající elektroinstalace v celém domě (vodiče, rozvaděč, zásuvky, svítidla) — recyklace mědi</t>
        </is>
      </c>
      <c r="F138" s="20" t="inlineStr">
        <is>
          <t>kpl</t>
        </is>
      </c>
      <c r="G138" s="23" t="n">
        <v>1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kompletně nová ELI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Pojistková skříň + 3× podružný rozvaděč</t>
        </is>
      </c>
      <c r="D139" s="20" t="inlineStr">
        <is>
          <t>210110023</t>
        </is>
      </c>
      <c r="E139" s="8" t="inlineStr">
        <is>
          <t>Nová pojistková skříň + 3× podružný rozvaděč pro každé patro (1.NP, 2.NP, 3.NP) s podružným měřením</t>
        </is>
      </c>
      <c r="F139" s="20" t="inlineStr">
        <is>
          <t>ks</t>
        </is>
      </c>
      <c r="G139" s="23" t="n">
        <v>4</v>
      </c>
      <c r="H139" s="10" t="n"/>
      <c r="I139" s="10" t="n"/>
      <c r="J139" s="8" t="inlineStr">
        <is>
          <t>elektroinstalater</t>
        </is>
      </c>
      <c r="K139" s="24" t="n">
        <v>0.85</v>
      </c>
      <c r="L139" s="20" t="inlineStr">
        <is>
          <t>needs_production_lookup</t>
        </is>
      </c>
      <c r="M139" s="8" t="inlineStr">
        <is>
          <t>TZ ARS dům §4 — 'nová pojistková skříň s podružným měřením pro každé patro'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Rozvody silnoproud</t>
        </is>
      </c>
      <c r="D140" s="20" t="inlineStr">
        <is>
          <t>210800012</t>
        </is>
      </c>
      <c r="E140" s="8" t="inlineStr">
        <is>
          <t>Nové silnoproudé rozvody — vodiče CYKY 3×1.5 / 3×2.5 / 5×2.5 / 5×6 + krabice + instalační trubky</t>
        </is>
      </c>
      <c r="F140" s="20" t="inlineStr">
        <is>
          <t>bm</t>
        </is>
      </c>
      <c r="G140" s="22" t="n">
        <v>700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3-byt. dispozice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Zásuvky a vypínače</t>
        </is>
      </c>
      <c r="D141" s="20" t="inlineStr">
        <is>
          <t>210810050</t>
        </is>
      </c>
      <c r="E141" s="8" t="inlineStr">
        <is>
          <t>Zásuvky a vypínače dodávka + montáž — ~70 ks (60-80 dle vyjasnění #7)</t>
        </is>
      </c>
      <c r="F141" s="20" t="inlineStr">
        <is>
          <t>ks</t>
        </is>
      </c>
      <c r="G141" s="23" t="n">
        <v>70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 220 m² 3-byt.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Svítidla</t>
        </is>
      </c>
      <c r="D142" s="20" t="inlineStr">
        <is>
          <t>210820002</t>
        </is>
      </c>
      <c r="E142" s="8" t="inlineStr">
        <is>
          <t>Svítidla dodávka + montáž — ~35 ks (30-40 dle vyjasnění #7) interiér + venkovní u vstupů</t>
        </is>
      </c>
      <c r="F142" s="20" t="inlineStr">
        <is>
          <t>ks</t>
        </is>
      </c>
      <c r="G142" s="23" t="n">
        <v>35</v>
      </c>
      <c r="H142" s="10" t="n"/>
      <c r="I142" s="10" t="n"/>
      <c r="J142" s="8" t="inlineStr">
        <is>
          <t>elektroinstalater</t>
        </is>
      </c>
      <c r="K142" s="24" t="n">
        <v>0.8</v>
      </c>
      <c r="L142" s="20" t="inlineStr">
        <is>
          <t>needs_production_lookup</t>
        </is>
      </c>
      <c r="M142" s="8" t="inlineStr">
        <is>
          <t>TZ ARS + B4_productivity standard RD</t>
        </is>
      </c>
      <c r="N142" s="20" t="inlineStr">
        <is>
          <t>#7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M-21 ELI silnoproud</t>
        </is>
      </c>
      <c r="C143" s="8" t="inlineStr">
        <is>
          <t>Příprava FVE</t>
        </is>
      </c>
      <c r="D143" s="20" t="inlineStr">
        <is>
          <t>210800099</t>
        </is>
      </c>
      <c r="E143" s="8" t="inlineStr">
        <is>
          <t>Příprava na osazení FVE — rezerva v rozvaděči (jistič + zásuvka pro střídač) + trasy do střechy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elektroinstalater</t>
        </is>
      </c>
      <c r="K143" s="24" t="n">
        <v>0.85</v>
      </c>
      <c r="L143" s="20" t="inlineStr">
        <is>
          <t>needs_production_lookup</t>
        </is>
      </c>
      <c r="M143" s="8" t="inlineStr">
        <is>
          <t>TZ ARS dům §4 — FVE příprava (bez panelů samotných)</t>
        </is>
      </c>
      <c r="N143" s="20" t="inlineStr">
        <is>
          <t>#7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M-21 ELI silnoproud</t>
        </is>
      </c>
      <c r="C144" s="8" t="inlineStr">
        <is>
          <t>Revize ELI při kolaudaci</t>
        </is>
      </c>
      <c r="D144" s="20" t="inlineStr">
        <is>
          <t>996019011</t>
        </is>
      </c>
      <c r="E144" s="8" t="inlineStr">
        <is>
          <t>Výchozí revize elektrické instalace dle ČSN 33 2000-6 + revizní zpráva pro kolaudaci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revize_specialista</t>
        </is>
      </c>
      <c r="K144" s="24" t="n">
        <v>0.99</v>
      </c>
      <c r="L144" s="20" t="inlineStr">
        <is>
          <t>needs_production_lookup</t>
        </is>
      </c>
      <c r="M144" s="8" t="inlineStr">
        <is>
          <t>Povinná revize ELI dle ČSN 33 2000-6 + kolaudace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Revize stávajících přípojek</t>
        </is>
      </c>
      <c r="D145" s="20" t="inlineStr">
        <is>
          <t>722290515</t>
        </is>
      </c>
      <c r="E145" s="8" t="inlineStr">
        <is>
          <t>Revize stávajícího napojení vodovodu + kanalizace na pozemku — kontrola stavu, čištění, tlaková zkouška</t>
        </is>
      </c>
      <c r="F145" s="20" t="inlineStr">
        <is>
          <t>kpl</t>
        </is>
      </c>
      <c r="G145" s="23" t="n">
        <v>1</v>
      </c>
      <c r="H145" s="10" t="n"/>
      <c r="I145" s="10" t="n"/>
      <c r="J145" s="8" t="inlineStr">
        <is>
          <t>vodar</t>
        </is>
      </c>
      <c r="K145" s="24" t="n">
        <v>0.85</v>
      </c>
      <c r="L145" s="20" t="inlineStr">
        <is>
          <t>family_verified_leaf_needs_production_lookup</t>
        </is>
      </c>
      <c r="M145" s="8" t="inlineStr">
        <is>
          <t>TZ ARS dům §4 — vodovod + kanalizace stávající, bez změny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rozvody vody do 3.NP</t>
        </is>
      </c>
      <c r="D146" s="20" t="inlineStr">
        <is>
          <t>722172011</t>
        </is>
      </c>
      <c r="E146" s="8" t="inlineStr">
        <is>
          <t>Nové rozvody studené + teplé vody do koupelen 1.NP + 2.NP + 3.NP a kuchyní (PEX/Cu, dimenze DN15-25)</t>
        </is>
      </c>
      <c r="F146" s="20" t="inlineStr">
        <is>
          <t>bm</t>
        </is>
      </c>
      <c r="G146" s="22" t="n">
        <v>80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family_verified_leaf_needs_production_lookup</t>
        </is>
      </c>
      <c r="M146" s="8" t="inlineStr">
        <is>
          <t>TZ ARS dům §4 — nové koupelny + kuchyně, vyjasnění #6 working assumption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Nové odpadní rozvody</t>
        </is>
      </c>
      <c r="D147" s="20" t="inlineStr">
        <is>
          <t>721174021</t>
        </is>
      </c>
      <c r="E147" s="8" t="inlineStr">
        <is>
          <t>Nové odpadní rozvody PVC-HT DN40-DN110 ke koupelnám 1.NP, 2.NP, 3.NP a kuchyním + napojení na stávající</t>
        </is>
      </c>
      <c r="F147" s="20" t="inlineStr">
        <is>
          <t>bm</t>
        </is>
      </c>
      <c r="G147" s="22" t="n">
        <v>60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TZ ARS dům §4 — nové koupelny + kuchyně, odpad do stávající kanalizace</t>
        </is>
      </c>
      <c r="N147" s="20" t="inlineStr">
        <is>
          <t>#6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</t>
        </is>
      </c>
      <c r="D148" s="20" t="inlineStr">
        <is>
          <t>725291131</t>
        </is>
      </c>
      <c r="E148" s="8" t="inlineStr">
        <is>
          <t>Sanitární keramika dodávka + montáž v koupelně 1.05 1.NP: 1× vana (DXF) + 1× umyvadlo (DXF) + 1× WC (TZ standard)</t>
        </is>
      </c>
      <c r="F148" s="20" t="inlineStr">
        <is>
          <t>set</t>
        </is>
      </c>
      <c r="G148" s="22" t="n">
        <v>0</v>
      </c>
      <c r="H148" s="10" t="n"/>
      <c r="I148" s="10" t="n"/>
      <c r="J148" s="8" t="inlineStr">
        <is>
          <t>vodar</t>
        </is>
      </c>
      <c r="K148" s="24" t="n">
        <v>0.75</v>
      </c>
      <c r="L148" s="20" t="inlineStr">
        <is>
          <t>needs_production_lookup</t>
        </is>
      </c>
      <c r="M148" s="8" t="inlineStr">
        <is>
          <t>DXF dum_DPZ INSERT positions PIP do room 1.05 polygon (partial — 4/13 fixtures matched celkem) + TZ ARS § koupelny standard pattern</t>
        </is>
      </c>
      <c r="N148" s="20" t="inlineStr">
        <is>
          <t>#6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A</t>
        </is>
      </c>
      <c r="D149" s="20" t="inlineStr">
        <is>
          <t>725211101</t>
        </is>
      </c>
      <c r="E149" s="8" t="inlineStr">
        <is>
          <t>Vana koupelnová obdélníková 170×70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B</t>
        </is>
      </c>
      <c r="D150" s="20" t="inlineStr">
        <is>
          <t>725311111</t>
        </is>
      </c>
      <c r="E150" s="8" t="inlineStr">
        <is>
          <t>Umyvadlo bílé keramické se sloupcem 60 cm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1.05 (1.NP) / fixture C</t>
        </is>
      </c>
      <c r="D151" s="20" t="inlineStr">
        <is>
          <t>725111101</t>
        </is>
      </c>
      <c r="E151" s="8" t="inlineStr">
        <is>
          <t>WC kombi keramické bílé — koupelna 1.05 1.NP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1.05 1.NP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</t>
        </is>
      </c>
      <c r="D152" s="20" t="inlineStr">
        <is>
          <t>725291131</t>
        </is>
      </c>
      <c r="E152" s="8" t="inlineStr">
        <is>
          <t>Sanitární keramika dodávka + montáž v koupelně 2.03 2.NP: 1× umyvadlo (DXF) + 1× WC (TZ standard) + 1× sprcha (TZ standard)</t>
        </is>
      </c>
      <c r="F152" s="20" t="inlineStr">
        <is>
          <t>set</t>
        </is>
      </c>
      <c r="G152" s="22" t="n">
        <v>0</v>
      </c>
      <c r="H152" s="10" t="n"/>
      <c r="I152" s="10" t="n"/>
      <c r="J152" s="8" t="inlineStr">
        <is>
          <t>vodar</t>
        </is>
      </c>
      <c r="K152" s="24" t="n">
        <v>0.75</v>
      </c>
      <c r="L152" s="20" t="inlineStr">
        <is>
          <t>needs_production_lookup</t>
        </is>
      </c>
      <c r="M152" s="8" t="inlineStr">
        <is>
          <t>DXF dum_DPZ INSERT positions PIP do room 2.03 polygon (partial — 4/13 fixtures matched celkem) + TZ ARS § koupelny standard pattern</t>
        </is>
      </c>
      <c r="N152" s="20" t="inlineStr">
        <is>
          <t>#6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A</t>
        </is>
      </c>
      <c r="D153" s="20" t="inlineStr">
        <is>
          <t>725311111</t>
        </is>
      </c>
      <c r="E153" s="8" t="inlineStr">
        <is>
          <t>Umyvadlo bílé keramické se sloupcem 60 cm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B</t>
        </is>
      </c>
      <c r="D154" s="20" t="inlineStr">
        <is>
          <t>725221201</t>
        </is>
      </c>
      <c r="E154" s="8" t="inlineStr">
        <is>
          <t>Sprchový kout 90×90 cm vč. vaničky + skleněných dveří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2.03 (2.NP) / fixture C</t>
        </is>
      </c>
      <c r="D155" s="20" t="inlineStr">
        <is>
          <t>725111101</t>
        </is>
      </c>
      <c r="E155" s="8" t="inlineStr">
        <is>
          <t>WC kombi keramické bílé — koupelna 2.03 2.NP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2.03 2.NP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</t>
        </is>
      </c>
      <c r="D156" s="20" t="inlineStr">
        <is>
          <t>725291131</t>
        </is>
      </c>
      <c r="E156" s="8" t="inlineStr">
        <is>
          <t>Sanitární keramika dodávka + montáž v koupelně 3.04 3.NP: 1× WC (DXF) + 1× umyvadlo (TZ standard) + 1× sprcha (TZ standard)</t>
        </is>
      </c>
      <c r="F156" s="20" t="inlineStr">
        <is>
          <t>set</t>
        </is>
      </c>
      <c r="G156" s="22" t="n">
        <v>0</v>
      </c>
      <c r="H156" s="10" t="n"/>
      <c r="I156" s="10" t="n"/>
      <c r="J156" s="8" t="inlineStr">
        <is>
          <t>vodar</t>
        </is>
      </c>
      <c r="K156" s="24" t="n">
        <v>0.75</v>
      </c>
      <c r="L156" s="20" t="inlineStr">
        <is>
          <t>needs_production_lookup</t>
        </is>
      </c>
      <c r="M156" s="8" t="inlineStr">
        <is>
          <t>DXF dum_DPZ INSERT positions PIP do room 3.04 polygon (partial — 4/13 fixtures matched celkem) + TZ ARS § koupelny standard pattern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A</t>
        </is>
      </c>
      <c r="D157" s="20" t="inlineStr">
        <is>
          <t>725111101</t>
        </is>
      </c>
      <c r="E157" s="8" t="inlineStr">
        <is>
          <t>WC kombi keramické bílé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B</t>
        </is>
      </c>
      <c r="D158" s="20" t="inlineStr">
        <is>
          <t>725311111</t>
        </is>
      </c>
      <c r="E158" s="8" t="inlineStr">
        <is>
          <t>Umyvadlo bílé keramické se sloupcem 60 cm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3.04 (3.NP) / fixture C</t>
        </is>
      </c>
      <c r="D159" s="20" t="inlineStr">
        <is>
          <t>725221201</t>
        </is>
      </c>
      <c r="E159" s="8" t="inlineStr">
        <is>
          <t>Sprchový kout 90×90 cm vč. vaničky + skleněných dveří — koupelna 3.04 3.NP</t>
        </is>
      </c>
      <c r="F159" s="20" t="inlineStr">
        <is>
          <t>ks</t>
        </is>
      </c>
      <c r="G159" s="23" t="n">
        <v>1</v>
      </c>
      <c r="H159" s="10" t="n"/>
      <c r="I159" s="10" t="n"/>
      <c r="J159" s="8" t="inlineStr">
        <is>
          <t>vodar</t>
        </is>
      </c>
      <c r="K159" s="24" t="n">
        <v>0.9</v>
      </c>
      <c r="L159" s="20" t="inlineStr">
        <is>
          <t>needs_production_lookup</t>
        </is>
      </c>
      <c r="M159" s="8" t="inlineStr">
        <is>
          <t>DXF dum_DPZ MTEXT room 3.04 3.NP + TZ ARS koupelna kompletace</t>
        </is>
      </c>
      <c r="N159" s="20" t="inlineStr">
        <is>
          <t>—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Kuchyňský dřez 2 ks (1.06 + 3.05)</t>
        </is>
      </c>
      <c r="D160" s="20" t="inlineStr">
        <is>
          <t>725840111</t>
        </is>
      </c>
      <c r="E160" s="8" t="inlineStr">
        <is>
          <t>Kuchyňský dřez nerez + montáž — 2 ks (kuchyně 1.06 byt rodičů + kuchyně 3.05 byt 3.NP)</t>
        </is>
      </c>
      <c r="F160" s="20" t="inlineStr">
        <is>
          <t>ks</t>
        </is>
      </c>
      <c r="G160" s="23" t="n">
        <v>2</v>
      </c>
      <c r="H160" s="10" t="n"/>
      <c r="I160" s="10" t="n"/>
      <c r="J160" s="8" t="inlineStr">
        <is>
          <t>vodar</t>
        </is>
      </c>
      <c r="K160" s="24" t="n">
        <v>0.95</v>
      </c>
      <c r="L160" s="20" t="inlineStr">
        <is>
          <t>needs_production_lookup</t>
        </is>
      </c>
      <c r="M160" s="8" t="inlineStr">
        <is>
          <t>DXF kuchyně MTEXT 2× + TZ ARS — dispozice byty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Vodovodní baterie + drobnosti</t>
        </is>
      </c>
      <c r="D161" s="20" t="inlineStr">
        <is>
          <t>725822611</t>
        </is>
      </c>
      <c r="E161" s="8" t="inlineStr">
        <is>
          <t>Vodovodní baterie (WC ventil + páková umyvadlová + sprchové + dřezové + termostat sprchové) — ~15 ks + drobné instalační materiály</t>
        </is>
      </c>
      <c r="F161" s="20" t="inlineStr">
        <is>
          <t>ks</t>
        </is>
      </c>
      <c r="G161" s="23" t="n">
        <v>15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TZ ARS — kompletní baterie nové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Akumulační zásobník TUV v suterénu</t>
        </is>
      </c>
      <c r="D162" s="20" t="inlineStr">
        <is>
          <t>732419411</t>
        </is>
      </c>
      <c r="E162" s="8" t="inlineStr">
        <is>
          <t>Akumulační zásobník TUV ~300 l v 1.PP napojený na topný systém (sporáková kamna + krb + elektrokotel) — nepřímotop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instalater_TUV_akumulacni_zasobnik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kombi akumulační zásobník napojený na multivariantní topný systém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Elektrický bojler 3.NP</t>
        </is>
      </c>
      <c r="D163" s="20" t="inlineStr">
        <is>
          <t>732429211</t>
        </is>
      </c>
      <c r="E163" s="8" t="inlineStr">
        <is>
          <t>Elektrický bojler ~80 l v koupelně 3.NP (nezávislý zdroj pro samostatný byt)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elektrický bojler v 3.NP koupelně, vyjasnění #6 odhad 80 l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na tuhá paliva</t>
        </is>
      </c>
      <c r="D164" s="20" t="inlineStr">
        <is>
          <t>733241011</t>
        </is>
      </c>
      <c r="E164" s="8" t="inlineStr">
        <is>
          <t>Sporáková kamna na tuhá paliva ~10 kW s akumulačním zásobníkem TUV — dodávka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primární zdroj 1.NP/2.NP, ~10 kW odhad standard RD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Sporáková kamna — montáž</t>
        </is>
      </c>
      <c r="D165" s="20" t="inlineStr">
        <is>
          <t>733281011</t>
        </is>
      </c>
      <c r="E165" s="8" t="inlineStr">
        <is>
          <t>Sporáková kamna — montáž vč. napojení na komín + akumulační zásobník (cca 8 Nh)</t>
        </is>
      </c>
      <c r="F165" s="20" t="inlineStr">
        <is>
          <t>kpl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0.75</v>
      </c>
      <c r="L165" s="20" t="inlineStr">
        <is>
          <t>needs_production_lookup</t>
        </is>
      </c>
      <c r="M165" s="8" t="inlineStr">
        <is>
          <t>Standard montáž kamen s napojením na zásobník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Elektrokotel 3.NP</t>
        </is>
      </c>
      <c r="D166" s="20" t="inlineStr">
        <is>
          <t>733131221</t>
        </is>
      </c>
      <c r="E166" s="8" t="inlineStr">
        <is>
          <t>Elektrokotel ~8 kW pro 3.NP samostatný byt — dodávka + montáž + napojení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'Nově navržené 3.NP bude vytápěno elektrokotlem'; ~8 kW odhad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Krb na tuhá paliva 3.NP</t>
        </is>
      </c>
      <c r="D167" s="20" t="inlineStr">
        <is>
          <t>733241011</t>
        </is>
      </c>
      <c r="E167" s="8" t="inlineStr">
        <is>
          <t>Krb na tuhá paliva v 3.NP ~6 kW — dodávka + montáž s napojením na samostatný komín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topenar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krb v 3.NP, ~6 kW odhad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venkovní jednotka</t>
        </is>
      </c>
      <c r="D168" s="20" t="inlineStr">
        <is>
          <t>733425211</t>
        </is>
      </c>
      <c r="E168" s="8" t="inlineStr">
        <is>
          <t>Multisplit tepelné čerpadlo vzduch-vzduch — 1× venkovní jednotka ~10 kW (silent mode hl. tlaku ≤49 dBA)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specialista_TC_multisplit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multisplit TČ s akustikou hl. tlaku ≤49 dBA, NV 272/2011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Multisplit TČ — vnitřní jednotky</t>
        </is>
      </c>
      <c r="D169" s="20" t="inlineStr">
        <is>
          <t>733425221</t>
        </is>
      </c>
      <c r="E169" s="8" t="inlineStr">
        <is>
          <t>Multisplit TČ — 5× vnitřní jednotka v obytných místnostech (1.NP, 2.NP, 3.NP — chlazení + vytápění)</t>
        </is>
      </c>
      <c r="F169" s="20" t="inlineStr">
        <is>
          <t>ks</t>
        </is>
      </c>
      <c r="G169" s="23" t="n">
        <v>5</v>
      </c>
      <c r="H169" s="10" t="n"/>
      <c r="I169" s="10" t="n"/>
      <c r="J169" s="8" t="inlineStr">
        <is>
          <t>specialista_TC_multisplit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vnitřní jednotky multisplit, vyjasnění #6 odhad 5 ks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PSV-73 Vytápění</t>
        </is>
      </c>
      <c r="C170" s="8" t="inlineStr">
        <is>
          <t>Revize komínu</t>
        </is>
      </c>
      <c r="D170" s="20" t="inlineStr">
        <is>
          <t>734262122</t>
        </is>
      </c>
      <c r="E170" s="8" t="inlineStr">
        <is>
          <t>Revize stávajícího komínu — kontrola, čištění, vystrojení vložkou nerez DN160 pro kamna + krb 3.NP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kominik</t>
        </is>
      </c>
      <c r="K170" s="24" t="n">
        <v>0.85</v>
      </c>
      <c r="L170" s="20" t="inlineStr">
        <is>
          <t>needs_production_lookup</t>
        </is>
      </c>
      <c r="M170" s="8" t="inlineStr">
        <is>
          <t>TZ ARS dům §4 — komín stávající, vystrojení vložkou pro kamna + krb</t>
        </is>
      </c>
      <c r="N170" s="20" t="inlineStr">
        <is>
          <t>#6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PSV-73 Vytápění</t>
        </is>
      </c>
      <c r="C171" s="8" t="inlineStr">
        <is>
          <t>Rozvody otopné soustavy</t>
        </is>
      </c>
      <c r="D171" s="20" t="inlineStr">
        <is>
          <t>733111021</t>
        </is>
      </c>
      <c r="E171" s="8" t="inlineStr">
        <is>
          <t>Rozvody otopné soustavy Cu/PEX k vnitřním jednotkám TČ + radiátorům pro doplňkové (cca 100 bm odhad)</t>
        </is>
      </c>
      <c r="F171" s="20" t="inlineStr">
        <is>
          <t>bm</t>
        </is>
      </c>
      <c r="G171" s="22" t="n">
        <v>100</v>
      </c>
      <c r="H171" s="10" t="n"/>
      <c r="I171" s="10" t="n"/>
      <c r="J171" s="8" t="inlineStr">
        <is>
          <t>topenar</t>
        </is>
      </c>
      <c r="K171" s="24" t="n">
        <v>0.75</v>
      </c>
      <c r="L171" s="20" t="inlineStr">
        <is>
          <t>needs_production_lookup</t>
        </is>
      </c>
      <c r="M171" s="8" t="inlineStr">
        <is>
          <t>TZ ARS dům §4 — rozvody otopné soustavy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BOZP</t>
        </is>
      </c>
      <c r="C172" s="8" t="inlineStr">
        <is>
          <t>Koordinace BOZP</t>
        </is>
      </c>
      <c r="D172" s="20" t="inlineStr">
        <is>
          <t>030091000</t>
        </is>
      </c>
      <c r="E172" s="8" t="inlineStr">
        <is>
          <t>Koordinátor BOZP na staveništi dle zákona 309/2006 Sb. — pro stavbu s více než jedním zhotovitelem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Zákon 309/2006 Sb. — povinný BOZP koordinátor pro vícezhotovitelskou stavbu</t>
        </is>
      </c>
      <c r="N172" s="20" t="inlineStr">
        <is>
          <t>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Dokumentace</t>
        </is>
      </c>
      <c r="C173" s="8" t="inlineStr">
        <is>
          <t>Předávací protokoly + DSP</t>
        </is>
      </c>
      <c r="D173" s="20" t="inlineStr">
        <is>
          <t>030151000</t>
        </is>
      </c>
      <c r="E173" s="8" t="inlineStr">
        <is>
          <t>Předávací protokoly + Dokumentace skutečného provedení (DSP) — sestavení, vázání, dodávka 2× tiskem + elektronická verze</t>
        </is>
      </c>
      <c r="F173" s="20" t="inlineStr">
        <is>
          <t>kpl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0.99</v>
      </c>
      <c r="L173" s="20" t="inlineStr">
        <is>
          <t>needs_production_lookup</t>
        </is>
      </c>
      <c r="M173" s="8" t="inlineStr">
        <is>
          <t>Vyhláška 499/2006 Sb. + ČKAIT — DSP povinná pro kolaudaci</t>
        </is>
      </c>
      <c r="N173" s="20" t="inlineStr">
        <is>
          <t>—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Kontejnery suti tříděné</t>
        </is>
      </c>
      <c r="D174" s="20" t="inlineStr">
        <is>
          <t>997013211</t>
        </is>
      </c>
      <c r="E174" s="8" t="inlineStr">
        <is>
          <t>Kontejnery na suť tříděnou velkoobjemové (beton/cihly, dřevo, kovy, EPS, sádra, směs) — pronájem + svozy</t>
        </is>
      </c>
      <c r="F174" s="20" t="inlineStr">
        <is>
          <t>ks</t>
        </is>
      </c>
      <c r="G174" s="23" t="n">
        <v>7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m.10.e: beton/cihly 46 t + dřevo 9 t + kovy 0.1 + EPS 0.1 + sádra 0.2 + směs 1.0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Doprava + odpad</t>
        </is>
      </c>
      <c r="C175" s="8" t="inlineStr">
        <is>
          <t>Doprava materiálu</t>
        </is>
      </c>
      <c r="D175" s="20" t="inlineStr">
        <is>
          <t>031031000</t>
        </is>
      </c>
      <c r="E175" s="8" t="inlineStr">
        <is>
          <t>Doprava materiálu na stavbu (centrální koordinace) — paušál ~2-3 % z PN materiál</t>
        </is>
      </c>
      <c r="F175" s="20" t="inlineStr">
        <is>
          <t>paušál</t>
        </is>
      </c>
      <c r="G175" s="23" t="n">
        <v>1</v>
      </c>
      <c r="H175" s="10" t="n"/>
      <c r="I175" s="10" t="n"/>
      <c r="J175" s="8" t="inlineStr">
        <is>
          <t>VRN_management</t>
        </is>
      </c>
      <c r="K175" s="24" t="n">
        <v>0.8</v>
      </c>
      <c r="L175" s="20" t="inlineStr">
        <is>
          <t>needs_production_lookup</t>
        </is>
      </c>
      <c r="M175" s="8" t="inlineStr">
        <is>
          <t>B4_productivity — standard doprava RD městská zástavba</t>
        </is>
      </c>
      <c r="N175" s="20" t="inlineStr">
        <is>
          <t>#10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Doprava + odpad</t>
        </is>
      </c>
      <c r="C176" s="8" t="inlineStr">
        <is>
          <t>Likvidace odpadů 56.9 t</t>
        </is>
      </c>
      <c r="D176" s="20" t="inlineStr">
        <is>
          <t>997013211</t>
        </is>
      </c>
      <c r="E176" s="8" t="inlineStr">
        <is>
          <t>Likvidace stavební suti dle vyhl. 8/2021 Sb. — skládkovné + recyklace + třídění (56.9 t celkem per TZ B m.10.e)</t>
        </is>
      </c>
      <c r="F176" s="20" t="inlineStr">
        <is>
          <t>t</t>
        </is>
      </c>
      <c r="G176" s="22" t="n">
        <v>56.9</v>
      </c>
      <c r="H176" s="10" t="n"/>
      <c r="I176" s="10" t="n"/>
      <c r="J176" s="8" t="inlineStr">
        <is>
          <t>bourani_demolice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B m.10.e bilance odpadů celkem dům</t>
        </is>
      </c>
      <c r="N176" s="20" t="inlineStr">
        <is>
          <t>#9, #10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Geodet</t>
        </is>
      </c>
      <c r="C177" s="8" t="inlineStr">
        <is>
          <t>Geodetické zaměření před + po realizaci</t>
        </is>
      </c>
      <c r="D177" s="20" t="inlineStr">
        <is>
          <t>030141000</t>
        </is>
      </c>
      <c r="E177" s="8" t="inlineStr">
        <is>
          <t>Geodetické zaměření před realizací (verifikace polohopis + výškopis) + po dokončení (zaměření skutečného provedení pro kolaudaci)</t>
        </is>
      </c>
      <c r="F177" s="20" t="inlineStr">
        <is>
          <t>kpl</t>
        </is>
      </c>
      <c r="G177" s="23" t="n">
        <v>2</v>
      </c>
      <c r="H177" s="10" t="n"/>
      <c r="I177" s="10" t="n"/>
      <c r="J177" s="8" t="inlineStr">
        <is>
          <t>geodet</t>
        </is>
      </c>
      <c r="K177" s="24" t="n">
        <v>0.99</v>
      </c>
      <c r="L177" s="20" t="inlineStr">
        <is>
          <t>needs_production_lookup</t>
        </is>
      </c>
      <c r="M177" s="8" t="inlineStr">
        <is>
          <t>Standard — geodet před+po pro každou stavbu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Kolaudace</t>
        </is>
      </c>
      <c r="C178" s="8" t="inlineStr">
        <is>
          <t>Kolaudační řízení</t>
        </is>
      </c>
      <c r="D178" s="20" t="inlineStr">
        <is>
          <t>030171000</t>
        </is>
      </c>
      <c r="E178" s="8" t="inlineStr">
        <is>
          <t>Kolaudační řízení — paušál (správní poplatky + součinnost) dle zákona 183/2006 Sb.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Zákon 183/2006 Sb. + vyhl. 499/2006 Sb.</t>
        </is>
      </c>
      <c r="N178" s="20" t="inlineStr">
        <is>
          <t>—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Lešení</t>
        </is>
      </c>
      <c r="C179" s="8" t="inlineStr">
        <is>
          <t>Fasádní lešení (ETICS + krov + klempířina)</t>
        </is>
      </c>
      <c r="D179" s="20" t="inlineStr">
        <is>
          <t>—</t>
        </is>
      </c>
      <c r="E179" s="8" t="inlineStr">
        <is>
          <t>Fasádní lešení trubkové/rámové vč. montáže + pronájmu + demontáže — pro provedení ETICS fasády, krovu a klempířiny po obvodu domu (výška 13 m)</t>
        </is>
      </c>
      <c r="F179" s="20" t="inlineStr">
        <is>
          <t>m²</t>
        </is>
      </c>
      <c r="G179" s="22" t="n">
        <v>503.1</v>
      </c>
      <c r="H179" s="10" t="n"/>
      <c r="I179" s="10" t="n"/>
      <c r="J179" s="8" t="inlineStr">
        <is>
          <t>VRN_management</t>
        </is>
      </c>
      <c r="K179" s="24" t="n">
        <v>0.8</v>
      </c>
      <c r="L179" s="20" t="inlineStr">
        <is>
          <t>needs_production_lookup</t>
        </is>
      </c>
      <c r="M179" s="8" t="inlineStr">
        <is>
          <t>anchor checklist PM02 — technical necessity (ETICS 276.7 m² nelze provést bez lešení, 941xxx URS família) + DXF obvod 38.7 m + řez výška 13 m</t>
        </is>
      </c>
      <c r="N179" s="20" t="inlineStr">
        <is>
          <t>—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Pojištění stavby (montážní + odpovědnostní)</t>
        </is>
      </c>
      <c r="D180" s="20" t="inlineStr">
        <is>
          <t>030081000</t>
        </is>
      </c>
      <c r="E180" s="8" t="inlineStr">
        <is>
          <t>Montážní pojištění stavby (CAR) + pojištění odpovědnosti za škodu (zhotovitel) — paušál cca 0.3-0.5 % z PN</t>
        </is>
      </c>
      <c r="F180" s="20" t="inlineStr">
        <is>
          <t>paušál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0.99</v>
      </c>
      <c r="L180" s="20" t="inlineStr">
        <is>
          <t>needs_production_lookup</t>
        </is>
      </c>
      <c r="M180" s="8" t="inlineStr">
        <is>
          <t>Standard zhotovitel — pojistná povinnost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Pojištění + zábory</t>
        </is>
      </c>
      <c r="C181" s="8" t="inlineStr">
        <is>
          <t>Krátkodobé zábory ul. Fibichova</t>
        </is>
      </c>
      <c r="D181" s="20" t="inlineStr">
        <is>
          <t>030083000</t>
        </is>
      </c>
      <c r="E181" s="8" t="inlineStr">
        <is>
          <t>Krátkodobé zábory ulice Fibichova pro materiál a kontejnery (povolení MU Jáchymov + DI) — odhad 30 dnů kumulativně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VRN_management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B m.10 + situace — řadovka ul. Fibichova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Průzkumy</t>
        </is>
      </c>
      <c r="C182" s="8" t="inlineStr">
        <is>
          <t>Mykologický průzkum dřeva při bourání</t>
        </is>
      </c>
      <c r="D182" s="20" t="inlineStr">
        <is>
          <t>030131000</t>
        </is>
      </c>
      <c r="E182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mykolog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§3.2.3 + POZN.2.05 z půdorysů návrh + řez A-A návrh (explicit dřevokazný hmyz scope per drawing wording)</t>
        </is>
      </c>
      <c r="N182" s="20" t="inlineStr">
        <is>
          <t>#10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Průzkumy</t>
        </is>
      </c>
      <c r="C183" s="8" t="inlineStr">
        <is>
          <t>Azbestový průzkum podrobný před demolicí</t>
        </is>
      </c>
      <c r="D183" s="20" t="inlineStr">
        <is>
          <t>030133000</t>
        </is>
      </c>
      <c r="E183" s="8" t="inlineStr">
        <is>
          <t>Azbestový průzkum podrobný před demolicí — laboratorní vzorky a posudek (B kap. m.7.a předběžně negativní, ale podrobný před bouráním povinný)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azbestovy_specialista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B m.7.a + ARS §3.2 — azbestový průzkum povinný před demolicí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Přesun hmot</t>
        </is>
      </c>
      <c r="C184" s="8" t="inlineStr">
        <is>
          <t>Přesun hmot pro budovu</t>
        </is>
      </c>
      <c r="D184" s="20" t="inlineStr">
        <is>
          <t>—</t>
        </is>
      </c>
      <c r="E184" s="8" t="inlineStr">
        <is>
          <t>Přesun hmot pro budovu — vnitrostaveništní vertikální + horizontální doprava materiálu a hmot (rekonstrukce vícepodlažní RD + nástavba 3.NP)</t>
        </is>
      </c>
      <c r="F184" s="20" t="inlineStr">
        <is>
          <t>t</t>
        </is>
      </c>
      <c r="G184" s="22" t="n">
        <v>0</v>
      </c>
      <c r="H184" s="10" t="n"/>
      <c r="I184" s="10" t="n"/>
      <c r="J184" s="8" t="inlineStr">
        <is>
          <t>VRN_management</t>
        </is>
      </c>
      <c r="K184" s="24" t="n">
        <v>0.6</v>
      </c>
      <c r="L184" s="20" t="inlineStr">
        <is>
          <t>needs_production_lookup</t>
        </is>
      </c>
      <c r="M184" s="8" t="inlineStr">
        <is>
          <t>anchor checklist PM01 — technical necessity (povinná položka každého rozpočtu, 998xxx URS família)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Revize</t>
        </is>
      </c>
      <c r="C185" s="8" t="inlineStr">
        <is>
          <t>Revize hydrantu vnějšího</t>
        </is>
      </c>
      <c r="D185" s="20" t="inlineStr">
        <is>
          <t>030161000</t>
        </is>
      </c>
      <c r="E185" s="8" t="inlineStr">
        <is>
          <t>Revize vnějšího hydrantu pro požární zabezpečení (DN min. 80, vzdálenost 100 m dle TZ PBŘ) — periodická kontrola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revize_specialista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PBŘ dům — vnější odběrné místo požární vody, revize před kolaudací</t>
        </is>
      </c>
      <c r="N185" s="20" t="inlineStr">
        <is>
          <t>—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Buňky kancelář + sociální</t>
        </is>
      </c>
      <c r="D186" s="20" t="inlineStr">
        <is>
          <t>030011000</t>
        </is>
      </c>
      <c r="E186" s="8" t="inlineStr">
        <is>
          <t>Zařízení staveniště — buňka kancelář + sociální buňka (WC + šatna), pronájem ~8 měsíců</t>
        </is>
      </c>
      <c r="F186" s="20" t="inlineStr">
        <is>
          <t>kpl-měs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TZ B m.1.m realizace 2026-2027 + standard staveniště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Mobilní WC</t>
        </is>
      </c>
      <c r="D187" s="20" t="inlineStr">
        <is>
          <t>030013000</t>
        </is>
      </c>
      <c r="E187" s="8" t="inlineStr">
        <is>
          <t>Mobilní chemické WC TOI TOI pro pracovníky — pronájem ~8 měsíců</t>
        </is>
      </c>
      <c r="F187" s="20" t="inlineStr">
        <is>
          <t>ks-měs</t>
        </is>
      </c>
      <c r="G187" s="23" t="n">
        <v>8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BOZP — mobilní WC povinné pro stavbu RD</t>
        </is>
      </c>
      <c r="N187" s="20" t="inlineStr">
        <is>
          <t>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El. odběr + vodovodní odběr stavby</t>
        </is>
      </c>
      <c r="D188" s="20" t="inlineStr">
        <is>
          <t>031011000</t>
        </is>
      </c>
      <c r="E188" s="8" t="inlineStr">
        <is>
          <t>El. odběr stavby (zřízení staveništního rozvaděče + měřič) + vodovodní odběr (zřízení staveništní přípojky + vodoměr) — ~8 měsíců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Standard staveniště — el. + voda zřízení a odběr po dobu stavby</t>
        </is>
      </c>
      <c r="N188" s="20" t="inlineStr">
        <is>
          <t>#10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Zařízení staveniště</t>
        </is>
      </c>
      <c r="C189" s="8" t="inlineStr">
        <is>
          <t>Voda staveniště</t>
        </is>
      </c>
      <c r="D189" s="20" t="inlineStr">
        <is>
          <t>012103101</t>
        </is>
      </c>
      <c r="E189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9" s="20" t="inlineStr">
        <is>
          <t>kpl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</v>
      </c>
      <c r="L189" s="20" t="inlineStr">
        <is>
          <t>needs_production_lookup</t>
        </is>
      </c>
      <c r="M189" s="8" t="inlineStr">
        <is>
          <t>TZ B Souhrnná m.5 — 'Stávající vodovodní přípojka z veřejného vodovodu'</t>
        </is>
      </c>
      <c r="N189" s="20" t="inlineStr">
        <is>
          <t>—</t>
        </is>
      </c>
      <c r="O189" s="26" t="inlineStr">
        <is>
          <t>ANO</t>
        </is>
      </c>
    </row>
  </sheetData>
  <autoFilter ref="A1:O189"/>
  <conditionalFormatting sqref="K2:K18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2026-06-01T06:59:00Z</dcterms:created>
  <dcterms:modified xmlns:dcterms="http://purl.org/dc/terms/" xmlns:xsi="http://www.w3.org/2001/XMLSchema-instance" xsi:type="dcterms:W3CDTF">2026-06-01T06:59:00Z</dcterms:modified>
</cp:coreProperties>
</file>
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'Var_C_Hybrid'!$A$1:$J$118</definedName>
    <definedName name="_xlnm._FilterDatabase" localSheetId="4" hidden="1">'Var_B_Polozkovy_Dum'!$A$1:$O$188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(105 ks) + PSV/TZB/VRN agregovaně (12 skupin) = 117 řádků.</t>
        </is>
      </c>
      <c r="C24" s="9" t="n">
        <v>117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(187 dum + 28 sklad = 215 položek). Cílový rozsah pro produkční pricing.</t>
        </is>
      </c>
      <c r="C25" s="9" t="n">
        <v>215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215 (187 dum + 28 sklad)</t>
        </is>
      </c>
    </row>
    <row r="32">
      <c r="A32" s="4" t="inlineStr">
        <is>
          <t>Gate distribution</t>
        </is>
      </c>
      <c r="B32" s="5" t="inlineStr">
        <is>
          <t>HSV 105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69 | 0.70: 1 | 0.60: 1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140 needs_production_lookup (65.1 %)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24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215 položek celkem (187 dum + 28 sklad), 4 corpus patterns aplikované, zero-fabrication policy.
Confidence distribution: 17×0.99 · 32×0.95 · 35×0.90 · 41×0.85 · 19×0.80 · 69×0.75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PSV-76 — Výplně otvorů + klempířina + zámečnictví + truhlář</t>
        </is>
      </c>
      <c r="D107" s="8" t="inlineStr">
        <is>
          <t>[agregát] 1 položek: Bezpečnostní dveře RC3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PSV-77 — Podlahy</t>
        </is>
      </c>
      <c r="D108" s="8" t="inlineStr">
        <is>
          <t>[agregát] 1 položek: Betonová dlažba sklad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260217_sklad</t>
        </is>
      </c>
      <c r="C109" s="21" t="inlineStr">
        <is>
          <t>VRN — Vedlejší rozpočtové náklady</t>
        </is>
      </c>
      <c r="D109" s="8" t="inlineStr">
        <is>
          <t>[agregát] 4 položek: Doprava prefa H-BLOK auto s hyd. rukou; Likvidace odpadu sklad; Geodetické vytýčení sklad; … (+1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M-21 — Elektroinstalace silnoproudá</t>
        </is>
      </c>
      <c r="D110" s="8" t="inlineStr">
        <is>
          <t>[agregát] 7 položek: Demontáž stávající ELI; Pojistková skříň + 3× podružný rozvaděč; Rozvody silnoproud; … (+4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PSV-71 — Izolace HI + TI</t>
        </is>
      </c>
      <c r="D111" s="8" t="inlineStr">
        <is>
          <t>[agregát] 5 položek: HI pod ŽB deskou 1.NP; Odvětrání radonu z podloží; HI koupelny 1.NP + 2.NP + 3.NP; … (+2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PSV-72 — ZTI (vodovod + kanalizace + sanita)</t>
        </is>
      </c>
      <c r="D112" s="8" t="inlineStr">
        <is>
          <t>[agregát] 19 položek: Revize stávajících přípojek; Nové rozvody vody do 3.NP; Nové odpadní rozvody; … (+16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PSV-73 — Vytápění + komín</t>
        </is>
      </c>
      <c r="D113" s="8" t="inlineStr">
        <is>
          <t>[agregát] 8 položek: Sporáková kamna na tuhá paliva; Sporáková kamna — montáž; Elektrokotel 3.NP; … (+5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PSV-76 — Výplně otvorů + klempířina + zámečnictví + truhlář</t>
        </is>
      </c>
      <c r="D114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PSV-77 — Podlahy</t>
        </is>
      </c>
      <c r="D115" s="8" t="inlineStr">
        <is>
          <t>[agregát] 7 položek: Nášlap vinyl obytné místnosti; Nášlap keramická dlažba — mokré zóny; Nášlap keramická dlažba — 1.PP sklep; … (+4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PSV-78 — Povrchové úpravy</t>
        </is>
      </c>
      <c r="D116" s="8" t="inlineStr">
        <is>
          <t>[agregát] 16 položek: Omítka jádrová + štuk 1.PP; Omítka jádrová + štuk 1.NP; Omítka jádrová + štuk 2.NP; … (+13 dalších)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PSV-95 — Detekce požární</t>
        </is>
      </c>
      <c r="D117" s="8" t="inlineStr">
        <is>
          <t>[agregát] 2 položek: Autonomní hlásič kouře; Přenosný hasicí přístroj 34A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  <row r="118">
      <c r="A118" s="20" t="n">
        <v>117</v>
      </c>
      <c r="B118" s="20" t="inlineStr">
        <is>
          <t>260219_dum</t>
        </is>
      </c>
      <c r="C118" s="21" t="inlineStr">
        <is>
          <t>VRN — Vedlejší rozpočtové náklady</t>
        </is>
      </c>
      <c r="D118" s="8" t="inlineStr">
        <is>
          <t>[agregát] 18 položek: Buňky kancelář + sociální; Mobilní WC; El. odběr + vodovodní odběr stavby; … (+15 dalších)</t>
        </is>
      </c>
      <c r="E118" s="20" t="inlineStr">
        <is>
          <t>kpl</t>
        </is>
      </c>
      <c r="F118" s="9" t="n">
        <v>1</v>
      </c>
      <c r="G118" s="10" t="n"/>
      <c r="H118" s="10" t="n"/>
      <c r="I118" s="8" t="inlineStr">
        <is>
          <t>—</t>
        </is>
      </c>
      <c r="J118" s="8" t="inlineStr">
        <is>
          <t>agregát</t>
        </is>
      </c>
    </row>
  </sheetData>
  <autoFilter ref="A1:J1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HSV-5 Krov + střecha</t>
        </is>
      </c>
      <c r="C46" s="8" t="inlineStr">
        <is>
          <t>Krokve 100/180 á 800 mm</t>
        </is>
      </c>
      <c r="D46" s="20" t="inlineStr">
        <is>
          <t>762332122</t>
        </is>
      </c>
      <c r="E46" s="8" t="inlineStr">
        <is>
          <t>Tesařský krov — krokve 100/180 mm á 800 mm, rezivo C24 fungicidní + protihmyzí (cca 2×12 krokví × ~6.5 m)</t>
        </is>
      </c>
      <c r="F46" s="20" t="inlineStr">
        <is>
          <t>bm</t>
        </is>
      </c>
      <c r="G46" s="22" t="n">
        <v>156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matched_catalog</t>
        </is>
      </c>
      <c r="M46" s="8" t="inlineStr">
        <is>
          <t>TZ ARS dům §4 + statika §4 — krokve 100/180; DXF KR=111 INSERTs corroborates (krokve+sloupky+námětky combined)</t>
        </is>
      </c>
      <c r="N46" s="20" t="inlineStr">
        <is>
          <t>#3</t>
        </is>
      </c>
      <c r="O46" s="26" t="inlineStr">
        <is>
          <t>ANO</t>
        </is>
      </c>
      <c r="P46" s="41" t="n"/>
      <c r="Q46" s="41" t="inlineStr">
        <is>
          <t>URS_PHASE5B_FAMILY_VERIFIED; KROV_762332_LEAF_BIND_2026-05-31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Kleštiny 2×60/180</t>
        </is>
      </c>
      <c r="D47" s="20" t="inlineStr">
        <is>
          <t>762332122</t>
        </is>
      </c>
      <c r="E47" s="8" t="inlineStr">
        <is>
          <t>Tesařský krov — kleštiny dvojfošny 60/180 mm probíhající v oblasti spací části</t>
        </is>
      </c>
      <c r="F47" s="20" t="inlineStr">
        <is>
          <t>bm</t>
        </is>
      </c>
      <c r="G47" s="22" t="n">
        <v>110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matched_catalog</t>
        </is>
      </c>
      <c r="M47" s="8" t="inlineStr">
        <is>
          <t>TZ statika dům §4 — 2× 60/180 kleštiny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URS_PHASE5B_FAMILY_VERIFIED; KROV_762332_LEAF_BIND_2026-05-31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Pozednice 140/160</t>
        </is>
      </c>
      <c r="D48" s="20" t="inlineStr">
        <is>
          <t>762332122</t>
        </is>
      </c>
      <c r="E48" s="8" t="inlineStr">
        <is>
          <t>Tesařský krov — pozednice 140/160 mm kotvená do ŽB věnce 3.NP</t>
        </is>
      </c>
      <c r="F48" s="20" t="inlineStr">
        <is>
          <t>bm</t>
        </is>
      </c>
      <c r="G48" s="22" t="n">
        <v>19.4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matched_catalog</t>
        </is>
      </c>
      <c r="M48" s="8" t="inlineStr">
        <is>
          <t>TZ ARS + statika — pozednice kotvené do věnce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inlineStr">
        <is>
          <t>URS_PHASE5B_FAMILY_VERIFIED; KROV_762332_LEAF_BIND_2026-05-31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Námětky pro přesah</t>
        </is>
      </c>
      <c r="D49" s="20" t="inlineStr">
        <is>
          <t>762332121</t>
        </is>
      </c>
      <c r="E49" s="8" t="inlineStr">
        <is>
          <t>Tesařský krov — námětky 60/100 v dolní koncové části pro přesah střechy ~500 mm</t>
        </is>
      </c>
      <c r="F49" s="20" t="inlineStr">
        <is>
          <t>bm</t>
        </is>
      </c>
      <c r="G49" s="22" t="n">
        <v>19.2</v>
      </c>
      <c r="H49" s="10" t="n"/>
      <c r="I49" s="10" t="n"/>
      <c r="J49" s="8" t="inlineStr">
        <is>
          <t>krov_tesarsky_kompletni</t>
        </is>
      </c>
      <c r="K49" s="24" t="n">
        <v>0.75</v>
      </c>
      <c r="L49" s="20" t="inlineStr">
        <is>
          <t>matched_catalog</t>
        </is>
      </c>
      <c r="M49" s="8" t="inlineStr">
        <is>
          <t>TZ ARS dům §4 — námětky v dolní části pro přesah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KROV_762332_LEAF_BIND_2026-05-31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Středová vaznice HEA160</t>
        </is>
      </c>
      <c r="D50" s="20" t="inlineStr">
        <is>
          <t>411321414</t>
        </is>
      </c>
      <c r="E50" s="8" t="inlineStr">
        <is>
          <t>Ocelová středová vaznice HEA160 — 2 ks × cca 10 m délka</t>
        </is>
      </c>
      <c r="F50" s="20" t="inlineStr">
        <is>
          <t>kg</t>
        </is>
      </c>
      <c r="G50" s="22" t="n">
        <v>608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family_verified_leaf_needs_production_lookup</t>
        </is>
      </c>
      <c r="M50" s="8" t="inlineStr">
        <is>
          <t>TZ statika dům §4 — HEA160 vaznice</t>
        </is>
      </c>
      <c r="N50" s="20" t="inlineStr">
        <is>
          <t>—</t>
        </is>
      </c>
      <c r="O50" s="26" t="inlineStr">
        <is>
          <t>ANO</t>
        </is>
      </c>
      <c r="P50" s="41" t="n"/>
      <c r="Q50" s="41" t="inlineStr">
        <is>
          <t>URS_PHASE5B_FAMILY_VERIFIED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Sloupky pod vaznice — jekl 100/4</t>
        </is>
      </c>
      <c r="D51" s="20" t="inlineStr">
        <is>
          <t>411321414</t>
        </is>
      </c>
      <c r="E51" s="8" t="inlineStr">
        <is>
          <t>Ocelové sloupky uzavřený profil 100×100×4 mm pod vaznice HEA160 (~6 ks × ~2.5 m výška)</t>
        </is>
      </c>
      <c r="F51" s="20" t="inlineStr">
        <is>
          <t>kg</t>
        </is>
      </c>
      <c r="G51" s="22" t="n">
        <v>176</v>
      </c>
      <c r="H51" s="10" t="n"/>
      <c r="I51" s="10" t="n"/>
      <c r="J51" s="8" t="inlineStr">
        <is>
          <t>ocel_zamecnik_konstrukce</t>
        </is>
      </c>
      <c r="K51" s="24" t="n">
        <v>0.85</v>
      </c>
      <c r="L51" s="20" t="inlineStr">
        <is>
          <t>needs_production_lookup</t>
        </is>
      </c>
      <c r="M51" s="8" t="inlineStr">
        <is>
          <t>TZ statika dům §4 — 'sloupky z jeklu 100/4'; korekce nomenklatury (vyjasnění #17)</t>
        </is>
      </c>
      <c r="N51" s="20" t="inlineStr">
        <is>
          <t>#17</t>
        </is>
      </c>
      <c r="O51" s="26" t="inlineStr">
        <is>
          <t>ANO</t>
        </is>
      </c>
      <c r="P51" s="41" t="n"/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Bednění z prken pod nadkrokevní izolaci</t>
        </is>
      </c>
      <c r="D52" s="20" t="inlineStr">
        <is>
          <t>762341711</t>
        </is>
      </c>
      <c r="E52" s="8" t="inlineStr">
        <is>
          <t>Bednění z prken tl. 20 mm pod nadkrokevní PIR (biodeska/palubka)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biodeska/palubka tl.≥20 pod parotěs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Parotěsná vrstva</t>
        </is>
      </c>
      <c r="D53" s="20" t="inlineStr">
        <is>
          <t>712311101</t>
        </is>
      </c>
      <c r="E53" s="8" t="inlineStr">
        <is>
          <t>Parotěsná folie nad bedněním pod nadkrokevní PIR (např. Isover Vario nebo Tyvek Air guard)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skladba nadkrokevní s parotěsem</t>
        </is>
      </c>
      <c r="N53" s="20" t="inlineStr">
        <is>
          <t>—</t>
        </is>
      </c>
      <c r="O53" s="26" t="inlineStr">
        <is>
          <t>ANO</t>
        </is>
      </c>
      <c r="P53" s="41" t="inlineStr">
        <is>
          <t>S10</t>
        </is>
      </c>
      <c r="Q53" s="41" t="n"/>
    </row>
    <row r="54">
      <c r="A54" s="20" t="n">
        <v>53</v>
      </c>
      <c r="B54" s="8" t="inlineStr">
        <is>
          <t>HSV-5 Krov + střecha</t>
        </is>
      </c>
      <c r="C54" s="8" t="inlineStr">
        <is>
          <t>Nadkrokevní PIR izolace</t>
        </is>
      </c>
      <c r="D54" s="20" t="inlineStr">
        <is>
          <t>713131811</t>
        </is>
      </c>
      <c r="E54" s="8" t="inlineStr">
        <is>
          <t>Nadkrokevní tepelná izolace PIR (polyisokyanurát) tl. 160 mm (λ=0,022 W/mK) — řez A-A S10 explicit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izolater_TI</t>
        </is>
      </c>
      <c r="K54" s="24" t="n">
        <v>0.9</v>
      </c>
      <c r="L54" s="20" t="inlineStr">
        <is>
          <t>matched_websearch_verified</t>
        </is>
      </c>
      <c r="M54" s="8" t="inlineStr">
        <is>
          <t>PDF řez D.1.1.2.2.21 legenda S10 'tepelná izolace PIR 160 mm' EXPLICIT (Path C Tier 1 finding — was prior 180 mm odhad)</t>
        </is>
      </c>
      <c r="N54" s="20" t="inlineStr">
        <is>
          <t>—</t>
        </is>
      </c>
      <c r="O54" s="25" t="inlineStr">
        <is>
          <t>OVĚŘENO ✓</t>
        </is>
      </c>
      <c r="P54" s="41" t="inlineStr">
        <is>
          <t>S10</t>
        </is>
      </c>
      <c r="Q54" s="41" t="inlineStr">
        <is>
          <t>URS_PHASE5B_VERIFIED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Doplňková HI pod kontralatě</t>
        </is>
      </c>
      <c r="D55" s="20" t="inlineStr">
        <is>
          <t>712311111</t>
        </is>
      </c>
      <c r="E55" s="8" t="inlineStr">
        <is>
          <t>Doplňková hydroizolační difuzně otevřená folie nad PIR pod kontralatě</t>
        </is>
      </c>
      <c r="F55" s="20" t="inlineStr">
        <is>
          <t>m²</t>
        </is>
      </c>
      <c r="G55" s="22" t="n">
        <v>155.034</v>
      </c>
      <c r="H55" s="10" t="n"/>
      <c r="I55" s="10" t="n"/>
      <c r="J55" s="8" t="inlineStr">
        <is>
          <t>izolater_HI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doplň. HI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Kontralatě + vzduchová mezera</t>
        </is>
      </c>
      <c r="D56" s="20" t="inlineStr">
        <is>
          <t>762331923</t>
        </is>
      </c>
      <c r="E56" s="8" t="inlineStr">
        <is>
          <t>Distanční kontralatě 40×60 mm pro vzduchovou mezeru nad PIR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kontralatě + vzduchová mezera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n"/>
    </row>
    <row r="57">
      <c r="A57" s="20" t="n">
        <v>56</v>
      </c>
      <c r="B57" s="8" t="inlineStr">
        <is>
          <t>HSV-5 Krov + střecha</t>
        </is>
      </c>
      <c r="C57" s="8" t="inlineStr">
        <is>
          <t>Bednění prken pod hliníkovou krytinu</t>
        </is>
      </c>
      <c r="D57" s="20" t="inlineStr">
        <is>
          <t>762341711</t>
        </is>
      </c>
      <c r="E57" s="8" t="inlineStr">
        <is>
          <t>Bednění z prken tl. 25 mm pod plechovou hliníkovou krytinu (rozsah dle technologie krytiny)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bednění pod krytinu</t>
        </is>
      </c>
      <c r="N57" s="20" t="inlineStr">
        <is>
          <t>—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Plechová falcovaná Al krytina</t>
        </is>
      </c>
      <c r="D58" s="20" t="inlineStr">
        <is>
          <t>765791121</t>
        </is>
      </c>
      <c r="E58" s="8" t="inlineStr">
        <is>
          <t>Plechová falcovaná HLINÍKOVÁ krytina (např. PREFA, Rheinzink, Lindab) + tlumící podložka</t>
        </is>
      </c>
      <c r="F58" s="20" t="inlineStr">
        <is>
          <t>m²</t>
        </is>
      </c>
      <c r="G58" s="22" t="n">
        <v>140.94</v>
      </c>
      <c r="H58" s="10" t="n"/>
      <c r="I58" s="10" t="n"/>
      <c r="J58" s="8" t="inlineStr">
        <is>
          <t>plech_falcovany_hlinik</t>
        </is>
      </c>
      <c r="K58" s="24" t="n">
        <v>0.75</v>
      </c>
      <c r="L58" s="20" t="inlineStr">
        <is>
          <t>family_verified_leaf_needs_production_lookup</t>
        </is>
      </c>
      <c r="M58" s="8" t="inlineStr">
        <is>
          <t>TZ ARS dům §4 — plechová falcovaná hliníková krytina</t>
        </is>
      </c>
      <c r="N58" s="20" t="inlineStr">
        <is>
          <t>#3</t>
        </is>
      </c>
      <c r="O58" s="26" t="inlineStr">
        <is>
          <t>ANO</t>
        </is>
      </c>
      <c r="P58" s="41" t="inlineStr">
        <is>
          <t>S10</t>
        </is>
      </c>
      <c r="Q58" s="41" t="inlineStr">
        <is>
          <t>URS_PHASE5B_FAMILY_VERIFIED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Patro pro přespání z biodesky</t>
        </is>
      </c>
      <c r="D59" s="20" t="inlineStr">
        <is>
          <t>762341711</t>
        </is>
      </c>
      <c r="E59" s="8" t="inlineStr">
        <is>
          <t>Patro pro přespání v krovu — biodeska / OSB desky tl. 22 mm nad kleštinami</t>
        </is>
      </c>
      <c r="F59" s="20" t="inlineStr">
        <is>
          <t>m²</t>
        </is>
      </c>
      <c r="G59" s="22" t="n">
        <v>25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patro nad kleštinami z biodesky pro přespání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S11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zděná čela</t>
        </is>
      </c>
      <c r="D60" s="20" t="inlineStr">
        <is>
          <t>311321411</t>
        </is>
      </c>
      <c r="E60" s="8" t="inlineStr">
        <is>
          <t>Vikýře — zděná čela z Porotherm 30 (odhad 4 ks × ~3 m² stěna)</t>
        </is>
      </c>
      <c r="F60" s="20" t="inlineStr">
        <is>
          <t>m²</t>
        </is>
      </c>
      <c r="G60" s="22" t="n">
        <v>12</v>
      </c>
      <c r="H60" s="10" t="n"/>
      <c r="I60" s="10" t="n"/>
      <c r="J60" s="8" t="inlineStr">
        <is>
          <t>zednik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vystupují ze střechy, čela zděná</t>
        </is>
      </c>
      <c r="N60" s="20" t="inlineStr">
        <is>
          <t>—</t>
        </is>
      </c>
      <c r="O60" s="26" t="inlineStr">
        <is>
          <t>ANO</t>
        </is>
      </c>
      <c r="P60" s="41" t="n"/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Vikýře — provětrávaná fasáda + plech</t>
        </is>
      </c>
      <c r="D61" s="20" t="inlineStr">
        <is>
          <t>765791121</t>
        </is>
      </c>
      <c r="E61" s="8" t="inlineStr">
        <is>
          <t>Vikýře — provětrávaná fasáda min. vata + plech falcovaný hliník (4 vikýře × ~6 m² fasády)</t>
        </is>
      </c>
      <c r="F61" s="20" t="inlineStr">
        <is>
          <t>m²</t>
        </is>
      </c>
      <c r="G61" s="22" t="n">
        <v>24</v>
      </c>
      <c r="H61" s="10" t="n"/>
      <c r="I61" s="10" t="n"/>
      <c r="J61" s="8" t="inlineStr">
        <is>
          <t>plech_falcovany_hlinik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§4 — vikýře fasáda provětrávaná + min. vata + plech falc.</t>
        </is>
      </c>
      <c r="N61" s="20" t="inlineStr">
        <is>
          <t>—</t>
        </is>
      </c>
      <c r="O61" s="26" t="inlineStr">
        <is>
          <t>ANO</t>
        </is>
      </c>
      <c r="P61" s="41" t="inlineStr">
        <is>
          <t>S12b</t>
        </is>
      </c>
      <c r="Q61" s="41" t="n"/>
    </row>
    <row r="62">
      <c r="A62" s="20" t="n">
        <v>61</v>
      </c>
      <c r="B62" s="8" t="inlineStr">
        <is>
          <t>HSV-6 Bourací práce</t>
        </is>
      </c>
      <c r="C62" s="8" t="inlineStr">
        <is>
          <t>Bourání kompletního stávajícího krovu</t>
        </is>
      </c>
      <c r="D62" s="20" t="inlineStr">
        <is>
          <t>962041141</t>
        </is>
      </c>
      <c r="E62" s="8" t="inlineStr">
        <is>
          <t>Bourání kompletního stávajícího krovu vč. vikýřů — vaznicový s ležatou stolicí — manuálně, odvoz</t>
        </is>
      </c>
      <c r="F62" s="20" t="inlineStr">
        <is>
          <t>m³</t>
        </is>
      </c>
      <c r="G62" s="22" t="n">
        <v>12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family_verified_leaf_needs_production_lookup</t>
        </is>
      </c>
      <c r="M62" s="8" t="inlineStr">
        <is>
          <t>TZ B m.10.e — 9 t dřeva celkem; krov hlavní zdroj</t>
        </is>
      </c>
      <c r="N62" s="20" t="inlineStr">
        <is>
          <t>#9</t>
        </is>
      </c>
      <c r="O62" s="26" t="inlineStr">
        <is>
          <t>ANO</t>
        </is>
      </c>
      <c r="P62" s="41" t="n"/>
      <c r="Q62" s="41" t="inlineStr">
        <is>
          <t>URS_PHASE5B_FAMILY_VERIFIED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plechové střešní krytiny</t>
        </is>
      </c>
      <c r="D63" s="27" t="inlineStr">
        <is>
          <t>762??? ?</t>
        </is>
      </c>
      <c r="E63" s="8" t="inlineStr">
        <is>
          <t>Bourání stávající plechové krytiny (manuálně, recyklace plechu)</t>
        </is>
      </c>
      <c r="F63" s="20" t="inlineStr">
        <is>
          <t>m²</t>
        </is>
      </c>
      <c r="G63" s="22" t="n">
        <v>140.9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wrong_leaf_disambiguation_needed</t>
        </is>
      </c>
      <c r="M63" s="8" t="inlineStr">
        <is>
          <t>TZ B m.10.e — 0.1 t kovů; stávající plech krytina</t>
        </is>
      </c>
      <c r="N63" s="20" t="inlineStr">
        <is>
          <t>#9</t>
        </is>
      </c>
      <c r="O63" s="28" t="inlineStr">
        <is>
          <t>LEAF CHYBNÝ — viz alternatives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nadezdívek nad stropem 2.NP</t>
        </is>
      </c>
      <c r="D64" s="20" t="inlineStr">
        <is>
          <t>962031132</t>
        </is>
      </c>
      <c r="E64" s="8" t="inlineStr">
        <is>
          <t>Bourání zděných nadezdívek nad stropem 2.NP (mimo štítových stěn) — cihla pálená</t>
        </is>
      </c>
      <c r="F64" s="20" t="inlineStr">
        <is>
          <t>m³</t>
        </is>
      </c>
      <c r="G64" s="22" t="n">
        <v>6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bourání nadezdívek mimo štítů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trámového stropu 2.NP/podkroví</t>
        </is>
      </c>
      <c r="D65" s="20" t="inlineStr">
        <is>
          <t>962041141</t>
        </is>
      </c>
      <c r="E65" s="8" t="inlineStr">
        <is>
          <t>Bourání trámového stropu 2.NP/podkroví — kompletně (vč. zajištění schodiště)</t>
        </is>
      </c>
      <c r="F65" s="20" t="inlineStr">
        <is>
          <t>m²</t>
        </is>
      </c>
      <c r="G65" s="22" t="n">
        <v>104.4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strop 2.NP/3.NP KOMPLETNĚ bourán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lehkých příček</t>
        </is>
      </c>
      <c r="D66" s="20" t="inlineStr">
        <is>
          <t>962031132</t>
        </is>
      </c>
      <c r="E66" s="8" t="inlineStr">
        <is>
          <t>Bourání stávajících lehkých příček (cihla, sádrokarton, dřevo)</t>
        </is>
      </c>
      <c r="F66" s="20" t="inlineStr">
        <is>
          <t>m²</t>
        </is>
      </c>
      <c r="G66" s="22" t="n">
        <v>80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lehké příčky bourány</t>
        </is>
      </c>
      <c r="N66" s="20" t="inlineStr">
        <is>
          <t>#9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otvorů pro nové dveře/okna</t>
        </is>
      </c>
      <c r="D67" s="20" t="inlineStr">
        <is>
          <t>962031132</t>
        </is>
      </c>
      <c r="E67" s="8" t="inlineStr">
        <is>
          <t>Bourání 8 nových otvorů v nosných cihelných zdech pro dveře/okna (~1.0 × 2.1 m)</t>
        </is>
      </c>
      <c r="F67" s="20" t="inlineStr">
        <is>
          <t>ks</t>
        </is>
      </c>
      <c r="G67" s="23" t="n">
        <v>8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+ statika — nové otvory s IPN160 překlady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HSV-6 Bourací práce</t>
        </is>
      </c>
      <c r="C68" s="8" t="inlineStr">
        <is>
          <t>Bourání obkladů v koupelnách</t>
        </is>
      </c>
      <c r="D68" s="20" t="inlineStr">
        <is>
          <t>781473810</t>
        </is>
      </c>
      <c r="E68" s="8" t="inlineStr">
        <is>
          <t>Bourání keramických obkladů a zařizovacích předmětů v koupelnách 1.NP + 2.NP</t>
        </is>
      </c>
      <c r="F68" s="20" t="inlineStr">
        <is>
          <t>m²</t>
        </is>
      </c>
      <c r="G68" s="22" t="n">
        <v>60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family_verified_leaf_needs_production_lookup</t>
        </is>
      </c>
      <c r="M68" s="8" t="inlineStr">
        <is>
          <t>TZ ARS dům §3 — koupelny kompletně bourány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inlineStr">
        <is>
          <t>URS_PHASE5B_FAMILY_VERIFIED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Bourání podlah 1.NP + 2.NP</t>
        </is>
      </c>
      <c r="D69" s="20" t="inlineStr">
        <is>
          <t>974031132</t>
        </is>
      </c>
      <c r="E69" s="8" t="inlineStr">
        <is>
          <t>Sejmutí podlah 1.NP a 2.NP — vč. nášlapů, podkladních vrstev</t>
        </is>
      </c>
      <c r="F69" s="20" t="inlineStr">
        <is>
          <t>m²</t>
        </is>
      </c>
      <c r="G69" s="22" t="n">
        <v>153.51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podlahy 1.NP+2.NP sejmuty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Záklop + zásyp — demontáž</t>
        </is>
      </c>
      <c r="D70" s="20" t="inlineStr">
        <is>
          <t>974041151</t>
        </is>
      </c>
      <c r="E70" s="8" t="inlineStr">
        <is>
          <t>Demontáž záklopu a zásypů stropu 1.NP (prkenný záklop na trámech zachován)</t>
        </is>
      </c>
      <c r="F70" s="20" t="inlineStr">
        <is>
          <t>m³</t>
        </is>
      </c>
      <c r="G70" s="22" t="n">
        <v>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záklop+zásyp demontován; trámy zachovány</t>
        </is>
      </c>
      <c r="N70" s="20" t="inlineStr">
        <is>
          <t>#9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oken a dveří</t>
        </is>
      </c>
      <c r="D71" s="20" t="inlineStr">
        <is>
          <t>968071120</t>
        </is>
      </c>
      <c r="E71" s="8" t="inlineStr">
        <is>
          <t>Demontáž všech oken a dveří stávajících (recyklace)</t>
        </is>
      </c>
      <c r="F71" s="20" t="inlineStr">
        <is>
          <t>ks</t>
        </is>
      </c>
      <c r="G71" s="23" t="n">
        <v>25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VŠECHNY okna a dveře demontovány</t>
        </is>
      </c>
      <c r="N71" s="20" t="inlineStr">
        <is>
          <t>#5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zařizovacích předmětů</t>
        </is>
      </c>
      <c r="D72" s="20" t="inlineStr">
        <is>
          <t>725900001</t>
        </is>
      </c>
      <c r="E72" s="8" t="inlineStr">
        <is>
          <t>Demontáž všech sanitárních zařizovacích předmětů (WC, umyvadla, baterie, sprcha)</t>
        </is>
      </c>
      <c r="F72" s="20" t="inlineStr">
        <is>
          <t>ks</t>
        </is>
      </c>
      <c r="G72" s="23" t="n">
        <v>12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§3 — zařizovací předměty kompletně demontovány</t>
        </is>
      </c>
      <c r="N72" s="20" t="inlineStr">
        <is>
          <t>—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Odvoz suti a likvidace</t>
        </is>
      </c>
      <c r="D73" s="20" t="inlineStr">
        <is>
          <t>997013501</t>
        </is>
      </c>
      <c r="E73" s="8" t="inlineStr">
        <is>
          <t>Odvoz a likvidace stavební suti dle vyhl. 8/2021 Sb. — celková tonáž odpadů</t>
        </is>
      </c>
      <c r="F73" s="20" t="inlineStr">
        <is>
          <t>t</t>
        </is>
      </c>
      <c r="G73" s="22" t="n">
        <v>56.5</v>
      </c>
      <c r="H73" s="10" t="n"/>
      <c r="I73" s="10" t="n"/>
      <c r="J73" s="8" t="inlineStr">
        <is>
          <t>bourani_demolice</t>
        </is>
      </c>
      <c r="K73" s="24" t="n">
        <v>0.85</v>
      </c>
      <c r="L73" s="20" t="inlineStr">
        <is>
          <t>needs_production_lookup</t>
        </is>
      </c>
      <c r="M73" s="8" t="inlineStr">
        <is>
          <t>TZ B m.10.e bilance odpadů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oken</t>
        </is>
      </c>
      <c r="D74" s="20" t="inlineStr">
        <is>
          <t>978013181</t>
        </is>
      </c>
      <c r="E74" s="8" t="inlineStr">
        <is>
          <t>Demontáž stávajících dřevěných oken vč. rámů a parapetů — 16 ks (návrh všechna okna nová plastová trojsklem)</t>
        </is>
      </c>
      <c r="F74" s="20" t="inlineStr">
        <is>
          <t>ks</t>
        </is>
      </c>
      <c r="G74" s="23" t="n">
        <v>16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okno* (Path C Tier 4) + TZ ARS — všechna okna nová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vstupních dveří venkovních</t>
        </is>
      </c>
      <c r="D75" s="20" t="inlineStr">
        <is>
          <t>978013181</t>
        </is>
      </c>
      <c r="E75" s="8" t="inlineStr">
        <is>
          <t>Demontáž stávajících vstupních dveří + rámů — 2 ks (1× ulice Fibichova + 1× zahrada; návrh nové plastové vstupní dveře)</t>
        </is>
      </c>
      <c r="F75" s="20" t="inlineStr">
        <is>
          <t>ks</t>
        </is>
      </c>
      <c r="G75" s="23" t="n">
        <v>2</v>
      </c>
      <c r="H75" s="10" t="n"/>
      <c r="I75" s="10" t="n"/>
      <c r="J75" s="8" t="inlineStr">
        <is>
          <t>bourani_demolice</t>
        </is>
      </c>
      <c r="K75" s="24" t="n">
        <v>0.95</v>
      </c>
      <c r="L75" s="20" t="inlineStr">
        <is>
          <t>matched_websearch_verified</t>
        </is>
      </c>
      <c r="M75" s="8" t="inlineStr">
        <is>
          <t>DXF blocks dveře (vstupní 2) + TZ ARS — 'plastové vstupní dveře' x 2</t>
        </is>
      </c>
      <c r="N75" s="20" t="inlineStr">
        <is>
          <t>#3</t>
        </is>
      </c>
      <c r="O75" s="25" t="inlineStr">
        <is>
          <t>OVĚŘENO ✓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Demontáž vnitřních dveří vč. zárubní</t>
        </is>
      </c>
      <c r="D76" s="20" t="inlineStr">
        <is>
          <t>968072456</t>
        </is>
      </c>
      <c r="E76" s="8" t="inlineStr">
        <is>
          <t>Demontáž stávajících vnitřních dveří vč. ocelových/dřevěných zárubní — odhad 15 ks (3 patra × ~5 dveří/patro per DXF SM__dveře layer)</t>
        </is>
      </c>
      <c r="F76" s="20" t="inlineStr">
        <is>
          <t>ks</t>
        </is>
      </c>
      <c r="G76" s="23" t="n">
        <v>15</v>
      </c>
      <c r="H76" s="10" t="n"/>
      <c r="I76" s="10" t="n"/>
      <c r="J76" s="8" t="inlineStr">
        <is>
          <t>bourani_demolice</t>
        </is>
      </c>
      <c r="K76" s="24" t="n">
        <v>0.8</v>
      </c>
      <c r="L76" s="20" t="inlineStr">
        <is>
          <t>needs_production_lookup</t>
        </is>
      </c>
      <c r="M76" s="8" t="inlineStr">
        <is>
          <t>DXF SM__dveře polyline count → estimate (Path C Tier 4)</t>
        </is>
      </c>
      <c r="N76" s="20" t="inlineStr">
        <is>
          <t>#3</t>
        </is>
      </c>
      <c r="O76" s="26" t="inlineStr">
        <is>
          <t>ANO</t>
        </is>
      </c>
      <c r="P76" s="41" t="n"/>
      <c r="Q76" s="41" t="inlineStr">
        <is>
          <t>GAP_002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zdiva komínu</t>
        </is>
      </c>
      <c r="D77" s="20" t="inlineStr">
        <is>
          <t>962024141</t>
        </is>
      </c>
      <c r="E77" s="8" t="inlineStr">
        <is>
          <t>Bourání vrchní části stávajícího komínu v posledním podlaží (cihelné zdivo, ručně), vč. likvidace cihelné suti</t>
        </is>
      </c>
      <c r="F77" s="20" t="inlineStr">
        <is>
          <t>m³</t>
        </is>
      </c>
      <c r="G77" s="22" t="n">
        <v>0.6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DXF dum_DPZ řez A-A bourání + POZN.1.02 z půdorysů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PER_DRAWING_GAP_POZN_1_02; URS_PHASE5B_FAMILY_VERIFIED; CHATGPT_KOMIN_QTY_FIX_2026-05-29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venkovních konstrukcí</t>
        </is>
      </c>
      <c r="D78" s="20" t="inlineStr">
        <is>
          <t>961044111</t>
        </is>
      </c>
      <c r="E78" s="8" t="inlineStr">
        <is>
          <t>Bourání stávajících opěrných zídek a venkovního schodiště v zahradě/dvoře — částečné, dle vyznačení v půdorysech bourání</t>
        </is>
      </c>
      <c r="F78" s="20" t="inlineStr">
        <is>
          <t>m³</t>
        </is>
      </c>
      <c r="G78" s="22" t="n">
        <v>8</v>
      </c>
      <c r="H78" s="10" t="n"/>
      <c r="I78" s="10" t="n"/>
      <c r="J78" s="8" t="inlineStr">
        <is>
          <t>bourani_demolice</t>
        </is>
      </c>
      <c r="K78" s="24" t="n">
        <v>0.7</v>
      </c>
      <c r="L78" s="20" t="inlineStr">
        <is>
          <t>family_verified_leaf_needs_production_lookup</t>
        </is>
      </c>
      <c r="M78" s="8" t="inlineStr">
        <is>
          <t>DXF dum_DPZ řez A-A bourání + POZN.1.03 + půdorys bourání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inlineStr">
        <is>
          <t>PER_DRAWING_GAP_POZN_1_03; URS_PHASE5B_FAMILY_VERIFIED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Příprava podkladu</t>
        </is>
      </c>
      <c r="D79" s="20" t="inlineStr">
        <is>
          <t>622401110</t>
        </is>
      </c>
      <c r="E79" s="8" t="inlineStr">
        <is>
          <t>Příprava fasádního podkladu — očištění tlakovou vodou, vyspravení omítek, fungicidní nátěr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needs_production_lookup</t>
        </is>
      </c>
      <c r="M79" s="8" t="inlineStr">
        <is>
          <t>TZ ARS dům §3.2 — ETICS kontaktní, podklad existující omítka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</t>
        </is>
      </c>
      <c r="Q79" s="41" t="n"/>
    </row>
    <row r="80">
      <c r="A80" s="20" t="n">
        <v>79</v>
      </c>
      <c r="B80" s="8" t="inlineStr">
        <is>
          <t>HSV-7 Fasáda ETICS</t>
        </is>
      </c>
      <c r="C80" s="8" t="inlineStr">
        <is>
          <t>ETICS EPS 70F grey 160 mm</t>
        </is>
      </c>
      <c r="D80" s="20" t="inlineStr">
        <is>
          <t>622221121</t>
        </is>
      </c>
      <c r="E80" s="8" t="inlineStr">
        <is>
          <t>ETICS kontaktní zateplení — EPS 70F grey λ=0.032 tl. 160 mm + síťka + lepidlo + zatírací stěrka (řez S01+S12a explicit, ne 200 mm fallback)</t>
        </is>
      </c>
      <c r="F80" s="20" t="inlineStr">
        <is>
          <t>m²</t>
        </is>
      </c>
      <c r="G80" s="22" t="n">
        <v>276.7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EXPLICIT 'fasádní EPS 70f grey (λ=0,032 W/mK)' + PBŘ EXPLICIT 'EPS tl. max. 200 mm' + DXF perimeter</t>
        </is>
      </c>
      <c r="N80" s="20" t="inlineStr">
        <is>
          <t>#3</t>
        </is>
      </c>
      <c r="O80" s="26" t="inlineStr">
        <is>
          <t>ANO</t>
        </is>
      </c>
      <c r="P80" s="41" t="inlineStr">
        <is>
          <t>S01, S12a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ETICS sokl XPS</t>
        </is>
      </c>
      <c r="D81" s="20" t="inlineStr">
        <is>
          <t>622223111</t>
        </is>
      </c>
      <c r="E81" s="8" t="inlineStr">
        <is>
          <t>ETICS sokl — XPS λ=0.034 tl. 120 mm + soklový profil + cihelný obklad spárovaný</t>
        </is>
      </c>
      <c r="F81" s="20" t="inlineStr">
        <is>
          <t>m²</t>
        </is>
      </c>
      <c r="G81" s="22" t="n">
        <v>13.5</v>
      </c>
      <c r="H81" s="10" t="n"/>
      <c r="I81" s="10" t="n"/>
      <c r="J81" s="8" t="inlineStr">
        <is>
          <t>fasadnik_etics</t>
        </is>
      </c>
      <c r="K81" s="24" t="n">
        <v>0.9</v>
      </c>
      <c r="L81" s="20" t="inlineStr">
        <is>
          <t>family_verified_leaf_needs_production_lookup</t>
        </is>
      </c>
      <c r="M81" s="8" t="inlineStr">
        <is>
          <t>TZ ARS dům §3.2 — sokl XPS + cihelný obklad + DXF perimeter</t>
        </is>
      </c>
      <c r="N81" s="20" t="inlineStr">
        <is>
          <t>—</t>
        </is>
      </c>
      <c r="O81" s="26" t="inlineStr">
        <is>
          <t>ANO</t>
        </is>
      </c>
      <c r="P81" s="41" t="inlineStr">
        <is>
          <t>S01</t>
        </is>
      </c>
      <c r="Q81" s="41" t="inlineStr">
        <is>
          <t>URS_PHASE5B_FAMILY_VERIFIED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Špalety EPS</t>
        </is>
      </c>
      <c r="D82" s="20" t="inlineStr">
        <is>
          <t>622221221</t>
        </is>
      </c>
      <c r="E82" s="8" t="inlineStr">
        <is>
          <t>Špalety oken — EPS přesah 35-40 mm + síťka + omítka</t>
        </is>
      </c>
      <c r="F82" s="20" t="inlineStr">
        <is>
          <t>bm</t>
        </is>
      </c>
      <c r="G82" s="22" t="n">
        <v>82.2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DXF okna per typ bbox + TZ ARS §3.2 EPS přesah na špaletách 35-40 mm</t>
        </is>
      </c>
      <c r="N82" s="20" t="inlineStr">
        <is>
          <t>#5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Profilace fasády</t>
        </is>
      </c>
      <c r="D83" s="20" t="inlineStr">
        <is>
          <t>622221221</t>
        </is>
      </c>
      <c r="E83" s="8" t="inlineStr">
        <is>
          <t>Profilace fasády — různé tloušťky EPS (kordony, šambrány, rámování oken) — paušál podle pohledů</t>
        </is>
      </c>
      <c r="F83" s="20" t="inlineStr">
        <is>
          <t>soubor</t>
        </is>
      </c>
      <c r="G83" s="23" t="n">
        <v>1</v>
      </c>
      <c r="H83" s="10" t="n"/>
      <c r="I83" s="10" t="n"/>
      <c r="J83" s="8" t="inlineStr">
        <is>
          <t>fasadnik_etics</t>
        </is>
      </c>
      <c r="K83" s="24" t="n">
        <v>0.99</v>
      </c>
      <c r="L83" s="20" t="inlineStr">
        <is>
          <t>needs_production_lookup</t>
        </is>
      </c>
      <c r="M83" s="8" t="inlineStr">
        <is>
          <t>TZ ARS dům §3.2 — profilace různými tl. EPS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</t>
        </is>
      </c>
      <c r="Q83" s="41" t="n"/>
    </row>
    <row r="84">
      <c r="A84" s="20" t="n">
        <v>83</v>
      </c>
      <c r="B84" s="8" t="inlineStr">
        <is>
          <t>HSV-7 Fasáda ETICS</t>
        </is>
      </c>
      <c r="C84" s="8" t="inlineStr">
        <is>
          <t>Tenkovrstvá omítka pastovitá</t>
        </is>
      </c>
      <c r="D84" s="20" t="inlineStr">
        <is>
          <t>622521111</t>
        </is>
      </c>
      <c r="E84" s="8" t="inlineStr">
        <is>
          <t>Tenkovrstvá pastovitá probarvená omítka, lomená bílá NCS NZÚ — finální vrstva ETICS</t>
        </is>
      </c>
      <c r="F84" s="20" t="inlineStr">
        <is>
          <t>m²</t>
        </is>
      </c>
      <c r="G84" s="22" t="n">
        <v>290.2</v>
      </c>
      <c r="H84" s="10" t="n"/>
      <c r="I84" s="10" t="n"/>
      <c r="J84" s="8" t="inlineStr">
        <is>
          <t>fasadnik_etics</t>
        </is>
      </c>
      <c r="K84" s="24" t="n">
        <v>0.9</v>
      </c>
      <c r="L84" s="20" t="inlineStr">
        <is>
          <t>family_verified_leaf_needs_production_lookup</t>
        </is>
      </c>
      <c r="M84" s="8" t="inlineStr">
        <is>
          <t>TZ ARS dům §3.2 — pastovitá probarvená lomená bílá + DXF perimeter</t>
        </is>
      </c>
      <c r="N84" s="20" t="inlineStr">
        <is>
          <t>—</t>
        </is>
      </c>
      <c r="O84" s="26" t="inlineStr">
        <is>
          <t>ANO</t>
        </is>
      </c>
      <c r="P84" s="41" t="inlineStr">
        <is>
          <t>S01, S12a, S12b</t>
        </is>
      </c>
      <c r="Q84" s="41" t="inlineStr">
        <is>
          <t>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HI pod ŽB deskou 1.NP</t>
        </is>
      </c>
      <c r="D85" s="20" t="inlineStr">
        <is>
          <t>712311101</t>
        </is>
      </c>
      <c r="E85" s="8" t="inlineStr">
        <is>
          <t>Hydroizolace pod ŽB deskou 1.NP — modifikované asfaltové pásy SBS 2× (zároveň protiradonová bariéra)</t>
        </is>
      </c>
      <c r="F85" s="20" t="inlineStr">
        <is>
          <t>m²</t>
        </is>
      </c>
      <c r="G85" s="22" t="n">
        <v>80.40000000000001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ARS dům §4 + statika §5.5 — asfaltové pásy mod. proti radonu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URS_PHASE5B_FAMILY_VERIFIED; 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Odvětrání radonu z podloží</t>
        </is>
      </c>
      <c r="D86" s="20" t="inlineStr">
        <is>
          <t>712381111</t>
        </is>
      </c>
      <c r="E86" s="8" t="inlineStr">
        <is>
          <t>Odvětrání radonu z podloží — perforované DN50 trubky v štěrkovém loži + výdech nad střechu</t>
        </is>
      </c>
      <c r="F86" s="20" t="inlineStr">
        <is>
          <t>bm</t>
        </is>
      </c>
      <c r="G86" s="22" t="n">
        <v>12</v>
      </c>
      <c r="H86" s="10" t="n"/>
      <c r="I86" s="10" t="n"/>
      <c r="J86" s="8" t="inlineStr">
        <is>
          <t>izolater_HI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TZ statika §5.5 'ochrana proti radonu — modifikované asf. pásy + odvětrání'</t>
        </is>
      </c>
      <c r="N86" s="20" t="inlineStr">
        <is>
          <t>—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HI</t>
        </is>
      </c>
      <c r="C87" s="8" t="inlineStr">
        <is>
          <t>HI koupelny 1.NP + 2.NP + 3.NP</t>
        </is>
      </c>
      <c r="D87" s="27" t="inlineStr">
        <is>
          <t>711??? ?</t>
        </is>
      </c>
      <c r="E87" s="8" t="inlineStr">
        <is>
          <t>Hydroizolační stěrka koupelen 3 ks — podlaha + sokl 200 mm + sprchový kout výška 2.0 m</t>
        </is>
      </c>
      <c r="F87" s="20" t="inlineStr">
        <is>
          <t>m²</t>
        </is>
      </c>
      <c r="G87" s="22" t="n">
        <v>40.5</v>
      </c>
      <c r="H87" s="10" t="n"/>
      <c r="I87" s="10" t="n"/>
      <c r="J87" s="8" t="inlineStr">
        <is>
          <t>izolater_HI</t>
        </is>
      </c>
      <c r="K87" s="24" t="n">
        <v>0.95</v>
      </c>
      <c r="L87" s="20" t="inlineStr">
        <is>
          <t>family_verified_leaf_needs_production_lookup</t>
        </is>
      </c>
      <c r="M87" s="8" t="inlineStr">
        <is>
          <t>DXF dum_DPZ MTEXT labels: 3× koupelna; TZ ARS — HI vana koupelny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Podlahový EPS 150</t>
        </is>
      </c>
      <c r="D88" s="27" t="inlineStr">
        <is>
          <t>713121??? ?</t>
        </is>
      </c>
      <c r="E88" s="8" t="inlineStr">
        <is>
          <t>Podlahový EPS 150 λ=0.035 tl. 120 mm — pod betonový potěr 1.NP a 3.NP</t>
        </is>
      </c>
      <c r="F88" s="20" t="inlineStr">
        <is>
          <t>m²</t>
        </is>
      </c>
      <c r="G88" s="22" t="n">
        <v>177.5</v>
      </c>
      <c r="H88" s="10" t="n"/>
      <c r="I88" s="10" t="n"/>
      <c r="J88" s="8" t="inlineStr">
        <is>
          <t>izolater_TI</t>
        </is>
      </c>
      <c r="K88" s="24" t="n">
        <v>0.75</v>
      </c>
      <c r="L88" s="20" t="inlineStr">
        <is>
          <t>family_verified_leaf_needs_production_lookup</t>
        </is>
      </c>
      <c r="M88" s="8" t="inlineStr">
        <is>
          <t>TZ ARS dům §4 — EPS 150 λ=0.035 tl. 120 mm</t>
        </is>
      </c>
      <c r="N88" s="20" t="inlineStr">
        <is>
          <t>#4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PSV-71 Izolace TI</t>
        </is>
      </c>
      <c r="C89" s="8" t="inlineStr">
        <is>
          <t>Kročejová EPS nad ocelobeton</t>
        </is>
      </c>
      <c r="D89" s="27" t="inlineStr">
        <is>
          <t>713121??? ?</t>
        </is>
      </c>
      <c r="E89" s="8" t="inlineStr">
        <is>
          <t>Kročejová EPS 150 / 30 dB tl. 30 mm nad ocelobetonovým stropem 2.NP/3.NP</t>
        </is>
      </c>
      <c r="F89" s="20" t="inlineStr">
        <is>
          <t>m²</t>
        </is>
      </c>
      <c r="G89" s="22" t="n">
        <v>104.4</v>
      </c>
      <c r="H89" s="10" t="n"/>
      <c r="I89" s="10" t="n"/>
      <c r="J89" s="8" t="inlineStr">
        <is>
          <t>izolater_TI</t>
        </is>
      </c>
      <c r="K89" s="24" t="n">
        <v>0.85</v>
      </c>
      <c r="L89" s="20" t="inlineStr">
        <is>
          <t>family_verified_leaf_needs_production_lookup</t>
        </is>
      </c>
      <c r="M89" s="8" t="inlineStr">
        <is>
          <t>TZ ARS dům §4 — kročejová EPS shora ocelobeton</t>
        </is>
      </c>
      <c r="N89" s="20" t="inlineStr">
        <is>
          <t>—</t>
        </is>
      </c>
      <c r="O89" s="26" t="inlineStr">
        <is>
          <t>ANO</t>
        </is>
      </c>
      <c r="P89" s="41" t="n"/>
      <c r="Q89" s="41" t="inlineStr">
        <is>
          <t>URS_PHASE5B_FAMILY_VERIFIED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Oplechování krytiny</t>
        </is>
      </c>
      <c r="D90" s="20" t="inlineStr">
        <is>
          <t>764312235</t>
        </is>
      </c>
      <c r="E90" s="8" t="inlineStr">
        <is>
          <t>Klempířské oplechování krytiny — úžlabí, hřeben, štítové lemy (Al / Pzn lakovaný 0.55 mm)</t>
        </is>
      </c>
      <c r="F90" s="20" t="inlineStr">
        <is>
          <t>bm</t>
        </is>
      </c>
      <c r="G90" s="22" t="n">
        <v>69.5</v>
      </c>
      <c r="H90" s="10" t="n"/>
      <c r="I90" s="10" t="n"/>
      <c r="J90" s="8" t="inlineStr">
        <is>
          <t>klempir</t>
        </is>
      </c>
      <c r="K90" s="24" t="n">
        <v>0.9</v>
      </c>
      <c r="L90" s="20" t="inlineStr">
        <is>
          <t>family_verified_leaf_needs_production_lookup</t>
        </is>
      </c>
      <c r="M90" s="8" t="inlineStr">
        <is>
          <t>DXF MA_klempíř (75.4 m) + SM__ klempířina (98.4 m) total = 173.8 m × 0.40 split heuristic — Path C Tier 3</t>
        </is>
      </c>
      <c r="N90" s="20" t="inlineStr">
        <is>
          <t>#5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Venkovní parapety oken</t>
        </is>
      </c>
      <c r="D91" s="20" t="inlineStr">
        <is>
          <t>764218201</t>
        </is>
      </c>
      <c r="E91" s="8" t="inlineStr">
        <is>
          <t>Venkovní parapety oken — Pzn plech lakovaný 250 mm × tl. 0.55 mm × 16 ks oken</t>
        </is>
      </c>
      <c r="F91" s="20" t="inlineStr">
        <is>
          <t>bm</t>
        </is>
      </c>
      <c r="G91" s="22" t="n">
        <v>20.8</v>
      </c>
      <c r="H91" s="10" t="n"/>
      <c r="I91" s="10" t="n"/>
      <c r="J91" s="8" t="inlineStr">
        <is>
          <t>klempir</t>
        </is>
      </c>
      <c r="K91" s="24" t="n">
        <v>0.95</v>
      </c>
      <c r="L91" s="20" t="inlineStr">
        <is>
          <t>family_verified_leaf_needs_production_lookup</t>
        </is>
      </c>
      <c r="M91" s="8" t="inlineStr">
        <is>
          <t>DXF okna 16 ks INSERT blocks + standard parapet width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Dešťové svody + žlaby</t>
        </is>
      </c>
      <c r="D92" s="20" t="inlineStr">
        <is>
          <t>764454802</t>
        </is>
      </c>
      <c r="E92" s="8" t="inlineStr">
        <is>
          <t>Dešťové svody Pzn 100 mm + žlaby — 4 svody × ~14 m + žlaby per obvod střechy</t>
        </is>
      </c>
      <c r="F92" s="20" t="inlineStr">
        <is>
          <t>bm</t>
        </is>
      </c>
      <c r="G92" s="22" t="n">
        <v>43.5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lengths split + TZ ARS dešťové svody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Klempíř</t>
        </is>
      </c>
      <c r="C93" s="8" t="inlineStr">
        <is>
          <t>Vikýře + atika + závětrné lemy</t>
        </is>
      </c>
      <c r="D93" s="20" t="inlineStr">
        <is>
          <t>764315235</t>
        </is>
      </c>
      <c r="E93" s="8" t="inlineStr">
        <is>
          <t>Klempířské doplňky vikýřů + atika + závětrné lemy (4 vikýře komplexní detail)</t>
        </is>
      </c>
      <c r="F93" s="20" t="inlineStr">
        <is>
          <t>bm</t>
        </is>
      </c>
      <c r="G93" s="22" t="n">
        <v>26.1</v>
      </c>
      <c r="H93" s="10" t="n"/>
      <c r="I93" s="10" t="n"/>
      <c r="J93" s="8" t="inlineStr">
        <is>
          <t>klempir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DXF klempířina geometry split + TZ ARS 4 vikýře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inlineStr">
        <is>
          <t>URS_PHASE5B_FAMILY_VERIFIED_CHAPTER_MATCH</t>
        </is>
      </c>
      <c r="R9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Dřevěné stupně schodišť</t>
        </is>
      </c>
      <c r="D94" s="20" t="inlineStr">
        <is>
          <t>766811111</t>
        </is>
      </c>
      <c r="E94" s="8" t="inlineStr">
        <is>
          <t>Dřevěné stupně ocelových schodišť (truhlářské, dub masiv tl. 40 mm)</t>
        </is>
      </c>
      <c r="F94" s="20" t="inlineStr">
        <is>
          <t>ks</t>
        </is>
      </c>
      <c r="G94" s="23" t="n">
        <v>16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— ocelové schodiště s dřevěnými stupni truhlářské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Truhlář</t>
        </is>
      </c>
      <c r="C95" s="8" t="inlineStr">
        <is>
          <t>Terasa garapa za opěrnou stěnou — dřevěná pochozí vrstva</t>
        </is>
      </c>
      <c r="D95" s="27" t="inlineStr">
        <is>
          <t>762??? ?</t>
        </is>
      </c>
      <c r="E95" s="8" t="inlineStr">
        <is>
          <t>Dřevěná terasa za opěrnou stěnou — prkna garapa 145×25 mm na dřevěném roštu z hranolů 50 mm na rektifikovatelných terčích (terče + podkladní skladba viz HSV1.005)</t>
        </is>
      </c>
      <c r="F95" s="20" t="inlineStr">
        <is>
          <t>m²</t>
        </is>
      </c>
      <c r="G95" s="22" t="n">
        <v>9.23</v>
      </c>
      <c r="H95" s="10" t="n"/>
      <c r="I95" s="10" t="n"/>
      <c r="J95" s="8" t="inlineStr">
        <is>
          <t>truhlar</t>
        </is>
      </c>
      <c r="K95" s="24" t="n">
        <v>0.95</v>
      </c>
      <c r="L95" s="20" t="inlineStr">
        <is>
          <t>family_762_leaf_lookup_required</t>
        </is>
      </c>
      <c r="M95" s="8" t="inlineStr">
        <is>
          <t>TZ ARS dům §4 + DXF dum_situace PLOT_DREVENY_04 (terasa, ne 3.NP); ŘEZ C-C potvrzuje dřevěný rošt z hranolů (NE hliníkový) + dřevěnou pochozí vrstvu</t>
        </is>
      </c>
      <c r="N95" s="20" t="inlineStr">
        <is>
          <t>—</t>
        </is>
      </c>
      <c r="O95" s="26" t="inlineStr">
        <is>
          <t>ANO</t>
        </is>
      </c>
      <c r="P95" s="41" t="n"/>
      <c r="Q95" s="41" t="inlineStr">
        <is>
          <t>REZ_CC_TERASA_FIX_2026-05-29; SITUACE_AREA_FIX_2026-05-29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1.NP' (ulice)</t>
        </is>
      </c>
      <c r="D96" s="20" t="inlineStr">
        <is>
          <t>766621011</t>
        </is>
      </c>
      <c r="E96" s="8" t="inlineStr">
        <is>
          <t>Plastové okno izolačním trojsklem Uw=0.85 W/m²K — typ 'okno 1.NP' velikost 1185×1600 mm × 2 ks (fasáda ulice)</t>
        </is>
      </c>
      <c r="F96" s="20" t="inlineStr">
        <is>
          <t>ks</t>
        </is>
      </c>
      <c r="G96" s="23" t="n">
        <v>2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family_verified_leaf_needs_production_lookup</t>
        </is>
      </c>
      <c r="M96" s="8" t="inlineStr">
        <is>
          <t>DXF dum_DPZ INSERT block 'okno 1.NP'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1.NP vzadu' (zahrada)</t>
        </is>
      </c>
      <c r="D97" s="20" t="inlineStr">
        <is>
          <t>766621011</t>
        </is>
      </c>
      <c r="E97" s="8" t="inlineStr">
        <is>
          <t>Plastové okno izolačním trojsklem Uw=0.85 W/m²K — typ 'okno 1.NP vzadu' velikost 920×1600 mm × 3 ks (fasáda zahrada)</t>
        </is>
      </c>
      <c r="F97" s="20" t="inlineStr">
        <is>
          <t>ks</t>
        </is>
      </c>
      <c r="G97" s="23" t="n">
        <v>3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1.NP vzadu'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2.NP' (ulice)</t>
        </is>
      </c>
      <c r="D98" s="20" t="inlineStr">
        <is>
          <t>766621011</t>
        </is>
      </c>
      <c r="E98" s="8" t="inlineStr">
        <is>
          <t>Plastové okno izolačním trojsklem Uw=0.85 W/m²K — typ 'okno 2.NP' velikost 1160×1480 mm × 4 ks (fasáda ulice)</t>
        </is>
      </c>
      <c r="F98" s="20" t="inlineStr">
        <is>
          <t>ks</t>
        </is>
      </c>
      <c r="G98" s="23" t="n">
        <v>4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2.NP'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3.NP' (ulice)</t>
        </is>
      </c>
      <c r="D99" s="20" t="inlineStr">
        <is>
          <t>766621011</t>
        </is>
      </c>
      <c r="E99" s="8" t="inlineStr">
        <is>
          <t>Plastové okno izolačním trojsklem Uw=0.85 W/m²K — typ 'okno 3.NP' velikost 1785×1241 mm × 3 ks (fasáda ulice)</t>
        </is>
      </c>
      <c r="F99" s="20" t="inlineStr">
        <is>
          <t>ks</t>
        </is>
      </c>
      <c r="G99" s="23" t="n">
        <v>3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3.NP vzadu' velikost 2075×1241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male 3.NP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male 3.NP vzadu' velikost 800×1241 mm × 1 ks (fasáda zahrada)</t>
        </is>
      </c>
      <c r="F101" s="20" t="inlineStr">
        <is>
          <t>ks</t>
        </is>
      </c>
      <c r="G101" s="23" t="n">
        <v>1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male 3.NP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Plastové okno trojsklo — 'okno malé vzadu' (zahrada)</t>
        </is>
      </c>
      <c r="D102" s="20" t="inlineStr">
        <is>
          <t>766621011</t>
        </is>
      </c>
      <c r="E102" s="8" t="inlineStr">
        <is>
          <t>Plastové okno izolačním trojsklem Uw=0.85 W/m²K — typ 'okno malé vzadu' velikost 700×800 mm × 2 ks (fasáda zahrada)</t>
        </is>
      </c>
      <c r="F102" s="20" t="inlineStr">
        <is>
          <t>ks</t>
        </is>
      </c>
      <c r="G102" s="23" t="n">
        <v>2</v>
      </c>
      <c r="H102" s="10" t="n"/>
      <c r="I102" s="10" t="n"/>
      <c r="J102" s="8" t="inlineStr">
        <is>
          <t>okennar</t>
        </is>
      </c>
      <c r="K102" s="24" t="n">
        <v>0.99</v>
      </c>
      <c r="L102" s="20" t="inlineStr">
        <is>
          <t>needs_production_lookup</t>
        </is>
      </c>
      <c r="M102" s="8" t="inlineStr">
        <is>
          <t>DXF dum_DPZ INSERT block 'okno malé vzadu' bbox z block definition + TZ ARS Uw=0.85 W/m²K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Žaluzie kastlík purenit</t>
        </is>
      </c>
      <c r="D103" s="20" t="inlineStr">
        <is>
          <t>766631211</t>
        </is>
      </c>
      <c r="E103" s="8" t="inlineStr">
        <is>
          <t>Integrované stínící venkovní žaluzie v kastlíku pod omítkou s purenitovou izolací — uliční fasáda Fibichova (9 ks)</t>
        </is>
      </c>
      <c r="F103" s="20" t="inlineStr">
        <is>
          <t>ks</t>
        </is>
      </c>
      <c r="G103" s="23" t="n">
        <v>9</v>
      </c>
      <c r="H103" s="10" t="n"/>
      <c r="I103" s="10" t="n"/>
      <c r="J103" s="8" t="inlineStr">
        <is>
          <t>okenni_zaluzie_kastlik_purenit</t>
        </is>
      </c>
      <c r="K103" s="24" t="n">
        <v>0.95</v>
      </c>
      <c r="L103" s="20" t="inlineStr">
        <is>
          <t>needs_production_lookup</t>
        </is>
      </c>
      <c r="M103" s="8" t="inlineStr">
        <is>
          <t>TZ ARS dům §3.2 — 'do ulice Fibichova s integrovanými stínícími žaluziemi v kastlíku pod omítkou s purenitovou izolací'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Vstupní plastové dveře</t>
        </is>
      </c>
      <c r="D104" s="20" t="inlineStr">
        <is>
          <t>766682111</t>
        </is>
      </c>
      <c r="E104" s="8" t="inlineStr">
        <is>
          <t>Plastové vstupní dveře (ulice + zahrada) — 2 ks</t>
        </is>
      </c>
      <c r="F104" s="20" t="inlineStr">
        <is>
          <t>ks</t>
        </is>
      </c>
      <c r="G104" s="23" t="n">
        <v>2</v>
      </c>
      <c r="H104" s="10" t="n"/>
      <c r="I104" s="10" t="n"/>
      <c r="J104" s="8" t="inlineStr">
        <is>
          <t>okennar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— plastové vstupní dveře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Vnitřní dveře DTD laminované</t>
        </is>
      </c>
      <c r="D105" s="20" t="inlineStr">
        <is>
          <t>766660035</t>
        </is>
      </c>
      <c r="E105" s="8" t="inlineStr">
        <is>
          <t>Vnitřní dveře DTD laminované s obložkovou zárubní — odhad 15 ks</t>
        </is>
      </c>
      <c r="F105" s="20" t="inlineStr">
        <is>
          <t>ks</t>
        </is>
      </c>
      <c r="G105" s="23" t="n">
        <v>15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+ DXF MTEXT room labels</t>
        </is>
      </c>
      <c r="N105" s="20" t="inlineStr">
        <is>
          <t>#5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Výplně otvorů</t>
        </is>
      </c>
      <c r="C106" s="8" t="inlineStr">
        <is>
          <t>Požárně odolné dveře EI 30 DP3</t>
        </is>
      </c>
      <c r="D106" s="20" t="inlineStr">
        <is>
          <t>766694112</t>
        </is>
      </c>
      <c r="E106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6" s="20" t="inlineStr">
        <is>
          <t>ks</t>
        </is>
      </c>
      <c r="G106" s="23" t="n">
        <v>1</v>
      </c>
      <c r="H106" s="10" t="n"/>
      <c r="I106" s="10" t="n"/>
      <c r="J106" s="8" t="inlineStr">
        <is>
          <t>specialista_RC3_dvere</t>
        </is>
      </c>
      <c r="K106" s="24" t="n">
        <v>0.9</v>
      </c>
      <c r="L106" s="20" t="inlineStr">
        <is>
          <t>needs_production_lookup</t>
        </is>
      </c>
      <c r="M106" s="8" t="inlineStr">
        <is>
          <t>PBŘ TUSPO § Požární uzávěry otvorů 'podzemní 30DP1'; DXF schodiště 1.PP→1.NP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GAP_008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Oplechování venkovních parapetů Pzn — 16 ks</t>
        </is>
      </c>
      <c r="D107" s="20" t="inlineStr">
        <is>
          <t>764811112</t>
        </is>
      </c>
      <c r="E107" s="8" t="inlineStr">
        <is>
          <t>Oplechování venkovních parapetů Pzn plech lakovaný 250 mm × tl. 0.55 mm, vč. okapnice + boční zakončení — 16 ks (per DXF INSERT okno × 16)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klempir</t>
        </is>
      </c>
      <c r="K107" s="24" t="n">
        <v>0.95</v>
      </c>
      <c r="L107" s="20" t="inlineStr">
        <is>
          <t>needs_production_lookup</t>
        </is>
      </c>
      <c r="M107" s="8" t="inlineStr">
        <is>
          <t>DXF blocks okno* 16 ks + DXF klempir_parapet 16 ks (Path C Tier 4 INSERT discovery)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GAP_004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UPE200 ze zahrady</t>
        </is>
      </c>
      <c r="D108" s="20" t="inlineStr">
        <is>
          <t>767531111</t>
        </is>
      </c>
      <c r="E108" s="8" t="inlineStr">
        <is>
          <t>Ocelové schodiště ze zahrady na mezipodestu — UPE200 schodnice + dřevěné nášlapy, kotvené do koruny opěrné stěny a zdiva (TZ statika §4)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statika dům §4 — schodiště UPE200 + UPE100 podružné prvky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Ocelové schodiště do spacího patra 3.NP</t>
        </is>
      </c>
      <c r="D109" s="20" t="inlineStr">
        <is>
          <t>767531111</t>
        </is>
      </c>
      <c r="E109" s="8" t="inlineStr">
        <is>
          <t>Interní ocelové schodiště do spacího patra v 3.NP s dřevěnými stupni (truhlářské)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zamecnik_PSV</t>
        </is>
      </c>
      <c r="K109" s="24" t="n">
        <v>0.85</v>
      </c>
      <c r="L109" s="20" t="inlineStr">
        <is>
          <t>family_verified_leaf_needs_production_lookup</t>
        </is>
      </c>
      <c r="M109" s="8" t="inlineStr">
        <is>
          <t>TZ ARS dům §4 — ocelové schodiště s dřevěnými stupni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inlineStr">
        <is>
          <t>URS_PHASE5B_FAMILY_VERIFIED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Stříšky nad vstupy</t>
        </is>
      </c>
      <c r="D110" s="20" t="inlineStr">
        <is>
          <t>767532111</t>
        </is>
      </c>
      <c r="E110" s="8" t="inlineStr">
        <is>
          <t>Stříšky nad vstupy z ocelové konstrukce + Cetris desky + falcovaná krytina — 2 ks (ulice + zahrada)</t>
        </is>
      </c>
      <c r="F110" s="20" t="inlineStr">
        <is>
          <t>ks</t>
        </is>
      </c>
      <c r="G110" s="23" t="n">
        <v>2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stříšky nad vstupy ocel+Cetris+plech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Zámečnictví</t>
        </is>
      </c>
      <c r="C111" s="8" t="inlineStr">
        <is>
          <t>Zábradlí z jeklů + nerez výplň</t>
        </is>
      </c>
      <c r="D111" s="20" t="inlineStr">
        <is>
          <t>767163115</t>
        </is>
      </c>
      <c r="E111" s="8" t="inlineStr">
        <is>
          <t>Ocelové zábradlí svařované z jeklů + nerez výplň pZn antracit — schodiště interier + venkovní terasa</t>
        </is>
      </c>
      <c r="F111" s="20" t="inlineStr">
        <is>
          <t>bm</t>
        </is>
      </c>
      <c r="G111" s="22" t="n">
        <v>18</v>
      </c>
      <c r="H111" s="10" t="n"/>
      <c r="I111" s="10" t="n"/>
      <c r="J111" s="8" t="inlineStr">
        <is>
          <t>zamecnik_PSV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§4 — zábradlí svařované z jeklů + nerez výplň</t>
        </is>
      </c>
      <c r="N111" s="20" t="inlineStr">
        <is>
          <t>—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PSV-77 Podlahy</t>
        </is>
      </c>
      <c r="C112" s="8" t="inlineStr">
        <is>
          <t>Nášlap vinyl obytné místnosti</t>
        </is>
      </c>
      <c r="D112" s="20" t="inlineStr">
        <is>
          <t>776511820</t>
        </is>
      </c>
      <c r="E112" s="8" t="inlineStr">
        <is>
          <t>Nášlapná vrstva vinyl tl. 4 mm na suchou skladbu — obytné místnosti (ložnice, obývák, kuchyně, chodby)</t>
        </is>
      </c>
      <c r="F112" s="20" t="inlineStr">
        <is>
          <t>m²</t>
        </is>
      </c>
      <c r="G112" s="22" t="n">
        <v>171.5</v>
      </c>
      <c r="H112" s="10" t="n"/>
      <c r="I112" s="10" t="n"/>
      <c r="J112" s="8" t="inlineStr">
        <is>
          <t>podlahar</t>
        </is>
      </c>
      <c r="K112" s="24" t="n">
        <v>0.95</v>
      </c>
      <c r="L112" s="20" t="inlineStr">
        <is>
          <t>family_verified_leaf_needs_production_lookup</t>
        </is>
      </c>
      <c r="M112" s="8" t="inlineStr">
        <is>
          <t>DXF km_tabulka místností MTEXT (návrh) — rooms classified per name (kuchyně/obytná/chodba = vinyl) + TZ ARS §3.2.4 nášlapná vrstva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inlineStr">
        <is>
          <t>URS_PHASE5B_FAMILY_VERIFIED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mokré zóny</t>
        </is>
      </c>
      <c r="D113" s="20" t="inlineStr">
        <is>
          <t>771274102</t>
        </is>
      </c>
      <c r="E113" s="8" t="inlineStr">
        <is>
          <t>Nášlapná vrstva keramická dlažba lepená — koupelny + WC + spíž + komora (NÁDRŽ NP)</t>
        </is>
      </c>
      <c r="F113" s="20" t="inlineStr">
        <is>
          <t>m²</t>
        </is>
      </c>
      <c r="G113" s="22" t="n">
        <v>13.5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rooms classified per name (koupelna/WC/spíž = dlažba mokré) + TZ ARS skladba mokrá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keramická dlažba — 1.PP sklep</t>
        </is>
      </c>
      <c r="D114" s="20" t="inlineStr">
        <is>
          <t>771274102</t>
        </is>
      </c>
      <c r="E114" s="8" t="inlineStr">
        <is>
          <t>Nášlapná vrstva keramická dlažba — 1.PP technické místnosti (sušárna + sklepy + schodiště + chodba)</t>
        </is>
      </c>
      <c r="F114" s="20" t="inlineStr">
        <is>
          <t>m²</t>
        </is>
      </c>
      <c r="G114" s="22" t="n">
        <v>32.4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(návrh) — 1.PP all rooms = dlažba sklep zone</t>
        </is>
      </c>
      <c r="N114" s="20" t="inlineStr">
        <is>
          <t>#4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Nášlap biodeska 3.NP spací patro</t>
        </is>
      </c>
      <c r="D115" s="20" t="inlineStr">
        <is>
          <t>766411111</t>
        </is>
      </c>
      <c r="E115" s="8" t="inlineStr">
        <is>
          <t>Nášlapná vrstva biodeska (smrk masiv) nebo OSB v 3.NP spací části nad krovem</t>
        </is>
      </c>
      <c r="F115" s="20" t="inlineStr">
        <is>
          <t>m²</t>
        </is>
      </c>
      <c r="G115" s="22" t="n">
        <v>25</v>
      </c>
      <c r="H115" s="10" t="n"/>
      <c r="I115" s="10" t="n"/>
      <c r="J115" s="8" t="inlineStr">
        <is>
          <t>biodeska_konstrukcni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§3.2.3 — biodeska patro pro přespání</t>
        </is>
      </c>
      <c r="N115" s="20" t="inlineStr">
        <is>
          <t>#3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Betonový potěr s kari nad EPS</t>
        </is>
      </c>
      <c r="D116" s="20" t="inlineStr">
        <is>
          <t>631321311</t>
        </is>
      </c>
      <c r="E116" s="8" t="inlineStr">
        <is>
          <t>Mokrá podlahová skladba — betonový potěr s kari síťkou 4/100/100 tl. 50 mm + samonivelační stěrka</t>
        </is>
      </c>
      <c r="F116" s="20" t="inlineStr">
        <is>
          <t>m²</t>
        </is>
      </c>
      <c r="G116" s="22" t="n">
        <v>126.4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§3.2.4 + §3.2.x — 'kročejová izolace + betonový potěr s kari sítí'; DXF rooms areas</t>
        </is>
      </c>
      <c r="N116" s="20" t="inlineStr">
        <is>
          <t>#4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vinyl</t>
        </is>
      </c>
      <c r="D117" s="20" t="inlineStr">
        <is>
          <t>776511831</t>
        </is>
      </c>
      <c r="E117" s="8" t="inlineStr">
        <is>
          <t>Soklíky podlahové laminátové (dub) v obytných místnostech s vinyl podlahou</t>
        </is>
      </c>
      <c r="F117" s="20" t="inlineStr">
        <is>
          <t>bm</t>
        </is>
      </c>
      <c r="G117" s="22" t="n">
        <v>72.03</v>
      </c>
      <c r="H117" s="10" t="n"/>
      <c r="I117" s="10" t="n"/>
      <c r="J117" s="8" t="inlineStr">
        <is>
          <t>podlahar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vinyl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PSV-77 Podlahy</t>
        </is>
      </c>
      <c r="C118" s="8" t="inlineStr">
        <is>
          <t>Soklíky keramické</t>
        </is>
      </c>
      <c r="D118" s="20" t="inlineStr">
        <is>
          <t>771274107</t>
        </is>
      </c>
      <c r="E118" s="8" t="inlineStr">
        <is>
          <t>Soklíky keramické v místnostech s dlažbou (koupelny + WC + spíž + 1.PP)</t>
        </is>
      </c>
      <c r="F118" s="20" t="inlineStr">
        <is>
          <t>bm</t>
        </is>
      </c>
      <c r="G118" s="22" t="n">
        <v>19.28</v>
      </c>
      <c r="H118" s="10" t="n"/>
      <c r="I118" s="10" t="n"/>
      <c r="J118" s="8" t="inlineStr">
        <is>
          <t>obkladac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rooms dlažba + standard ratio per RD geometry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1.PP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1.PP (stávající vyspravené + nové zděné)</t>
        </is>
      </c>
      <c r="F119" s="20" t="inlineStr">
        <is>
          <t>m²</t>
        </is>
      </c>
      <c r="G119" s="22" t="n">
        <v>78.2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1.PP obvod + výška podlaží 2.1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1.NP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1.NP (stávající vyspravené + nové zděné)</t>
        </is>
      </c>
      <c r="F120" s="20" t="inlineStr">
        <is>
          <t>m²</t>
        </is>
      </c>
      <c r="G120" s="22" t="n">
        <v>208.4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1.NP obvod + výška podlaží 2.795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2.NP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2.NP (stávající vyspravené + nové zděné)</t>
        </is>
      </c>
      <c r="F121" s="20" t="inlineStr">
        <is>
          <t>m²</t>
        </is>
      </c>
      <c r="G121" s="22" t="n">
        <v>201.6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2.NP obvod + výška podlaží 2.865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Omítka jádrová + štuk 3.NP</t>
        </is>
      </c>
      <c r="D122" s="20" t="inlineStr">
        <is>
          <t>612311311</t>
        </is>
      </c>
      <c r="E122" s="8" t="inlineStr">
        <is>
          <t>Omítka jádrová vápenocementová tl. 15 mm + štuková povrchová úprava na stěnách 3.NP (stávající vyspravené + nové zděné)</t>
        </is>
      </c>
      <c r="F122" s="20" t="inlineStr">
        <is>
          <t>m²</t>
        </is>
      </c>
      <c r="G122" s="22" t="n">
        <v>179.1</v>
      </c>
      <c r="H122" s="10" t="n"/>
      <c r="I122" s="10" t="n"/>
      <c r="J122" s="8" t="inlineStr">
        <is>
          <t>zednik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3.NP obvod + výška podlaží 2.63 m (DXF SM_kóty + řez A-A Path C Tier 1) − okenní plocha (DXF) − odpočet dveří 3%</t>
        </is>
      </c>
      <c r="N122" s="20" t="inlineStr">
        <is>
          <t>#3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1.NP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(1.NP)</t>
        </is>
      </c>
      <c r="F123" s="20" t="inlineStr">
        <is>
          <t>m²</t>
        </is>
      </c>
      <c r="G123" s="22" t="n">
        <v>59.5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1.NP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2.NP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(2.NP)</t>
        </is>
      </c>
      <c r="F124" s="20" t="inlineStr">
        <is>
          <t>m²</t>
        </is>
      </c>
      <c r="G124" s="22" t="n">
        <v>61.1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2.NP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SDK podhled — tmelení + úprava 3.NP</t>
        </is>
      </c>
      <c r="D125" s="20" t="inlineStr">
        <is>
          <t>612471141</t>
        </is>
      </c>
      <c r="E125" s="8" t="inlineStr">
        <is>
          <t>SDK podhled + případné předstěny — tmelení spojů Q3 + povrchová úprava před výmalbou (3.NP)</t>
        </is>
      </c>
      <c r="F125" s="20" t="inlineStr">
        <is>
          <t>m²</t>
        </is>
      </c>
      <c r="G125" s="22" t="n">
        <v>64.5</v>
      </c>
      <c r="H125" s="10" t="n"/>
      <c r="I125" s="10" t="n"/>
      <c r="J125" s="8" t="inlineStr">
        <is>
          <t>sadrokartonar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— plocha 3.NP = plocha podhledu (flat ceiling assumption)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1.05 (1.NP)</t>
        </is>
      </c>
      <c r="D126" s="20" t="inlineStr">
        <is>
          <t>781447001</t>
        </is>
      </c>
      <c r="E126" s="8" t="inlineStr">
        <is>
          <t>Keramický obklad stěn koupelny 1.05 1.NP — výška obkladu 1.6 m (z DXF km Obklady layer)</t>
        </is>
      </c>
      <c r="F126" s="20" t="inlineStr">
        <is>
          <t>m²</t>
        </is>
      </c>
      <c r="G126" s="22" t="n">
        <v>13.4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1.05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2.03 (2.NP)</t>
        </is>
      </c>
      <c r="D127" s="20" t="inlineStr">
        <is>
          <t>781447001</t>
        </is>
      </c>
      <c r="E127" s="8" t="inlineStr">
        <is>
          <t>Keramický obklad stěn koupelny 2.03 2.NP — výška obkladu 2.45 m (z DXF km Obklady layer)</t>
        </is>
      </c>
      <c r="F127" s="20" t="inlineStr">
        <is>
          <t>m²</t>
        </is>
      </c>
      <c r="G127" s="22" t="n">
        <v>15.2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2.03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Keramický obklad koupelna 3.04 (3.NP)</t>
        </is>
      </c>
      <c r="D128" s="20" t="inlineStr">
        <is>
          <t>781447001</t>
        </is>
      </c>
      <c r="E128" s="8" t="inlineStr">
        <is>
          <t>Keramický obklad stěn koupelny 3.04 3.NP — výška obkladu 2.7 m (z DXF km Obklady layer)</t>
        </is>
      </c>
      <c r="F128" s="20" t="inlineStr">
        <is>
          <t>m²</t>
        </is>
      </c>
      <c r="G128" s="22" t="n">
        <v>24.3</v>
      </c>
      <c r="H128" s="10" t="n"/>
      <c r="I128" s="10" t="n"/>
      <c r="J128" s="8" t="inlineStr">
        <is>
          <t>obkladac</t>
        </is>
      </c>
      <c r="K128" s="24" t="n">
        <v>0.9</v>
      </c>
      <c r="L128" s="20" t="inlineStr">
        <is>
          <t>needs_production_lookup</t>
        </is>
      </c>
      <c r="M128" s="8" t="inlineStr">
        <is>
          <t>DXF rooms PIP perimeter 3.04 + DXF km Obklady layer (11 LWPOLYLINE markers s bbox heights 1600/2450/2610-2715 mm) — Path C Tier 1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Obklad za kuchyňskou linkou</t>
        </is>
      </c>
      <c r="D129" s="20" t="inlineStr">
        <is>
          <t>781447001</t>
        </is>
      </c>
      <c r="E129" s="8" t="inlineStr">
        <is>
          <t>Keramický obklad za kuchyňskou linkou nad pracovní deskou — 2 kuchyně × ~5 m² (1.06 byt rodičů + 3.05 byt 3.NP)</t>
        </is>
      </c>
      <c r="F129" s="20" t="inlineStr">
        <is>
          <t>m²</t>
        </is>
      </c>
      <c r="G129" s="22" t="n">
        <v>10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dum_DPZ 2× kuchyně MTEXT + TZ ARS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</t>
        </is>
      </c>
      <c r="D130" s="20" t="inlineStr">
        <is>
          <t>784121011</t>
        </is>
      </c>
      <c r="E130" s="8" t="inlineStr">
        <is>
          <t>Interiérová výmalba akrylátová bílá 2× — všechny stěny + podhledy mimo obklad</t>
        </is>
      </c>
      <c r="F130" s="20" t="inlineStr">
        <is>
          <t>m²</t>
        </is>
      </c>
      <c r="G130" s="22" t="n">
        <v>0</v>
      </c>
      <c r="H130" s="10" t="n"/>
      <c r="I130" s="10" t="n"/>
      <c r="J130" s="8" t="inlineStr">
        <is>
          <t>malir</t>
        </is>
      </c>
      <c r="K130" s="24" t="n">
        <v>0.75</v>
      </c>
      <c r="L130" s="20" t="inlineStr">
        <is>
          <t>needs_production_lookup</t>
        </is>
      </c>
      <c r="M130" s="8" t="inlineStr">
        <is>
          <t>TZ ARS — interiérová výmalba (aggregate, no TZ per-room directive)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GAP_007_deprecated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1.NP</t>
        </is>
      </c>
      <c r="D131" s="20" t="inlineStr">
        <is>
          <t>784121011</t>
        </is>
      </c>
      <c r="E131" s="8" t="inlineStr">
        <is>
          <t>Interiérová výmalba 1.NP — stěny + SDK podhled − obklad koupelny 1.05 (1.6 m výška)</t>
        </is>
      </c>
      <c r="F131" s="20" t="inlineStr">
        <is>
          <t>m²</t>
        </is>
      </c>
      <c r="G131" s="22" t="n">
        <v>254.5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PSV78.002 + SDK podhled PSV78.005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1.PP</t>
        </is>
      </c>
      <c r="D132" s="20" t="inlineStr">
        <is>
          <t>784121011</t>
        </is>
      </c>
      <c r="E132" s="8" t="inlineStr">
        <is>
          <t>Interiérová výmalba 1.PP — sklep stěny + klenba bílá vápenná 2×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PSV78.001 + SDK podhled PSV78.—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2.NP</t>
        </is>
      </c>
      <c r="D133" s="20" t="inlineStr">
        <is>
          <t>784121011</t>
        </is>
      </c>
      <c r="E133" s="8" t="inlineStr">
        <is>
          <t>Interiérová výmalba 2.NP — stěny + SDK podhled − obklad koupelny 2.03 (2.45 m výška)</t>
        </is>
      </c>
      <c r="F133" s="20" t="inlineStr">
        <is>
          <t>m²</t>
        </is>
      </c>
      <c r="G133" s="22" t="n">
        <v>247.5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PSV78.003 + SDK podhled PSV78.006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Interiérová výmalba 3.NP</t>
        </is>
      </c>
      <c r="D134" s="20" t="inlineStr">
        <is>
          <t>784121011</t>
        </is>
      </c>
      <c r="E134" s="8" t="inlineStr">
        <is>
          <t>Interiérová výmalba 3.NP — stěny + SDK podhled − obklad koupelny 3.04 (2.7 m výška)</t>
        </is>
      </c>
      <c r="F134" s="20" t="inlineStr">
        <is>
          <t>m²</t>
        </is>
      </c>
      <c r="G134" s="22" t="n">
        <v>219.3</v>
      </c>
      <c r="H134" s="10" t="n"/>
      <c r="I134" s="10" t="n"/>
      <c r="J134" s="8" t="inlineStr">
        <is>
          <t>malir</t>
        </is>
      </c>
      <c r="K134" s="24" t="n">
        <v>0.85</v>
      </c>
      <c r="L134" s="20" t="inlineStr">
        <is>
          <t>needs_production_lookup</t>
        </is>
      </c>
      <c r="M134" s="8" t="inlineStr">
        <is>
          <t>Per-podlaží split z PSV78.012 (audit v2 GAP_007 fix); omítka PSV78.004 + SDK podhled PSV78.007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GAP_007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Autonomní hlásič kouře</t>
        </is>
      </c>
      <c r="D135" s="20" t="inlineStr">
        <is>
          <t>375211101</t>
        </is>
      </c>
      <c r="E135" s="8" t="inlineStr">
        <is>
          <t>Autonomní hlásič kouře dle ČSN EN 14604 — 4 ks v místnostech 1.01, 1.02, 2.04, 3.03 dle PBŘ</t>
        </is>
      </c>
      <c r="F135" s="20" t="inlineStr">
        <is>
          <t>ks</t>
        </is>
      </c>
      <c r="G135" s="23" t="n">
        <v>4</v>
      </c>
      <c r="H135" s="10" t="n"/>
      <c r="I135" s="10" t="n"/>
      <c r="J135" s="8" t="inlineStr">
        <is>
          <t>elektroinstalater</t>
        </is>
      </c>
      <c r="K135" s="24" t="n">
        <v>0.85</v>
      </c>
      <c r="L135" s="20" t="inlineStr">
        <is>
          <t>family_verified_leaf_needs_production_lookup</t>
        </is>
      </c>
      <c r="M135" s="8" t="inlineStr">
        <is>
          <t>TZ PBŘ dům — ČSN EN 14604 autonomní hlásič kouře 4 ks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inlineStr">
        <is>
          <t>URS_PHASE5B_FAMILY_VERIFIED</t>
        </is>
      </c>
    </row>
    <row r="136">
      <c r="A136" s="20" t="n">
        <v>135</v>
      </c>
      <c r="B136" s="8" t="inlineStr">
        <is>
          <t>PSV-95 Detekce požární</t>
        </is>
      </c>
      <c r="C136" s="8" t="inlineStr">
        <is>
          <t>Přenosný hasicí přístroj 34A</t>
        </is>
      </c>
      <c r="D136" s="20" t="inlineStr">
        <is>
          <t>966067121</t>
        </is>
      </c>
      <c r="E136" s="8" t="inlineStr">
        <is>
          <t>Přenosný hasicí přístroj 34A dle PBŘ — min. 1 ks na společné chodbě</t>
        </is>
      </c>
      <c r="F136" s="20" t="inlineStr">
        <is>
          <t>ks</t>
        </is>
      </c>
      <c r="G136" s="23" t="n">
        <v>1</v>
      </c>
      <c r="H136" s="10" t="n"/>
      <c r="I136" s="10" t="n"/>
      <c r="J136" s="8" t="inlineStr">
        <is>
          <t>VRN_management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PBŘ dům — PHP 34A 1 ks minimum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Demontáž stávající ELI</t>
        </is>
      </c>
      <c r="D137" s="20" t="inlineStr">
        <is>
          <t>210010011</t>
        </is>
      </c>
      <c r="E137" s="8" t="inlineStr">
        <is>
          <t>Demontáž stávající elektroinstalace v celém domě (vodiče, rozvaděč, zásuvky, svítidla) — recyklace mědi</t>
        </is>
      </c>
      <c r="F137" s="20" t="inlineStr">
        <is>
          <t>kpl</t>
        </is>
      </c>
      <c r="G137" s="23" t="n">
        <v>1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kompletně nová ELI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Pojistková skříň + 3× podružný rozvaděč</t>
        </is>
      </c>
      <c r="D138" s="20" t="inlineStr">
        <is>
          <t>210110023</t>
        </is>
      </c>
      <c r="E138" s="8" t="inlineStr">
        <is>
          <t>Nová pojistková skříň + 3× podružný rozvaděč pro každé patro (1.NP, 2.NP, 3.NP) s podružným měřením</t>
        </is>
      </c>
      <c r="F138" s="20" t="inlineStr">
        <is>
          <t>ks</t>
        </is>
      </c>
      <c r="G138" s="23" t="n">
        <v>4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'nová pojistková skříň s podružným měřením pro každé patro'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Rozvody silnoproud</t>
        </is>
      </c>
      <c r="D139" s="20" t="inlineStr">
        <is>
          <t>210800012</t>
        </is>
      </c>
      <c r="E139" s="8" t="inlineStr">
        <is>
          <t>Nové silnoproudé rozvody — vodiče CYKY 3×1.5 / 3×2.5 / 5×2.5 / 5×6 + krabice + instalační trubky</t>
        </is>
      </c>
      <c r="F139" s="20" t="inlineStr">
        <is>
          <t>bm</t>
        </is>
      </c>
      <c r="G139" s="22" t="n">
        <v>700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3-byt. dispozice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Zásuvky a vypínače</t>
        </is>
      </c>
      <c r="D140" s="20" t="inlineStr">
        <is>
          <t>210810050</t>
        </is>
      </c>
      <c r="E140" s="8" t="inlineStr">
        <is>
          <t>Zásuvky a vypínače dodávka + montáž — ~70 ks (60-80 dle vyjasnění #7)</t>
        </is>
      </c>
      <c r="F140" s="20" t="inlineStr">
        <is>
          <t>ks</t>
        </is>
      </c>
      <c r="G140" s="23" t="n">
        <v>70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 220 m² 3-byt.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Svítidla</t>
        </is>
      </c>
      <c r="D141" s="20" t="inlineStr">
        <is>
          <t>210820002</t>
        </is>
      </c>
      <c r="E141" s="8" t="inlineStr">
        <is>
          <t>Svítidla dodávka + montáž — ~35 ks (30-40 dle vyjasnění #7) interiér + venkovní u vstupů</t>
        </is>
      </c>
      <c r="F141" s="20" t="inlineStr">
        <is>
          <t>ks</t>
        </is>
      </c>
      <c r="G141" s="23" t="n">
        <v>35</v>
      </c>
      <c r="H141" s="10" t="n"/>
      <c r="I141" s="10" t="n"/>
      <c r="J141" s="8" t="inlineStr">
        <is>
          <t>elektroinstalater</t>
        </is>
      </c>
      <c r="K141" s="24" t="n">
        <v>0.8</v>
      </c>
      <c r="L141" s="20" t="inlineStr">
        <is>
          <t>needs_production_lookup</t>
        </is>
      </c>
      <c r="M141" s="8" t="inlineStr">
        <is>
          <t>TZ ARS + B4_productivity standard RD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Příprava FVE</t>
        </is>
      </c>
      <c r="D142" s="20" t="inlineStr">
        <is>
          <t>210800099</t>
        </is>
      </c>
      <c r="E142" s="8" t="inlineStr">
        <is>
          <t>Příprava na osazení FVE — rezerva v rozvaděči (jistič + zásuvka pro střídač) + trasy do střechy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elektroinstalater</t>
        </is>
      </c>
      <c r="K142" s="24" t="n">
        <v>0.85</v>
      </c>
      <c r="L142" s="20" t="inlineStr">
        <is>
          <t>needs_production_lookup</t>
        </is>
      </c>
      <c r="M142" s="8" t="inlineStr">
        <is>
          <t>TZ ARS dům §4 — FVE příprava (bez panelů samotných)</t>
        </is>
      </c>
      <c r="N142" s="20" t="inlineStr">
        <is>
          <t>#7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M-21 ELI silnoproud</t>
        </is>
      </c>
      <c r="C143" s="8" t="inlineStr">
        <is>
          <t>Revize ELI při kolaudaci</t>
        </is>
      </c>
      <c r="D143" s="20" t="inlineStr">
        <is>
          <t>996019011</t>
        </is>
      </c>
      <c r="E143" s="8" t="inlineStr">
        <is>
          <t>Výchozí revize elektrické instalace dle ČSN 33 2000-6 + revizní zpráva pro kolaudaci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revize_specialista</t>
        </is>
      </c>
      <c r="K143" s="24" t="n">
        <v>0.99</v>
      </c>
      <c r="L143" s="20" t="inlineStr">
        <is>
          <t>needs_production_lookup</t>
        </is>
      </c>
      <c r="M143" s="8" t="inlineStr">
        <is>
          <t>Povinná revize ELI dle ČSN 33 2000-6 + kolaudace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n"/>
    </row>
    <row r="144">
      <c r="A144" s="20" t="n">
        <v>143</v>
      </c>
      <c r="B144" s="8" t="inlineStr">
        <is>
          <t>PSV-72 ZTI</t>
        </is>
      </c>
      <c r="C144" s="8" t="inlineStr">
        <is>
          <t>Revize stávajících přípojek</t>
        </is>
      </c>
      <c r="D144" s="20" t="inlineStr">
        <is>
          <t>722290515</t>
        </is>
      </c>
      <c r="E144" s="8" t="inlineStr">
        <is>
          <t>Revize stávajícího napojení vodovodu + kanalizace na pozemku — kontrola stavu, čištění, tlaková zkouška</t>
        </is>
      </c>
      <c r="F144" s="20" t="inlineStr">
        <is>
          <t>kpl</t>
        </is>
      </c>
      <c r="G144" s="23" t="n">
        <v>1</v>
      </c>
      <c r="H144" s="10" t="n"/>
      <c r="I144" s="10" t="n"/>
      <c r="J144" s="8" t="inlineStr">
        <is>
          <t>vodar</t>
        </is>
      </c>
      <c r="K144" s="24" t="n">
        <v>0.85</v>
      </c>
      <c r="L144" s="20" t="inlineStr">
        <is>
          <t>family_verified_leaf_needs_production_lookup</t>
        </is>
      </c>
      <c r="M144" s="8" t="inlineStr">
        <is>
          <t>TZ ARS dům §4 — vodovod + kanalizace stávající, bez změny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rozvody vody do 3.NP</t>
        </is>
      </c>
      <c r="D145" s="20" t="inlineStr">
        <is>
          <t>722172011</t>
        </is>
      </c>
      <c r="E145" s="8" t="inlineStr">
        <is>
          <t>Nové rozvody studené + teplé vody do koupelen 1.NP + 2.NP + 3.NP a kuchyní (PEX/Cu, dimenze DN15-25)</t>
        </is>
      </c>
      <c r="F145" s="20" t="inlineStr">
        <is>
          <t>bm</t>
        </is>
      </c>
      <c r="G145" s="22" t="n">
        <v>80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family_verified_leaf_needs_production_lookup</t>
        </is>
      </c>
      <c r="M145" s="8" t="inlineStr">
        <is>
          <t>TZ ARS dům §4 — nové koupelny + kuchyně, vyjasnění #6 working assumption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inlineStr">
        <is>
          <t>URS_PHASE5B_FAMILY_VERIFIED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Nové odpadní rozvody</t>
        </is>
      </c>
      <c r="D146" s="20" t="inlineStr">
        <is>
          <t>721174021</t>
        </is>
      </c>
      <c r="E146" s="8" t="inlineStr">
        <is>
          <t>Nové odpadní rozvody PVC-HT DN40-DN110 ke koupelnám 1.NP, 2.NP, 3.NP a kuchyním + napojení na stávající</t>
        </is>
      </c>
      <c r="F146" s="20" t="inlineStr">
        <is>
          <t>bm</t>
        </is>
      </c>
      <c r="G146" s="22" t="n">
        <v>60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TZ ARS dům §4 — nové koupelny + kuchyně, odpad do stávající kanalizace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n"/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</t>
        </is>
      </c>
      <c r="D147" s="20" t="inlineStr">
        <is>
          <t>725291131</t>
        </is>
      </c>
      <c r="E147" s="8" t="inlineStr">
        <is>
          <t>Sanitární keramika dodávka + montáž v koupelně 1.05 1.NP: 1× vana (DXF) + 1× umyvadlo (DXF) + 1× WC (TZ standard)</t>
        </is>
      </c>
      <c r="F147" s="20" t="inlineStr">
        <is>
          <t>set</t>
        </is>
      </c>
      <c r="G147" s="22" t="n">
        <v>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DXF dum_DPZ INSERT positions PIP do room 1.05 polygon (partial — 4/13 fixtures matched celkem) + TZ ARS § koupelny standard pattern</t>
        </is>
      </c>
      <c r="N147" s="20" t="inlineStr">
        <is>
          <t>#6</t>
        </is>
      </c>
      <c r="O147" s="26" t="inlineStr">
        <is>
          <t>ANO</t>
        </is>
      </c>
      <c r="P147" s="41" t="n"/>
      <c r="Q147" s="41" t="inlineStr">
        <is>
          <t>GAP_005_deprecated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A</t>
        </is>
      </c>
      <c r="D148" s="20" t="inlineStr">
        <is>
          <t>725211101</t>
        </is>
      </c>
      <c r="E148" s="8" t="inlineStr">
        <is>
          <t>Vana koupelnová obdélníková 170×70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B</t>
        </is>
      </c>
      <c r="D149" s="20" t="inlineStr">
        <is>
          <t>725311111</t>
        </is>
      </c>
      <c r="E149" s="8" t="inlineStr">
        <is>
          <t>Umyvadlo bílé keramické se sloupcem 60 cm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1.05 (1.NP) / fixture C</t>
        </is>
      </c>
      <c r="D150" s="20" t="inlineStr">
        <is>
          <t>725111101</t>
        </is>
      </c>
      <c r="E150" s="8" t="inlineStr">
        <is>
          <t>WC kombi keramické bílé — koupelna 1.05 1.NP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1.05 1.NP + TZ ARS koupelna kompletace</t>
        </is>
      </c>
      <c r="N150" s="20" t="inlineStr">
        <is>
          <t>—</t>
        </is>
      </c>
      <c r="O150" s="26" t="inlineStr">
        <is>
          <t>ANO</t>
        </is>
      </c>
      <c r="P150" s="41" t="n"/>
      <c r="Q150" s="41" t="inlineStr">
        <is>
          <t>GAP_005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</t>
        </is>
      </c>
      <c r="D151" s="20" t="inlineStr">
        <is>
          <t>725291131</t>
        </is>
      </c>
      <c r="E151" s="8" t="inlineStr">
        <is>
          <t>Sanitární keramika dodávka + montáž v koupelně 2.03 2.NP: 1× umyvadlo (DXF) + 1× WC (TZ standard) + 1× sprcha (TZ standard)</t>
        </is>
      </c>
      <c r="F151" s="20" t="inlineStr">
        <is>
          <t>set</t>
        </is>
      </c>
      <c r="G151" s="22" t="n">
        <v>0</v>
      </c>
      <c r="H151" s="10" t="n"/>
      <c r="I151" s="10" t="n"/>
      <c r="J151" s="8" t="inlineStr">
        <is>
          <t>vodar</t>
        </is>
      </c>
      <c r="K151" s="24" t="n">
        <v>0.75</v>
      </c>
      <c r="L151" s="20" t="inlineStr">
        <is>
          <t>needs_production_lookup</t>
        </is>
      </c>
      <c r="M151" s="8" t="inlineStr">
        <is>
          <t>DXF dum_DPZ INSERT positions PIP do room 2.03 polygon (partial — 4/13 fixtures matched celkem) + TZ ARS § koupelny standard pattern</t>
        </is>
      </c>
      <c r="N151" s="20" t="inlineStr">
        <is>
          <t>#6</t>
        </is>
      </c>
      <c r="O151" s="26" t="inlineStr">
        <is>
          <t>ANO</t>
        </is>
      </c>
      <c r="P151" s="41" t="n"/>
      <c r="Q151" s="41" t="inlineStr">
        <is>
          <t>GAP_005_deprecated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A</t>
        </is>
      </c>
      <c r="D152" s="20" t="inlineStr">
        <is>
          <t>725311111</t>
        </is>
      </c>
      <c r="E152" s="8" t="inlineStr">
        <is>
          <t>Umyvadlo bílé keramické se sloupcem 60 cm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B</t>
        </is>
      </c>
      <c r="D153" s="20" t="inlineStr">
        <is>
          <t>725221201</t>
        </is>
      </c>
      <c r="E153" s="8" t="inlineStr">
        <is>
          <t>Sprchový kout 90×90 cm vč. vaničky + skleněných dveří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2.03 (2.NP) / fixture C</t>
        </is>
      </c>
      <c r="D154" s="20" t="inlineStr">
        <is>
          <t>725111101</t>
        </is>
      </c>
      <c r="E154" s="8" t="inlineStr">
        <is>
          <t>WC kombi keramické bílé — koupelna 2.03 2.NP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2.03 2.NP + TZ ARS koupelna kompletace</t>
        </is>
      </c>
      <c r="N154" s="20" t="inlineStr">
        <is>
          <t>—</t>
        </is>
      </c>
      <c r="O154" s="26" t="inlineStr">
        <is>
          <t>ANO</t>
        </is>
      </c>
      <c r="P154" s="41" t="n"/>
      <c r="Q154" s="41" t="inlineStr">
        <is>
          <t>GAP_005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</t>
        </is>
      </c>
      <c r="D155" s="20" t="inlineStr">
        <is>
          <t>725291131</t>
        </is>
      </c>
      <c r="E155" s="8" t="inlineStr">
        <is>
          <t>Sanitární keramika dodávka + montáž v koupelně 3.04 3.NP: 1× WC (DXF) + 1× umyvadlo (TZ standard) + 1× sprcha (TZ standard)</t>
        </is>
      </c>
      <c r="F155" s="20" t="inlineStr">
        <is>
          <t>set</t>
        </is>
      </c>
      <c r="G155" s="22" t="n">
        <v>0</v>
      </c>
      <c r="H155" s="10" t="n"/>
      <c r="I155" s="10" t="n"/>
      <c r="J155" s="8" t="inlineStr">
        <is>
          <t>vodar</t>
        </is>
      </c>
      <c r="K155" s="24" t="n">
        <v>0.75</v>
      </c>
      <c r="L155" s="20" t="inlineStr">
        <is>
          <t>needs_production_lookup</t>
        </is>
      </c>
      <c r="M155" s="8" t="inlineStr">
        <is>
          <t>DXF dum_DPZ INSERT positions PIP do room 3.04 polygon (partial — 4/13 fixtures matched celkem) + TZ ARS § koupelny standard pattern</t>
        </is>
      </c>
      <c r="N155" s="20" t="inlineStr">
        <is>
          <t>#6</t>
        </is>
      </c>
      <c r="O155" s="26" t="inlineStr">
        <is>
          <t>ANO</t>
        </is>
      </c>
      <c r="P155" s="41" t="n"/>
      <c r="Q155" s="41" t="inlineStr">
        <is>
          <t>GAP_005_deprecated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A</t>
        </is>
      </c>
      <c r="D156" s="20" t="inlineStr">
        <is>
          <t>725111101</t>
        </is>
      </c>
      <c r="E156" s="8" t="inlineStr">
        <is>
          <t>WC kombi keramické bílé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B</t>
        </is>
      </c>
      <c r="D157" s="20" t="inlineStr">
        <is>
          <t>725311111</t>
        </is>
      </c>
      <c r="E157" s="8" t="inlineStr">
        <is>
          <t>Umyvadlo bílé keramické se sloupcem 60 cm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Sanitární keramika koupelna 3.04 (3.NP) / fixture C</t>
        </is>
      </c>
      <c r="D158" s="20" t="inlineStr">
        <is>
          <t>725221201</t>
        </is>
      </c>
      <c r="E158" s="8" t="inlineStr">
        <is>
          <t>Sprchový kout 90×90 cm vč. vaničky + skleněných dveří — koupelna 3.04 3.NP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0.9</v>
      </c>
      <c r="L158" s="20" t="inlineStr">
        <is>
          <t>needs_production_lookup</t>
        </is>
      </c>
      <c r="M158" s="8" t="inlineStr">
        <is>
          <t>DXF dum_DPZ MTEXT room 3.04 3.NP + TZ ARS koupelna kompletace</t>
        </is>
      </c>
      <c r="N158" s="20" t="inlineStr">
        <is>
          <t>—</t>
        </is>
      </c>
      <c r="O158" s="26" t="inlineStr">
        <is>
          <t>ANO</t>
        </is>
      </c>
      <c r="P158" s="41" t="n"/>
      <c r="Q158" s="41" t="inlineStr">
        <is>
          <t>GAP_005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Kuchyňský dřez 2 ks (1.06 + 3.05)</t>
        </is>
      </c>
      <c r="D159" s="20" t="inlineStr">
        <is>
          <t>725840111</t>
        </is>
      </c>
      <c r="E159" s="8" t="inlineStr">
        <is>
          <t>Kuchyňský dřez nerez + montáž — 2 ks (kuchyně 1.06 byt rodičů + kuchyně 3.05 byt 3.NP)</t>
        </is>
      </c>
      <c r="F159" s="20" t="inlineStr">
        <is>
          <t>ks</t>
        </is>
      </c>
      <c r="G159" s="23" t="n">
        <v>2</v>
      </c>
      <c r="H159" s="10" t="n"/>
      <c r="I159" s="10" t="n"/>
      <c r="J159" s="8" t="inlineStr">
        <is>
          <t>vodar</t>
        </is>
      </c>
      <c r="K159" s="24" t="n">
        <v>0.95</v>
      </c>
      <c r="L159" s="20" t="inlineStr">
        <is>
          <t>needs_production_lookup</t>
        </is>
      </c>
      <c r="M159" s="8" t="inlineStr">
        <is>
          <t>DXF kuchyně MTEXT 2× + TZ ARS — dispozice byty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Vodovodní baterie + drobnosti</t>
        </is>
      </c>
      <c r="D160" s="20" t="inlineStr">
        <is>
          <t>725822611</t>
        </is>
      </c>
      <c r="E160" s="8" t="inlineStr">
        <is>
          <t>Vodovodní baterie (WC ventil + páková umyvadlová + sprchové + dřezové + termostat sprchové) — ~15 ks + drobné instalační materiály</t>
        </is>
      </c>
      <c r="F160" s="20" t="inlineStr">
        <is>
          <t>ks</t>
        </is>
      </c>
      <c r="G160" s="23" t="n">
        <v>15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— kompletní baterie nové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Akumulační zásobník TUV v suterénu</t>
        </is>
      </c>
      <c r="D161" s="20" t="inlineStr">
        <is>
          <t>732419411</t>
        </is>
      </c>
      <c r="E161" s="8" t="inlineStr">
        <is>
          <t>Akumulační zásobník TUV ~300 l v 1.PP napojený na topný systém (sporáková kamna + krb + elektrokotel) — nepřímotop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instalater_TUV_akumulacni_zasobnik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kombi akumulační zásobník napojený na multivariantní topný systém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PSV-72 ZTI</t>
        </is>
      </c>
      <c r="C162" s="8" t="inlineStr">
        <is>
          <t>Elektrický bojler 3.NP</t>
        </is>
      </c>
      <c r="D162" s="20" t="inlineStr">
        <is>
          <t>732429211</t>
        </is>
      </c>
      <c r="E162" s="8" t="inlineStr">
        <is>
          <t>Elektrický bojler ~80 l v koupelně 3.NP (nezávislý zdroj pro samostatný byt)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elektrický bojler v 3.NP koupelně, vyjasnění #6 odhad 80 l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na tuhá paliva</t>
        </is>
      </c>
      <c r="D163" s="20" t="inlineStr">
        <is>
          <t>733241011</t>
        </is>
      </c>
      <c r="E163" s="8" t="inlineStr">
        <is>
          <t>Sporáková kamna na tuhá paliva ~10 kW s akumulačním zásobníkem TUV — dodávka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primární zdroj 1.NP/2.NP, ~10 kW odhad standard RD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Sporáková kamna — montáž</t>
        </is>
      </c>
      <c r="D164" s="20" t="inlineStr">
        <is>
          <t>733281011</t>
        </is>
      </c>
      <c r="E164" s="8" t="inlineStr">
        <is>
          <t>Sporáková kamna — montáž vč. napojení na komín + akumulační zásobník (cca 8 Nh)</t>
        </is>
      </c>
      <c r="F164" s="20" t="inlineStr">
        <is>
          <t>kpl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0.75</v>
      </c>
      <c r="L164" s="20" t="inlineStr">
        <is>
          <t>needs_production_lookup</t>
        </is>
      </c>
      <c r="M164" s="8" t="inlineStr">
        <is>
          <t>Standard montáž kamen s napojením na zásobník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Elektrokotel 3.NP</t>
        </is>
      </c>
      <c r="D165" s="20" t="inlineStr">
        <is>
          <t>733131221</t>
        </is>
      </c>
      <c r="E165" s="8" t="inlineStr">
        <is>
          <t>Elektrokotel ~8 kW pro 3.NP samostatný byt — dodávka + montáž + napojení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'Nově navržené 3.NP bude vytápěno elektrokotlem'; ~8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Krb na tuhá paliva 3.NP</t>
        </is>
      </c>
      <c r="D166" s="20" t="inlineStr">
        <is>
          <t>733241011</t>
        </is>
      </c>
      <c r="E166" s="8" t="inlineStr">
        <is>
          <t>Krb na tuhá paliva v 3.NP ~6 kW — dodávka + montáž s napojením na samostatný komín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topenar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krb v 3.NP, ~6 kW odhad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venkovní jednotka</t>
        </is>
      </c>
      <c r="D167" s="20" t="inlineStr">
        <is>
          <t>733425211</t>
        </is>
      </c>
      <c r="E167" s="8" t="inlineStr">
        <is>
          <t>Multisplit tepelné čerpadlo vzduch-vzduch — 1× venkovní jednotka ~10 kW (silent mode hl. tlaku ≤49 dBA)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specialista_TC_multisplit</t>
        </is>
      </c>
      <c r="K167" s="24" t="n">
        <v>0.85</v>
      </c>
      <c r="L167" s="20" t="inlineStr">
        <is>
          <t>needs_production_lookup</t>
        </is>
      </c>
      <c r="M167" s="8" t="inlineStr">
        <is>
          <t>TZ ARS dům §4 — multisplit TČ s akustikou hl. tlaku ≤49 dBA, NV 272/2011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Multisplit TČ — vnitřní jednotky</t>
        </is>
      </c>
      <c r="D168" s="20" t="inlineStr">
        <is>
          <t>733425221</t>
        </is>
      </c>
      <c r="E168" s="8" t="inlineStr">
        <is>
          <t>Multisplit TČ — 5× vnitřní jednotka v obytných místnostech (1.NP, 2.NP, 3.NP — chlazení + vytápění)</t>
        </is>
      </c>
      <c r="F168" s="20" t="inlineStr">
        <is>
          <t>ks</t>
        </is>
      </c>
      <c r="G168" s="23" t="n">
        <v>5</v>
      </c>
      <c r="H168" s="10" t="n"/>
      <c r="I168" s="10" t="n"/>
      <c r="J168" s="8" t="inlineStr">
        <is>
          <t>specialista_TC_multisplit</t>
        </is>
      </c>
      <c r="K168" s="24" t="n">
        <v>0.75</v>
      </c>
      <c r="L168" s="20" t="inlineStr">
        <is>
          <t>needs_production_lookup</t>
        </is>
      </c>
      <c r="M168" s="8" t="inlineStr">
        <is>
          <t>TZ ARS dům §4 — vnitřní jednotky multisplit, vyjasnění #6 odhad 5 ks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Revize komínu</t>
        </is>
      </c>
      <c r="D169" s="20" t="inlineStr">
        <is>
          <t>734262122</t>
        </is>
      </c>
      <c r="E169" s="8" t="inlineStr">
        <is>
          <t>Revize stávajícího komínu — kontrola, čištění, vystrojení vložkou nerez DN160 pro kamna + krb 3.NP</t>
        </is>
      </c>
      <c r="F169" s="20" t="inlineStr">
        <is>
          <t>kpl</t>
        </is>
      </c>
      <c r="G169" s="23" t="n">
        <v>1</v>
      </c>
      <c r="H169" s="10" t="n"/>
      <c r="I169" s="10" t="n"/>
      <c r="J169" s="8" t="inlineStr">
        <is>
          <t>kominik</t>
        </is>
      </c>
      <c r="K169" s="24" t="n">
        <v>0.85</v>
      </c>
      <c r="L169" s="20" t="inlineStr">
        <is>
          <t>needs_production_lookup</t>
        </is>
      </c>
      <c r="M169" s="8" t="inlineStr">
        <is>
          <t>TZ ARS dům §4 — komín stávající, vystrojení vložkou pro kamna + krb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PSV-73 Vytápění</t>
        </is>
      </c>
      <c r="C170" s="8" t="inlineStr">
        <is>
          <t>Rozvody otopné soustavy</t>
        </is>
      </c>
      <c r="D170" s="20" t="inlineStr">
        <is>
          <t>733111021</t>
        </is>
      </c>
      <c r="E170" s="8" t="inlineStr">
        <is>
          <t>Rozvody otopné soustavy Cu/PEX k vnitřním jednotkám TČ + radiátorům pro doplňkové (cca 100 bm odhad)</t>
        </is>
      </c>
      <c r="F170" s="20" t="inlineStr">
        <is>
          <t>bm</t>
        </is>
      </c>
      <c r="G170" s="22" t="n">
        <v>100</v>
      </c>
      <c r="H170" s="10" t="n"/>
      <c r="I170" s="10" t="n"/>
      <c r="J170" s="8" t="inlineStr">
        <is>
          <t>topenar</t>
        </is>
      </c>
      <c r="K170" s="24" t="n">
        <v>0.75</v>
      </c>
      <c r="L170" s="20" t="inlineStr">
        <is>
          <t>needs_production_lookup</t>
        </is>
      </c>
      <c r="M170" s="8" t="inlineStr">
        <is>
          <t>TZ ARS dům §4 — rozvody otopné soustavy</t>
        </is>
      </c>
      <c r="N170" s="20" t="inlineStr">
        <is>
          <t>#6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BOZP</t>
        </is>
      </c>
      <c r="C171" s="8" t="inlineStr">
        <is>
          <t>Koordinace BOZP</t>
        </is>
      </c>
      <c r="D171" s="20" t="inlineStr">
        <is>
          <t>030091000</t>
        </is>
      </c>
      <c r="E171" s="8" t="inlineStr">
        <is>
          <t>Koordinátor BOZP na staveništi dle zákona 309/2006 Sb. — pro stavbu s více než jedním zhotovitelem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Zákon 309/2006 Sb. — povinný BOZP koordinátor pro vícezhotovitelskou stavbu</t>
        </is>
      </c>
      <c r="N171" s="20" t="inlineStr">
        <is>
          <t>#10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Dokumentace</t>
        </is>
      </c>
      <c r="C172" s="8" t="inlineStr">
        <is>
          <t>Předávací protokoly + DSP</t>
        </is>
      </c>
      <c r="D172" s="20" t="inlineStr">
        <is>
          <t>030151000</t>
        </is>
      </c>
      <c r="E172" s="8" t="inlineStr">
        <is>
          <t>Předávací protokoly + Dokumentace skutečného provedení (DSP) — sestavení, vázání, dodávka 2× tiskem + elektronická verze</t>
        </is>
      </c>
      <c r="F172" s="20" t="inlineStr">
        <is>
          <t>kpl</t>
        </is>
      </c>
      <c r="G172" s="23" t="n">
        <v>1</v>
      </c>
      <c r="H172" s="10" t="n"/>
      <c r="I172" s="10" t="n"/>
      <c r="J172" s="8" t="inlineStr">
        <is>
          <t>VRN_management</t>
        </is>
      </c>
      <c r="K172" s="24" t="n">
        <v>0.99</v>
      </c>
      <c r="L172" s="20" t="inlineStr">
        <is>
          <t>needs_production_lookup</t>
        </is>
      </c>
      <c r="M172" s="8" t="inlineStr">
        <is>
          <t>Vyhláška 499/2006 Sb. + ČKAIT — DSP povinná pro kolaudaci</t>
        </is>
      </c>
      <c r="N172" s="20" t="inlineStr">
        <is>
          <t>—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Kontejnery suti tříděné</t>
        </is>
      </c>
      <c r="D173" s="20" t="inlineStr">
        <is>
          <t>997013211</t>
        </is>
      </c>
      <c r="E173" s="8" t="inlineStr">
        <is>
          <t>Kontejnery na suť tříděnou velkoobjemové (beton/cihly, dřevo, kovy, EPS, sádra, směs) — pronájem + svozy</t>
        </is>
      </c>
      <c r="F173" s="20" t="inlineStr">
        <is>
          <t>ks</t>
        </is>
      </c>
      <c r="G173" s="23" t="n">
        <v>7</v>
      </c>
      <c r="H173" s="10" t="n"/>
      <c r="I173" s="10" t="n"/>
      <c r="J173" s="8" t="inlineStr">
        <is>
          <t>bourani_demolice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B m.10.e: beton/cihly 46 t + dřevo 9 t + kovy 0.1 + EPS 0.1 + sádra 0.2 + směs 1.0</t>
        </is>
      </c>
      <c r="N173" s="20" t="inlineStr">
        <is>
          <t>#9, 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Doprava materiálu</t>
        </is>
      </c>
      <c r="D174" s="20" t="inlineStr">
        <is>
          <t>031031000</t>
        </is>
      </c>
      <c r="E174" s="8" t="inlineStr">
        <is>
          <t>Doprava materiálu na stavbu (centrální koordinace) — paušál ~2-3 % z PN materiál</t>
        </is>
      </c>
      <c r="F174" s="20" t="inlineStr">
        <is>
          <t>paušál</t>
        </is>
      </c>
      <c r="G174" s="23" t="n">
        <v>1</v>
      </c>
      <c r="H174" s="10" t="n"/>
      <c r="I174" s="10" t="n"/>
      <c r="J174" s="8" t="inlineStr">
        <is>
          <t>VRN_management</t>
        </is>
      </c>
      <c r="K174" s="24" t="n">
        <v>0.8</v>
      </c>
      <c r="L174" s="20" t="inlineStr">
        <is>
          <t>needs_production_lookup</t>
        </is>
      </c>
      <c r="M174" s="8" t="inlineStr">
        <is>
          <t>B4_productivity — standard doprava RD městská zástavba</t>
        </is>
      </c>
      <c r="N174" s="20" t="inlineStr">
        <is>
          <t>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Doprava + odpad</t>
        </is>
      </c>
      <c r="C175" s="8" t="inlineStr">
        <is>
          <t>Likvidace odpadů 56.9 t</t>
        </is>
      </c>
      <c r="D175" s="20" t="inlineStr">
        <is>
          <t>997013211</t>
        </is>
      </c>
      <c r="E175" s="8" t="inlineStr">
        <is>
          <t>Likvidace stavební suti dle vyhl. 8/2021 Sb. — skládkovné + recyklace + třídění (56.9 t celkem per TZ B m.10.e)</t>
        </is>
      </c>
      <c r="F175" s="20" t="inlineStr">
        <is>
          <t>t</t>
        </is>
      </c>
      <c r="G175" s="22" t="n">
        <v>56.9</v>
      </c>
      <c r="H175" s="10" t="n"/>
      <c r="I175" s="10" t="n"/>
      <c r="J175" s="8" t="inlineStr">
        <is>
          <t>bourani_demolice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B m.10.e bilance odpadů celkem dům</t>
        </is>
      </c>
      <c r="N175" s="20" t="inlineStr">
        <is>
          <t>#9, #10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Geodet</t>
        </is>
      </c>
      <c r="C176" s="8" t="inlineStr">
        <is>
          <t>Geodetické zaměření před + po realizaci</t>
        </is>
      </c>
      <c r="D176" s="20" t="inlineStr">
        <is>
          <t>030141000</t>
        </is>
      </c>
      <c r="E176" s="8" t="inlineStr">
        <is>
          <t>Geodetické zaměření před realizací (verifikace polohopis + výškopis) + po dokončení (zaměření skutečného provedení pro kolaudaci)</t>
        </is>
      </c>
      <c r="F176" s="20" t="inlineStr">
        <is>
          <t>kpl</t>
        </is>
      </c>
      <c r="G176" s="23" t="n">
        <v>2</v>
      </c>
      <c r="H176" s="10" t="n"/>
      <c r="I176" s="10" t="n"/>
      <c r="J176" s="8" t="inlineStr">
        <is>
          <t>geodet</t>
        </is>
      </c>
      <c r="K176" s="24" t="n">
        <v>0.99</v>
      </c>
      <c r="L176" s="20" t="inlineStr">
        <is>
          <t>needs_production_lookup</t>
        </is>
      </c>
      <c r="M176" s="8" t="inlineStr">
        <is>
          <t>Standard — geodet před+po pro každou stavbu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Kolaudace</t>
        </is>
      </c>
      <c r="C177" s="8" t="inlineStr">
        <is>
          <t>Kolaudační řízení</t>
        </is>
      </c>
      <c r="D177" s="20" t="inlineStr">
        <is>
          <t>030171000</t>
        </is>
      </c>
      <c r="E177" s="8" t="inlineStr">
        <is>
          <t>Kolaudační řízení — paušál (správní poplatky + součinnost) dle zákona 183/2006 Sb.</t>
        </is>
      </c>
      <c r="F177" s="20" t="inlineStr">
        <is>
          <t>paušál</t>
        </is>
      </c>
      <c r="G177" s="23" t="n">
        <v>1</v>
      </c>
      <c r="H177" s="10" t="n"/>
      <c r="I177" s="10" t="n"/>
      <c r="J177" s="8" t="inlineStr">
        <is>
          <t>VRN_management</t>
        </is>
      </c>
      <c r="K177" s="24" t="n">
        <v>0.99</v>
      </c>
      <c r="L177" s="20" t="inlineStr">
        <is>
          <t>needs_production_lookup</t>
        </is>
      </c>
      <c r="M177" s="8" t="inlineStr">
        <is>
          <t>Zákon 183/2006 Sb. + vyhl. 499/2006 Sb.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VRN — Lešení</t>
        </is>
      </c>
      <c r="C178" s="8" t="inlineStr">
        <is>
          <t>Fasádní lešení (ETICS + krov + klempířina)</t>
        </is>
      </c>
      <c r="D178" s="20" t="inlineStr">
        <is>
          <t>—</t>
        </is>
      </c>
      <c r="E178" s="8" t="inlineStr">
        <is>
          <t>Fasádní lešení trubkové/rámové vč. montáže + pronájmu + demontáže — pro provedení ETICS fasády, krovu a klempířiny po obvodu domu (výška 13 m)</t>
        </is>
      </c>
      <c r="F178" s="20" t="inlineStr">
        <is>
          <t>m²</t>
        </is>
      </c>
      <c r="G178" s="22" t="n">
        <v>503.1</v>
      </c>
      <c r="H178" s="10" t="n"/>
      <c r="I178" s="10" t="n"/>
      <c r="J178" s="8" t="inlineStr">
        <is>
          <t>VRN_management</t>
        </is>
      </c>
      <c r="K178" s="24" t="n">
        <v>0.8</v>
      </c>
      <c r="L178" s="20" t="inlineStr">
        <is>
          <t>needs_production_lookup</t>
        </is>
      </c>
      <c r="M178" s="8" t="inlineStr">
        <is>
          <t>anchor checklist PM02 — technical necessity (ETICS 276.7 m² nelze provést bez lešení, 941xxx URS família) + DXF obvod 38.7 m + řez výška 13 m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inlineStr">
        <is>
          <t>ANCHOR_CHECKLIST_PM02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Pojištění stavby (montážní + odpovědnostní)</t>
        </is>
      </c>
      <c r="D179" s="20" t="inlineStr">
        <is>
          <t>030081000</t>
        </is>
      </c>
      <c r="E179" s="8" t="inlineStr">
        <is>
          <t>Montážní pojištění stavby (CAR) + pojištění odpovědnosti za škodu (zhotovitel) — paušál cca 0.3-0.5 % z PN</t>
        </is>
      </c>
      <c r="F179" s="20" t="inlineStr">
        <is>
          <t>paušál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0.99</v>
      </c>
      <c r="L179" s="20" t="inlineStr">
        <is>
          <t>needs_production_lookup</t>
        </is>
      </c>
      <c r="M179" s="8" t="inlineStr">
        <is>
          <t>Standard zhotovitel — pojistná povinnost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Pojištění + zábory</t>
        </is>
      </c>
      <c r="C180" s="8" t="inlineStr">
        <is>
          <t>Krátkodobé zábory ul. Fibichova</t>
        </is>
      </c>
      <c r="D180" s="20" t="inlineStr">
        <is>
          <t>030083000</t>
        </is>
      </c>
      <c r="E180" s="8" t="inlineStr">
        <is>
          <t>Krátkodobé zábory ulice Fibichova pro materiál a kontejnery (povolení MU Jáchymov + DI) — odhad 30 dnů kumulativně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VRN_management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B m.10 + situace — řadovka ul. Fibichova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VRN — Průzkumy</t>
        </is>
      </c>
      <c r="C181" s="8" t="inlineStr">
        <is>
          <t>Mykologický průzkum dřeva při bourání</t>
        </is>
      </c>
      <c r="D181" s="20" t="inlineStr">
        <is>
          <t>030131000</t>
        </is>
      </c>
      <c r="E181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mykolog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§3.2.3 + POZN.2.05 z půdorysů návrh + řez A-A návrh (explicit dřevokazný hmyz scope per drawing wording)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inlineStr">
        <is>
          <t>PER_DRAWING_ENRICHMENT_POZN_2_05</t>
        </is>
      </c>
    </row>
    <row r="182">
      <c r="A182" s="20" t="n">
        <v>181</v>
      </c>
      <c r="B182" s="8" t="inlineStr">
        <is>
          <t>VRN — Průzkumy</t>
        </is>
      </c>
      <c r="C182" s="8" t="inlineStr">
        <is>
          <t>Azbestový průzkum podrobný před demolicí</t>
        </is>
      </c>
      <c r="D182" s="20" t="inlineStr">
        <is>
          <t>030133000</t>
        </is>
      </c>
      <c r="E182" s="8" t="inlineStr">
        <is>
          <t>Azbestový průzkum podrobný před demolicí — laboratorní vzorky a posudek (B kap. m.7.a předběžně negativní, ale podrobný před bouráním povinný)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azbestovy_specialista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B m.7.a + ARS §3.2 — azbestový průzkum povinný před demolicí</t>
        </is>
      </c>
      <c r="N182" s="20" t="inlineStr">
        <is>
          <t>#10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Přesun hmot</t>
        </is>
      </c>
      <c r="C183" s="8" t="inlineStr">
        <is>
          <t>Přesun hmot pro budovu</t>
        </is>
      </c>
      <c r="D183" s="20" t="inlineStr">
        <is>
          <t>—</t>
        </is>
      </c>
      <c r="E183" s="8" t="inlineStr">
        <is>
          <t>Přesun hmot pro budovu — vnitrostaveništní vertikální + horizontální doprava materiálu a hmot (rekonstrukce vícepodlažní RD + nástavba 3.NP)</t>
        </is>
      </c>
      <c r="F183" s="20" t="inlineStr">
        <is>
          <t>t</t>
        </is>
      </c>
      <c r="G183" s="22" t="n">
        <v>0</v>
      </c>
      <c r="H183" s="10" t="n"/>
      <c r="I183" s="10" t="n"/>
      <c r="J183" s="8" t="inlineStr">
        <is>
          <t>VRN_management</t>
        </is>
      </c>
      <c r="K183" s="24" t="n">
        <v>0.6</v>
      </c>
      <c r="L183" s="20" t="inlineStr">
        <is>
          <t>needs_production_lookup</t>
        </is>
      </c>
      <c r="M183" s="8" t="inlineStr">
        <is>
          <t>anchor checklist PM01 — technical necessity (povinná položka každého rozpočtu, 998xxx URS família)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inlineStr">
        <is>
          <t>ANCHOR_CHECKLIST_PM01</t>
        </is>
      </c>
    </row>
    <row r="184">
      <c r="A184" s="20" t="n">
        <v>183</v>
      </c>
      <c r="B184" s="8" t="inlineStr">
        <is>
          <t>VRN — Revize</t>
        </is>
      </c>
      <c r="C184" s="8" t="inlineStr">
        <is>
          <t>Revize hydrantu vnějšího</t>
        </is>
      </c>
      <c r="D184" s="20" t="inlineStr">
        <is>
          <t>030161000</t>
        </is>
      </c>
      <c r="E184" s="8" t="inlineStr">
        <is>
          <t>Revize vnějšího hydrantu pro požární zabezpečení (DN min. 80, vzdálenost 100 m dle TZ PBŘ) — periodická kontrola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revize_specialista</t>
        </is>
      </c>
      <c r="K184" s="24" t="n">
        <v>0.85</v>
      </c>
      <c r="L184" s="20" t="inlineStr">
        <is>
          <t>needs_production_lookup</t>
        </is>
      </c>
      <c r="M184" s="8" t="inlineStr">
        <is>
          <t>TZ PBŘ dům — vnější odběrné místo požární vody, revize před kolaudací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Buňky kancelář + sociální</t>
        </is>
      </c>
      <c r="D185" s="20" t="inlineStr">
        <is>
          <t>030011000</t>
        </is>
      </c>
      <c r="E185" s="8" t="inlineStr">
        <is>
          <t>Zařízení staveniště — buňka kancelář + sociální buňka (WC + šatna), pronájem ~8 měsíců</t>
        </is>
      </c>
      <c r="F185" s="20" t="inlineStr">
        <is>
          <t>kpl-měs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TZ B m.1.m realizace 2026-2027 + standard staveniště RD městská zástavba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Mobilní WC</t>
        </is>
      </c>
      <c r="D186" s="20" t="inlineStr">
        <is>
          <t>030013000</t>
        </is>
      </c>
      <c r="E186" s="8" t="inlineStr">
        <is>
          <t>Mobilní chemické WC TOI TOI pro pracovníky — pronájem ~8 měsíců</t>
        </is>
      </c>
      <c r="F186" s="20" t="inlineStr">
        <is>
          <t>ks-měs</t>
        </is>
      </c>
      <c r="G186" s="23" t="n">
        <v>8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BOZP — mobilní WC povinné pro stavbu RD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El. odběr + vodovodní odběr stavby</t>
        </is>
      </c>
      <c r="D187" s="20" t="inlineStr">
        <is>
          <t>031011000</t>
        </is>
      </c>
      <c r="E187" s="8" t="inlineStr">
        <is>
          <t>El. odběr stavby (zřízení staveništního rozvaděče + měřič) + vodovodní odběr (zřízení staveništní přípojky + vodoměr) — ~8 měsíců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Standard staveniště — el. + voda zřízení a odběr po dobu stavby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Zařízení staveniště</t>
        </is>
      </c>
      <c r="C188" s="8" t="inlineStr">
        <is>
          <t>Voda staveniště</t>
        </is>
      </c>
      <c r="D188" s="20" t="inlineStr">
        <is>
          <t>012103101</t>
        </is>
      </c>
      <c r="E188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8" s="20" t="inlineStr">
        <is>
          <t>kpl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0.9</v>
      </c>
      <c r="L188" s="20" t="inlineStr">
        <is>
          <t>needs_production_lookup</t>
        </is>
      </c>
      <c r="M188" s="8" t="inlineStr">
        <is>
          <t>TZ B Souhrnná m.5 — 'Stávající vodovodní přípojka z veřejného vodovodu'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inlineStr">
        <is>
          <t>GAP_003</t>
        </is>
      </c>
    </row>
  </sheetData>
  <autoFilter ref="A1:O188"/>
  <conditionalFormatting sqref="K2:K18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2026-06-01T06:51:06Z</dcterms:created>
  <dcterms:modified xmlns:dcterms="http://purl.org/dc/terms/" xmlns:xsi="http://www.w3.org/2001/XMLSchema-instance" xsi:type="dcterms:W3CDTF">2026-06-01T06:51:07Z</dcterms:modified>
</cp:coreProperties>
</file>
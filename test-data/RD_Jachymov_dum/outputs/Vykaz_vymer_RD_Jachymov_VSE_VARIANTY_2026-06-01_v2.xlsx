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'Var_C_Hybrid'!$A$1:$J$131</definedName>
    <definedName name="_xlnm._FilterDatabase" localSheetId="4" hidden="1">'Var_B_Polozkovy_Dum'!$A$1:$O$201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(24 souhrnných řádků). Pro orientační cenovku.</t>
        </is>
      </c>
      <c r="C23" s="9" t="n">
        <v>24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(118 ks) + PSV/TZB/VRN agregovaně (12 skupin) = 130 řádků.</t>
        </is>
      </c>
      <c r="C24" s="9" t="n">
        <v>130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(200 dum + 28 sklad = 228 položek). Cílový rozsah pro produkční pricing.</t>
        </is>
      </c>
      <c r="C25" s="9" t="n">
        <v>228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228 (200 dum + 28 sklad)</t>
        </is>
      </c>
    </row>
    <row r="32">
      <c r="A32" s="4" t="inlineStr">
        <is>
          <t>Gate distribution</t>
        </is>
      </c>
      <c r="B32" s="5" t="inlineStr">
        <is>
          <t>HSV 118 | PSV 54 | TZB 34 | VRN 22</t>
        </is>
      </c>
    </row>
    <row r="33">
      <c r="A33" s="4" t="inlineStr">
        <is>
          <t>Confidence dist</t>
        </is>
      </c>
      <c r="B33" s="5" t="inlineStr">
        <is>
          <t>0.99: 17 | 0.95: 32 | 0.90: 35 | 0.85: 41 | 0.80: 19 | 0.75: 72 | 0.70: 2 | 0.60: 2 | 0.50: 4 | 0.00: 4</t>
        </is>
      </c>
    </row>
    <row r="34">
      <c r="A34" s="4" t="inlineStr">
        <is>
          <t>URS status (Part 5b)</t>
        </is>
      </c>
      <c r="B34" s="5" t="inlineStr">
        <is>
          <t>8 WebSearch verified (3.5 %) ✓ | 5 wrong leaf flagged (2.2 %) ⚠ | 150 needs_production_lookup (65.8 %)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28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228 položek celkem (200 dum + 28 sklad), 4 corpus patterns aplikované, zero-fabrication policy.
Confidence distribution: 17×0.99 · 32×0.95 · 35×0.90 · 41×0.85 · 19×0.80 · 72×0.75 · 2×0.70 · 2×0.60 · 4×0.50 · 4×0.00.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(+14 dalších)</t>
        </is>
      </c>
      <c r="D7" s="9" t="n">
        <v>18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(+5 dalších)</t>
        </is>
      </c>
      <c r="D8" s="9" t="n">
        <v>9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HSV-1 Zemní práce</t>
        </is>
      </c>
      <c r="D106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6" s="20" t="inlineStr">
        <is>
          <t>ks</t>
        </is>
      </c>
      <c r="F106" s="23" t="n">
        <v>13</v>
      </c>
      <c r="G106" s="10" t="n"/>
      <c r="H106" s="10" t="n"/>
      <c r="I106" s="8" t="inlineStr">
        <is>
          <t>zednik</t>
        </is>
      </c>
      <c r="J106" s="8" t="inlineStr">
        <is>
          <t>URS-prop —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HSV-5 Krov + střecha</t>
        </is>
      </c>
      <c r="D107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7" s="20" t="inlineStr">
        <is>
          <t>ks</t>
        </is>
      </c>
      <c r="F107" s="23" t="n">
        <v>50</v>
      </c>
      <c r="G107" s="10" t="n"/>
      <c r="H107" s="10" t="n"/>
      <c r="I107" s="8" t="inlineStr">
        <is>
          <t>tesar</t>
        </is>
      </c>
      <c r="J107" s="8" t="inlineStr">
        <is>
          <t>URS-prop 762085112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1.NP/2.NP — kročejová izolace (S07) — Desky kročejové izolace (Isover T-P) tl. 30 mm — trámový strop 1.NP/2.NP</t>
        </is>
      </c>
      <c r="E108" s="20" t="inlineStr">
        <is>
          <t>m²</t>
        </is>
      </c>
      <c r="F108" s="22" t="n">
        <v>59.5</v>
      </c>
      <c r="G108" s="10" t="n"/>
      <c r="H108" s="10" t="n"/>
      <c r="I108" s="8" t="inlineStr">
        <is>
          <t>izolater_TI</t>
        </is>
      </c>
      <c r="J108" s="8" t="inlineStr">
        <is>
          <t>URS-prop 713191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1.NP/2.NP — separační geotextilie (S07) — Separační geotextilie pod suchý podsyp — trámový strop 1.NP/2.NP</t>
        </is>
      </c>
      <c r="E109" s="20" t="inlineStr">
        <is>
          <t>m²</t>
        </is>
      </c>
      <c r="F109" s="22" t="n">
        <v>59.5</v>
      </c>
      <c r="G109" s="10" t="n"/>
      <c r="H109" s="10" t="n"/>
      <c r="I109" s="8" t="inlineStr">
        <is>
          <t>izolater_TI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2.NP/3.NP — min. vata výplň mezi nosníky (S09) — Tepelná/akustická izolace minerální vata výplň mezi ocelové nosníky stropu 2.NP/3.NP, tl. 180/200 mm</t>
        </is>
      </c>
      <c r="E110" s="20" t="inlineStr">
        <is>
          <t>m²</t>
        </is>
      </c>
      <c r="F110" s="22" t="n">
        <v>104.4</v>
      </c>
      <c r="G110" s="10" t="n"/>
      <c r="H110" s="10" t="n"/>
      <c r="I110" s="8" t="inlineStr">
        <is>
          <t>izolater_TI</t>
        </is>
      </c>
      <c r="J110" s="8" t="inlineStr">
        <is>
          <t>URS-prop 713121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Fermacell (S08) — Roznášecí sádrovláknité dílce Fermacell 2E22 tl. 25 mm — suchá skladba nad cihelnou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kročejová izolace (S08) — Desky kročejové izolace (Isover T-P) tl. 30 mm — suchá skladba nad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izolater_TI</t>
        </is>
      </c>
      <c r="J112" s="8" t="inlineStr">
        <is>
          <t>URS-prop 713191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HSV-4 Vodorovné</t>
        </is>
      </c>
      <c r="D113" s="8" t="inlineStr">
        <is>
          <t>Strop klemba mezi patry — suchý podsyp + dřevěný rošt (S08) — Vyrovnávací suchý podsyp keramzit/liapor + dřevěný rošt tl. 50 mm — nad klembou S08</t>
        </is>
      </c>
      <c r="E113" s="20" t="inlineStr">
        <is>
          <t>m²</t>
        </is>
      </c>
      <c r="F113" s="22" t="n"/>
      <c r="G113" s="10" t="n"/>
      <c r="H113" s="10" t="n"/>
      <c r="I113" s="8" t="inlineStr">
        <is>
          <t>suchá_vystavba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HSV-4 Vodorovné</t>
        </is>
      </c>
      <c r="D114" s="8" t="inlineStr">
        <is>
          <t>Strop klemba mezi patry — separační vrstva (S08) — Separační vrstva pod suchý podsyp — nad cihelnou klembou S08</t>
        </is>
      </c>
      <c r="E114" s="20" t="inlineStr">
        <is>
          <t>m²</t>
        </is>
      </c>
      <c r="F114" s="22" t="n"/>
      <c r="G114" s="10" t="n"/>
      <c r="H114" s="10" t="n"/>
      <c r="I114" s="8" t="inlineStr">
        <is>
          <t>suchá_vystavba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5" s="20" t="inlineStr">
        <is>
          <t>m²</t>
        </is>
      </c>
      <c r="F115" s="22" t="n">
        <v>23</v>
      </c>
      <c r="G115" s="10" t="n"/>
      <c r="H115" s="10" t="n"/>
      <c r="I115" s="8" t="inlineStr">
        <is>
          <t>fasader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HSV-7 Fasáda + zateplení</t>
        </is>
      </c>
      <c r="D116" s="8" t="inlineStr">
        <is>
          <t>Sokl pod terénem — drenážní nopová folie (S03a) — Drenážní vrstva — nopová folie tl. 20 mm na suterénní stěnu pod úrovní terénu</t>
        </is>
      </c>
      <c r="E116" s="20" t="inlineStr">
        <is>
          <t>m²</t>
        </is>
      </c>
      <c r="F116" s="22" t="n">
        <v>23</v>
      </c>
      <c r="G116" s="10" t="n"/>
      <c r="H116" s="10" t="n"/>
      <c r="I116" s="8" t="inlineStr">
        <is>
          <t>izolater_HI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HSV-7 Fasáda + zateplení</t>
        </is>
      </c>
      <c r="D117" s="8" t="inlineStr">
        <is>
          <t>Sokl nad terénem — provětraný obklad (S03b) — Provětrávaná mezera s kotevním roštem 40 mm + keramický obklad 20 mm — sokl nad úrovní terénu</t>
        </is>
      </c>
      <c r="E117" s="20" t="inlineStr">
        <is>
          <t>m²</t>
        </is>
      </c>
      <c r="F117" s="22" t="n">
        <v>23</v>
      </c>
      <c r="G117" s="10" t="n"/>
      <c r="H117" s="10" t="n"/>
      <c r="I117" s="8" t="inlineStr">
        <is>
          <t>obkladac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260219_dum</t>
        </is>
      </c>
      <c r="C118" s="8" t="inlineStr">
        <is>
          <t>HSV-5 Krov + střecha</t>
        </is>
      </c>
      <c r="D118" s="8" t="inlineStr">
        <is>
          <t>Střecha — pojistná HI folie pod Al krytinu (S10) — Pojistná hydroizolační folie pod hliníkovou falcovanou krytinu (nad celoplošným bedněním)</t>
        </is>
      </c>
      <c r="E118" s="20" t="inlineStr">
        <is>
          <t>m²</t>
        </is>
      </c>
      <c r="F118" s="22" t="n">
        <v>140.94</v>
      </c>
      <c r="G118" s="10" t="n"/>
      <c r="H118" s="10" t="n"/>
      <c r="I118" s="8" t="inlineStr">
        <is>
          <t>pokryvac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260219_dum</t>
        </is>
      </c>
      <c r="C119" s="8" t="inlineStr">
        <is>
          <t>HSV-6 Bourací práce</t>
        </is>
      </c>
      <c r="D119" s="8" t="inlineStr">
        <is>
          <t>Demontáž vnějšího keram. obkladu suterénu (S03 stávající) — Demontáž stávajícího vnějšího keramického obkladu suterénní stěny (sokl) tl. 20 mm</t>
        </is>
      </c>
      <c r="E119" s="20" t="inlineStr">
        <is>
          <t>m²</t>
        </is>
      </c>
      <c r="F119" s="22" t="n">
        <v>23</v>
      </c>
      <c r="G119" s="10" t="n"/>
      <c r="H119" s="10" t="n"/>
      <c r="I119" s="8" t="inlineStr">
        <is>
          <t>bourac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21" t="inlineStr">
        <is>
          <t>PSV-76 — Výplně otvorů + klempířina + zámečnictví + truhlář</t>
        </is>
      </c>
      <c r="D120" s="8" t="inlineStr">
        <is>
          <t>[agregát] 1 položek: Bezpečnostní dveře RC3 sklad</t>
        </is>
      </c>
      <c r="E120" s="20" t="inlineStr">
        <is>
          <t>kpl</t>
        </is>
      </c>
      <c r="F120" s="9" t="n">
        <v>1</v>
      </c>
      <c r="G120" s="10" t="n"/>
      <c r="H120" s="10" t="n"/>
      <c r="I120" s="8" t="inlineStr">
        <is>
          <t>—</t>
        </is>
      </c>
      <c r="J120" s="8" t="inlineStr">
        <is>
          <t>agregát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PSV-77 — Podlahy</t>
        </is>
      </c>
      <c r="D121" s="8" t="inlineStr">
        <is>
          <t>[agregát] 1 položek: Betonová dlažba sklad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VRN — Vedlejší rozpočtové náklady</t>
        </is>
      </c>
      <c r="D122" s="8" t="inlineStr">
        <is>
          <t>[agregát] 4 položek: Doprava prefa H-BLOK auto s hyd. rukou; Likvidace odpadu sklad; Geodetické vytýčení sklad; … (+1 dalších)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260219_dum</t>
        </is>
      </c>
      <c r="C123" s="21" t="inlineStr">
        <is>
          <t>M-21 — Elektroinstalace silnoproudá</t>
        </is>
      </c>
      <c r="D123" s="8" t="inlineStr">
        <is>
          <t>[agregát] 7 položek: Demontáž stávající ELI; Pojistková skříň + 3× podružný rozvaděč; Rozvody silnoproud; … (+4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PSV-71 — Izolace HI + TI</t>
        </is>
      </c>
      <c r="D124" s="8" t="inlineStr">
        <is>
          <t>[agregát] 5 položek: HI pod ŽB deskou 1.NP; Odvětrání radonu z podloží; HI koupelny 1.NP + 2.NP + 3.NP; … (+2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PSV-72 — ZTI (vodovod + kanalizace + sanita)</t>
        </is>
      </c>
      <c r="D125" s="8" t="inlineStr">
        <is>
          <t>[agregát] 19 položek: Revize stávajících přípojek; Nové rozvody vody do 3.NP; Nové odpadní rozvody; … (+16 dalších)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PSV-73 — Vytápění + komín</t>
        </is>
      </c>
      <c r="D126" s="8" t="inlineStr">
        <is>
          <t>[agregát] 8 položek: Sporáková kamna na tuhá paliva; Sporáková kamna — montáž; Elektrokotel 3.NP; … (+5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PSV-76 — Výplně otvorů + klempířina + zámečnictví + truhlář</t>
        </is>
      </c>
      <c r="D127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PSV-77 — Podlahy</t>
        </is>
      </c>
      <c r="D128" s="8" t="inlineStr">
        <is>
          <t>[agregát] 7 položek: Nášlap vinyl obytné místnosti; Nášlap keramická dlažba — mokré zóny; Nášlap keramická dlažba — 1.PP sklep; … (+4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PSV-78 — Povrchové úpravy</t>
        </is>
      </c>
      <c r="D129" s="8" t="inlineStr">
        <is>
          <t>[agregát] 16 položek: Omítka jádrová + štuk 1.PP; Omítka jádrová + štuk 1.NP; Omítka jádrová + štuk 2.NP; … (+13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PSV-95 — Detekce požární</t>
        </is>
      </c>
      <c r="D130" s="8" t="inlineStr">
        <is>
          <t>[agregát] 2 položek: Autonomní hlásič kouře; Přenosný hasicí přístroj 34A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VRN — Vedlejší rozpočtové náklady</t>
        </is>
      </c>
      <c r="D131" s="8" t="inlineStr">
        <is>
          <t>[agregát] 18 položek: Buňky kancelář + sociální; Mobilní WC; El. odběr + vodovodní odběr stavby; … (+15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</sheetData>
  <autoFilter ref="A1:J1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oken a dveří</t>
        </is>
      </c>
      <c r="D80" s="20" t="inlineStr">
        <is>
          <t>968071120</t>
        </is>
      </c>
      <c r="E80" s="8" t="inlineStr">
        <is>
          <t>Demontáž všech oken a dveří stávajících (recyklace)</t>
        </is>
      </c>
      <c r="F80" s="20" t="inlineStr">
        <is>
          <t>ks</t>
        </is>
      </c>
      <c r="G80" s="23" t="n">
        <v>25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VŠECHNY okna a dveře demontovány</t>
        </is>
      </c>
      <c r="N80" s="20" t="inlineStr">
        <is>
          <t>#5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Demontáž zařizovacích předmětů</t>
        </is>
      </c>
      <c r="D81" s="20" t="inlineStr">
        <is>
          <t>725900001</t>
        </is>
      </c>
      <c r="E81" s="8" t="inlineStr">
        <is>
          <t>Demontáž všech sanitárních zařizovacích předmětů (WC, umyvadla, baterie, sprcha)</t>
        </is>
      </c>
      <c r="F81" s="20" t="inlineStr">
        <is>
          <t>ks</t>
        </is>
      </c>
      <c r="G81" s="23" t="n">
        <v>12</v>
      </c>
      <c r="H81" s="10" t="n"/>
      <c r="I81" s="10" t="n"/>
      <c r="J81" s="8" t="inlineStr">
        <is>
          <t>bourani_demolice</t>
        </is>
      </c>
      <c r="K81" s="24" t="n">
        <v>0.75</v>
      </c>
      <c r="L81" s="20" t="inlineStr">
        <is>
          <t>needs_production_lookup</t>
        </is>
      </c>
      <c r="M81" s="8" t="inlineStr">
        <is>
          <t>TZ ARS dům §3 — zařizovací předměty kompletně demontovány</t>
        </is>
      </c>
      <c r="N81" s="20" t="inlineStr">
        <is>
          <t>—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Odvoz suti a likvidace</t>
        </is>
      </c>
      <c r="D82" s="20" t="inlineStr">
        <is>
          <t>997013501</t>
        </is>
      </c>
      <c r="E82" s="8" t="inlineStr">
        <is>
          <t>Odvoz a likvidace stavební suti dle vyhl. 8/2021 Sb. — celková tonáž odpadů</t>
        </is>
      </c>
      <c r="F82" s="20" t="inlineStr">
        <is>
          <t>t</t>
        </is>
      </c>
      <c r="G82" s="22" t="n">
        <v>56.5</v>
      </c>
      <c r="H82" s="10" t="n"/>
      <c r="I82" s="10" t="n"/>
      <c r="J82" s="8" t="inlineStr">
        <is>
          <t>bourani_demolice</t>
        </is>
      </c>
      <c r="K82" s="24" t="n">
        <v>0.85</v>
      </c>
      <c r="L82" s="20" t="inlineStr">
        <is>
          <t>needs_production_lookup</t>
        </is>
      </c>
      <c r="M82" s="8" t="inlineStr">
        <is>
          <t>TZ B m.10.e bilance odpadů</t>
        </is>
      </c>
      <c r="N82" s="20" t="inlineStr">
        <is>
          <t>#9</t>
        </is>
      </c>
      <c r="O82" s="26" t="inlineStr">
        <is>
          <t>ANO</t>
        </is>
      </c>
      <c r="P82" s="41" t="n"/>
      <c r="Q82" s="41" t="n"/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oken</t>
        </is>
      </c>
      <c r="D83" s="20" t="inlineStr">
        <is>
          <t>978013181</t>
        </is>
      </c>
      <c r="E83" s="8" t="inlineStr">
        <is>
          <t>Demontáž stávajících dřevěných oken vč. rámů a parapetů — 16 ks (návrh všechna okna nová plastová trojsklem)</t>
        </is>
      </c>
      <c r="F83" s="20" t="inlineStr">
        <is>
          <t>ks</t>
        </is>
      </c>
      <c r="G83" s="23" t="n">
        <v>16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okno* (Path C Tier 4) + TZ ARS — všechna okna nová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vstupních dveří venkovních</t>
        </is>
      </c>
      <c r="D84" s="20" t="inlineStr">
        <is>
          <t>978013181</t>
        </is>
      </c>
      <c r="E84" s="8" t="inlineStr">
        <is>
          <t>Demontáž stávajících vstupních dveří + rámů — 2 ks (1× ulice Fibichova + 1× zahrada; návrh nové plastové vstupní dveře)</t>
        </is>
      </c>
      <c r="F84" s="20" t="inlineStr">
        <is>
          <t>ks</t>
        </is>
      </c>
      <c r="G84" s="23" t="n">
        <v>2</v>
      </c>
      <c r="H84" s="10" t="n"/>
      <c r="I84" s="10" t="n"/>
      <c r="J84" s="8" t="inlineStr">
        <is>
          <t>bourani_demolice</t>
        </is>
      </c>
      <c r="K84" s="24" t="n">
        <v>0.95</v>
      </c>
      <c r="L84" s="20" t="inlineStr">
        <is>
          <t>matched_websearch_verified</t>
        </is>
      </c>
      <c r="M84" s="8" t="inlineStr">
        <is>
          <t>DXF blocks dveře (vstupní 2) + TZ ARS — 'plastové vstupní dveře' x 2</t>
        </is>
      </c>
      <c r="N84" s="20" t="inlineStr">
        <is>
          <t>#3</t>
        </is>
      </c>
      <c r="O84" s="25" t="inlineStr">
        <is>
          <t>OVĚŘENO ✓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Demontáž vnitřních dveří vč. zárubní</t>
        </is>
      </c>
      <c r="D85" s="20" t="inlineStr">
        <is>
          <t>968072456</t>
        </is>
      </c>
      <c r="E85" s="8" t="inlineStr">
        <is>
          <t>Demontáž stávajících vnitřních dveří vč. ocelových/dřevěných zárubní — odhad 15 ks (3 patra × ~5 dveří/patro per DXF SM__dveře layer)</t>
        </is>
      </c>
      <c r="F85" s="20" t="inlineStr">
        <is>
          <t>ks</t>
        </is>
      </c>
      <c r="G85" s="23" t="n">
        <v>15</v>
      </c>
      <c r="H85" s="10" t="n"/>
      <c r="I85" s="10" t="n"/>
      <c r="J85" s="8" t="inlineStr">
        <is>
          <t>bourani_demolice</t>
        </is>
      </c>
      <c r="K85" s="24" t="n">
        <v>0.8</v>
      </c>
      <c r="L85" s="20" t="inlineStr">
        <is>
          <t>needs_production_lookup</t>
        </is>
      </c>
      <c r="M85" s="8" t="inlineStr">
        <is>
          <t>DXF SM__dveře polyline count → estimate (Path C Tier 4)</t>
        </is>
      </c>
      <c r="N85" s="20" t="inlineStr">
        <is>
          <t>#3</t>
        </is>
      </c>
      <c r="O85" s="26" t="inlineStr">
        <is>
          <t>ANO</t>
        </is>
      </c>
      <c r="P85" s="41" t="n"/>
      <c r="Q85" s="41" t="inlineStr">
        <is>
          <t>GAP_002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zdiva komínu</t>
        </is>
      </c>
      <c r="D86" s="20" t="inlineStr">
        <is>
          <t>962024141</t>
        </is>
      </c>
      <c r="E86" s="8" t="inlineStr">
        <is>
          <t>Bourání vrchní části stávajícího komínu v posledním podlaží (cihelné zdivo, ručně), vč. likvidace cihelné suti</t>
        </is>
      </c>
      <c r="F86" s="20" t="inlineStr">
        <is>
          <t>m³</t>
        </is>
      </c>
      <c r="G86" s="22" t="n">
        <v>0.6</v>
      </c>
      <c r="H86" s="10" t="n"/>
      <c r="I86" s="10" t="n"/>
      <c r="J86" s="8" t="inlineStr">
        <is>
          <t>bourani_demolice</t>
        </is>
      </c>
      <c r="K86" s="24" t="n">
        <v>0.75</v>
      </c>
      <c r="L86" s="20" t="inlineStr">
        <is>
          <t>family_verified_leaf_needs_production_lookup</t>
        </is>
      </c>
      <c r="M86" s="8" t="inlineStr">
        <is>
          <t>DXF dum_DPZ řez A-A bourání + POZN.1.02 z půdorysů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PER_DRAWING_GAP_POZN_1_02; URS_PHASE5B_FAMILY_VERIFIED; CHATGPT_KOMIN_QTY_FIX_2026-05-29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Bourání venkovních konstrukcí</t>
        </is>
      </c>
      <c r="D87" s="20" t="inlineStr">
        <is>
          <t>961044111</t>
        </is>
      </c>
      <c r="E87" s="8" t="inlineStr">
        <is>
          <t>Bourání stávajících opěrných zídek a venkovního schodiště v zahradě/dvoře — částečné, dle vyznačení v půdorysech bourání</t>
        </is>
      </c>
      <c r="F87" s="20" t="inlineStr">
        <is>
          <t>m³</t>
        </is>
      </c>
      <c r="G87" s="22" t="n">
        <v>8</v>
      </c>
      <c r="H87" s="10" t="n"/>
      <c r="I87" s="10" t="n"/>
      <c r="J87" s="8" t="inlineStr">
        <is>
          <t>bourani_demolice</t>
        </is>
      </c>
      <c r="K87" s="24" t="n">
        <v>0.7</v>
      </c>
      <c r="L87" s="20" t="inlineStr">
        <is>
          <t>family_verified_leaf_needs_production_lookup</t>
        </is>
      </c>
      <c r="M87" s="8" t="inlineStr">
        <is>
          <t>DXF dum_DPZ řez A-A bourání + POZN.1.03 + půdorys bourání</t>
        </is>
      </c>
      <c r="N87" s="20" t="inlineStr">
        <is>
          <t>#9</t>
        </is>
      </c>
      <c r="O87" s="26" t="inlineStr">
        <is>
          <t>ANO</t>
        </is>
      </c>
      <c r="P87" s="41" t="n"/>
      <c r="Q87" s="41" t="inlineStr">
        <is>
          <t>PER_DRAWING_GAP_POZN_1_03; URS_PHASE5B_FAMILY_VERIFIED</t>
        </is>
      </c>
    </row>
    <row r="88">
      <c r="A88" s="20" t="n">
        <v>87</v>
      </c>
      <c r="B88" s="8" t="inlineStr">
        <is>
          <t>HSV-6 Bourací práce</t>
        </is>
      </c>
      <c r="C88" s="8" t="inlineStr">
        <is>
          <t>Demontáž vnějšího keram. obkladu suterénu (S03 stávající)</t>
        </is>
      </c>
      <c r="D88" s="20" t="inlineStr">
        <is>
          <t>—</t>
        </is>
      </c>
      <c r="E88" s="8" t="inlineStr">
        <is>
          <t>Demontáž stávajícího vnějšího keramického obkladu suterénní stěny (sokl) tl. 20 mm</t>
        </is>
      </c>
      <c r="F88" s="20" t="inlineStr">
        <is>
          <t>m²</t>
        </is>
      </c>
      <c r="G88" s="22" t="n">
        <v>23</v>
      </c>
      <c r="H88" s="10" t="n"/>
      <c r="I88" s="10" t="n"/>
      <c r="J88" s="8" t="inlineStr">
        <is>
          <t>bourac</t>
        </is>
      </c>
      <c r="K88" s="24" t="n">
        <v>0.5</v>
      </c>
      <c r="L88" s="20" t="inlineStr">
        <is>
          <t>needs_production_lookup</t>
        </is>
      </c>
      <c r="M88" s="8" t="inlineStr">
        <is>
          <t>skladba S03 stávající (vnější keram. obklad) + Řez A-A sokl</t>
        </is>
      </c>
      <c r="N88" s="20" t="inlineStr">
        <is>
          <t>—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SKLADBY_GAPS_2026-06-01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suterénu — sanační zateplení (S03)</t>
        </is>
      </c>
      <c r="D89" s="20" t="inlineStr">
        <is>
          <t>—</t>
        </is>
      </c>
      <c r="E89" s="8" t="inlineStr">
        <is>
          <t>Sanační zateplení soklu — sanační izolační deska Styrcon 200 + lepící tmel (Lepstyr plus) + armovací vrstva s tkaninou + penetrace</t>
        </is>
      </c>
      <c r="F89" s="20" t="inlineStr">
        <is>
          <t>m²</t>
        </is>
      </c>
      <c r="G89" s="22" t="n">
        <v>23</v>
      </c>
      <c r="H89" s="10" t="n"/>
      <c r="I89" s="10" t="n"/>
      <c r="J89" s="8" t="inlineStr">
        <is>
          <t>fasader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 sokl tags (S03b -0.200/-0.975)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SKLADBY_GAPS_2026-06-01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pod terénem — drenážní nopová folie (S03a)</t>
        </is>
      </c>
      <c r="D90" s="20" t="inlineStr">
        <is>
          <t>—</t>
        </is>
      </c>
      <c r="E90" s="8" t="inlineStr">
        <is>
          <t>Drenážní vrstva — nopová folie tl. 20 mm na suterénní stěnu pod úrovní terénu</t>
        </is>
      </c>
      <c r="F90" s="20" t="inlineStr">
        <is>
          <t>m²</t>
        </is>
      </c>
      <c r="G90" s="22" t="n">
        <v>23</v>
      </c>
      <c r="H90" s="10" t="n"/>
      <c r="I90" s="10" t="n"/>
      <c r="J90" s="8" t="inlineStr">
        <is>
          <t>izolater_HI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A-A/C-C sokl + obvod ETICS</t>
        </is>
      </c>
      <c r="N90" s="20" t="inlineStr">
        <is>
          <t>—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SKLADBY_GAPS_2026-06-01</t>
        </is>
      </c>
    </row>
    <row r="91">
      <c r="A91" s="20" t="n">
        <v>90</v>
      </c>
      <c r="B91" s="8" t="inlineStr">
        <is>
          <t>HSV-7 Fasáda + zateplení</t>
        </is>
      </c>
      <c r="C91" s="8" t="inlineStr">
        <is>
          <t>Sokl nad terénem — provětraný obklad (S03b)</t>
        </is>
      </c>
      <c r="D91" s="20" t="inlineStr">
        <is>
          <t>—</t>
        </is>
      </c>
      <c r="E91" s="8" t="inlineStr">
        <is>
          <t>Provětrávaná mezera s kotevním roštem 40 mm + keramický obklad 20 mm — sokl nad úrovní terénu</t>
        </is>
      </c>
      <c r="F91" s="20" t="inlineStr">
        <is>
          <t>m²</t>
        </is>
      </c>
      <c r="G91" s="22" t="n">
        <v>23</v>
      </c>
      <c r="H91" s="10" t="n"/>
      <c r="I91" s="10" t="n"/>
      <c r="J91" s="8" t="inlineStr">
        <is>
          <t>obkladac</t>
        </is>
      </c>
      <c r="K91" s="24" t="n">
        <v>0.5</v>
      </c>
      <c r="L91" s="20" t="inlineStr">
        <is>
          <t>needs_production_lookup</t>
        </is>
      </c>
      <c r="M91" s="8" t="inlineStr">
        <is>
          <t>Řez A-A sokl tags S03b + obvod ETICS</t>
        </is>
      </c>
      <c r="N91" s="20" t="inlineStr">
        <is>
          <t>—</t>
        </is>
      </c>
      <c r="O91" s="26" t="inlineStr">
        <is>
          <t>ANO</t>
        </is>
      </c>
      <c r="P91" s="41" t="inlineStr">
        <is>
          <t>S03</t>
        </is>
      </c>
      <c r="Q91" s="41" t="inlineStr">
        <is>
          <t>SKLADBY_GAPS_2026-06-01</t>
        </is>
      </c>
    </row>
    <row r="92">
      <c r="A92" s="20" t="n">
        <v>91</v>
      </c>
      <c r="B92" s="8" t="inlineStr">
        <is>
          <t>HSV-7 Fasáda ETICS</t>
        </is>
      </c>
      <c r="C92" s="8" t="inlineStr">
        <is>
          <t>Příprava podkladu</t>
        </is>
      </c>
      <c r="D92" s="20" t="inlineStr">
        <is>
          <t>622401110</t>
        </is>
      </c>
      <c r="E92" s="8" t="inlineStr">
        <is>
          <t>Příprava fasádního podkladu — očištění tlakovou vodou, vyspravení omítek, fungicidní nátěr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needs_production_lookup</t>
        </is>
      </c>
      <c r="M92" s="8" t="inlineStr">
        <is>
          <t>TZ ARS dům §3.2 — ETICS kontaktní, podklad existující omítka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</t>
        </is>
      </c>
      <c r="Q92" s="41" t="n"/>
    </row>
    <row r="93">
      <c r="A93" s="20" t="n">
        <v>92</v>
      </c>
      <c r="B93" s="8" t="inlineStr">
        <is>
          <t>HSV-7 Fasáda ETICS</t>
        </is>
      </c>
      <c r="C93" s="8" t="inlineStr">
        <is>
          <t>ETICS EPS 70F grey 160 mm</t>
        </is>
      </c>
      <c r="D93" s="20" t="inlineStr">
        <is>
          <t>622221121</t>
        </is>
      </c>
      <c r="E93" s="8" t="inlineStr">
        <is>
          <t>ETICS kontaktní zateplení — EPS 70F grey λ=0.032 tl. 160 mm + síťka + lepidlo + zatírací stěrka (řez S01+S12a explicit, ne 200 mm fallback)</t>
        </is>
      </c>
      <c r="F93" s="20" t="inlineStr">
        <is>
          <t>m²</t>
        </is>
      </c>
      <c r="G93" s="22" t="n">
        <v>276.7</v>
      </c>
      <c r="H93" s="10" t="n"/>
      <c r="I93" s="10" t="n"/>
      <c r="J93" s="8" t="inlineStr">
        <is>
          <t>fasadnik_etics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TZ ARS dům §3.2 EXPLICIT 'fasádní EPS 70f grey (λ=0,032 W/mK)' + PBŘ EXPLICIT 'EPS tl. max. 200 mm' + DXF perimeter</t>
        </is>
      </c>
      <c r="N93" s="20" t="inlineStr">
        <is>
          <t>#3</t>
        </is>
      </c>
      <c r="O93" s="26" t="inlineStr">
        <is>
          <t>ANO</t>
        </is>
      </c>
      <c r="P93" s="41" t="inlineStr">
        <is>
          <t>S01, S12a</t>
        </is>
      </c>
      <c r="Q93" s="41" t="inlineStr">
        <is>
          <t>URS_PHASE5B_FAMILY_VERIFIED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ETICS sokl XPS</t>
        </is>
      </c>
      <c r="D94" s="20" t="inlineStr">
        <is>
          <t>622223111</t>
        </is>
      </c>
      <c r="E94" s="8" t="inlineStr">
        <is>
          <t>ETICS sokl — XPS λ=0.034 tl. 120 mm + soklový profil + cihelný obklad spárovaný</t>
        </is>
      </c>
      <c r="F94" s="20" t="inlineStr">
        <is>
          <t>m²</t>
        </is>
      </c>
      <c r="G94" s="22" t="n">
        <v>13.5</v>
      </c>
      <c r="H94" s="10" t="n"/>
      <c r="I94" s="10" t="n"/>
      <c r="J94" s="8" t="inlineStr">
        <is>
          <t>fasadnik_etics</t>
        </is>
      </c>
      <c r="K94" s="24" t="n">
        <v>0.9</v>
      </c>
      <c r="L94" s="20" t="inlineStr">
        <is>
          <t>family_verified_leaf_needs_production_lookup</t>
        </is>
      </c>
      <c r="M94" s="8" t="inlineStr">
        <is>
          <t>TZ ARS dům §3.2 — sokl XPS + cihelný obklad + DXF perimeter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</t>
        </is>
      </c>
      <c r="Q94" s="41" t="inlineStr">
        <is>
          <t>URS_PHASE5B_FAMILY_VERIFIED</t>
        </is>
      </c>
    </row>
    <row r="95">
      <c r="A95" s="20" t="n">
        <v>94</v>
      </c>
      <c r="B95" s="8" t="inlineStr">
        <is>
          <t>HSV-7 Fasáda ETICS</t>
        </is>
      </c>
      <c r="C95" s="8" t="inlineStr">
        <is>
          <t>Špalety EPS</t>
        </is>
      </c>
      <c r="D95" s="20" t="inlineStr">
        <is>
          <t>622221221</t>
        </is>
      </c>
      <c r="E95" s="8" t="inlineStr">
        <is>
          <t>Špalety oken — EPS přesah 35-40 mm + síťka + omítka</t>
        </is>
      </c>
      <c r="F95" s="20" t="inlineStr">
        <is>
          <t>bm</t>
        </is>
      </c>
      <c r="G95" s="22" t="n">
        <v>82.2</v>
      </c>
      <c r="H95" s="10" t="n"/>
      <c r="I95" s="10" t="n"/>
      <c r="J95" s="8" t="inlineStr">
        <is>
          <t>fasadnik_etics</t>
        </is>
      </c>
      <c r="K95" s="24" t="n">
        <v>0.99</v>
      </c>
      <c r="L95" s="20" t="inlineStr">
        <is>
          <t>needs_production_lookup</t>
        </is>
      </c>
      <c r="M95" s="8" t="inlineStr">
        <is>
          <t>DXF okna per typ bbox + TZ ARS §3.2 EPS přesah na špaletách 35-40 mm</t>
        </is>
      </c>
      <c r="N95" s="20" t="inlineStr">
        <is>
          <t>#5</t>
        </is>
      </c>
      <c r="O95" s="26" t="inlineStr">
        <is>
          <t>ANO</t>
        </is>
      </c>
      <c r="P95" s="41" t="inlineStr">
        <is>
          <t>S01, S12a</t>
        </is>
      </c>
      <c r="Q95" s="41" t="n"/>
    </row>
    <row r="96">
      <c r="A96" s="20" t="n">
        <v>95</v>
      </c>
      <c r="B96" s="8" t="inlineStr">
        <is>
          <t>HSV-7 Fasáda ETICS</t>
        </is>
      </c>
      <c r="C96" s="8" t="inlineStr">
        <is>
          <t>Profilace fasády</t>
        </is>
      </c>
      <c r="D96" s="20" t="inlineStr">
        <is>
          <t>622221221</t>
        </is>
      </c>
      <c r="E96" s="8" t="inlineStr">
        <is>
          <t>Profilace fasády — různé tloušťky EPS (kordony, šambrány, rámování oken) — paušál podle pohledů</t>
        </is>
      </c>
      <c r="F96" s="20" t="inlineStr">
        <is>
          <t>soubor</t>
        </is>
      </c>
      <c r="G96" s="23" t="n">
        <v>1</v>
      </c>
      <c r="H96" s="10" t="n"/>
      <c r="I96" s="10" t="n"/>
      <c r="J96" s="8" t="inlineStr">
        <is>
          <t>fasadnik_etics</t>
        </is>
      </c>
      <c r="K96" s="24" t="n">
        <v>0.99</v>
      </c>
      <c r="L96" s="20" t="inlineStr">
        <is>
          <t>needs_production_lookup</t>
        </is>
      </c>
      <c r="M96" s="8" t="inlineStr">
        <is>
          <t>TZ ARS dům §3.2 — profilace různými tl. EPS</t>
        </is>
      </c>
      <c r="N96" s="20" t="inlineStr">
        <is>
          <t>—</t>
        </is>
      </c>
      <c r="O96" s="26" t="inlineStr">
        <is>
          <t>ANO</t>
        </is>
      </c>
      <c r="P96" s="41" t="inlineStr">
        <is>
          <t>S01, S12a</t>
        </is>
      </c>
      <c r="Q96" s="41" t="n"/>
    </row>
    <row r="97">
      <c r="A97" s="20" t="n">
        <v>96</v>
      </c>
      <c r="B97" s="8" t="inlineStr">
        <is>
          <t>HSV-7 Fasáda ETICS</t>
        </is>
      </c>
      <c r="C97" s="8" t="inlineStr">
        <is>
          <t>Tenkovrstvá omítka pastovitá</t>
        </is>
      </c>
      <c r="D97" s="20" t="inlineStr">
        <is>
          <t>622521111</t>
        </is>
      </c>
      <c r="E97" s="8" t="inlineStr">
        <is>
          <t>Tenkovrstvá pastovitá probarvená omítka, lomená bílá NCS NZÚ — finální vrstva ETICS</t>
        </is>
      </c>
      <c r="F97" s="20" t="inlineStr">
        <is>
          <t>m²</t>
        </is>
      </c>
      <c r="G97" s="22" t="n">
        <v>290.2</v>
      </c>
      <c r="H97" s="10" t="n"/>
      <c r="I97" s="10" t="n"/>
      <c r="J97" s="8" t="inlineStr">
        <is>
          <t>fasadnik_etics</t>
        </is>
      </c>
      <c r="K97" s="24" t="n">
        <v>0.9</v>
      </c>
      <c r="L97" s="20" t="inlineStr">
        <is>
          <t>family_verified_leaf_needs_production_lookup</t>
        </is>
      </c>
      <c r="M97" s="8" t="inlineStr">
        <is>
          <t>TZ ARS dům §3.2 — pastovitá probarvená lomená bílá + DXF perimeter</t>
        </is>
      </c>
      <c r="N97" s="20" t="inlineStr">
        <is>
          <t>—</t>
        </is>
      </c>
      <c r="O97" s="26" t="inlineStr">
        <is>
          <t>ANO</t>
        </is>
      </c>
      <c r="P97" s="41" t="inlineStr">
        <is>
          <t>S01, S12a, S12b</t>
        </is>
      </c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pod ŽB deskou 1.NP</t>
        </is>
      </c>
      <c r="D98" s="20" t="inlineStr">
        <is>
          <t>712311101</t>
        </is>
      </c>
      <c r="E98" s="8" t="inlineStr">
        <is>
          <t>Hydroizolace pod ŽB deskou 1.NP — modifikované asfaltové pásy SBS 2× (zároveň protiradonová bariéra)</t>
        </is>
      </c>
      <c r="F98" s="20" t="inlineStr">
        <is>
          <t>m²</t>
        </is>
      </c>
      <c r="G98" s="22" t="n">
        <v>80.40000000000001</v>
      </c>
      <c r="H98" s="10" t="n"/>
      <c r="I98" s="10" t="n"/>
      <c r="J98" s="8" t="inlineStr">
        <is>
          <t>izolater_HI</t>
        </is>
      </c>
      <c r="K98" s="24" t="n">
        <v>0.75</v>
      </c>
      <c r="L98" s="20" t="inlineStr">
        <is>
          <t>family_verified_leaf_needs_production_lookup</t>
        </is>
      </c>
      <c r="M98" s="8" t="inlineStr">
        <is>
          <t>TZ ARS dům §4 + statika §5.5 — asfaltové pásy mod. proti radonu</t>
        </is>
      </c>
      <c r="N98" s="20" t="inlineStr">
        <is>
          <t>#3</t>
        </is>
      </c>
      <c r="O98" s="26" t="inlineStr">
        <is>
          <t>ANO</t>
        </is>
      </c>
      <c r="P98" s="41" t="n"/>
      <c r="Q98" s="41" t="inlineStr">
        <is>
          <t>URS_PHASE5B_FAMILY_VERIFIED; URS_PHASE5B_FAMILY_VERIFIED</t>
        </is>
      </c>
    </row>
    <row r="99">
      <c r="A99" s="20" t="n">
        <v>98</v>
      </c>
      <c r="B99" s="8" t="inlineStr">
        <is>
          <t>PSV-71 Izolace HI</t>
        </is>
      </c>
      <c r="C99" s="8" t="inlineStr">
        <is>
          <t>Odvětrání radonu z podloží</t>
        </is>
      </c>
      <c r="D99" s="20" t="inlineStr">
        <is>
          <t>712381111</t>
        </is>
      </c>
      <c r="E99" s="8" t="inlineStr">
        <is>
          <t>Odvětrání radonu z podloží — perforované DN50 trubky v štěrkovém loži + výdech nad střechu</t>
        </is>
      </c>
      <c r="F99" s="20" t="inlineStr">
        <is>
          <t>bm</t>
        </is>
      </c>
      <c r="G99" s="22" t="n">
        <v>12</v>
      </c>
      <c r="H99" s="10" t="n"/>
      <c r="I99" s="10" t="n"/>
      <c r="J99" s="8" t="inlineStr">
        <is>
          <t>izolater_HI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statika §5.5 'ochrana proti radonu — modifikované asf. pásy + odvětrání'</t>
        </is>
      </c>
      <c r="N99" s="20" t="inlineStr">
        <is>
          <t>—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HI</t>
        </is>
      </c>
      <c r="C100" s="8" t="inlineStr">
        <is>
          <t>HI koupelny 1.NP + 2.NP + 3.NP</t>
        </is>
      </c>
      <c r="D100" s="27" t="inlineStr">
        <is>
          <t>711??? ?</t>
        </is>
      </c>
      <c r="E100" s="8" t="inlineStr">
        <is>
          <t>Hydroizolační stěrka koupelen 3 ks — podlaha + sokl 200 mm + sprchový kout výška 2.0 m</t>
        </is>
      </c>
      <c r="F100" s="20" t="inlineStr">
        <is>
          <t>m²</t>
        </is>
      </c>
      <c r="G100" s="22" t="n">
        <v>40.5</v>
      </c>
      <c r="H100" s="10" t="n"/>
      <c r="I100" s="10" t="n"/>
      <c r="J100" s="8" t="inlineStr">
        <is>
          <t>izolater_HI</t>
        </is>
      </c>
      <c r="K100" s="24" t="n">
        <v>0.95</v>
      </c>
      <c r="L100" s="20" t="inlineStr">
        <is>
          <t>family_verified_leaf_needs_production_lookup</t>
        </is>
      </c>
      <c r="M100" s="8" t="inlineStr">
        <is>
          <t>DXF dum_DPZ MTEXT labels: 3× koupelna; TZ ARS — HI vana koupelny</t>
        </is>
      </c>
      <c r="N100" s="20" t="inlineStr">
        <is>
          <t>#4</t>
        </is>
      </c>
      <c r="O100" s="26" t="inlineStr">
        <is>
          <t>ANO</t>
        </is>
      </c>
      <c r="P100" s="41" t="n"/>
      <c r="Q100" s="41" t="inlineStr">
        <is>
          <t>URS_PHASE5B_FAMILY_VERIFIED</t>
        </is>
      </c>
    </row>
    <row r="101">
      <c r="A101" s="20" t="n">
        <v>100</v>
      </c>
      <c r="B101" s="8" t="inlineStr">
        <is>
          <t>PSV-71 Izolace TI</t>
        </is>
      </c>
      <c r="C101" s="8" t="inlineStr">
        <is>
          <t>Podlahový EPS 150</t>
        </is>
      </c>
      <c r="D101" s="27" t="inlineStr">
        <is>
          <t>713121??? ?</t>
        </is>
      </c>
      <c r="E101" s="8" t="inlineStr">
        <is>
          <t>Podlahový EPS 150 λ=0.035 tl. 120 mm — pod betonový potěr 1.NP a 3.NP</t>
        </is>
      </c>
      <c r="F101" s="20" t="inlineStr">
        <is>
          <t>m²</t>
        </is>
      </c>
      <c r="G101" s="22" t="n">
        <v>177.5</v>
      </c>
      <c r="H101" s="10" t="n"/>
      <c r="I101" s="10" t="n"/>
      <c r="J101" s="8" t="inlineStr">
        <is>
          <t>izolater_TI</t>
        </is>
      </c>
      <c r="K101" s="24" t="n">
        <v>0.75</v>
      </c>
      <c r="L101" s="20" t="inlineStr">
        <is>
          <t>family_verified_leaf_needs_production_lookup</t>
        </is>
      </c>
      <c r="M101" s="8" t="inlineStr">
        <is>
          <t>TZ ARS dům §4 — EPS 150 λ=0.035 tl. 120 mm</t>
        </is>
      </c>
      <c r="N101" s="20" t="inlineStr">
        <is>
          <t>#4</t>
        </is>
      </c>
      <c r="O101" s="26" t="inlineStr">
        <is>
          <t>ANO</t>
        </is>
      </c>
      <c r="P101" s="41" t="n"/>
      <c r="Q101" s="41" t="inlineStr">
        <is>
          <t>URS_PHASE5B_FAMILY_VERIFIED</t>
        </is>
      </c>
    </row>
    <row r="102">
      <c r="A102" s="20" t="n">
        <v>101</v>
      </c>
      <c r="B102" s="8" t="inlineStr">
        <is>
          <t>PSV-71 Izolace TI</t>
        </is>
      </c>
      <c r="C102" s="8" t="inlineStr">
        <is>
          <t>Kročejová EPS nad ocelobeton</t>
        </is>
      </c>
      <c r="D102" s="27" t="inlineStr">
        <is>
          <t>713121??? ?</t>
        </is>
      </c>
      <c r="E102" s="8" t="inlineStr">
        <is>
          <t>Kročejová EPS 150 / 30 dB tl. 40 mm nad ocelobetonovým stropem 2.NP/3.NP</t>
        </is>
      </c>
      <c r="F102" s="20" t="inlineStr">
        <is>
          <t>m²</t>
        </is>
      </c>
      <c r="G102" s="22" t="n">
        <v>104.4</v>
      </c>
      <c r="H102" s="10" t="n"/>
      <c r="I102" s="10" t="n"/>
      <c r="J102" s="8" t="inlineStr">
        <is>
          <t>izolater_TI</t>
        </is>
      </c>
      <c r="K102" s="24" t="n">
        <v>0.85</v>
      </c>
      <c r="L102" s="20" t="inlineStr">
        <is>
          <t>family_verified_leaf_needs_production_lookup</t>
        </is>
      </c>
      <c r="M102" s="8" t="inlineStr">
        <is>
          <t>TZ ARS dům §4 — kročejová EPS shora ocelobeton</t>
        </is>
      </c>
      <c r="N102" s="20" t="inlineStr">
        <is>
          <t>—</t>
        </is>
      </c>
      <c r="O102" s="26" t="inlineStr">
        <is>
          <t>ANO</t>
        </is>
      </c>
      <c r="P102" s="41" t="inlineStr">
        <is>
          <t>S09</t>
        </is>
      </c>
      <c r="Q102" s="41" t="inlineStr">
        <is>
          <t>D2_KROCEJOVA_30_to_40_2026-06-01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Oplechování krytiny</t>
        </is>
      </c>
      <c r="D103" s="20" t="inlineStr">
        <is>
          <t>764312235</t>
        </is>
      </c>
      <c r="E103" s="8" t="inlineStr">
        <is>
          <t>Klempířské oplechování krytiny — úžlabí, hřeben, štítové lemy (Al / Pzn lakovaný 0.55 mm)</t>
        </is>
      </c>
      <c r="F103" s="20" t="inlineStr">
        <is>
          <t>bm</t>
        </is>
      </c>
      <c r="G103" s="22" t="n">
        <v>69.5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MA_klempíř (75.4 m) + SM__ klempířina (98.4 m) total = 173.8 m × 0.40 split heuristic — Path C Tier 3</t>
        </is>
      </c>
      <c r="N103" s="20" t="inlineStr">
        <is>
          <t>#5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Venkovní parapety oken</t>
        </is>
      </c>
      <c r="D104" s="20" t="inlineStr">
        <is>
          <t>764218201</t>
        </is>
      </c>
      <c r="E104" s="8" t="inlineStr">
        <is>
          <t>Venkovní parapety oken — Pzn plech lakovaný 250 mm × tl. 0.55 mm × 16 ks oken</t>
        </is>
      </c>
      <c r="F104" s="20" t="inlineStr">
        <is>
          <t>bm</t>
        </is>
      </c>
      <c r="G104" s="22" t="n">
        <v>20.8</v>
      </c>
      <c r="H104" s="10" t="n"/>
      <c r="I104" s="10" t="n"/>
      <c r="J104" s="8" t="inlineStr">
        <is>
          <t>klempir</t>
        </is>
      </c>
      <c r="K104" s="24" t="n">
        <v>0.95</v>
      </c>
      <c r="L104" s="20" t="inlineStr">
        <is>
          <t>family_verified_leaf_needs_production_lookup</t>
        </is>
      </c>
      <c r="M104" s="8" t="inlineStr">
        <is>
          <t>DXF okna 16 ks INSERT blocks + standard parapet width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Klempíř</t>
        </is>
      </c>
      <c r="C105" s="8" t="inlineStr">
        <is>
          <t>Dešťové svody + žlaby</t>
        </is>
      </c>
      <c r="D105" s="20" t="inlineStr">
        <is>
          <t>764454802</t>
        </is>
      </c>
      <c r="E105" s="8" t="inlineStr">
        <is>
          <t>Dešťové svody Pzn 100 mm + žlaby — 4 svody × ~14 m + žlaby per obvod střechy</t>
        </is>
      </c>
      <c r="F105" s="20" t="inlineStr">
        <is>
          <t>bm</t>
        </is>
      </c>
      <c r="G105" s="22" t="n">
        <v>43.5</v>
      </c>
      <c r="H105" s="10" t="n"/>
      <c r="I105" s="10" t="n"/>
      <c r="J105" s="8" t="inlineStr">
        <is>
          <t>klempir</t>
        </is>
      </c>
      <c r="K105" s="24" t="n">
        <v>0.9</v>
      </c>
      <c r="L105" s="20" t="inlineStr">
        <is>
          <t>family_verified_leaf_needs_production_lookup</t>
        </is>
      </c>
      <c r="M105" s="8" t="inlineStr">
        <is>
          <t>DXF klempířina lengths split + TZ ARS dešťové svody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URS_PHASE5B_FAMILY_VERIFIED_CHAPTER_MATCH</t>
        </is>
      </c>
      <c r="R105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6">
      <c r="A106" s="20" t="n">
        <v>105</v>
      </c>
      <c r="B106" s="8" t="inlineStr">
        <is>
          <t>PSV-76 Klempíř</t>
        </is>
      </c>
      <c r="C106" s="8" t="inlineStr">
        <is>
          <t>Vikýře + atika + závětrné lemy</t>
        </is>
      </c>
      <c r="D106" s="20" t="inlineStr">
        <is>
          <t>764315235</t>
        </is>
      </c>
      <c r="E106" s="8" t="inlineStr">
        <is>
          <t>Klempířské doplňky vikýřů + atika + závětrné lemy (4 vikýře komplexní detail)</t>
        </is>
      </c>
      <c r="F106" s="20" t="inlineStr">
        <is>
          <t>bm</t>
        </is>
      </c>
      <c r="G106" s="22" t="n">
        <v>26.1</v>
      </c>
      <c r="H106" s="10" t="n"/>
      <c r="I106" s="10" t="n"/>
      <c r="J106" s="8" t="inlineStr">
        <is>
          <t>klempir</t>
        </is>
      </c>
      <c r="K106" s="24" t="n">
        <v>0.9</v>
      </c>
      <c r="L106" s="20" t="inlineStr">
        <is>
          <t>family_verified_leaf_needs_production_lookup</t>
        </is>
      </c>
      <c r="M106" s="8" t="inlineStr">
        <is>
          <t>DXF klempířina geometry split + TZ ARS 4 vikýře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URS_PHASE5B_FAMILY_VERIFIED_CHAPTER_MATCH</t>
        </is>
      </c>
      <c r="R106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7">
      <c r="A107" s="20" t="n">
        <v>106</v>
      </c>
      <c r="B107" s="8" t="inlineStr">
        <is>
          <t>PSV-76 Truhlář</t>
        </is>
      </c>
      <c r="C107" s="8" t="inlineStr">
        <is>
          <t>Dřevěné stupně schodišť</t>
        </is>
      </c>
      <c r="D107" s="20" t="inlineStr">
        <is>
          <t>766811111</t>
        </is>
      </c>
      <c r="E107" s="8" t="inlineStr">
        <is>
          <t>Dřevěné stupně ocelových schodišť (truhlářské, dub masiv tl. 40 mm)</t>
        </is>
      </c>
      <c r="F107" s="20" t="inlineStr">
        <is>
          <t>ks</t>
        </is>
      </c>
      <c r="G107" s="23" t="n">
        <v>16</v>
      </c>
      <c r="H107" s="10" t="n"/>
      <c r="I107" s="10" t="n"/>
      <c r="J107" s="8" t="inlineStr">
        <is>
          <t>truhlar</t>
        </is>
      </c>
      <c r="K107" s="24" t="n">
        <v>0.75</v>
      </c>
      <c r="L107" s="20" t="inlineStr">
        <is>
          <t>needs_production_lookup</t>
        </is>
      </c>
      <c r="M107" s="8" t="inlineStr">
        <is>
          <t>TZ ARS dům §4 — ocelové schodiště s dřevěnými stupni truhlářské</t>
        </is>
      </c>
      <c r="N107" s="20" t="inlineStr">
        <is>
          <t>—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Truhlář</t>
        </is>
      </c>
      <c r="C108" s="8" t="inlineStr">
        <is>
          <t>Terasa garapa za opěrnou stěnou — dřevěná pochozí vrstva</t>
        </is>
      </c>
      <c r="D108" s="27" t="inlineStr">
        <is>
          <t>762??? ?</t>
        </is>
      </c>
      <c r="E108" s="8" t="inlineStr">
        <is>
          <t>Dřevěná terasa za opěrnou stěnou — prkna garapa 145×25 mm na dřevěném roštu z hranolů 50 mm na rektifikovatelných terčích (terče + podkladní skladba viz HSV1.005)</t>
        </is>
      </c>
      <c r="F108" s="20" t="inlineStr">
        <is>
          <t>m²</t>
        </is>
      </c>
      <c r="G108" s="22" t="n">
        <v>9.23</v>
      </c>
      <c r="H108" s="10" t="n"/>
      <c r="I108" s="10" t="n"/>
      <c r="J108" s="8" t="inlineStr">
        <is>
          <t>truhlar</t>
        </is>
      </c>
      <c r="K108" s="24" t="n">
        <v>0.95</v>
      </c>
      <c r="L108" s="20" t="inlineStr">
        <is>
          <t>family_762_leaf_lookup_required</t>
        </is>
      </c>
      <c r="M108" s="8" t="inlineStr">
        <is>
          <t>TZ ARS dům §4 + DXF dum_situace PLOT_DREVENY_04 (terasa, ne 3.NP); ŘEZ C-C potvrzuje dřevěný rošt z hranolů (NE hliníkový) + dřevěnou pochozí vrstvu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REZ_CC_TERASA_FIX_2026-05-29; SITUACE_AREA_FIX_2026-05-29</t>
        </is>
      </c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1.NP' (ulice)</t>
        </is>
      </c>
      <c r="D109" s="20" t="inlineStr">
        <is>
          <t>766621011</t>
        </is>
      </c>
      <c r="E109" s="8" t="inlineStr">
        <is>
          <t>Plastové okno izolačním trojsklem Uw=0.85 W/m²K — typ 'okno 1.NP' velikost 1185×1600 mm × 2 ks (fasáda ulice)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family_verified_leaf_needs_production_lookup</t>
        </is>
      </c>
      <c r="M109" s="8" t="inlineStr">
        <is>
          <t>DXF dum_DPZ INSERT block 'okno 1.NP'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1.NP vzadu' (zahrada)</t>
        </is>
      </c>
      <c r="D110" s="20" t="inlineStr">
        <is>
          <t>766621011</t>
        </is>
      </c>
      <c r="E110" s="8" t="inlineStr">
        <is>
          <t>Plastové okno izolačním trojsklem Uw=0.85 W/m²K — typ 'okno 1.NP vzadu' velikost 920×1600 mm × 3 ks (fasáda zahrada)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1.NP vzadu'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2.NP' (ulice)</t>
        </is>
      </c>
      <c r="D111" s="20" t="inlineStr">
        <is>
          <t>766621011</t>
        </is>
      </c>
      <c r="E111" s="8" t="inlineStr">
        <is>
          <t>Plastové okno izolačním trojsklem Uw=0.85 W/m²K — typ 'okno 2.NP' velikost 1160×1480 mm × 4 ks (fasáda ulice)</t>
        </is>
      </c>
      <c r="F111" s="20" t="inlineStr">
        <is>
          <t>ks</t>
        </is>
      </c>
      <c r="G111" s="23" t="n">
        <v>4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2.NP'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3.NP' (ulice)</t>
        </is>
      </c>
      <c r="D112" s="20" t="inlineStr">
        <is>
          <t>766621011</t>
        </is>
      </c>
      <c r="E112" s="8" t="inlineStr">
        <is>
          <t>Plastové okno izolačním trojsklem Uw=0.85 W/m²K — typ 'okno 3.NP' velikost 1785×1241 mm × 3 ks (fasáda ulice)</t>
        </is>
      </c>
      <c r="F112" s="20" t="inlineStr">
        <is>
          <t>ks</t>
        </is>
      </c>
      <c r="G112" s="23" t="n">
        <v>3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3.NP'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3.NP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3.NP vzadu' velikost 2075×1241 mm × 1 ks (fasáda zahrada)</t>
        </is>
      </c>
      <c r="F113" s="20" t="inlineStr">
        <is>
          <t>ks</t>
        </is>
      </c>
      <c r="G113" s="23" t="n">
        <v>1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3.NP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Plastové okno trojsklo — 'okno male 3.NP vzadu' (zahrada)</t>
        </is>
      </c>
      <c r="D114" s="20" t="inlineStr">
        <is>
          <t>766621011</t>
        </is>
      </c>
      <c r="E114" s="8" t="inlineStr">
        <is>
          <t>Plastové okno izolačním trojsklem Uw=0.85 W/m²K — typ 'okno male 3.NP vzadu' velikost 800×1241 mm × 1 ks (fasáda zahrada)</t>
        </is>
      </c>
      <c r="F114" s="20" t="inlineStr">
        <is>
          <t>ks</t>
        </is>
      </c>
      <c r="G114" s="23" t="n">
        <v>1</v>
      </c>
      <c r="H114" s="10" t="n"/>
      <c r="I114" s="10" t="n"/>
      <c r="J114" s="8" t="inlineStr">
        <is>
          <t>okennar</t>
        </is>
      </c>
      <c r="K114" s="24" t="n">
        <v>0.99</v>
      </c>
      <c r="L114" s="20" t="inlineStr">
        <is>
          <t>needs_production_lookup</t>
        </is>
      </c>
      <c r="M114" s="8" t="inlineStr">
        <is>
          <t>DXF dum_DPZ INSERT block 'okno male 3.NP vzadu' bbox z block definition + TZ ARS Uw=0.85 W/m²K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Plastové okno trojsklo — 'okno malé vzadu' (zahrada)</t>
        </is>
      </c>
      <c r="D115" s="20" t="inlineStr">
        <is>
          <t>766621011</t>
        </is>
      </c>
      <c r="E115" s="8" t="inlineStr">
        <is>
          <t>Plastové okno izolačním trojsklem Uw=0.85 W/m²K — typ 'okno malé vzadu' velikost 700×800 mm × 2 ks (fasáda zahrada)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0.99</v>
      </c>
      <c r="L115" s="20" t="inlineStr">
        <is>
          <t>needs_production_lookup</t>
        </is>
      </c>
      <c r="M115" s="8" t="inlineStr">
        <is>
          <t>DXF dum_DPZ INSERT block 'okno malé vzadu' bbox z block definition + TZ ARS Uw=0.85 W/m²K</t>
        </is>
      </c>
      <c r="N115" s="20" t="inlineStr">
        <is>
          <t>#5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Žaluzie kastlík purenit</t>
        </is>
      </c>
      <c r="D116" s="20" t="inlineStr">
        <is>
          <t>766631211</t>
        </is>
      </c>
      <c r="E116" s="8" t="inlineStr">
        <is>
          <t>Integrované stínící venkovní žaluzie v kastlíku pod omítkou s purenitovou izolací — uliční fasáda Fibichova (9 ks)</t>
        </is>
      </c>
      <c r="F116" s="20" t="inlineStr">
        <is>
          <t>ks</t>
        </is>
      </c>
      <c r="G116" s="23" t="n">
        <v>9</v>
      </c>
      <c r="H116" s="10" t="n"/>
      <c r="I116" s="10" t="n"/>
      <c r="J116" s="8" t="inlineStr">
        <is>
          <t>okenni_zaluzie_kastlik_purenit</t>
        </is>
      </c>
      <c r="K116" s="24" t="n">
        <v>0.95</v>
      </c>
      <c r="L116" s="20" t="inlineStr">
        <is>
          <t>needs_production_lookup</t>
        </is>
      </c>
      <c r="M116" s="8" t="inlineStr">
        <is>
          <t>TZ ARS dům §3.2 — 'do ulice Fibichova s integrovanými stínícími žaluziemi v kastlíku pod omítkou s purenitovou izolací'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Vstupní plastové dveře</t>
        </is>
      </c>
      <c r="D117" s="20" t="inlineStr">
        <is>
          <t>766682111</t>
        </is>
      </c>
      <c r="E117" s="8" t="inlineStr">
        <is>
          <t>Plastové vstupní dveře (ulice + zahrada) — 2 ks</t>
        </is>
      </c>
      <c r="F117" s="20" t="inlineStr">
        <is>
          <t>ks</t>
        </is>
      </c>
      <c r="G117" s="23" t="n">
        <v>2</v>
      </c>
      <c r="H117" s="10" t="n"/>
      <c r="I117" s="10" t="n"/>
      <c r="J117" s="8" t="inlineStr">
        <is>
          <t>okennar</t>
        </is>
      </c>
      <c r="K117" s="24" t="n">
        <v>0.75</v>
      </c>
      <c r="L117" s="20" t="inlineStr">
        <is>
          <t>needs_production_lookup</t>
        </is>
      </c>
      <c r="M117" s="8" t="inlineStr">
        <is>
          <t>TZ ARS dům §4 — plastové vstupní dveře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PSV-76 Výplně otvorů</t>
        </is>
      </c>
      <c r="C118" s="8" t="inlineStr">
        <is>
          <t>Vnitřní dveře DTD laminované</t>
        </is>
      </c>
      <c r="D118" s="20" t="inlineStr">
        <is>
          <t>766660035</t>
        </is>
      </c>
      <c r="E118" s="8" t="inlineStr">
        <is>
          <t>Vnitřní dveře DTD laminované s obložkovou zárubní — odhad 15 ks</t>
        </is>
      </c>
      <c r="F118" s="20" t="inlineStr">
        <is>
          <t>ks</t>
        </is>
      </c>
      <c r="G118" s="23" t="n">
        <v>15</v>
      </c>
      <c r="H118" s="10" t="n"/>
      <c r="I118" s="10" t="n"/>
      <c r="J118" s="8" t="inlineStr">
        <is>
          <t>truhlar</t>
        </is>
      </c>
      <c r="K118" s="24" t="n">
        <v>0.75</v>
      </c>
      <c r="L118" s="20" t="inlineStr">
        <is>
          <t>needs_production_lookup</t>
        </is>
      </c>
      <c r="M118" s="8" t="inlineStr">
        <is>
          <t>TZ ARS dům §4 + DXF MTEXT room labels</t>
        </is>
      </c>
      <c r="N118" s="20" t="inlineStr">
        <is>
          <t>#5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PSV-76 Výplně otvorů</t>
        </is>
      </c>
      <c r="C119" s="8" t="inlineStr">
        <is>
          <t>Požárně odolné dveře EI 30 DP3</t>
        </is>
      </c>
      <c r="D119" s="20" t="inlineStr">
        <is>
          <t>766694112</t>
        </is>
      </c>
      <c r="E119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9" s="20" t="inlineStr">
        <is>
          <t>ks</t>
        </is>
      </c>
      <c r="G119" s="23" t="n">
        <v>1</v>
      </c>
      <c r="H119" s="10" t="n"/>
      <c r="I119" s="10" t="n"/>
      <c r="J119" s="8" t="inlineStr">
        <is>
          <t>specialista_RC3_dvere</t>
        </is>
      </c>
      <c r="K119" s="24" t="n">
        <v>0.9</v>
      </c>
      <c r="L119" s="20" t="inlineStr">
        <is>
          <t>needs_production_lookup</t>
        </is>
      </c>
      <c r="M119" s="8" t="inlineStr">
        <is>
          <t>PBŘ TUSPO § Požární uzávěry otvorů 'podzemní 30DP1'; DXF schodiště 1.PP→1.NP</t>
        </is>
      </c>
      <c r="N119" s="20" t="inlineStr">
        <is>
          <t>—</t>
        </is>
      </c>
      <c r="O119" s="26" t="inlineStr">
        <is>
          <t>ANO</t>
        </is>
      </c>
      <c r="P119" s="41" t="n"/>
      <c r="Q119" s="41" t="inlineStr">
        <is>
          <t>GAP_008</t>
        </is>
      </c>
    </row>
    <row r="120">
      <c r="A120" s="20" t="n">
        <v>119</v>
      </c>
      <c r="B120" s="8" t="inlineStr">
        <is>
          <t>PSV-76 Výplně otvorů</t>
        </is>
      </c>
      <c r="C120" s="8" t="inlineStr">
        <is>
          <t>Oplechování venkovních parapetů Pzn — 16 ks</t>
        </is>
      </c>
      <c r="D120" s="20" t="inlineStr">
        <is>
          <t>764811112</t>
        </is>
      </c>
      <c r="E120" s="8" t="inlineStr">
        <is>
          <t>Oplechování venkovních parapetů Pzn plech lakovaný 250 mm × tl. 0.55 mm, vč. okapnice + boční zakončení — 16 ks (per DXF INSERT okno × 16)</t>
        </is>
      </c>
      <c r="F120" s="20" t="inlineStr">
        <is>
          <t>ks</t>
        </is>
      </c>
      <c r="G120" s="23" t="n">
        <v>16</v>
      </c>
      <c r="H120" s="10" t="n"/>
      <c r="I120" s="10" t="n"/>
      <c r="J120" s="8" t="inlineStr">
        <is>
          <t>klempir</t>
        </is>
      </c>
      <c r="K120" s="24" t="n">
        <v>0.95</v>
      </c>
      <c r="L120" s="20" t="inlineStr">
        <is>
          <t>needs_production_lookup</t>
        </is>
      </c>
      <c r="M120" s="8" t="inlineStr">
        <is>
          <t>DXF blocks okno* 16 ks + DXF klempir_parapet 16 ks (Path C Tier 4 INSERT discovery)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GAP_004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Ocelové schodiště UPE200 ze zahrady</t>
        </is>
      </c>
      <c r="D121" s="20" t="inlineStr">
        <is>
          <t>767531111</t>
        </is>
      </c>
      <c r="E121" s="8" t="inlineStr">
        <is>
          <t>Ocelové schodiště ze zahrady na mezipodestu — UPE200 schodnice + dřevěné nášlapy, kotvené do koruny opěrné stěny a zdiva (TZ statika §4)</t>
        </is>
      </c>
      <c r="F121" s="20" t="inlineStr">
        <is>
          <t>kpl</t>
        </is>
      </c>
      <c r="G121" s="23" t="n">
        <v>1</v>
      </c>
      <c r="H121" s="10" t="n"/>
      <c r="I121" s="10" t="n"/>
      <c r="J121" s="8" t="inlineStr">
        <is>
          <t>zamecnik_PSV</t>
        </is>
      </c>
      <c r="K121" s="24" t="n">
        <v>0.85</v>
      </c>
      <c r="L121" s="20" t="inlineStr">
        <is>
          <t>family_verified_leaf_needs_production_lookup</t>
        </is>
      </c>
      <c r="M121" s="8" t="inlineStr">
        <is>
          <t>TZ statika dům §4 — schodiště UPE200 + UPE100 podružné prvky</t>
        </is>
      </c>
      <c r="N121" s="20" t="inlineStr">
        <is>
          <t>#5</t>
        </is>
      </c>
      <c r="O121" s="26" t="inlineStr">
        <is>
          <t>ANO</t>
        </is>
      </c>
      <c r="P121" s="41" t="n"/>
      <c r="Q121" s="41" t="inlineStr">
        <is>
          <t>URS_PHASE5B_FAMILY_VERIFIED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Ocelové schodiště do spacího patra 3.NP</t>
        </is>
      </c>
      <c r="D122" s="20" t="inlineStr">
        <is>
          <t>767531111</t>
        </is>
      </c>
      <c r="E122" s="8" t="inlineStr">
        <is>
          <t>Interní ocelové schodiště do spacího patra v 3.NP s dřevěnými stupni (truhlářské)</t>
        </is>
      </c>
      <c r="F122" s="20" t="inlineStr">
        <is>
          <t>kpl</t>
        </is>
      </c>
      <c r="G122" s="23" t="n">
        <v>1</v>
      </c>
      <c r="H122" s="10" t="n"/>
      <c r="I122" s="10" t="n"/>
      <c r="J122" s="8" t="inlineStr">
        <is>
          <t>zamecnik_PSV</t>
        </is>
      </c>
      <c r="K122" s="24" t="n">
        <v>0.85</v>
      </c>
      <c r="L122" s="20" t="inlineStr">
        <is>
          <t>family_verified_leaf_needs_production_lookup</t>
        </is>
      </c>
      <c r="M122" s="8" t="inlineStr">
        <is>
          <t>TZ ARS dům §4 — ocelové schodiště s dřevěnými stupni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inlineStr">
        <is>
          <t>URS_PHASE5B_FAMILY_VERIFIED</t>
        </is>
      </c>
    </row>
    <row r="123">
      <c r="A123" s="20" t="n">
        <v>122</v>
      </c>
      <c r="B123" s="8" t="inlineStr">
        <is>
          <t>PSV-76 Zámečnictví</t>
        </is>
      </c>
      <c r="C123" s="8" t="inlineStr">
        <is>
          <t>Stříšky nad vstupy</t>
        </is>
      </c>
      <c r="D123" s="20" t="inlineStr">
        <is>
          <t>767532111</t>
        </is>
      </c>
      <c r="E123" s="8" t="inlineStr">
        <is>
          <t>Stříšky nad vstupy z ocelové konstrukce + Cetris desky + falcovaná krytina — 2 ks (ulice + zahrada)</t>
        </is>
      </c>
      <c r="F123" s="20" t="inlineStr">
        <is>
          <t>ks</t>
        </is>
      </c>
      <c r="G123" s="23" t="n">
        <v>2</v>
      </c>
      <c r="H123" s="10" t="n"/>
      <c r="I123" s="10" t="n"/>
      <c r="J123" s="8" t="inlineStr">
        <is>
          <t>zamecnik_PSV</t>
        </is>
      </c>
      <c r="K123" s="24" t="n">
        <v>0.75</v>
      </c>
      <c r="L123" s="20" t="inlineStr">
        <is>
          <t>needs_production_lookup</t>
        </is>
      </c>
      <c r="M123" s="8" t="inlineStr">
        <is>
          <t>TZ ARS dům §4 — stříšky nad vstupy ocel+Cetris+plech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PSV-76 Zámečnictví</t>
        </is>
      </c>
      <c r="C124" s="8" t="inlineStr">
        <is>
          <t>Zábradlí z jeklů + nerez výplň</t>
        </is>
      </c>
      <c r="D124" s="20" t="inlineStr">
        <is>
          <t>767163115</t>
        </is>
      </c>
      <c r="E124" s="8" t="inlineStr">
        <is>
          <t>Ocelové zábradlí svařované z jeklů + nerez výplň pZn antracit — schodiště interier + venkovní terasa</t>
        </is>
      </c>
      <c r="F124" s="20" t="inlineStr">
        <is>
          <t>bm</t>
        </is>
      </c>
      <c r="G124" s="22" t="n">
        <v>18</v>
      </c>
      <c r="H124" s="10" t="n"/>
      <c r="I124" s="10" t="n"/>
      <c r="J124" s="8" t="inlineStr">
        <is>
          <t>zamecnik_PSV</t>
        </is>
      </c>
      <c r="K124" s="24" t="n">
        <v>0.75</v>
      </c>
      <c r="L124" s="20" t="inlineStr">
        <is>
          <t>needs_production_lookup</t>
        </is>
      </c>
      <c r="M124" s="8" t="inlineStr">
        <is>
          <t>TZ ARS dům §4 — zábradlí svařované z jeklů + nerez výplň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vinyl obytné místnosti</t>
        </is>
      </c>
      <c r="D125" s="20" t="inlineStr">
        <is>
          <t>776511820</t>
        </is>
      </c>
      <c r="E125" s="8" t="inlineStr">
        <is>
          <t>Nášlapná vrstva vinyl tl. 4 mm na suchou skladbu — obytné místnosti (ložnice, obývák, kuchyně, chodby)</t>
        </is>
      </c>
      <c r="F125" s="20" t="inlineStr">
        <is>
          <t>m²</t>
        </is>
      </c>
      <c r="G125" s="22" t="n">
        <v>171.5</v>
      </c>
      <c r="H125" s="10" t="n"/>
      <c r="I125" s="10" t="n"/>
      <c r="J125" s="8" t="inlineStr">
        <is>
          <t>podlahar</t>
        </is>
      </c>
      <c r="K125" s="24" t="n">
        <v>0.95</v>
      </c>
      <c r="L125" s="20" t="inlineStr">
        <is>
          <t>family_verified_leaf_needs_production_lookup</t>
        </is>
      </c>
      <c r="M125" s="8" t="inlineStr">
        <is>
          <t>DXF km_tabulka místností MTEXT (návrh) — rooms classified per name (kuchyně/obytná/chodba = vinyl) + TZ ARS §3.2.4 nášlapná vrstva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inlineStr">
        <is>
          <t>URS_PHASE5B_FAMILY_VERIFIED</t>
        </is>
      </c>
    </row>
    <row r="126">
      <c r="A126" s="20" t="n">
        <v>125</v>
      </c>
      <c r="B126" s="8" t="inlineStr">
        <is>
          <t>PSV-77 Podlahy</t>
        </is>
      </c>
      <c r="C126" s="8" t="inlineStr">
        <is>
          <t>Nášlap keramická dlažba — mokré zóny</t>
        </is>
      </c>
      <c r="D126" s="20" t="inlineStr">
        <is>
          <t>771274102</t>
        </is>
      </c>
      <c r="E126" s="8" t="inlineStr">
        <is>
          <t>Nášlapná vrstva keramická dlažba lepená — koupelny + WC + spíž + komora (NÁDRŽ NP)</t>
        </is>
      </c>
      <c r="F126" s="20" t="inlineStr">
        <is>
          <t>m²</t>
        </is>
      </c>
      <c r="G126" s="22" t="n">
        <v>13.5</v>
      </c>
      <c r="H126" s="10" t="n"/>
      <c r="I126" s="10" t="n"/>
      <c r="J126" s="8" t="inlineStr">
        <is>
          <t>obkladac</t>
        </is>
      </c>
      <c r="K126" s="24" t="n">
        <v>0.95</v>
      </c>
      <c r="L126" s="20" t="inlineStr">
        <is>
          <t>needs_production_lookup</t>
        </is>
      </c>
      <c r="M126" s="8" t="inlineStr">
        <is>
          <t>DXF km_tabulka místností MTEXT (návrh) — rooms classified per name (koupelna/WC/spíž = dlažba mokré) + TZ ARS skladba mokrá</t>
        </is>
      </c>
      <c r="N126" s="20" t="inlineStr">
        <is>
          <t>#4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Nášlap keramická dlažba — 1.PP sklep</t>
        </is>
      </c>
      <c r="D127" s="20" t="inlineStr">
        <is>
          <t>771274102</t>
        </is>
      </c>
      <c r="E127" s="8" t="inlineStr">
        <is>
          <t>Nášlapná vrstva keramická dlažba — 1.PP technické místnosti (sušárna + sklepy + schodiště + chodba)</t>
        </is>
      </c>
      <c r="F127" s="20" t="inlineStr">
        <is>
          <t>m²</t>
        </is>
      </c>
      <c r="G127" s="22" t="n">
        <v>32.4</v>
      </c>
      <c r="H127" s="10" t="n"/>
      <c r="I127" s="10" t="n"/>
      <c r="J127" s="8" t="inlineStr">
        <is>
          <t>obkladac</t>
        </is>
      </c>
      <c r="K127" s="24" t="n">
        <v>0.95</v>
      </c>
      <c r="L127" s="20" t="inlineStr">
        <is>
          <t>needs_production_lookup</t>
        </is>
      </c>
      <c r="M127" s="8" t="inlineStr">
        <is>
          <t>DXF km_tabulka místností MTEXT (návrh) — 1.PP all rooms = dlažba sklep zone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Nášlap biodeska 3.NP spací patro</t>
        </is>
      </c>
      <c r="D128" s="20" t="inlineStr">
        <is>
          <t>766411111</t>
        </is>
      </c>
      <c r="E128" s="8" t="inlineStr">
        <is>
          <t>Nášlapná vrstva biodeska (smrk masiv) nebo OSB v 3.NP spací části nad krovem</t>
        </is>
      </c>
      <c r="F128" s="20" t="inlineStr">
        <is>
          <t>m²</t>
        </is>
      </c>
      <c r="G128" s="22" t="n">
        <v>25</v>
      </c>
      <c r="H128" s="10" t="n"/>
      <c r="I128" s="10" t="n"/>
      <c r="J128" s="8" t="inlineStr">
        <is>
          <t>biodeska_konstrukcni</t>
        </is>
      </c>
      <c r="K128" s="24" t="n">
        <v>0.75</v>
      </c>
      <c r="L128" s="20" t="inlineStr">
        <is>
          <t>needs_production_lookup</t>
        </is>
      </c>
      <c r="M128" s="8" t="inlineStr">
        <is>
          <t>TZ ARS dům §3.2.3 — biodeska patro pro přespání</t>
        </is>
      </c>
      <c r="N128" s="20" t="inlineStr">
        <is>
          <t>#3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Betonový potěr s kari nad EPS</t>
        </is>
      </c>
      <c r="D129" s="20" t="inlineStr">
        <is>
          <t>631321311</t>
        </is>
      </c>
      <c r="E129" s="8" t="inlineStr">
        <is>
          <t>Mokrá podlahová skladba — betonový potěr s kari síťkou 4/100/100 tl. 50 mm + samonivelační stěrka</t>
        </is>
      </c>
      <c r="F129" s="20" t="inlineStr">
        <is>
          <t>m²</t>
        </is>
      </c>
      <c r="G129" s="22" t="n">
        <v>126.4</v>
      </c>
      <c r="H129" s="10" t="n"/>
      <c r="I129" s="10" t="n"/>
      <c r="J129" s="8" t="inlineStr">
        <is>
          <t>podlahar</t>
        </is>
      </c>
      <c r="K129" s="24" t="n">
        <v>0.95</v>
      </c>
      <c r="L129" s="20" t="inlineStr">
        <is>
          <t>needs_production_lookup</t>
        </is>
      </c>
      <c r="M129" s="8" t="inlineStr">
        <is>
          <t>TZ ARS dům §3.2.4 + §3.2.x — 'kročejová izolace + betonový potěr s kari sítí'; DXF rooms areas</t>
        </is>
      </c>
      <c r="N129" s="20" t="inlineStr">
        <is>
          <t>#4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PSV-77 Podlahy</t>
        </is>
      </c>
      <c r="C130" s="8" t="inlineStr">
        <is>
          <t>Soklíky vinyl</t>
        </is>
      </c>
      <c r="D130" s="20" t="inlineStr">
        <is>
          <t>776511831</t>
        </is>
      </c>
      <c r="E130" s="8" t="inlineStr">
        <is>
          <t>Soklíky podlahové laminátové (dub) v obytných místnostech s vinyl podlahou</t>
        </is>
      </c>
      <c r="F130" s="20" t="inlineStr">
        <is>
          <t>bm</t>
        </is>
      </c>
      <c r="G130" s="22" t="n">
        <v>72.03</v>
      </c>
      <c r="H130" s="10" t="n"/>
      <c r="I130" s="10" t="n"/>
      <c r="J130" s="8" t="inlineStr">
        <is>
          <t>podlahar</t>
        </is>
      </c>
      <c r="K130" s="24" t="n">
        <v>0.95</v>
      </c>
      <c r="L130" s="20" t="inlineStr">
        <is>
          <t>needs_production_lookup</t>
        </is>
      </c>
      <c r="M130" s="8" t="inlineStr">
        <is>
          <t>DXF rooms vinyl + standard ratio per RD geometry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PSV-77 Podlahy</t>
        </is>
      </c>
      <c r="C131" s="8" t="inlineStr">
        <is>
          <t>Soklíky keramické</t>
        </is>
      </c>
      <c r="D131" s="20" t="inlineStr">
        <is>
          <t>771274107</t>
        </is>
      </c>
      <c r="E131" s="8" t="inlineStr">
        <is>
          <t>Soklíky keramické v místnostech s dlažbou (koupelny + WC + spíž + 1.PP)</t>
        </is>
      </c>
      <c r="F131" s="20" t="inlineStr">
        <is>
          <t>bm</t>
        </is>
      </c>
      <c r="G131" s="22" t="n">
        <v>19.28</v>
      </c>
      <c r="H131" s="10" t="n"/>
      <c r="I131" s="10" t="n"/>
      <c r="J131" s="8" t="inlineStr">
        <is>
          <t>obkladac</t>
        </is>
      </c>
      <c r="K131" s="24" t="n">
        <v>0.95</v>
      </c>
      <c r="L131" s="20" t="inlineStr">
        <is>
          <t>needs_production_lookup</t>
        </is>
      </c>
      <c r="M131" s="8" t="inlineStr">
        <is>
          <t>DXF rooms dlažba + standard ratio per RD geometry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1.PP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1.PP (stávající vyspravené + nové zděné)</t>
        </is>
      </c>
      <c r="F132" s="20" t="inlineStr">
        <is>
          <t>m²</t>
        </is>
      </c>
      <c r="G132" s="22" t="n">
        <v>78.2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1.PP obvod + výška podlaží 2.1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1.NP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1.NP (stávající vyspravené + nové zděné)</t>
        </is>
      </c>
      <c r="F133" s="20" t="inlineStr">
        <is>
          <t>m²</t>
        </is>
      </c>
      <c r="G133" s="22" t="n">
        <v>208.4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1.NP obvod + výška podlaží 2.795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Omítka jádrová + štuk 2.NP</t>
        </is>
      </c>
      <c r="D134" s="20" t="inlineStr">
        <is>
          <t>612311311</t>
        </is>
      </c>
      <c r="E134" s="8" t="inlineStr">
        <is>
          <t>Omítka jádrová vápenocementová tl. 15 mm + štuková povrchová úprava na stěnách 2.NP (stávající vyspravené + nové zděné)</t>
        </is>
      </c>
      <c r="F134" s="20" t="inlineStr">
        <is>
          <t>m²</t>
        </is>
      </c>
      <c r="G134" s="22" t="n">
        <v>201.6</v>
      </c>
      <c r="H134" s="10" t="n"/>
      <c r="I134" s="10" t="n"/>
      <c r="J134" s="8" t="inlineStr">
        <is>
          <t>zednik</t>
        </is>
      </c>
      <c r="K134" s="24" t="n">
        <v>0.9</v>
      </c>
      <c r="L134" s="20" t="inlineStr">
        <is>
          <t>needs_production_lookup</t>
        </is>
      </c>
      <c r="M134" s="8" t="inlineStr">
        <is>
          <t>DXF rooms 2.NP obvod + výška podlaží 2.865 m (DXF SM_kóty + řez A-A Path C Tier 1) − okenní plocha (DXF) − odpočet dveří 3%</t>
        </is>
      </c>
      <c r="N134" s="20" t="inlineStr">
        <is>
          <t>#3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Omítka jádrová + štuk 3.NP</t>
        </is>
      </c>
      <c r="D135" s="20" t="inlineStr">
        <is>
          <t>612311311</t>
        </is>
      </c>
      <c r="E135" s="8" t="inlineStr">
        <is>
          <t>Omítka jádrová vápenocementová tl. 15 mm + štuková povrchová úprava na stěnách 3.NP (stávající vyspravené + nové zděné)</t>
        </is>
      </c>
      <c r="F135" s="20" t="inlineStr">
        <is>
          <t>m²</t>
        </is>
      </c>
      <c r="G135" s="22" t="n">
        <v>179.1</v>
      </c>
      <c r="H135" s="10" t="n"/>
      <c r="I135" s="10" t="n"/>
      <c r="J135" s="8" t="inlineStr">
        <is>
          <t>zednik</t>
        </is>
      </c>
      <c r="K135" s="24" t="n">
        <v>0.9</v>
      </c>
      <c r="L135" s="20" t="inlineStr">
        <is>
          <t>needs_production_lookup</t>
        </is>
      </c>
      <c r="M135" s="8" t="inlineStr">
        <is>
          <t>DXF rooms 3.NP obvod + výška podlaží 2.63 m (DXF SM_kóty + řez A-A Path C Tier 1) − okenní plocha (DXF) − odpočet dveří 3%</t>
        </is>
      </c>
      <c r="N135" s="20" t="inlineStr">
        <is>
          <t>#3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1.NP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(1.NP)</t>
        </is>
      </c>
      <c r="F136" s="20" t="inlineStr">
        <is>
          <t>m²</t>
        </is>
      </c>
      <c r="G136" s="22" t="n">
        <v>59.5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1.NP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SDK podhled — tmelení + úprava 2.NP</t>
        </is>
      </c>
      <c r="D137" s="20" t="inlineStr">
        <is>
          <t>612471141</t>
        </is>
      </c>
      <c r="E137" s="8" t="inlineStr">
        <is>
          <t>SDK podhled + případné předstěny — tmelení spojů Q3 + povrchová úprava před výmalbou (2.NP)</t>
        </is>
      </c>
      <c r="F137" s="20" t="inlineStr">
        <is>
          <t>m²</t>
        </is>
      </c>
      <c r="G137" s="22" t="n">
        <v>61.1</v>
      </c>
      <c r="H137" s="10" t="n"/>
      <c r="I137" s="10" t="n"/>
      <c r="J137" s="8" t="inlineStr">
        <is>
          <t>sadrokartonar</t>
        </is>
      </c>
      <c r="K137" s="24" t="n">
        <v>0.95</v>
      </c>
      <c r="L137" s="20" t="inlineStr">
        <is>
          <t>needs_production_lookup</t>
        </is>
      </c>
      <c r="M137" s="8" t="inlineStr">
        <is>
          <t>DXF km_tabulka místností MTEXT — plocha 2.NP = plocha podhledu (flat ceiling assumption)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SDK podhled — tmelení + úprava 3.NP</t>
        </is>
      </c>
      <c r="D138" s="20" t="inlineStr">
        <is>
          <t>612471141</t>
        </is>
      </c>
      <c r="E138" s="8" t="inlineStr">
        <is>
          <t>SDK podhled + případné předstěny — tmelení spojů Q3 + povrchová úprava před výmalbou (3.NP)</t>
        </is>
      </c>
      <c r="F138" s="20" t="inlineStr">
        <is>
          <t>m²</t>
        </is>
      </c>
      <c r="G138" s="22" t="n">
        <v>64.5</v>
      </c>
      <c r="H138" s="10" t="n"/>
      <c r="I138" s="10" t="n"/>
      <c r="J138" s="8" t="inlineStr">
        <is>
          <t>sadrokartonar</t>
        </is>
      </c>
      <c r="K138" s="24" t="n">
        <v>0.95</v>
      </c>
      <c r="L138" s="20" t="inlineStr">
        <is>
          <t>needs_production_lookup</t>
        </is>
      </c>
      <c r="M138" s="8" t="inlineStr">
        <is>
          <t>DXF km_tabulka místností MTEXT — plocha 3.NP = plocha podhledu (flat ceiling assumption)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1.05 (1.NP)</t>
        </is>
      </c>
      <c r="D139" s="20" t="inlineStr">
        <is>
          <t>781447001</t>
        </is>
      </c>
      <c r="E139" s="8" t="inlineStr">
        <is>
          <t>Keramický obklad stěn koupelny 1.05 1.NP — výška obkladu 1.6 m (z DXF km Obklady layer)</t>
        </is>
      </c>
      <c r="F139" s="20" t="inlineStr">
        <is>
          <t>m²</t>
        </is>
      </c>
      <c r="G139" s="22" t="n">
        <v>13.4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1.05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Keramický obklad koupelna 2.03 (2.NP)</t>
        </is>
      </c>
      <c r="D140" s="20" t="inlineStr">
        <is>
          <t>781447001</t>
        </is>
      </c>
      <c r="E140" s="8" t="inlineStr">
        <is>
          <t>Keramický obklad stěn koupelny 2.03 2.NP — výška obkladu 2.45 m (z DXF km Obklady layer)</t>
        </is>
      </c>
      <c r="F140" s="20" t="inlineStr">
        <is>
          <t>m²</t>
        </is>
      </c>
      <c r="G140" s="22" t="n">
        <v>15.2</v>
      </c>
      <c r="H140" s="10" t="n"/>
      <c r="I140" s="10" t="n"/>
      <c r="J140" s="8" t="inlineStr">
        <is>
          <t>obkladac</t>
        </is>
      </c>
      <c r="K140" s="24" t="n">
        <v>0.9</v>
      </c>
      <c r="L140" s="20" t="inlineStr">
        <is>
          <t>needs_production_lookup</t>
        </is>
      </c>
      <c r="M140" s="8" t="inlineStr">
        <is>
          <t>DXF rooms PIP perimeter 2.03 + DXF km Obklady layer (11 LWPOLYLINE markers s bbox heights 1600/2450/2610-2715 mm) — Path C Tier 1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Keramický obklad koupelna 3.04 (3.NP)</t>
        </is>
      </c>
      <c r="D141" s="20" t="inlineStr">
        <is>
          <t>781447001</t>
        </is>
      </c>
      <c r="E141" s="8" t="inlineStr">
        <is>
          <t>Keramický obklad stěn koupelny 3.04 3.NP — výška obkladu 2.7 m (z DXF km Obklady layer)</t>
        </is>
      </c>
      <c r="F141" s="20" t="inlineStr">
        <is>
          <t>m²</t>
        </is>
      </c>
      <c r="G141" s="22" t="n">
        <v>24.3</v>
      </c>
      <c r="H141" s="10" t="n"/>
      <c r="I141" s="10" t="n"/>
      <c r="J141" s="8" t="inlineStr">
        <is>
          <t>obkladac</t>
        </is>
      </c>
      <c r="K141" s="24" t="n">
        <v>0.9</v>
      </c>
      <c r="L141" s="20" t="inlineStr">
        <is>
          <t>needs_production_lookup</t>
        </is>
      </c>
      <c r="M141" s="8" t="inlineStr">
        <is>
          <t>DXF rooms PIP perimeter 3.04 + DXF km Obklady layer (11 LWPOLYLINE markers s bbox heights 1600/2450/2610-2715 mm) — Path C Tier 1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PSV-78 Povrchové úpravy</t>
        </is>
      </c>
      <c r="C142" s="8" t="inlineStr">
        <is>
          <t>Obklad za kuchyňskou linkou</t>
        </is>
      </c>
      <c r="D142" s="20" t="inlineStr">
        <is>
          <t>781447001</t>
        </is>
      </c>
      <c r="E142" s="8" t="inlineStr">
        <is>
          <t>Keramický obklad za kuchyňskou linkou nad pracovní deskou — 2 kuchyně × ~5 m² (1.06 byt rodičů + 3.05 byt 3.NP)</t>
        </is>
      </c>
      <c r="F142" s="20" t="inlineStr">
        <is>
          <t>m²</t>
        </is>
      </c>
      <c r="G142" s="22" t="n">
        <v>10</v>
      </c>
      <c r="H142" s="10" t="n"/>
      <c r="I142" s="10" t="n"/>
      <c r="J142" s="8" t="inlineStr">
        <is>
          <t>obkladac</t>
        </is>
      </c>
      <c r="K142" s="24" t="n">
        <v>0.95</v>
      </c>
      <c r="L142" s="20" t="inlineStr">
        <is>
          <t>needs_production_lookup</t>
        </is>
      </c>
      <c r="M142" s="8" t="inlineStr">
        <is>
          <t>DXF dum_DPZ 2× kuchyně MTEXT + TZ ARS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</t>
        </is>
      </c>
      <c r="D143" s="20" t="inlineStr">
        <is>
          <t>784121011</t>
        </is>
      </c>
      <c r="E143" s="8" t="inlineStr">
        <is>
          <t>Interiérová výmalba akrylátová bílá 2× — všechny stěny + podhledy mimo obklad</t>
        </is>
      </c>
      <c r="F143" s="20" t="inlineStr">
        <is>
          <t>m²</t>
        </is>
      </c>
      <c r="G143" s="22" t="n">
        <v>0</v>
      </c>
      <c r="H143" s="10" t="n"/>
      <c r="I143" s="10" t="n"/>
      <c r="J143" s="8" t="inlineStr">
        <is>
          <t>malir</t>
        </is>
      </c>
      <c r="K143" s="24" t="n">
        <v>0.75</v>
      </c>
      <c r="L143" s="20" t="inlineStr">
        <is>
          <t>needs_production_lookup</t>
        </is>
      </c>
      <c r="M143" s="8" t="inlineStr">
        <is>
          <t>TZ ARS — interiérová výmalba (aggregate, no TZ per-room directive)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GAP_007_deprecated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1.NP</t>
        </is>
      </c>
      <c r="D144" s="20" t="inlineStr">
        <is>
          <t>784121011</t>
        </is>
      </c>
      <c r="E144" s="8" t="inlineStr">
        <is>
          <t>Interiérová výmalba 1.NP — stěny + SDK podhled − obklad koupelny 1.05 (1.6 m výška)</t>
        </is>
      </c>
      <c r="F144" s="20" t="inlineStr">
        <is>
          <t>m²</t>
        </is>
      </c>
      <c r="G144" s="22" t="n">
        <v>254.5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PSV78.002 + SDK podhled PSV78.005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1.PP</t>
        </is>
      </c>
      <c r="D145" s="20" t="inlineStr">
        <is>
          <t>784121011</t>
        </is>
      </c>
      <c r="E145" s="8" t="inlineStr">
        <is>
          <t>Interiérová výmalba 1.PP — sklep stěny + klenba bílá vápenná 2×</t>
        </is>
      </c>
      <c r="F145" s="20" t="inlineStr">
        <is>
          <t>m²</t>
        </is>
      </c>
      <c r="G145" s="22" t="n">
        <v>78.2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PSV78.001 + SDK podhled PSV78.—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PSV-78 Povrchové úpravy</t>
        </is>
      </c>
      <c r="C146" s="8" t="inlineStr">
        <is>
          <t>Interiérová výmalba 2.NP</t>
        </is>
      </c>
      <c r="D146" s="20" t="inlineStr">
        <is>
          <t>784121011</t>
        </is>
      </c>
      <c r="E146" s="8" t="inlineStr">
        <is>
          <t>Interiérová výmalba 2.NP — stěny + SDK podhled − obklad koupelny 2.03 (2.45 m výška)</t>
        </is>
      </c>
      <c r="F146" s="20" t="inlineStr">
        <is>
          <t>m²</t>
        </is>
      </c>
      <c r="G146" s="22" t="n">
        <v>247.5</v>
      </c>
      <c r="H146" s="10" t="n"/>
      <c r="I146" s="10" t="n"/>
      <c r="J146" s="8" t="inlineStr">
        <is>
          <t>malir</t>
        </is>
      </c>
      <c r="K146" s="24" t="n">
        <v>0.85</v>
      </c>
      <c r="L146" s="20" t="inlineStr">
        <is>
          <t>needs_production_lookup</t>
        </is>
      </c>
      <c r="M146" s="8" t="inlineStr">
        <is>
          <t>Per-podlaží split z PSV78.012 (audit v2 GAP_007 fix); omítka PSV78.003 + SDK podhled PSV78.006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GAP_007</t>
        </is>
      </c>
    </row>
    <row r="147">
      <c r="A147" s="20" t="n">
        <v>146</v>
      </c>
      <c r="B147" s="8" t="inlineStr">
        <is>
          <t>PSV-78 Povrchové úpravy</t>
        </is>
      </c>
      <c r="C147" s="8" t="inlineStr">
        <is>
          <t>Interiérová výmalba 3.NP</t>
        </is>
      </c>
      <c r="D147" s="20" t="inlineStr">
        <is>
          <t>784121011</t>
        </is>
      </c>
      <c r="E147" s="8" t="inlineStr">
        <is>
          <t>Interiérová výmalba 3.NP — stěny + SDK podhled − obklad koupelny 3.04 (2.7 m výška)</t>
        </is>
      </c>
      <c r="F147" s="20" t="inlineStr">
        <is>
          <t>m²</t>
        </is>
      </c>
      <c r="G147" s="22" t="n">
        <v>219.3</v>
      </c>
      <c r="H147" s="10" t="n"/>
      <c r="I147" s="10" t="n"/>
      <c r="J147" s="8" t="inlineStr">
        <is>
          <t>malir</t>
        </is>
      </c>
      <c r="K147" s="24" t="n">
        <v>0.85</v>
      </c>
      <c r="L147" s="20" t="inlineStr">
        <is>
          <t>needs_production_lookup</t>
        </is>
      </c>
      <c r="M147" s="8" t="inlineStr">
        <is>
          <t>Per-podlaží split z PSV78.012 (audit v2 GAP_007 fix); omítka PSV78.004 + SDK podhled PSV78.007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GAP_007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Autonomní hlásič kouře</t>
        </is>
      </c>
      <c r="D148" s="20" t="inlineStr">
        <is>
          <t>375211101</t>
        </is>
      </c>
      <c r="E148" s="8" t="inlineStr">
        <is>
          <t>Autonomní hlásič kouře dle ČSN EN 14604 — 4 ks v místnostech 1.01, 1.02, 2.04, 3.03 dle PBŘ</t>
        </is>
      </c>
      <c r="F148" s="20" t="inlineStr">
        <is>
          <t>ks</t>
        </is>
      </c>
      <c r="G148" s="23" t="n">
        <v>4</v>
      </c>
      <c r="H148" s="10" t="n"/>
      <c r="I148" s="10" t="n"/>
      <c r="J148" s="8" t="inlineStr">
        <is>
          <t>elektroinstalater</t>
        </is>
      </c>
      <c r="K148" s="24" t="n">
        <v>0.85</v>
      </c>
      <c r="L148" s="20" t="inlineStr">
        <is>
          <t>family_verified_leaf_needs_production_lookup</t>
        </is>
      </c>
      <c r="M148" s="8" t="inlineStr">
        <is>
          <t>TZ PBŘ dům — ČSN EN 14604 autonomní hlásič kouře 4 ks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URS_PHASE5B_FAMILY_VERIFIED</t>
        </is>
      </c>
    </row>
    <row r="149">
      <c r="A149" s="20" t="n">
        <v>148</v>
      </c>
      <c r="B149" s="8" t="inlineStr">
        <is>
          <t>PSV-95 Detekce požární</t>
        </is>
      </c>
      <c r="C149" s="8" t="inlineStr">
        <is>
          <t>Přenosný hasicí přístroj 34A</t>
        </is>
      </c>
      <c r="D149" s="20" t="inlineStr">
        <is>
          <t>966067121</t>
        </is>
      </c>
      <c r="E149" s="8" t="inlineStr">
        <is>
          <t>Přenosný hasicí přístroj 34A dle PBŘ — min. 1 ks na společné chodbě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VRN_management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PBŘ dům — PHP 34A 1 ks minimum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Demontáž stávající ELI</t>
        </is>
      </c>
      <c r="D150" s="20" t="inlineStr">
        <is>
          <t>210010011</t>
        </is>
      </c>
      <c r="E150" s="8" t="inlineStr">
        <is>
          <t>Demontáž stávající elektroinstalace v celém domě (vodiče, rozvaděč, zásuvky, svítidla) — recyklace mědi</t>
        </is>
      </c>
      <c r="F150" s="20" t="inlineStr">
        <is>
          <t>kpl</t>
        </is>
      </c>
      <c r="G150" s="23" t="n">
        <v>1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kompletně nová ELI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Pojistková skříň + 3× podružný rozvaděč</t>
        </is>
      </c>
      <c r="D151" s="20" t="inlineStr">
        <is>
          <t>210110023</t>
        </is>
      </c>
      <c r="E151" s="8" t="inlineStr">
        <is>
          <t>Nová pojistková skříň + 3× podružný rozvaděč pro každé patro (1.NP, 2.NP, 3.NP) s podružným měřením</t>
        </is>
      </c>
      <c r="F151" s="20" t="inlineStr">
        <is>
          <t>ks</t>
        </is>
      </c>
      <c r="G151" s="23" t="n">
        <v>4</v>
      </c>
      <c r="H151" s="10" t="n"/>
      <c r="I151" s="10" t="n"/>
      <c r="J151" s="8" t="inlineStr">
        <is>
          <t>elektroinstalater</t>
        </is>
      </c>
      <c r="K151" s="24" t="n">
        <v>0.85</v>
      </c>
      <c r="L151" s="20" t="inlineStr">
        <is>
          <t>needs_production_lookup</t>
        </is>
      </c>
      <c r="M151" s="8" t="inlineStr">
        <is>
          <t>TZ ARS dům §4 — 'nová pojistková skříň s podružným měřením pro každé patro'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Rozvody silnoproud</t>
        </is>
      </c>
      <c r="D152" s="20" t="inlineStr">
        <is>
          <t>210800012</t>
        </is>
      </c>
      <c r="E152" s="8" t="inlineStr">
        <is>
          <t>Nové silnoproudé rozvody — vodiče CYKY 3×1.5 / 3×2.5 / 5×2.5 / 5×6 + krabice + instalační trubky</t>
        </is>
      </c>
      <c r="F152" s="20" t="inlineStr">
        <is>
          <t>bm</t>
        </is>
      </c>
      <c r="G152" s="22" t="n">
        <v>700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3-byt. dispozice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Zásuvky a vypínače</t>
        </is>
      </c>
      <c r="D153" s="20" t="inlineStr">
        <is>
          <t>210810050</t>
        </is>
      </c>
      <c r="E153" s="8" t="inlineStr">
        <is>
          <t>Zásuvky a vypínače dodávka + montáž — ~70 ks (60-80 dle vyjasnění #7)</t>
        </is>
      </c>
      <c r="F153" s="20" t="inlineStr">
        <is>
          <t>ks</t>
        </is>
      </c>
      <c r="G153" s="23" t="n">
        <v>70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 220 m² 3-byt.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Svítidla</t>
        </is>
      </c>
      <c r="D154" s="20" t="inlineStr">
        <is>
          <t>210820002</t>
        </is>
      </c>
      <c r="E154" s="8" t="inlineStr">
        <is>
          <t>Svítidla dodávka + montáž — ~35 ks (30-40 dle vyjasnění #7) interiér + venkovní u vstupů</t>
        </is>
      </c>
      <c r="F154" s="20" t="inlineStr">
        <is>
          <t>ks</t>
        </is>
      </c>
      <c r="G154" s="23" t="n">
        <v>35</v>
      </c>
      <c r="H154" s="10" t="n"/>
      <c r="I154" s="10" t="n"/>
      <c r="J154" s="8" t="inlineStr">
        <is>
          <t>elektroinstalater</t>
        </is>
      </c>
      <c r="K154" s="24" t="n">
        <v>0.8</v>
      </c>
      <c r="L154" s="20" t="inlineStr">
        <is>
          <t>needs_production_lookup</t>
        </is>
      </c>
      <c r="M154" s="8" t="inlineStr">
        <is>
          <t>TZ ARS + B4_productivity standard RD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Příprava FVE</t>
        </is>
      </c>
      <c r="D155" s="20" t="inlineStr">
        <is>
          <t>210800099</t>
        </is>
      </c>
      <c r="E155" s="8" t="inlineStr">
        <is>
          <t>Příprava na osazení FVE — rezerva v rozvaděči (jistič + zásuvka pro střídač) + trasy do střechy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elektroinstalater</t>
        </is>
      </c>
      <c r="K155" s="24" t="n">
        <v>0.85</v>
      </c>
      <c r="L155" s="20" t="inlineStr">
        <is>
          <t>needs_production_lookup</t>
        </is>
      </c>
      <c r="M155" s="8" t="inlineStr">
        <is>
          <t>TZ ARS dům §4 — FVE příprava (bez panelů samotných)</t>
        </is>
      </c>
      <c r="N155" s="20" t="inlineStr">
        <is>
          <t>#7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M-21 ELI silnoproud</t>
        </is>
      </c>
      <c r="C156" s="8" t="inlineStr">
        <is>
          <t>Revize ELI při kolaudaci</t>
        </is>
      </c>
      <c r="D156" s="20" t="inlineStr">
        <is>
          <t>996019011</t>
        </is>
      </c>
      <c r="E156" s="8" t="inlineStr">
        <is>
          <t>Výchozí revize elektrické instalace dle ČSN 33 2000-6 + revizní zpráva pro kolaudaci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revize_specialista</t>
        </is>
      </c>
      <c r="K156" s="24" t="n">
        <v>0.99</v>
      </c>
      <c r="L156" s="20" t="inlineStr">
        <is>
          <t>needs_production_lookup</t>
        </is>
      </c>
      <c r="M156" s="8" t="inlineStr">
        <is>
          <t>Povinná revize ELI dle ČSN 33 2000-6 + kolaudace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n"/>
    </row>
    <row r="157">
      <c r="A157" s="20" t="n">
        <v>156</v>
      </c>
      <c r="B157" s="8" t="inlineStr">
        <is>
          <t>PSV-72 ZTI</t>
        </is>
      </c>
      <c r="C157" s="8" t="inlineStr">
        <is>
          <t>Revize stávajících přípojek</t>
        </is>
      </c>
      <c r="D157" s="20" t="inlineStr">
        <is>
          <t>722290515</t>
        </is>
      </c>
      <c r="E157" s="8" t="inlineStr">
        <is>
          <t>Revize stávajícího napojení vodovodu + kanalizace na pozemku — kontrola stavu, čištění, tlaková zkouška</t>
        </is>
      </c>
      <c r="F157" s="20" t="inlineStr">
        <is>
          <t>kpl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0.85</v>
      </c>
      <c r="L157" s="20" t="inlineStr">
        <is>
          <t>family_verified_leaf_needs_production_lookup</t>
        </is>
      </c>
      <c r="M157" s="8" t="inlineStr">
        <is>
          <t>TZ ARS dům §4 — vodovod + kanalizace stávající, bez změny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rozvody vody do 3.NP</t>
        </is>
      </c>
      <c r="D158" s="20" t="inlineStr">
        <is>
          <t>722172011</t>
        </is>
      </c>
      <c r="E158" s="8" t="inlineStr">
        <is>
          <t>Nové rozvody studené + teplé vody do koupelen 1.NP + 2.NP + 3.NP a kuchyní (PEX/Cu, dimenze DN15-25)</t>
        </is>
      </c>
      <c r="F158" s="20" t="inlineStr">
        <is>
          <t>bm</t>
        </is>
      </c>
      <c r="G158" s="22" t="n">
        <v>80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family_verified_leaf_needs_production_lookup</t>
        </is>
      </c>
      <c r="M158" s="8" t="inlineStr">
        <is>
          <t>TZ ARS dům §4 — nové koupelny + kuchyně, vyjasnění #6 working assumption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inlineStr">
        <is>
          <t>URS_PHASE5B_FAMILY_VERIFIED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Nové odpadní rozvody</t>
        </is>
      </c>
      <c r="D159" s="20" t="inlineStr">
        <is>
          <t>721174021</t>
        </is>
      </c>
      <c r="E159" s="8" t="inlineStr">
        <is>
          <t>Nové odpadní rozvody PVC-HT DN40-DN110 ke koupelnám 1.NP, 2.NP, 3.NP a kuchyním + napojení na stávající</t>
        </is>
      </c>
      <c r="F159" s="20" t="inlineStr">
        <is>
          <t>bm</t>
        </is>
      </c>
      <c r="G159" s="22" t="n">
        <v>60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dům §4 — nové koupelny + kuchyně, odpad do stávající kanalizace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</t>
        </is>
      </c>
      <c r="D160" s="20" t="inlineStr">
        <is>
          <t>725291131</t>
        </is>
      </c>
      <c r="E160" s="8" t="inlineStr">
        <is>
          <t>Sanitární keramika dodávka + montáž v koupelně 1.05 1.NP: 1× vana (DXF) + 1× umyvadlo (DXF) + 1× WC (TZ standard)</t>
        </is>
      </c>
      <c r="F160" s="20" t="inlineStr">
        <is>
          <t>set</t>
        </is>
      </c>
      <c r="G160" s="22" t="n">
        <v>0</v>
      </c>
      <c r="H160" s="10" t="n"/>
      <c r="I160" s="10" t="n"/>
      <c r="J160" s="8" t="inlineStr">
        <is>
          <t>vodar</t>
        </is>
      </c>
      <c r="K160" s="24" t="n">
        <v>0.75</v>
      </c>
      <c r="L160" s="20" t="inlineStr">
        <is>
          <t>needs_production_lookup</t>
        </is>
      </c>
      <c r="M160" s="8" t="inlineStr">
        <is>
          <t>DXF dum_DPZ INSERT positions PIP do room 1.05 polygon (partial — 4/13 fixtures matched celkem) + TZ ARS § koupelny standard pattern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inlineStr">
        <is>
          <t>GAP_005_deprecated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A</t>
        </is>
      </c>
      <c r="D161" s="20" t="inlineStr">
        <is>
          <t>725211101</t>
        </is>
      </c>
      <c r="E161" s="8" t="inlineStr">
        <is>
          <t>Vana koupelnová obdélníková 170×70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B</t>
        </is>
      </c>
      <c r="D162" s="20" t="inlineStr">
        <is>
          <t>725311111</t>
        </is>
      </c>
      <c r="E162" s="8" t="inlineStr">
        <is>
          <t>Umyvadlo bílé keramické se sloupcem 60 cm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1.05 (1.NP) / fixture C</t>
        </is>
      </c>
      <c r="D163" s="20" t="inlineStr">
        <is>
          <t>725111101</t>
        </is>
      </c>
      <c r="E163" s="8" t="inlineStr">
        <is>
          <t>WC kombi keramické bílé — koupelna 1.05 1.NP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vodar</t>
        </is>
      </c>
      <c r="K163" s="24" t="n">
        <v>0.9</v>
      </c>
      <c r="L163" s="20" t="inlineStr">
        <is>
          <t>needs_production_lookup</t>
        </is>
      </c>
      <c r="M163" s="8" t="inlineStr">
        <is>
          <t>DXF dum_DPZ MTEXT room 1.05 1.NP + TZ ARS koupelna kompletace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inlineStr">
        <is>
          <t>GAP_005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</t>
        </is>
      </c>
      <c r="D164" s="20" t="inlineStr">
        <is>
          <t>725291131</t>
        </is>
      </c>
      <c r="E164" s="8" t="inlineStr">
        <is>
          <t>Sanitární keramika dodávka + montáž v koupelně 2.03 2.NP: 1× umyvadlo (DXF) + 1× WC (TZ standard) + 1× sprcha (TZ standard)</t>
        </is>
      </c>
      <c r="F164" s="20" t="inlineStr">
        <is>
          <t>set</t>
        </is>
      </c>
      <c r="G164" s="22" t="n">
        <v>0</v>
      </c>
      <c r="H164" s="10" t="n"/>
      <c r="I164" s="10" t="n"/>
      <c r="J164" s="8" t="inlineStr">
        <is>
          <t>vodar</t>
        </is>
      </c>
      <c r="K164" s="24" t="n">
        <v>0.75</v>
      </c>
      <c r="L164" s="20" t="inlineStr">
        <is>
          <t>needs_production_lookup</t>
        </is>
      </c>
      <c r="M164" s="8" t="inlineStr">
        <is>
          <t>DXF dum_DPZ INSERT positions PIP do room 2.03 polygon (partial — 4/13 fixtures matched celkem) + TZ ARS § koupelny standard pattern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inlineStr">
        <is>
          <t>GAP_005_deprecated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A</t>
        </is>
      </c>
      <c r="D165" s="20" t="inlineStr">
        <is>
          <t>725311111</t>
        </is>
      </c>
      <c r="E165" s="8" t="inlineStr">
        <is>
          <t>Umyvadlo bílé keramické se sloupcem 60 cm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B</t>
        </is>
      </c>
      <c r="D166" s="20" t="inlineStr">
        <is>
          <t>725221201</t>
        </is>
      </c>
      <c r="E166" s="8" t="inlineStr">
        <is>
          <t>Sprchový kout 90×90 cm vč. vaničky + skleněných dveří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2.03 (2.NP) / fixture C</t>
        </is>
      </c>
      <c r="D167" s="20" t="inlineStr">
        <is>
          <t>725111101</t>
        </is>
      </c>
      <c r="E167" s="8" t="inlineStr">
        <is>
          <t>WC kombi keramické bílé — koupelna 2.03 2.NP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vodar</t>
        </is>
      </c>
      <c r="K167" s="24" t="n">
        <v>0.9</v>
      </c>
      <c r="L167" s="20" t="inlineStr">
        <is>
          <t>needs_production_lookup</t>
        </is>
      </c>
      <c r="M167" s="8" t="inlineStr">
        <is>
          <t>DXF dum_DPZ MTEXT room 2.03 2.NP + TZ ARS koupelna kompletace</t>
        </is>
      </c>
      <c r="N167" s="20" t="inlineStr">
        <is>
          <t>—</t>
        </is>
      </c>
      <c r="O167" s="26" t="inlineStr">
        <is>
          <t>ANO</t>
        </is>
      </c>
      <c r="P167" s="41" t="n"/>
      <c r="Q167" s="41" t="inlineStr">
        <is>
          <t>GAP_005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</t>
        </is>
      </c>
      <c r="D168" s="20" t="inlineStr">
        <is>
          <t>725291131</t>
        </is>
      </c>
      <c r="E168" s="8" t="inlineStr">
        <is>
          <t>Sanitární keramika dodávka + montáž v koupelně 3.04 3.NP: 1× WC (DXF) + 1× umyvadlo (TZ standard) + 1× sprcha (TZ standard)</t>
        </is>
      </c>
      <c r="F168" s="20" t="inlineStr">
        <is>
          <t>set</t>
        </is>
      </c>
      <c r="G168" s="22" t="n">
        <v>0</v>
      </c>
      <c r="H168" s="10" t="n"/>
      <c r="I168" s="10" t="n"/>
      <c r="J168" s="8" t="inlineStr">
        <is>
          <t>vodar</t>
        </is>
      </c>
      <c r="K168" s="24" t="n">
        <v>0.75</v>
      </c>
      <c r="L168" s="20" t="inlineStr">
        <is>
          <t>needs_production_lookup</t>
        </is>
      </c>
      <c r="M168" s="8" t="inlineStr">
        <is>
          <t>DXF dum_DPZ INSERT positions PIP do room 3.04 polygon (partial — 4/13 fixtures matched celkem) + TZ ARS § koupelny standard pattern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inlineStr">
        <is>
          <t>GAP_005_deprecated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A</t>
        </is>
      </c>
      <c r="D169" s="20" t="inlineStr">
        <is>
          <t>725111101</t>
        </is>
      </c>
      <c r="E169" s="8" t="inlineStr">
        <is>
          <t>WC kombi keramické bílé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B</t>
        </is>
      </c>
      <c r="D170" s="20" t="inlineStr">
        <is>
          <t>725311111</t>
        </is>
      </c>
      <c r="E170" s="8" t="inlineStr">
        <is>
          <t>Umyvadlo bílé keramické se sloupcem 60 cm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Sanitární keramika koupelna 3.04 (3.NP) / fixture C</t>
        </is>
      </c>
      <c r="D171" s="20" t="inlineStr">
        <is>
          <t>725221201</t>
        </is>
      </c>
      <c r="E171" s="8" t="inlineStr">
        <is>
          <t>Sprchový kout 90×90 cm vč. vaničky + skleněných dveří — koupelna 3.04 3.NP</t>
        </is>
      </c>
      <c r="F171" s="20" t="inlineStr">
        <is>
          <t>ks</t>
        </is>
      </c>
      <c r="G171" s="23" t="n">
        <v>1</v>
      </c>
      <c r="H171" s="10" t="n"/>
      <c r="I171" s="10" t="n"/>
      <c r="J171" s="8" t="inlineStr">
        <is>
          <t>vodar</t>
        </is>
      </c>
      <c r="K171" s="24" t="n">
        <v>0.9</v>
      </c>
      <c r="L171" s="20" t="inlineStr">
        <is>
          <t>needs_production_lookup</t>
        </is>
      </c>
      <c r="M171" s="8" t="inlineStr">
        <is>
          <t>DXF dum_DPZ MTEXT room 3.04 3.NP + TZ ARS koupelna kompletace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inlineStr">
        <is>
          <t>GAP_005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Kuchyňský dřez 2 ks (1.06 + 3.05)</t>
        </is>
      </c>
      <c r="D172" s="20" t="inlineStr">
        <is>
          <t>725840111</t>
        </is>
      </c>
      <c r="E172" s="8" t="inlineStr">
        <is>
          <t>Kuchyňský dřez nerez + montáž — 2 ks (kuchyně 1.06 byt rodičů + kuchyně 3.05 byt 3.NP)</t>
        </is>
      </c>
      <c r="F172" s="20" t="inlineStr">
        <is>
          <t>ks</t>
        </is>
      </c>
      <c r="G172" s="23" t="n">
        <v>2</v>
      </c>
      <c r="H172" s="10" t="n"/>
      <c r="I172" s="10" t="n"/>
      <c r="J172" s="8" t="inlineStr">
        <is>
          <t>vodar</t>
        </is>
      </c>
      <c r="K172" s="24" t="n">
        <v>0.95</v>
      </c>
      <c r="L172" s="20" t="inlineStr">
        <is>
          <t>needs_production_lookup</t>
        </is>
      </c>
      <c r="M172" s="8" t="inlineStr">
        <is>
          <t>DXF kuchyně MTEXT 2× + TZ ARS — dispozice byty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Vodovodní baterie + drobnosti</t>
        </is>
      </c>
      <c r="D173" s="20" t="inlineStr">
        <is>
          <t>725822611</t>
        </is>
      </c>
      <c r="E173" s="8" t="inlineStr">
        <is>
          <t>Vodovodní baterie (WC ventil + páková umyvadlová + sprchové + dřezové + termostat sprchové) — ~15 ks + drobné instalační materiály</t>
        </is>
      </c>
      <c r="F173" s="20" t="inlineStr">
        <is>
          <t>ks</t>
        </is>
      </c>
      <c r="G173" s="23" t="n">
        <v>15</v>
      </c>
      <c r="H173" s="10" t="n"/>
      <c r="I173" s="10" t="n"/>
      <c r="J173" s="8" t="inlineStr">
        <is>
          <t>vodar</t>
        </is>
      </c>
      <c r="K173" s="24" t="n">
        <v>0.75</v>
      </c>
      <c r="L173" s="20" t="inlineStr">
        <is>
          <t>needs_production_lookup</t>
        </is>
      </c>
      <c r="M173" s="8" t="inlineStr">
        <is>
          <t>TZ ARS — kompletní baterie nové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Akumulační zásobník TUV v suterénu</t>
        </is>
      </c>
      <c r="D174" s="20" t="inlineStr">
        <is>
          <t>732419411</t>
        </is>
      </c>
      <c r="E174" s="8" t="inlineStr">
        <is>
          <t>Akumulační zásobník TUV ~300 l v 1.PP napojený na topný systém (sporáková kamna + krb + elektrokotel) — nepřímotop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instalater_TUV_akumulacni_zasobnik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kombi akumulační zásobník napojený na multivariantní topný systém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PSV-72 ZTI</t>
        </is>
      </c>
      <c r="C175" s="8" t="inlineStr">
        <is>
          <t>Elektrický bojler 3.NP</t>
        </is>
      </c>
      <c r="D175" s="20" t="inlineStr">
        <is>
          <t>732429211</t>
        </is>
      </c>
      <c r="E175" s="8" t="inlineStr">
        <is>
          <t>Elektrický bojler ~80 l v koupelně 3.NP (nezávislý zdroj pro samostatný byt)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vodar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elektrický bojler v 3.NP koupelně, vyjasnění #6 odhad 80 l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na tuhá paliva</t>
        </is>
      </c>
      <c r="D176" s="20" t="inlineStr">
        <is>
          <t>733241011</t>
        </is>
      </c>
      <c r="E176" s="8" t="inlineStr">
        <is>
          <t>Sporáková kamna na tuhá paliva ~10 kW s akumulačním zásobníkem TUV — dodávka</t>
        </is>
      </c>
      <c r="F176" s="20" t="inlineStr">
        <is>
          <t>ks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0.85</v>
      </c>
      <c r="L176" s="20" t="inlineStr">
        <is>
          <t>needs_production_lookup</t>
        </is>
      </c>
      <c r="M176" s="8" t="inlineStr">
        <is>
          <t>TZ ARS dům §4 — primární zdroj 1.NP/2.NP, ~10 kW odhad standard RD</t>
        </is>
      </c>
      <c r="N176" s="20" t="inlineStr">
        <is>
          <t>#6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Sporáková kamna — montáž</t>
        </is>
      </c>
      <c r="D177" s="20" t="inlineStr">
        <is>
          <t>733281011</t>
        </is>
      </c>
      <c r="E177" s="8" t="inlineStr">
        <is>
          <t>Sporáková kamna — montáž vč. napojení na komín + akumulační zásobník (cca 8 Nh)</t>
        </is>
      </c>
      <c r="F177" s="20" t="inlineStr">
        <is>
          <t>kpl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0.75</v>
      </c>
      <c r="L177" s="20" t="inlineStr">
        <is>
          <t>needs_production_lookup</t>
        </is>
      </c>
      <c r="M177" s="8" t="inlineStr">
        <is>
          <t>Standard montáž kamen s napojením na zásobník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Elektrokotel 3.NP</t>
        </is>
      </c>
      <c r="D178" s="20" t="inlineStr">
        <is>
          <t>733131221</t>
        </is>
      </c>
      <c r="E178" s="8" t="inlineStr">
        <is>
          <t>Elektrokotel ~8 kW pro 3.NP samostatný byt — dodávka + montáž + napojení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'Nově navržené 3.NP bude vytápěno elektrokotlem'; ~8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Krb na tuhá paliva 3.NP</t>
        </is>
      </c>
      <c r="D179" s="20" t="inlineStr">
        <is>
          <t>733241011</t>
        </is>
      </c>
      <c r="E179" s="8" t="inlineStr">
        <is>
          <t>Krb na tuhá paliva v 3.NP ~6 kW — dodávka + montáž s napojením na samostatný komín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topenar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krb v 3.NP, ~6 kW odhad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venkovní jednotka</t>
        </is>
      </c>
      <c r="D180" s="20" t="inlineStr">
        <is>
          <t>733425211</t>
        </is>
      </c>
      <c r="E180" s="8" t="inlineStr">
        <is>
          <t>Multisplit tepelné čerpadlo vzduch-vzduch — 1× venkovní jednotka ~10 kW (silent mode hl. tlaku ≤49 dBA)</t>
        </is>
      </c>
      <c r="F180" s="20" t="inlineStr">
        <is>
          <t>ks</t>
        </is>
      </c>
      <c r="G180" s="23" t="n">
        <v>1</v>
      </c>
      <c r="H180" s="10" t="n"/>
      <c r="I180" s="10" t="n"/>
      <c r="J180" s="8" t="inlineStr">
        <is>
          <t>specialista_TC_multisplit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§4 — multisplit TČ s akustikou hl. tlaku ≤49 dBA, NV 272/2011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Multisplit TČ — vnitřní jednotky</t>
        </is>
      </c>
      <c r="D181" s="20" t="inlineStr">
        <is>
          <t>733425221</t>
        </is>
      </c>
      <c r="E181" s="8" t="inlineStr">
        <is>
          <t>Multisplit TČ — 5× vnitřní jednotka v obytných místnostech (1.NP, 2.NP, 3.NP — chlazení + vytápění)</t>
        </is>
      </c>
      <c r="F181" s="20" t="inlineStr">
        <is>
          <t>ks</t>
        </is>
      </c>
      <c r="G181" s="23" t="n">
        <v>5</v>
      </c>
      <c r="H181" s="10" t="n"/>
      <c r="I181" s="10" t="n"/>
      <c r="J181" s="8" t="inlineStr">
        <is>
          <t>specialista_TC_multisplit</t>
        </is>
      </c>
      <c r="K181" s="24" t="n">
        <v>0.75</v>
      </c>
      <c r="L181" s="20" t="inlineStr">
        <is>
          <t>needs_production_lookup</t>
        </is>
      </c>
      <c r="M181" s="8" t="inlineStr">
        <is>
          <t>TZ ARS dům §4 — vnitřní jednotky multisplit, vyjasnění #6 odhad 5 ks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Revize komínu</t>
        </is>
      </c>
      <c r="D182" s="20" t="inlineStr">
        <is>
          <t>734262122</t>
        </is>
      </c>
      <c r="E182" s="8" t="inlineStr">
        <is>
          <t>Revize stávajícího komínu — kontrola, čištění, vystrojení vložkou nerez DN160 pro kamna + krb 3.NP</t>
        </is>
      </c>
      <c r="F182" s="20" t="inlineStr">
        <is>
          <t>kpl</t>
        </is>
      </c>
      <c r="G182" s="23" t="n">
        <v>1</v>
      </c>
      <c r="H182" s="10" t="n"/>
      <c r="I182" s="10" t="n"/>
      <c r="J182" s="8" t="inlineStr">
        <is>
          <t>kominik</t>
        </is>
      </c>
      <c r="K182" s="24" t="n">
        <v>0.85</v>
      </c>
      <c r="L182" s="20" t="inlineStr">
        <is>
          <t>needs_production_lookup</t>
        </is>
      </c>
      <c r="M182" s="8" t="inlineStr">
        <is>
          <t>TZ ARS dům §4 — komín stávající, vystrojení vložkou pro kamna + krb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PSV-73 Vytápění</t>
        </is>
      </c>
      <c r="C183" s="8" t="inlineStr">
        <is>
          <t>Rozvody otopné soustavy</t>
        </is>
      </c>
      <c r="D183" s="20" t="inlineStr">
        <is>
          <t>733111021</t>
        </is>
      </c>
      <c r="E183" s="8" t="inlineStr">
        <is>
          <t>Rozvody otopné soustavy Cu/PEX k vnitřním jednotkám TČ + radiátorům pro doplňkové (cca 100 bm odhad)</t>
        </is>
      </c>
      <c r="F183" s="20" t="inlineStr">
        <is>
          <t>bm</t>
        </is>
      </c>
      <c r="G183" s="22" t="n">
        <v>100</v>
      </c>
      <c r="H183" s="10" t="n"/>
      <c r="I183" s="10" t="n"/>
      <c r="J183" s="8" t="inlineStr">
        <is>
          <t>topenar</t>
        </is>
      </c>
      <c r="K183" s="24" t="n">
        <v>0.75</v>
      </c>
      <c r="L183" s="20" t="inlineStr">
        <is>
          <t>needs_production_lookup</t>
        </is>
      </c>
      <c r="M183" s="8" t="inlineStr">
        <is>
          <t>TZ ARS dům §4 — rozvody otopné soustavy</t>
        </is>
      </c>
      <c r="N183" s="20" t="inlineStr">
        <is>
          <t>#6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BOZP</t>
        </is>
      </c>
      <c r="C184" s="8" t="inlineStr">
        <is>
          <t>Koordinace BOZP</t>
        </is>
      </c>
      <c r="D184" s="20" t="inlineStr">
        <is>
          <t>030091000</t>
        </is>
      </c>
      <c r="E184" s="8" t="inlineStr">
        <is>
          <t>Koordinátor BOZP na staveništi dle zákona 309/2006 Sb. — pro stavbu s více než jedním zhotovitelem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Zákon 309/2006 Sb. — povinný BOZP koordinátor pro vícezhotovitelskou stavbu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Dokumentace</t>
        </is>
      </c>
      <c r="C185" s="8" t="inlineStr">
        <is>
          <t>Předávací protokoly + DSP</t>
        </is>
      </c>
      <c r="D185" s="20" t="inlineStr">
        <is>
          <t>030151000</t>
        </is>
      </c>
      <c r="E185" s="8" t="inlineStr">
        <is>
          <t>Předávací protokoly + Dokumentace skutečného provedení (DSP) — sestavení, vázání, dodávka 2× tiskem + elektronická verze</t>
        </is>
      </c>
      <c r="F185" s="20" t="inlineStr">
        <is>
          <t>kpl</t>
        </is>
      </c>
      <c r="G185" s="23" t="n">
        <v>1</v>
      </c>
      <c r="H185" s="10" t="n"/>
      <c r="I185" s="10" t="n"/>
      <c r="J185" s="8" t="inlineStr">
        <is>
          <t>VRN_management</t>
        </is>
      </c>
      <c r="K185" s="24" t="n">
        <v>0.99</v>
      </c>
      <c r="L185" s="20" t="inlineStr">
        <is>
          <t>needs_production_lookup</t>
        </is>
      </c>
      <c r="M185" s="8" t="inlineStr">
        <is>
          <t>Vyhláška 499/2006 Sb. + ČKAIT — DSP povinná pro kolaudaci</t>
        </is>
      </c>
      <c r="N185" s="20" t="inlineStr">
        <is>
          <t>—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Kontejnery suti tříděné</t>
        </is>
      </c>
      <c r="D186" s="20" t="inlineStr">
        <is>
          <t>997013211</t>
        </is>
      </c>
      <c r="E186" s="8" t="inlineStr">
        <is>
          <t>Kontejnery na suť tříděnou velkoobjemové (beton/cihly, dřevo, kovy, EPS, sádra, směs) — pronájem + svozy</t>
        </is>
      </c>
      <c r="F186" s="20" t="inlineStr">
        <is>
          <t>ks</t>
        </is>
      </c>
      <c r="G186" s="23" t="n">
        <v>7</v>
      </c>
      <c r="H186" s="10" t="n"/>
      <c r="I186" s="10" t="n"/>
      <c r="J186" s="8" t="inlineStr">
        <is>
          <t>bourani_demolice</t>
        </is>
      </c>
      <c r="K186" s="24" t="n">
        <v>0.85</v>
      </c>
      <c r="L186" s="20" t="inlineStr">
        <is>
          <t>needs_production_lookup</t>
        </is>
      </c>
      <c r="M186" s="8" t="inlineStr">
        <is>
          <t>TZ B m.10.e: beton/cihly 46 t + dřevo 9 t + kovy 0.1 + EPS 0.1 + sádra 0.2 + směs 1.0</t>
        </is>
      </c>
      <c r="N186" s="20" t="inlineStr">
        <is>
          <t>#9, 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Doprava materiálu</t>
        </is>
      </c>
      <c r="D187" s="20" t="inlineStr">
        <is>
          <t>031031000</t>
        </is>
      </c>
      <c r="E187" s="8" t="inlineStr">
        <is>
          <t>Doprava materiálu na stavbu (centrální koordinace) — paušál ~2-3 % z PN materiál</t>
        </is>
      </c>
      <c r="F187" s="20" t="inlineStr">
        <is>
          <t>paušál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0.8</v>
      </c>
      <c r="L187" s="20" t="inlineStr">
        <is>
          <t>needs_production_lookup</t>
        </is>
      </c>
      <c r="M187" s="8" t="inlineStr">
        <is>
          <t>B4_productivity — standard doprava RD městská zástavba</t>
        </is>
      </c>
      <c r="N187" s="20" t="inlineStr">
        <is>
          <t>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Doprava + odpad</t>
        </is>
      </c>
      <c r="C188" s="8" t="inlineStr">
        <is>
          <t>Likvidace odpadů 56.9 t</t>
        </is>
      </c>
      <c r="D188" s="20" t="inlineStr">
        <is>
          <t>997013211</t>
        </is>
      </c>
      <c r="E188" s="8" t="inlineStr">
        <is>
          <t>Likvidace stavební suti dle vyhl. 8/2021 Sb. — skládkovné + recyklace + třídění (56.9 t celkem per TZ B m.10.e)</t>
        </is>
      </c>
      <c r="F188" s="20" t="inlineStr">
        <is>
          <t>t</t>
        </is>
      </c>
      <c r="G188" s="22" t="n">
        <v>56.9</v>
      </c>
      <c r="H188" s="10" t="n"/>
      <c r="I188" s="10" t="n"/>
      <c r="J188" s="8" t="inlineStr">
        <is>
          <t>bourani_demolice</t>
        </is>
      </c>
      <c r="K188" s="24" t="n">
        <v>0.85</v>
      </c>
      <c r="L188" s="20" t="inlineStr">
        <is>
          <t>needs_production_lookup</t>
        </is>
      </c>
      <c r="M188" s="8" t="inlineStr">
        <is>
          <t>TZ B m.10.e bilance odpadů celkem dům</t>
        </is>
      </c>
      <c r="N188" s="20" t="inlineStr">
        <is>
          <t>#9, #10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Geodet</t>
        </is>
      </c>
      <c r="C189" s="8" t="inlineStr">
        <is>
          <t>Geodetické zaměření před + po realizaci</t>
        </is>
      </c>
      <c r="D189" s="20" t="inlineStr">
        <is>
          <t>030141000</t>
        </is>
      </c>
      <c r="E189" s="8" t="inlineStr">
        <is>
          <t>Geodetické zaměření před realizací (verifikace polohopis + výškopis) + po dokončení (zaměření skutečného provedení pro kolaudaci)</t>
        </is>
      </c>
      <c r="F189" s="20" t="inlineStr">
        <is>
          <t>kpl</t>
        </is>
      </c>
      <c r="G189" s="23" t="n">
        <v>2</v>
      </c>
      <c r="H189" s="10" t="n"/>
      <c r="I189" s="10" t="n"/>
      <c r="J189" s="8" t="inlineStr">
        <is>
          <t>geodet</t>
        </is>
      </c>
      <c r="K189" s="24" t="n">
        <v>0.99</v>
      </c>
      <c r="L189" s="20" t="inlineStr">
        <is>
          <t>needs_production_lookup</t>
        </is>
      </c>
      <c r="M189" s="8" t="inlineStr">
        <is>
          <t>Standard — geodet před+po pro každou stavbu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Kolaudace</t>
        </is>
      </c>
      <c r="C190" s="8" t="inlineStr">
        <is>
          <t>Kolaudační řízení</t>
        </is>
      </c>
      <c r="D190" s="20" t="inlineStr">
        <is>
          <t>030171000</t>
        </is>
      </c>
      <c r="E190" s="8" t="inlineStr">
        <is>
          <t>Kolaudační řízení — paušál (správní poplatky + součinnost) dle zákona 183/2006 Sb.</t>
        </is>
      </c>
      <c r="F190" s="20" t="inlineStr">
        <is>
          <t>paušál</t>
        </is>
      </c>
      <c r="G190" s="23" t="n">
        <v>1</v>
      </c>
      <c r="H190" s="10" t="n"/>
      <c r="I190" s="10" t="n"/>
      <c r="J190" s="8" t="inlineStr">
        <is>
          <t>VRN_management</t>
        </is>
      </c>
      <c r="K190" s="24" t="n">
        <v>0.99</v>
      </c>
      <c r="L190" s="20" t="inlineStr">
        <is>
          <t>needs_production_lookup</t>
        </is>
      </c>
      <c r="M190" s="8" t="inlineStr">
        <is>
          <t>Zákon 183/2006 Sb. + vyhl. 499/2006 Sb.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n"/>
    </row>
    <row r="191">
      <c r="A191" s="20" t="n">
        <v>190</v>
      </c>
      <c r="B191" s="8" t="inlineStr">
        <is>
          <t>VRN — Lešení</t>
        </is>
      </c>
      <c r="C191" s="8" t="inlineStr">
        <is>
          <t>Fasádní lešení (ETICS + krov + klempířina)</t>
        </is>
      </c>
      <c r="D191" s="20" t="inlineStr">
        <is>
          <t>—</t>
        </is>
      </c>
      <c r="E191" s="8" t="inlineStr">
        <is>
          <t>Fasádní lešení trubkové/rámové vč. montáže + pronájmu + demontáže — pro provedení ETICS fasády, krovu a klempířiny po obvodu domu (výška 13 m)</t>
        </is>
      </c>
      <c r="F191" s="20" t="inlineStr">
        <is>
          <t>m²</t>
        </is>
      </c>
      <c r="G191" s="22" t="n">
        <v>503.1</v>
      </c>
      <c r="H191" s="10" t="n"/>
      <c r="I191" s="10" t="n"/>
      <c r="J191" s="8" t="inlineStr">
        <is>
          <t>VRN_management</t>
        </is>
      </c>
      <c r="K191" s="24" t="n">
        <v>0.8</v>
      </c>
      <c r="L191" s="20" t="inlineStr">
        <is>
          <t>needs_production_lookup</t>
        </is>
      </c>
      <c r="M191" s="8" t="inlineStr">
        <is>
          <t>anchor checklist PM02 — technical necessity (ETICS 276.7 m² nelze provést bez lešení, 941xxx URS família) + DXF obvod 38.7 m + řez výška 13 m</t>
        </is>
      </c>
      <c r="N191" s="20" t="inlineStr">
        <is>
          <t>—</t>
        </is>
      </c>
      <c r="O191" s="26" t="inlineStr">
        <is>
          <t>ANO</t>
        </is>
      </c>
      <c r="P191" s="41" t="n"/>
      <c r="Q191" s="41" t="inlineStr">
        <is>
          <t>ANCHOR_CHECKLIST_PM02</t>
        </is>
      </c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Pojištění stavby (montážní + odpovědnostní)</t>
        </is>
      </c>
      <c r="D192" s="20" t="inlineStr">
        <is>
          <t>030081000</t>
        </is>
      </c>
      <c r="E192" s="8" t="inlineStr">
        <is>
          <t>Montážní pojištění stavby (CAR) + pojištění odpovědnosti za škodu (zhotovitel) — paušál cca 0.3-0.5 % z PN</t>
        </is>
      </c>
      <c r="F192" s="20" t="inlineStr">
        <is>
          <t>paušál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0.99</v>
      </c>
      <c r="L192" s="20" t="inlineStr">
        <is>
          <t>needs_production_lookup</t>
        </is>
      </c>
      <c r="M192" s="8" t="inlineStr">
        <is>
          <t>Standard zhotovitel — pojistná povinnost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Pojištění + zábory</t>
        </is>
      </c>
      <c r="C193" s="8" t="inlineStr">
        <is>
          <t>Krátkodobé zábory ul. Fibichova</t>
        </is>
      </c>
      <c r="D193" s="20" t="inlineStr">
        <is>
          <t>030083000</t>
        </is>
      </c>
      <c r="E193" s="8" t="inlineStr">
        <is>
          <t>Krátkodobé zábory ulice Fibichova pro materiál a kontejnery (povolení MU Jáchymov + DI) — odhad 30 dnů kumulativně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VRN_management</t>
        </is>
      </c>
      <c r="K193" s="24" t="n">
        <v>0.75</v>
      </c>
      <c r="L193" s="20" t="inlineStr">
        <is>
          <t>needs_production_lookup</t>
        </is>
      </c>
      <c r="M193" s="8" t="inlineStr">
        <is>
          <t>TZ B m.10 + situace — řadovka ul. Fibichova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n"/>
    </row>
    <row r="194">
      <c r="A194" s="20" t="n">
        <v>193</v>
      </c>
      <c r="B194" s="8" t="inlineStr">
        <is>
          <t>VRN — Průzkumy</t>
        </is>
      </c>
      <c r="C194" s="8" t="inlineStr">
        <is>
          <t>Mykologický průzkum dřeva při bourání</t>
        </is>
      </c>
      <c r="D194" s="20" t="inlineStr">
        <is>
          <t>030131000</t>
        </is>
      </c>
      <c r="E194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mykolog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ARS dům §3.2.3 + POZN.2.05 z půdorysů návrh + řez A-A návrh (explicit dřevokazný hmyz scope per drawing wording)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inlineStr">
        <is>
          <t>PER_DRAWING_ENRICHMENT_POZN_2_05</t>
        </is>
      </c>
    </row>
    <row r="195">
      <c r="A195" s="20" t="n">
        <v>194</v>
      </c>
      <c r="B195" s="8" t="inlineStr">
        <is>
          <t>VRN — Průzkumy</t>
        </is>
      </c>
      <c r="C195" s="8" t="inlineStr">
        <is>
          <t>Azbestový průzkum podrobný před demolicí</t>
        </is>
      </c>
      <c r="D195" s="20" t="inlineStr">
        <is>
          <t>030133000</t>
        </is>
      </c>
      <c r="E195" s="8" t="inlineStr">
        <is>
          <t>Azbestový průzkum podrobný před demolicí — laboratorní vzorky a posudek (B kap. m.7.a předběžně negativní, ale podrobný před bouráním povinný)</t>
        </is>
      </c>
      <c r="F195" s="20" t="inlineStr">
        <is>
          <t>kpl</t>
        </is>
      </c>
      <c r="G195" s="23" t="n">
        <v>1</v>
      </c>
      <c r="H195" s="10" t="n"/>
      <c r="I195" s="10" t="n"/>
      <c r="J195" s="8" t="inlineStr">
        <is>
          <t>azbestovy_specialista</t>
        </is>
      </c>
      <c r="K195" s="24" t="n">
        <v>0.85</v>
      </c>
      <c r="L195" s="20" t="inlineStr">
        <is>
          <t>needs_production_lookup</t>
        </is>
      </c>
      <c r="M195" s="8" t="inlineStr">
        <is>
          <t>TZ B m.7.a + ARS §3.2 — azbestový průzkum povinný před demolicí</t>
        </is>
      </c>
      <c r="N195" s="20" t="inlineStr">
        <is>
          <t>#10</t>
        </is>
      </c>
      <c r="O195" s="26" t="inlineStr">
        <is>
          <t>ANO</t>
        </is>
      </c>
      <c r="P195" s="41" t="n"/>
      <c r="Q195" s="41" t="n"/>
    </row>
    <row r="196">
      <c r="A196" s="20" t="n">
        <v>195</v>
      </c>
      <c r="B196" s="8" t="inlineStr">
        <is>
          <t>VRN — Přesun hmot</t>
        </is>
      </c>
      <c r="C196" s="8" t="inlineStr">
        <is>
          <t>Přesun hmot pro budovu</t>
        </is>
      </c>
      <c r="D196" s="20" t="inlineStr">
        <is>
          <t>—</t>
        </is>
      </c>
      <c r="E196" s="8" t="inlineStr">
        <is>
          <t>Přesun hmot pro budovu — vnitrostaveništní vertikální + horizontální doprava materiálu a hmot (rekonstrukce vícepodlažní RD + nástavba 3.NP)</t>
        </is>
      </c>
      <c r="F196" s="20" t="inlineStr">
        <is>
          <t>t</t>
        </is>
      </c>
      <c r="G196" s="22" t="n">
        <v>0</v>
      </c>
      <c r="H196" s="10" t="n"/>
      <c r="I196" s="10" t="n"/>
      <c r="J196" s="8" t="inlineStr">
        <is>
          <t>VRN_management</t>
        </is>
      </c>
      <c r="K196" s="24" t="n">
        <v>0.6</v>
      </c>
      <c r="L196" s="20" t="inlineStr">
        <is>
          <t>needs_production_lookup</t>
        </is>
      </c>
      <c r="M196" s="8" t="inlineStr">
        <is>
          <t>anchor checklist PM01 — technical necessity (povinná položka každého rozpočtu, 998xxx URS família)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inlineStr">
        <is>
          <t>ANCHOR_CHECKLIST_PM01</t>
        </is>
      </c>
    </row>
    <row r="197">
      <c r="A197" s="20" t="n">
        <v>196</v>
      </c>
      <c r="B197" s="8" t="inlineStr">
        <is>
          <t>VRN — Revize</t>
        </is>
      </c>
      <c r="C197" s="8" t="inlineStr">
        <is>
          <t>Revize hydrantu vnějšího</t>
        </is>
      </c>
      <c r="D197" s="20" t="inlineStr">
        <is>
          <t>030161000</t>
        </is>
      </c>
      <c r="E197" s="8" t="inlineStr">
        <is>
          <t>Revize vnějšího hydrantu pro požární zabezpečení (DN min. 80, vzdálenost 100 m dle TZ PBŘ) — periodická kontrola</t>
        </is>
      </c>
      <c r="F197" s="20" t="inlineStr">
        <is>
          <t>kpl</t>
        </is>
      </c>
      <c r="G197" s="23" t="n">
        <v>1</v>
      </c>
      <c r="H197" s="10" t="n"/>
      <c r="I197" s="10" t="n"/>
      <c r="J197" s="8" t="inlineStr">
        <is>
          <t>revize_specialista</t>
        </is>
      </c>
      <c r="K197" s="24" t="n">
        <v>0.85</v>
      </c>
      <c r="L197" s="20" t="inlineStr">
        <is>
          <t>needs_production_lookup</t>
        </is>
      </c>
      <c r="M197" s="8" t="inlineStr">
        <is>
          <t>TZ PBŘ dům — vnější odběrné místo požární vody, revize před kolaudací</t>
        </is>
      </c>
      <c r="N197" s="20" t="inlineStr">
        <is>
          <t>—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Buňky kancelář + sociální</t>
        </is>
      </c>
      <c r="D198" s="20" t="inlineStr">
        <is>
          <t>030011000</t>
        </is>
      </c>
      <c r="E198" s="8" t="inlineStr">
        <is>
          <t>Zařízení staveniště — buňka kancelář + sociální buňka (WC + šatna), pronájem ~8 měsíců</t>
        </is>
      </c>
      <c r="F198" s="20" t="inlineStr">
        <is>
          <t>kpl-měs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TZ B m.1.m realizace 2026-2027 + standard staveniště RD městská zástavba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Mobilní WC</t>
        </is>
      </c>
      <c r="D199" s="20" t="inlineStr">
        <is>
          <t>030013000</t>
        </is>
      </c>
      <c r="E199" s="8" t="inlineStr">
        <is>
          <t>Mobilní chemické WC TOI TOI pro pracovníky — pronájem ~8 měsíců</t>
        </is>
      </c>
      <c r="F199" s="20" t="inlineStr">
        <is>
          <t>ks-měs</t>
        </is>
      </c>
      <c r="G199" s="23" t="n">
        <v>8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BOZP — mobilní WC povinné pro stavbu RD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El. odběr + vodovodní odběr stavby</t>
        </is>
      </c>
      <c r="D200" s="20" t="inlineStr">
        <is>
          <t>031011000</t>
        </is>
      </c>
      <c r="E200" s="8" t="inlineStr">
        <is>
          <t>El. odběr stavby (zřízení staveništního rozvaděče + měřič) + vodovodní odběr (zřízení staveništní přípojky + vodoměr) — ~8 měsíců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0.8</v>
      </c>
      <c r="L200" s="20" t="inlineStr">
        <is>
          <t>needs_production_lookup</t>
        </is>
      </c>
      <c r="M200" s="8" t="inlineStr">
        <is>
          <t>Standard staveniště — el. + voda zřízení a odběr po dobu stavby</t>
        </is>
      </c>
      <c r="N200" s="20" t="inlineStr">
        <is>
          <t>#10</t>
        </is>
      </c>
      <c r="O200" s="26" t="inlineStr">
        <is>
          <t>ANO</t>
        </is>
      </c>
      <c r="P200" s="41" t="n"/>
      <c r="Q200" s="41" t="n"/>
    </row>
    <row r="201">
      <c r="A201" s="20" t="n">
        <v>200</v>
      </c>
      <c r="B201" s="8" t="inlineStr">
        <is>
          <t>VRN — Zařízení staveniště</t>
        </is>
      </c>
      <c r="C201" s="8" t="inlineStr">
        <is>
          <t>Voda staveniště</t>
        </is>
      </c>
      <c r="D201" s="20" t="inlineStr">
        <is>
          <t>012103101</t>
        </is>
      </c>
      <c r="E201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1" s="20" t="inlineStr">
        <is>
          <t>kpl</t>
        </is>
      </c>
      <c r="G201" s="23" t="n">
        <v>1</v>
      </c>
      <c r="H201" s="10" t="n"/>
      <c r="I201" s="10" t="n"/>
      <c r="J201" s="8" t="inlineStr">
        <is>
          <t>VRN_management</t>
        </is>
      </c>
      <c r="K201" s="24" t="n">
        <v>0.9</v>
      </c>
      <c r="L201" s="20" t="inlineStr">
        <is>
          <t>needs_production_lookup</t>
        </is>
      </c>
      <c r="M201" s="8" t="inlineStr">
        <is>
          <t>TZ B Souhrnná m.5 — 'Stávající vodovodní přípojka z veřejného vodovodu'</t>
        </is>
      </c>
      <c r="N201" s="20" t="inlineStr">
        <is>
          <t>—</t>
        </is>
      </c>
      <c r="O201" s="26" t="inlineStr">
        <is>
          <t>ANO</t>
        </is>
      </c>
      <c r="P201" s="41" t="n"/>
      <c r="Q201" s="41" t="inlineStr">
        <is>
          <t>GAP_003</t>
        </is>
      </c>
    </row>
  </sheetData>
  <autoFilter ref="A1:O201"/>
  <conditionalFormatting sqref="K2:K201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2026-06-01T09:16:12Z</dcterms:created>
  <dcterms:modified xmlns:dcterms="http://purl.org/dc/terms/" xmlns:xsi="http://www.w3.org/2001/XMLSchema-instance" xsi:type="dcterms:W3CDTF">2026-06-01T09:16:12Z</dcterms:modified>
</cp:coreProperties>
</file>
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'Var_C_Hybrid'!$A$1:$J$131</definedName>
    <definedName name="_xlnm._FilterDatabase" localSheetId="4" hidden="1">'Var_B_Polozkovy_Dum'!$A$1:$O$202</definedName>
    <definedName name="_xlnm._FilterDatabase" localSheetId="5" hidden="1">'Var_B_Polozkovy_Sklad'!$A$1:$O$32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(117 ks) + PSV/TZB/VRN agregovaně (13 skupin) = 130 řádků.</t>
        </is>
      </c>
      <c r="C24" s="9" t="n">
        <v>130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+ 31 sklad = 232 položek). Cílový rozsah pro produkční pricing.</t>
        </is>
      </c>
      <c r="C25" s="9" t="n">
        <v>232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232 (201 dum + 31 sklad)</t>
        </is>
      </c>
    </row>
    <row r="32">
      <c r="A32" s="4" t="inlineStr">
        <is>
          <t>Gate distribution</t>
        </is>
      </c>
      <c r="B32" s="5" t="inlineStr">
        <is>
          <t>HSV 117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34 | 0.85: 41 | 0.80: 21 | 0.75: 71 | 0.70: 4 | 0.60: 3 | 0.50: 4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(2.2 %) ⚠ | 155 needs_production_lookup (66.8 %)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31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232 položek celkem (201 dum + 31 sklad), 4 corpus patterns aplikované, zero-fabrication policy.
Confidence distribution: 17×0.99 · 32×0.95 · 34×0.90 · 41×0.85 · 21×0.80 · 71×0.75 · 4×0.70 · 3×0.60 · 4×0.50 · 5×0.00.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(aktualizováno 2026-05-30)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232 (201 dům + 31 sklad) — vč. CEV +3 (komín/zídky/drenáž), anchor-gap +2 (přesun hmot/lešení), terasa-area fix + venkovní schody na terénu. 69 items s realizuje_skladbu.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23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23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23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23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8" s="20" t="inlineStr">
        <is>
          <t>m²</t>
        </is>
      </c>
      <c r="F118" s="22" t="n"/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21" t="inlineStr">
        <is>
          <t>PSV-76 — Výplně otvorů + klempířina + zámečnictví + truhlář</t>
        </is>
      </c>
      <c r="D119" s="8" t="inlineStr">
        <is>
          <t>[agregát] 2 položek: Bezpečnostní dveře RC3 sklad; Vjezdová brána</t>
        </is>
      </c>
      <c r="E119" s="20" t="inlineStr">
        <is>
          <t>kpl</t>
        </is>
      </c>
      <c r="F119" s="9" t="n">
        <v>1</v>
      </c>
      <c r="G119" s="10" t="n"/>
      <c r="H119" s="10" t="n"/>
      <c r="I119" s="8" t="inlineStr">
        <is>
          <t>—</t>
        </is>
      </c>
      <c r="J119" s="8" t="inlineStr">
        <is>
          <t>agregát</t>
        </is>
      </c>
    </row>
    <row r="120">
      <c r="A120" s="20" t="n">
        <v>119</v>
      </c>
      <c r="B120" s="20" t="inlineStr">
        <is>
          <t>260217_sklad</t>
        </is>
      </c>
      <c r="C120" s="21" t="inlineStr">
        <is>
          <t>PSV-77 — Podlahy</t>
        </is>
      </c>
      <c r="D120" s="8" t="inlineStr">
        <is>
          <t>[agregát] 1 položek: Betonová dlažba sklad</t>
        </is>
      </c>
      <c r="E120" s="20" t="inlineStr">
        <is>
          <t>kpl</t>
        </is>
      </c>
      <c r="F120" s="9" t="n">
        <v>1</v>
      </c>
      <c r="G120" s="10" t="n"/>
      <c r="H120" s="10" t="n"/>
      <c r="I120" s="8" t="inlineStr">
        <is>
          <t>—</t>
        </is>
      </c>
      <c r="J120" s="8" t="inlineStr">
        <is>
          <t>agregát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VRN — Vedlejší rozpočtové náklady</t>
        </is>
      </c>
      <c r="D121" s="8" t="inlineStr">
        <is>
          <t>[agregát] 5 položek: Doprava prefa H-BLOK auto s hyd. rukou; Likvidace odpadu sklad; Geodetické vytýčení sklad; … (+2 dalších)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260219_dum</t>
        </is>
      </c>
      <c r="C122" s="21" t="inlineStr">
        <is>
          <t>M-21 — Elektroinstalace silnoproudá</t>
        </is>
      </c>
      <c r="D122" s="8" t="inlineStr">
        <is>
          <t>[agregát] 8 položek: Demontáž stávající ELI; Pojistková skříň + 3× podružný rozvaděč; Rozvody silnoproud; … (+5 dalších)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260219_dum</t>
        </is>
      </c>
      <c r="C123" s="21" t="inlineStr">
        <is>
          <t>M-24</t>
        </is>
      </c>
      <c r="D123" s="8" t="inlineStr">
        <is>
          <t>[agregát] 1 položek: Lokální odtah digestoří kuchyní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PSV-71 — Izolace HI + TI</t>
        </is>
      </c>
      <c r="D124" s="8" t="inlineStr">
        <is>
          <t>[agregát] 5 položek: HI pod ŽB deskou 1.NP; Odvětrání radonu z podloží; HI koupelny 1.NP + 2.NP + 3.NP; … (+2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PSV-72 — ZTI (vodovod + kanalizace + sanita)</t>
        </is>
      </c>
      <c r="D125" s="8" t="inlineStr">
        <is>
          <t>[agregát] 19 položek: Revize stávajících přípojek; Nové rozvody vody do 3.NP; Nové odpadní rozvody; … (+16 dalších)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PSV-73 — Vytápění + komín</t>
        </is>
      </c>
      <c r="D126" s="8" t="inlineStr">
        <is>
          <t>[agregát] 8 položek: Sporáková kamna na tuhá paliva; Sporáková kamna — montáž; Elektrokotel 3.NP; … (+5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PSV-76 — Výplně otvorů + klempířina + zámečnictví + truhlář</t>
        </is>
      </c>
      <c r="D127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PSV-77 — Podlahy</t>
        </is>
      </c>
      <c r="D128" s="8" t="inlineStr">
        <is>
          <t>[agregát] 7 položek: Nášlap vinyl obytné místnosti; Nášlap keramická dlažba — mokré zóny; Nášlap keramická dlažba — 1.PP sklep; … (+4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PSV-78 — Povrchové úpravy</t>
        </is>
      </c>
      <c r="D129" s="8" t="inlineStr">
        <is>
          <t>[agregát] 16 položek: Omítka jádrová + štuk 1.PP; Omítka jádrová + štuk 1.NP; Omítka jádrová + štuk 2.NP; … (+13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PSV-95 — Detekce požární</t>
        </is>
      </c>
      <c r="D130" s="8" t="inlineStr">
        <is>
          <t>[agregát] 3 položek: Autonomní hlásič kouře; Přenosný hasicí přístroj 34A; Předávací protokol krbu + kontrola bezpečných vzdáleností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VRN — Vedlejší rozpočtové náklady</t>
        </is>
      </c>
      <c r="D131" s="8" t="inlineStr">
        <is>
          <t>[agregát] 18 položek: Buňky kancelář + sociální; Mobilní WC; El. odběr + vodovodní odběr stavby; … (+15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</sheetData>
  <autoFilter ref="A1:J1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23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SKLADBY_GAPS_2026-06-01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23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SKLADBY_GAPS_2026-06-01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23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SKLADBY_GAPS_2026-06-01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23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SKLADBY_GAPS_2026-06-01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  <c r="P93" s="41" t="inlineStr">
        <is>
          <t>S01, S12a</t>
        </is>
      </c>
      <c r="Q93" s="41" t="n"/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S12a, S12b</t>
        </is>
      </c>
      <c r="Q95" s="41" t="inlineStr">
        <is>
          <t>SOKL_RECONCILE_2026-06-01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  <c r="P96" s="41" t="n"/>
      <c r="Q96" s="41" t="inlineStr">
        <is>
          <t>URS_PHASE5B_FAMILY_VERIFIED; 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  <c r="P97" s="41" t="n"/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  <c r="P100" s="41" t="inlineStr">
        <is>
          <t>S09</t>
        </is>
      </c>
      <c r="Q100" s="41" t="inlineStr">
        <is>
          <t>D2_KROCEJOVA_30_to_40_2026-06-01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inlineStr">
        <is>
          <t>URS_PHASE5B_FAMILY_VERIFIED_CHAPTER_MATCH</t>
        </is>
      </c>
      <c r="R10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REZ_CC_TERASA_FIX_2026-05-29; SITUACE_AREA_FIX_2026-05-29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inlineStr">
        <is>
          <t>GAP_008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GAP_004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  <c r="P119" s="41" t="n"/>
      <c r="Q119" s="41" t="inlineStr">
        <is>
          <t>URS_PHASE5B_FAMILY_VERIFIED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  <c r="P123" s="41" t="n"/>
      <c r="Q123" s="41" t="inlineStr">
        <is>
          <t>URS_PHASE5B_FAMILY_VERIFIED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inlineStr">
        <is>
          <t>GAP_007_deprecated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URS_PHASE5B_FAMILY_VERIFIED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n"/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  <c r="P148" s="41" t="inlineStr"/>
      <c r="Q148" s="41" t="inlineStr">
        <is>
          <t>DODATEK_PBR_GAPS_2026-06-01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  <c r="P156" s="41" t="n"/>
      <c r="Q156" s="41" t="inlineStr">
        <is>
          <t>URS_PHASE5B_FAMILY_VERIFIED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inlineStr">
        <is>
          <t>GAP_005_deprecated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  <c r="P160" s="41" t="n"/>
      <c r="Q160" s="41" t="inlineStr">
        <is>
          <t>GAP_005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inlineStr">
        <is>
          <t>GAP_005_deprecated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inlineStr">
        <is>
          <t>GAP_005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inlineStr">
        <is>
          <t>GAP_005_deprecated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  <c r="P168" s="41" t="n"/>
      <c r="Q168" s="41" t="inlineStr">
        <is>
          <t>GAP_005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inlineStr">
        <is>
          <t>ANCHOR_CHECKLIST_PM02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  <c r="P191" s="41" t="n"/>
      <c r="Q191" s="41" t="n"/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inlineStr">
        <is>
          <t>PER_DRAWING_ENRICHMENT_POZN_2_05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n"/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  <c r="P195" s="41" t="n"/>
      <c r="Q195" s="41" t="inlineStr">
        <is>
          <t>ANCHOR_CHECKLIST_PM01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n"/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  <c r="P200" s="41" t="n"/>
      <c r="Q200" s="41" t="inlineStr">
        <is>
          <t>GAP_003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  <c r="P201" s="41" t="inlineStr"/>
      <c r="Q201" s="41" t="inlineStr">
        <is>
          <t>DODATEK_PBR_GAPS_2026-06-01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7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HSV-5 Komunikace + vjezd</t>
        </is>
      </c>
      <c r="C24" s="8" t="inlineStr">
        <is>
          <t>Vjezd Dvořákova — napojení na komunikaci</t>
        </is>
      </c>
      <c r="D24" s="20" t="inlineStr">
        <is>
          <t>—</t>
        </is>
      </c>
      <c r="E24" s="8" t="inlineStr">
        <is>
          <t>Napojení vjezdu na ulici Dvořákova — vydláždění z betonových dlaždic + spádování na pozemek investora + odvodnění dešťové vody na pozemek (ne na komunikaci)</t>
        </is>
      </c>
      <c r="F24" s="20" t="inlineStr">
        <is>
          <t>m²</t>
        </is>
      </c>
      <c r="G24" s="22" t="n"/>
      <c r="H24" s="10" t="n"/>
      <c r="I24" s="10" t="n"/>
      <c r="J24" s="8" t="inlineStr">
        <is>
          <t>komunikace</t>
        </is>
      </c>
      <c r="K24" s="24" t="n">
        <v>0</v>
      </c>
      <c r="L24" s="20" t="inlineStr">
        <is>
          <t>needs_production_lookup</t>
        </is>
      </c>
      <c r="M24" s="8" t="inlineStr">
        <is>
          <t>Dodatek PD č.1 (E.01) / DI PČR požadavek</t>
        </is>
      </c>
      <c r="N24" s="20" t="inlineStr">
        <is>
          <t>—</t>
        </is>
      </c>
      <c r="O24" s="26" t="inlineStr">
        <is>
          <t>ANO</t>
        </is>
      </c>
      <c r="P24" s="41" t="inlineStr"/>
      <c r="Q24" s="41" t="inlineStr">
        <is>
          <t>DODATEK_PBR_GAPS_2026-06-01</t>
        </is>
      </c>
    </row>
    <row r="25">
      <c r="A25" s="20" t="n">
        <v>24</v>
      </c>
      <c r="B25" s="8" t="inlineStr">
        <is>
          <t>PSV-76 Výplně otvorů</t>
        </is>
      </c>
      <c r="C25" s="8" t="inlineStr">
        <is>
          <t>Bezpečnostní dveře RC3 sklad</t>
        </is>
      </c>
      <c r="D25" s="20" t="inlineStr">
        <is>
          <t>766682111</t>
        </is>
      </c>
      <c r="E25" s="8" t="inlineStr">
        <is>
          <t>Bezpečnostní dveře RC3 v ocelové zárubni — vrata skladu (TZ statika §1.4 RC3 certifikované)</t>
        </is>
      </c>
      <c r="F25" s="20" t="inlineStr">
        <is>
          <t>ks</t>
        </is>
      </c>
      <c r="G25" s="23" t="n">
        <v>1</v>
      </c>
      <c r="H25" s="10" t="n"/>
      <c r="I25" s="10" t="n"/>
      <c r="J25" s="8" t="inlineStr">
        <is>
          <t>specialista_RC3_dvere</t>
        </is>
      </c>
      <c r="K25" s="24" t="n">
        <v>0.85</v>
      </c>
      <c r="L25" s="20" t="inlineStr">
        <is>
          <t>needs_production_lookup</t>
        </is>
      </c>
      <c r="M25" s="8" t="inlineStr">
        <is>
          <t>TZ statika sklad §1.4 — RC3 bezpečnostní dveře v ocelové zárubni</t>
        </is>
      </c>
      <c r="N25" s="20" t="inlineStr">
        <is>
          <t>—</t>
        </is>
      </c>
      <c r="O25" s="26" t="inlineStr">
        <is>
          <t>ANO</t>
        </is>
      </c>
      <c r="P25" s="41" t="n"/>
      <c r="Q25" s="41" t="n"/>
    </row>
    <row r="26">
      <c r="A26" s="20" t="n">
        <v>25</v>
      </c>
      <c r="B26" s="8" t="inlineStr">
        <is>
          <t>PSV-76 Zámečnictví</t>
        </is>
      </c>
      <c r="C26" s="8" t="inlineStr">
        <is>
          <t>Vjezdová brána</t>
        </is>
      </c>
      <c r="D26" s="20" t="inlineStr">
        <is>
          <t>—</t>
        </is>
      </c>
      <c r="E26" s="8" t="inlineStr">
        <is>
          <t>Vjezdová brána na pozemku investora (ocelová) — dodávka + montáž</t>
        </is>
      </c>
      <c r="F26" s="20" t="inlineStr">
        <is>
          <t>ks</t>
        </is>
      </c>
      <c r="G26" s="23" t="n">
        <v>1</v>
      </c>
      <c r="H26" s="10" t="n"/>
      <c r="I26" s="10" t="n"/>
      <c r="J26" s="8" t="inlineStr">
        <is>
          <t>zamecnik</t>
        </is>
      </c>
      <c r="K26" s="24" t="n">
        <v>0.6</v>
      </c>
      <c r="L26" s="20" t="inlineStr">
        <is>
          <t>needs_production_lookup</t>
        </is>
      </c>
      <c r="M26" s="8" t="inlineStr">
        <is>
          <t>Dodatek PD č.1 (E.01)</t>
        </is>
      </c>
      <c r="N26" s="20" t="inlineStr">
        <is>
          <t>—</t>
        </is>
      </c>
      <c r="O26" s="26" t="inlineStr">
        <is>
          <t>ANO</t>
        </is>
      </c>
      <c r="P26" s="41" t="inlineStr"/>
      <c r="Q26" s="41" t="inlineStr">
        <is>
          <t>DODATEK_PBR_GAPS_2026-06-01</t>
        </is>
      </c>
    </row>
    <row r="27">
      <c r="A27" s="20" t="n">
        <v>26</v>
      </c>
      <c r="B27" s="8" t="inlineStr">
        <is>
          <t>PSV-77 Podlahy</t>
        </is>
      </c>
      <c r="C27" s="8" t="inlineStr">
        <is>
          <t>Betonová dlažba sklad</t>
        </is>
      </c>
      <c r="D27" s="27" t="inlineStr">
        <is>
          <t>596??? ?</t>
        </is>
      </c>
      <c r="E27" s="8" t="inlineStr">
        <is>
          <t>Betonová dlažba do pískového lože — povrch podlahy skladu (~21 m²)</t>
        </is>
      </c>
      <c r="F27" s="20" t="inlineStr">
        <is>
          <t>m²</t>
        </is>
      </c>
      <c r="G27" s="22" t="n">
        <v>17.6</v>
      </c>
      <c r="H27" s="10" t="n"/>
      <c r="I27" s="10" t="n"/>
      <c r="J27" s="8" t="inlineStr">
        <is>
          <t>podlahar</t>
        </is>
      </c>
      <c r="K27" s="24" t="n">
        <v>0.95</v>
      </c>
      <c r="L27" s="20" t="inlineStr">
        <is>
          <t>wrong_leaf_disambiguation_needed</t>
        </is>
      </c>
      <c r="M27" s="8" t="inlineStr">
        <is>
          <t>DXF sklad_DPZ km_tabulka místností + Phase 3.5 sklad qty crosscheck (Pattern 17 Phase 0a Layer 2 + Pattern 31 CEV Matrix D.2)</t>
        </is>
      </c>
      <c r="N27" s="20" t="inlineStr">
        <is>
          <t>—</t>
        </is>
      </c>
      <c r="O27" s="28" t="inlineStr">
        <is>
          <t>LEAF CHYBNÝ — viz alternatives</t>
        </is>
      </c>
      <c r="P27" s="41" t="inlineStr">
        <is>
          <t>S01_sklad</t>
        </is>
      </c>
      <c r="Q27" s="41" t="inlineStr">
        <is>
          <t>PHASE_3_5_SKLAD_QTY_DXF_VERIFY</t>
        </is>
      </c>
    </row>
    <row r="28">
      <c r="A28" s="20" t="n">
        <v>27</v>
      </c>
      <c r="B28" s="8" t="inlineStr">
        <is>
          <t>VRN — Doprava + odpad</t>
        </is>
      </c>
      <c r="C28" s="8" t="inlineStr">
        <is>
          <t>Doprava prefa H-BLOK auto s hyd. rukou</t>
        </is>
      </c>
      <c r="D28" s="20" t="inlineStr">
        <is>
          <t>031032000</t>
        </is>
      </c>
      <c r="E28" s="8" t="inlineStr">
        <is>
          <t>Doprava prefa H-BLOK Standard z výrobny Herkul (Obrnice) auto s hydraulickou rukou — celkem ~60 ks bloků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prefa_bloky_specialista</t>
        </is>
      </c>
      <c r="K28" s="24" t="n">
        <v>0.85</v>
      </c>
      <c r="L28" s="20" t="inlineStr">
        <is>
          <t>needs_production_lookup</t>
        </is>
      </c>
      <c r="M28" s="8" t="inlineStr">
        <is>
          <t>TZ statika sklad §4 + ARS — auto s hyd. rukou pro osazení H-BLOK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Doprava + odpad</t>
        </is>
      </c>
      <c r="C29" s="8" t="inlineStr">
        <is>
          <t>Likvidace odpadu sklad</t>
        </is>
      </c>
      <c r="D29" s="20" t="inlineStr">
        <is>
          <t>997013211</t>
        </is>
      </c>
      <c r="E29" s="8" t="inlineStr">
        <is>
          <t>Likvidace odpadu sklad — kameny ze zídek + výkop + dřevo (drobné množství)</t>
        </is>
      </c>
      <c r="F29" s="20" t="inlineStr">
        <is>
          <t>t</t>
        </is>
      </c>
      <c r="G29" s="22" t="n">
        <v>8</v>
      </c>
      <c r="H29" s="10" t="n"/>
      <c r="I29" s="10" t="n"/>
      <c r="J29" s="8" t="inlineStr">
        <is>
          <t>bourani_demolice</t>
        </is>
      </c>
      <c r="K29" s="24" t="n">
        <v>0.75</v>
      </c>
      <c r="L29" s="20" t="inlineStr">
        <is>
          <t>needs_production_lookup</t>
        </is>
      </c>
      <c r="M29" s="8" t="inlineStr">
        <is>
          <t>TZ ARS sklad §3 — kamenné zídky + schodiště odstraneny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  <row r="30">
      <c r="A30" s="20" t="n">
        <v>29</v>
      </c>
      <c r="B30" s="8" t="inlineStr">
        <is>
          <t>VRN — Geodet</t>
        </is>
      </c>
      <c r="C30" s="8" t="inlineStr">
        <is>
          <t>Geodetické vytýčení sklad</t>
        </is>
      </c>
      <c r="D30" s="20" t="inlineStr">
        <is>
          <t>030141000</t>
        </is>
      </c>
      <c r="E30" s="8" t="inlineStr">
        <is>
          <t>Geodetické vytýčení sklad+parking+schodiště ze situace (před realizací)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geodet</t>
        </is>
      </c>
      <c r="K30" s="24" t="n">
        <v>0.99</v>
      </c>
      <c r="L30" s="20" t="inlineStr">
        <is>
          <t>needs_production_lookup</t>
        </is>
      </c>
      <c r="M30" s="8" t="inlineStr">
        <is>
          <t>Standard — geodet vytýčení pro každý nový objekt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n"/>
    </row>
    <row r="31">
      <c r="A31" s="20" t="n">
        <v>30</v>
      </c>
      <c r="B31" s="8" t="inlineStr">
        <is>
          <t>VRN — Geodet / PČR</t>
        </is>
      </c>
      <c r="C31" s="8" t="inlineStr">
        <is>
          <t>Rozhledové trojúhelníky — vytyčení + kontrola</t>
        </is>
      </c>
      <c r="D31" s="20" t="inlineStr">
        <is>
          <t>—</t>
        </is>
      </c>
      <c r="E31" s="8" t="inlineStr">
        <is>
          <t>Vytyčení + kontrola rozhledových trojúhelníků (Vn=40 km/h, Dz=25 m) dle požadavku DI PČR</t>
        </is>
      </c>
      <c r="F31" s="20" t="inlineStr">
        <is>
          <t>soubor</t>
        </is>
      </c>
      <c r="G31" s="23" t="n">
        <v>1</v>
      </c>
      <c r="H31" s="10" t="n"/>
      <c r="I31" s="10" t="n"/>
      <c r="J31" s="8" t="inlineStr">
        <is>
          <t>geodet</t>
        </is>
      </c>
      <c r="K31" s="24" t="n">
        <v>0.7</v>
      </c>
      <c r="L31" s="20" t="inlineStr">
        <is>
          <t>needs_production_lookup</t>
        </is>
      </c>
      <c r="M31" s="8" t="inlineStr">
        <is>
          <t>Dodatek PD č.1 (E.01) / DI PČR</t>
        </is>
      </c>
      <c r="N31" s="20" t="inlineStr">
        <is>
          <t>—</t>
        </is>
      </c>
      <c r="O31" s="26" t="inlineStr">
        <is>
          <t>ANO</t>
        </is>
      </c>
      <c r="P31" s="41" t="inlineStr"/>
      <c r="Q31" s="41" t="inlineStr">
        <is>
          <t>DODATEK_PBR_GAPS_2026-06-01</t>
        </is>
      </c>
    </row>
    <row r="32">
      <c r="A32" s="20" t="n">
        <v>31</v>
      </c>
      <c r="B32" s="8" t="inlineStr">
        <is>
          <t>VRN — Společné</t>
        </is>
      </c>
      <c r="C32" s="8" t="inlineStr">
        <is>
          <t>Podíl na obecných VRN dům</t>
        </is>
      </c>
      <c r="D32" s="20" t="inlineStr">
        <is>
          <t>030001000</t>
        </is>
      </c>
      <c r="E32" s="8" t="inlineStr">
        <is>
          <t>Podíl na obecných VRN domu (buňky, BOZP, pojištění, kolaudace) — paušál ~10 % nákladů sklad nebo % alokace</t>
        </is>
      </c>
      <c r="F32" s="20" t="inlineStr">
        <is>
          <t>paušál</t>
        </is>
      </c>
      <c r="G32" s="23" t="n">
        <v>1</v>
      </c>
      <c r="H32" s="10" t="n"/>
      <c r="I32" s="10" t="n"/>
      <c r="J32" s="8" t="inlineStr">
        <is>
          <t>VRN_management</t>
        </is>
      </c>
      <c r="K32" s="24" t="n">
        <v>0.8</v>
      </c>
      <c r="L32" s="20" t="inlineStr">
        <is>
          <t>needs_production_lookup</t>
        </is>
      </c>
      <c r="M32" s="8" t="inlineStr">
        <is>
          <t>Standard zhotovitel — alokace VRN pro paralelně realizovaný sklad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n"/>
    </row>
  </sheetData>
  <autoFilter ref="A1:O32"/>
  <conditionalFormatting sqref="K2:K3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</t>
        </is>
      </c>
      <c r="F28" s="44" t="inlineStr">
        <is>
          <t>17.60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</t>
        </is>
      </c>
      <c r="F30" s="44" t="inlineStr">
        <is>
          <t>46.50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46.50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</t>
        </is>
      </c>
      <c r="F32" s="44" t="inlineStr">
        <is>
          <t>—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2026-06-01T11:47:36Z</dcterms:created>
  <dcterms:modified xmlns:dcterms="http://purl.org/dc/terms/" xmlns:xsi="http://www.w3.org/2001/XMLSchema-instance" xsi:type="dcterms:W3CDTF">2026-06-01T11:47:38Z</dcterms:modified>
</cp:coreProperties>
</file>
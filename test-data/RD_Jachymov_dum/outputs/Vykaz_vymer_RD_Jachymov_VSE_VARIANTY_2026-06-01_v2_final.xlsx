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'Var_B_Polozkovy_Dum'!$A$1:$O$204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(203 dum + 31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(203 dum + 31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72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156 needs_production_lookup (66.7 %)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29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(203 dum + 31 sklad), 4 corpus patterns aplikované, zero-fabrication policy.
Confidence distribution: 17×0.99 · 32×0.95 · 35×0.90 · 41×0.85 · 21×0.80 · 72×0.75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234 (203 dům + 31 sklad) — vč. CEV +3 (komín/zídky/drenáž), anchor-gap +2 (přesun hmot/lešení), terasa-area fix + venkovní schody na terénu. 70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HSV-5 Komunikace + vjezd</t>
        </is>
      </c>
      <c r="D120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20" s="20" t="inlineStr">
        <is>
          <t>m²</t>
        </is>
      </c>
      <c r="F120" s="22" t="n"/>
      <c r="G120" s="10" t="n"/>
      <c r="H120" s="10" t="n"/>
      <c r="I120" s="8" t="inlineStr">
        <is>
          <t>komunikace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  <c r="P82" s="41" t="n"/>
      <c r="Q82" s="41" t="n"/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GAP_002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PER_DRAWING_GAP_POZN_1_02; URS_PHASE5B_FAMILY_VERIFIED; CHATGPT_KOMIN_QTY_FIX_2026-05-29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  <c r="P87" s="41" t="n"/>
      <c r="Q87" s="41" t="inlineStr">
        <is>
          <t>PER_DRAWING_GAP_POZN_1_03; URS_PHASE5B_FAMILY_VERIFIED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  <c r="P91" s="41" t="inlineStr">
        <is>
          <t>S03</t>
        </is>
      </c>
      <c r="Q91" s="41" t="inlineStr">
        <is>
          <t>SKLADBY_GAPS_2026-06-01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</t>
        </is>
      </c>
      <c r="Q92" s="41" t="n"/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  <c r="P93" s="41" t="inlineStr">
        <is>
          <t>S01, S12a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</t>
        </is>
      </c>
      <c r="Q94" s="41" t="inlineStr">
        <is>
          <t>URS_PHASE5B_FAMILY_VERIFIED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</t>
        </is>
      </c>
      <c r="Q96" s="41" t="n"/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  <c r="P97" s="41" t="inlineStr">
        <is>
          <t>S01, S12a, S12b</t>
        </is>
      </c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  <c r="P98" s="41" t="n"/>
      <c r="Q98" s="41" t="inlineStr">
        <is>
          <t>URS_PHASE5B_FAMILY_VERIFIED; 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  <c r="P101" s="41" t="n"/>
      <c r="Q101" s="41" t="inlineStr">
        <is>
          <t>URS_PHASE5B_FAMILY_VERIFIED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  <c r="P102" s="41" t="inlineStr">
        <is>
          <t>S09</t>
        </is>
      </c>
      <c r="Q102" s="41" t="inlineStr">
        <is>
          <t>D2_KROCEJOVA_30_to_40_2026-06-01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URS_PHASE5B_FAMILY_VERIFIED_CHAPTER_MATCH</t>
        </is>
      </c>
      <c r="R106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REZ_CC_TERASA_FIX_2026-05-29; SITUACE_AREA_FIX_2026-05-29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GAP_008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GAP_004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inlineStr">
        <is>
          <t>URS_PHASE5B_FAMILY_VERIFIED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inlineStr">
        <is>
          <t>URS_PHASE5B_FAMILY_VERIFIED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GAP_007_deprecated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GAP_007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URS_PHASE5B_FAMILY_VERIFIED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PSV-95 Detekce požární</t>
        </is>
      </c>
      <c r="C150" s="8" t="inlineStr">
        <is>
          <t>Předávací protokol krbu + kontrola bezpečných vzdáleností</t>
        </is>
      </c>
      <c r="D150" s="20" t="inlineStr">
        <is>
          <t>—</t>
        </is>
      </c>
      <c r="E150" s="8" t="inlineStr">
        <is>
          <t>Předávací protokol krbu na tuhá paliva + kontrola bezpečných vzdáleností (800 mm směr sálání / 400 mm strany, nehořlavá zóna podlahy) dle PBŘ</t>
        </is>
      </c>
      <c r="F150" s="20" t="inlineStr">
        <is>
          <t>soubor</t>
        </is>
      </c>
      <c r="G150" s="23" t="n">
        <v>1</v>
      </c>
      <c r="H150" s="10" t="n"/>
      <c r="I150" s="10" t="n"/>
      <c r="J150" s="8" t="inlineStr">
        <is>
          <t>topenar</t>
        </is>
      </c>
      <c r="K150" s="24" t="n">
        <v>0.8</v>
      </c>
      <c r="L150" s="20" t="inlineStr">
        <is>
          <t>needs_production_lookup</t>
        </is>
      </c>
      <c r="M150" s="8" t="inlineStr">
        <is>
          <t>PBŘ D.3</t>
        </is>
      </c>
      <c r="N150" s="20" t="inlineStr">
        <is>
          <t>—</t>
        </is>
      </c>
      <c r="O150" s="26" t="inlineStr">
        <is>
          <t>ANO</t>
        </is>
      </c>
      <c r="P150" s="41" t="inlineStr"/>
      <c r="Q150" s="41" t="inlineStr">
        <is>
          <t>DODATEK_PBR_GAPS_2026-06-01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Demontáž stávající ELI</t>
        </is>
      </c>
      <c r="D151" s="20" t="inlineStr">
        <is>
          <t>210010011</t>
        </is>
      </c>
      <c r="E151" s="8" t="inlineStr">
        <is>
          <t>Demontáž stávající elektroinstalace v celém domě (vodiče, rozvaděč, zásuvky, svítidla) — recyklace mědi</t>
        </is>
      </c>
      <c r="F151" s="20" t="inlineStr">
        <is>
          <t>kpl</t>
        </is>
      </c>
      <c r="G151" s="23" t="n">
        <v>1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kompletně nová ELI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Pojistková skříň + 3× podružný rozvaděč</t>
        </is>
      </c>
      <c r="D152" s="20" t="inlineStr">
        <is>
          <t>210110023</t>
        </is>
      </c>
      <c r="E152" s="8" t="inlineStr">
        <is>
          <t>Nová pojistková skříň + 3× podružný rozvaděč pro každé patro (1.NP, 2.NP, 3.NP) s podružným měřením</t>
        </is>
      </c>
      <c r="F152" s="20" t="inlineStr">
        <is>
          <t>ks</t>
        </is>
      </c>
      <c r="G152" s="23" t="n">
        <v>4</v>
      </c>
      <c r="H152" s="10" t="n"/>
      <c r="I152" s="10" t="n"/>
      <c r="J152" s="8" t="inlineStr">
        <is>
          <t>elektroinstalater</t>
        </is>
      </c>
      <c r="K152" s="24" t="n">
        <v>0.85</v>
      </c>
      <c r="L152" s="20" t="inlineStr">
        <is>
          <t>needs_production_lookup</t>
        </is>
      </c>
      <c r="M152" s="8" t="inlineStr">
        <is>
          <t>TZ ARS dům §4 — 'nová pojistková skříň s podružným měřením pro každé patro'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Rozvody silnoproud</t>
        </is>
      </c>
      <c r="D153" s="20" t="inlineStr">
        <is>
          <t>210800012</t>
        </is>
      </c>
      <c r="E153" s="8" t="inlineStr">
        <is>
          <t>Nové silnoproudé rozvody — vodiče CYKY 3×1.5 / 3×2.5 / 5×2.5 / 5×6 + krabice + instalační trubky</t>
        </is>
      </c>
      <c r="F153" s="20" t="inlineStr">
        <is>
          <t>bm</t>
        </is>
      </c>
      <c r="G153" s="22" t="n">
        <v>700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3-byt. dispozice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Zásuvky a vypínače</t>
        </is>
      </c>
      <c r="D154" s="20" t="inlineStr">
        <is>
          <t>210810050</t>
        </is>
      </c>
      <c r="E154" s="8" t="inlineStr">
        <is>
          <t>Zásuvky a vypínače dodávka + montáž — ~70 ks (60-80 dle vyjasnění #7)</t>
        </is>
      </c>
      <c r="F154" s="20" t="inlineStr">
        <is>
          <t>ks</t>
        </is>
      </c>
      <c r="G154" s="23" t="n">
        <v>70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 220 m² 3-byt.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Svítidla</t>
        </is>
      </c>
      <c r="D155" s="20" t="inlineStr">
        <is>
          <t>210820002</t>
        </is>
      </c>
      <c r="E155" s="8" t="inlineStr">
        <is>
          <t>Svítidla dodávka + montáž — ~35 ks (30-40 dle vyjasnění #7) interiér + venkovní u vstupů</t>
        </is>
      </c>
      <c r="F155" s="20" t="inlineStr">
        <is>
          <t>ks</t>
        </is>
      </c>
      <c r="G155" s="23" t="n">
        <v>35</v>
      </c>
      <c r="H155" s="10" t="n"/>
      <c r="I155" s="10" t="n"/>
      <c r="J155" s="8" t="inlineStr">
        <is>
          <t>elektroinstalater</t>
        </is>
      </c>
      <c r="K155" s="24" t="n">
        <v>0.8</v>
      </c>
      <c r="L155" s="20" t="inlineStr">
        <is>
          <t>needs_production_lookup</t>
        </is>
      </c>
      <c r="M155" s="8" t="inlineStr">
        <is>
          <t>TZ ARS + B4_productivity standard RD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Příprava FVE</t>
        </is>
      </c>
      <c r="D156" s="20" t="inlineStr">
        <is>
          <t>210800099</t>
        </is>
      </c>
      <c r="E156" s="8" t="inlineStr">
        <is>
          <t>Příprava na osazení FVE — rezerva v rozvaděči (jistič + zásuvka pro střídač) + trasy do střechy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elektroinstalater</t>
        </is>
      </c>
      <c r="K156" s="24" t="n">
        <v>0.85</v>
      </c>
      <c r="L156" s="20" t="inlineStr">
        <is>
          <t>needs_production_lookup</t>
        </is>
      </c>
      <c r="M156" s="8" t="inlineStr">
        <is>
          <t>TZ ARS dům §4 — FVE příprava (bez panelů samotných)</t>
        </is>
      </c>
      <c r="N156" s="20" t="inlineStr">
        <is>
          <t>#7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M-21 ELI silnoproud</t>
        </is>
      </c>
      <c r="C157" s="8" t="inlineStr">
        <is>
          <t>Revize ELI při kolaudaci</t>
        </is>
      </c>
      <c r="D157" s="20" t="inlineStr">
        <is>
          <t>996019011</t>
        </is>
      </c>
      <c r="E157" s="8" t="inlineStr">
        <is>
          <t>Výchozí revize elektrické instalace dle ČSN 33 2000-6 + revizní zpráva pro kolaudaci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revize_specialista</t>
        </is>
      </c>
      <c r="K157" s="24" t="n">
        <v>0.99</v>
      </c>
      <c r="L157" s="20" t="inlineStr">
        <is>
          <t>needs_production_lookup</t>
        </is>
      </c>
      <c r="M157" s="8" t="inlineStr">
        <is>
          <t>Povinná revize ELI dle ČSN 33 2000-6 + kolaudace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n"/>
    </row>
    <row r="158">
      <c r="A158" s="20" t="n">
        <v>157</v>
      </c>
      <c r="B158" s="8" t="inlineStr">
        <is>
          <t>PSV-72 ZTI</t>
        </is>
      </c>
      <c r="C158" s="8" t="inlineStr">
        <is>
          <t>Revize stávajících přípojek</t>
        </is>
      </c>
      <c r="D158" s="20" t="inlineStr">
        <is>
          <t>722290515</t>
        </is>
      </c>
      <c r="E158" s="8" t="inlineStr">
        <is>
          <t>Revize stávajícího napojení vodovodu + kanalizace na pozemku — kontrola stavu, čištění, tlaková zkouška</t>
        </is>
      </c>
      <c r="F158" s="20" t="inlineStr">
        <is>
          <t>kpl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0.85</v>
      </c>
      <c r="L158" s="20" t="inlineStr">
        <is>
          <t>family_verified_leaf_needs_production_lookup</t>
        </is>
      </c>
      <c r="M158" s="8" t="inlineStr">
        <is>
          <t>TZ ARS dům §4 — vodovod + kanalizace stávající, bez změny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rozvody vody do 3.NP</t>
        </is>
      </c>
      <c r="D159" s="20" t="inlineStr">
        <is>
          <t>722172011</t>
        </is>
      </c>
      <c r="E159" s="8" t="inlineStr">
        <is>
          <t>Nové rozvody studené + teplé vody do koupelen 1.NP + 2.NP + 3.NP a kuchyní (PEX/Cu, dimenze DN15-25)</t>
        </is>
      </c>
      <c r="F159" s="20" t="inlineStr">
        <is>
          <t>bm</t>
        </is>
      </c>
      <c r="G159" s="22" t="n">
        <v>80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family_verified_leaf_needs_production_lookup</t>
        </is>
      </c>
      <c r="M159" s="8" t="inlineStr">
        <is>
          <t>TZ ARS dům §4 — nové koupelny + kuchyně, vyjasnění #6 working assumption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URS_PHASE5B_FAMILY_VERIFIED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Nové odpadní rozvody</t>
        </is>
      </c>
      <c r="D160" s="20" t="inlineStr">
        <is>
          <t>721174021</t>
        </is>
      </c>
      <c r="E160" s="8" t="inlineStr">
        <is>
          <t>Nové odpadní rozvody PVC-HT DN40-DN110 ke koupelnám 1.NP, 2.NP, 3.NP a kuchyním + napojení na stávající</t>
        </is>
      </c>
      <c r="F160" s="20" t="inlineStr">
        <is>
          <t>bm</t>
        </is>
      </c>
      <c r="G160" s="22" t="n">
        <v>60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dům §4 — nové koupelny + kuchyně, odpad do stávající kanalizace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</t>
        </is>
      </c>
      <c r="D161" s="20" t="inlineStr">
        <is>
          <t>725291131</t>
        </is>
      </c>
      <c r="E161" s="8" t="inlineStr">
        <is>
          <t>Sanitární keramika dodávka + montáž v koupelně 1.05 1.NP: 1× vana (DXF) + 1× umyvadlo (DXF) + 1× WC (TZ standard)</t>
        </is>
      </c>
      <c r="F161" s="20" t="inlineStr">
        <is>
          <t>set</t>
        </is>
      </c>
      <c r="G161" s="22" t="n">
        <v>0</v>
      </c>
      <c r="H161" s="10" t="n"/>
      <c r="I161" s="10" t="n"/>
      <c r="J161" s="8" t="inlineStr">
        <is>
          <t>vodar</t>
        </is>
      </c>
      <c r="K161" s="24" t="n">
        <v>0.75</v>
      </c>
      <c r="L161" s="20" t="inlineStr">
        <is>
          <t>needs_production_lookup</t>
        </is>
      </c>
      <c r="M161" s="8" t="inlineStr">
        <is>
          <t>DXF dum_DPZ INSERT positions PIP do room 1.05 polygon (partial — 4/13 fixtures matched celkem) + TZ ARS § koupelny standard pattern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inlineStr">
        <is>
          <t>GAP_005_deprecated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A</t>
        </is>
      </c>
      <c r="D162" s="20" t="inlineStr">
        <is>
          <t>725211101</t>
        </is>
      </c>
      <c r="E162" s="8" t="inlineStr">
        <is>
          <t>Vana koupelnová obdélníková 170×70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B</t>
        </is>
      </c>
      <c r="D163" s="20" t="inlineStr">
        <is>
          <t>725311111</t>
        </is>
      </c>
      <c r="E163" s="8" t="inlineStr">
        <is>
          <t>Umyvadlo bílé keramické se sloupcem 60 cm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1.05 (1.NP) / fixture C</t>
        </is>
      </c>
      <c r="D164" s="20" t="inlineStr">
        <is>
          <t>725111101</t>
        </is>
      </c>
      <c r="E164" s="8" t="inlineStr">
        <is>
          <t>WC kombi keramické bílé — koupelna 1.05 1.NP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1.05 1.NP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</t>
        </is>
      </c>
      <c r="D165" s="20" t="inlineStr">
        <is>
          <t>725291131</t>
        </is>
      </c>
      <c r="E165" s="8" t="inlineStr">
        <is>
          <t>Sanitární keramika dodávka + montáž v koupelně 2.03 2.NP: 1× umyvadlo (DXF) + 1× WC (TZ standard) + 1× sprcha (TZ standard)</t>
        </is>
      </c>
      <c r="F165" s="20" t="inlineStr">
        <is>
          <t>set</t>
        </is>
      </c>
      <c r="G165" s="22" t="n">
        <v>0</v>
      </c>
      <c r="H165" s="10" t="n"/>
      <c r="I165" s="10" t="n"/>
      <c r="J165" s="8" t="inlineStr">
        <is>
          <t>vodar</t>
        </is>
      </c>
      <c r="K165" s="24" t="n">
        <v>0.75</v>
      </c>
      <c r="L165" s="20" t="inlineStr">
        <is>
          <t>needs_production_lookup</t>
        </is>
      </c>
      <c r="M165" s="8" t="inlineStr">
        <is>
          <t>DXF dum_DPZ INSERT positions PIP do room 2.03 polygon (partial — 4/13 fixtures matched celkem) + TZ ARS § koupelny standard pattern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inlineStr">
        <is>
          <t>GAP_005_deprecated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A</t>
        </is>
      </c>
      <c r="D166" s="20" t="inlineStr">
        <is>
          <t>725311111</t>
        </is>
      </c>
      <c r="E166" s="8" t="inlineStr">
        <is>
          <t>Umyvadlo bílé keramické se sloupcem 60 cm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B</t>
        </is>
      </c>
      <c r="D167" s="20" t="inlineStr">
        <is>
          <t>725221201</t>
        </is>
      </c>
      <c r="E167" s="8" t="inlineStr">
        <is>
          <t>Sprchový kout 90×90 cm vč. vaničky + skleněných dveří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2.03 (2.NP) / fixture C</t>
        </is>
      </c>
      <c r="D168" s="20" t="inlineStr">
        <is>
          <t>725111101</t>
        </is>
      </c>
      <c r="E168" s="8" t="inlineStr">
        <is>
          <t>WC kombi keramické bílé — koupelna 2.03 2.NP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2.03 2.NP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</t>
        </is>
      </c>
      <c r="D169" s="20" t="inlineStr">
        <is>
          <t>725291131</t>
        </is>
      </c>
      <c r="E169" s="8" t="inlineStr">
        <is>
          <t>Sanitární keramika dodávka + montáž v koupelně 3.04 3.NP: 1× WC (DXF) + 1× umyvadlo (TZ standard) + 1× sprcha (TZ standard)</t>
        </is>
      </c>
      <c r="F169" s="20" t="inlineStr">
        <is>
          <t>set</t>
        </is>
      </c>
      <c r="G169" s="22" t="n">
        <v>0</v>
      </c>
      <c r="H169" s="10" t="n"/>
      <c r="I169" s="10" t="n"/>
      <c r="J169" s="8" t="inlineStr">
        <is>
          <t>vodar</t>
        </is>
      </c>
      <c r="K169" s="24" t="n">
        <v>0.75</v>
      </c>
      <c r="L169" s="20" t="inlineStr">
        <is>
          <t>needs_production_lookup</t>
        </is>
      </c>
      <c r="M169" s="8" t="inlineStr">
        <is>
          <t>DXF dum_DPZ INSERT positions PIP do room 3.04 polygon (partial — 4/13 fixtures matched celkem) + TZ ARS § koupelny standard pattern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inlineStr">
        <is>
          <t>GAP_005_deprecated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A</t>
        </is>
      </c>
      <c r="D170" s="20" t="inlineStr">
        <is>
          <t>725111101</t>
        </is>
      </c>
      <c r="E170" s="8" t="inlineStr">
        <is>
          <t>WC kombi keramické bílé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B</t>
        </is>
      </c>
      <c r="D171" s="20" t="inlineStr">
        <is>
          <t>725311111</t>
        </is>
      </c>
      <c r="E171" s="8" t="inlineStr">
        <is>
          <t>Umyvadlo bílé keramické se sloupcem 60 cm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Sanitární keramika koupelna 3.04 (3.NP) / fixture C</t>
        </is>
      </c>
      <c r="D172" s="20" t="inlineStr">
        <is>
          <t>725221201</t>
        </is>
      </c>
      <c r="E172" s="8" t="inlineStr">
        <is>
          <t>Sprchový kout 90×90 cm vč. vaničky + skleněných dveří — koupelna 3.04 3.NP</t>
        </is>
      </c>
      <c r="F172" s="20" t="inlineStr">
        <is>
          <t>ks</t>
        </is>
      </c>
      <c r="G172" s="23" t="n">
        <v>1</v>
      </c>
      <c r="H172" s="10" t="n"/>
      <c r="I172" s="10" t="n"/>
      <c r="J172" s="8" t="inlineStr">
        <is>
          <t>vodar</t>
        </is>
      </c>
      <c r="K172" s="24" t="n">
        <v>0.9</v>
      </c>
      <c r="L172" s="20" t="inlineStr">
        <is>
          <t>needs_production_lookup</t>
        </is>
      </c>
      <c r="M172" s="8" t="inlineStr">
        <is>
          <t>DXF dum_DPZ MTEXT room 3.04 3.NP + TZ ARS koupelna kompletace</t>
        </is>
      </c>
      <c r="N172" s="20" t="inlineStr">
        <is>
          <t>—</t>
        </is>
      </c>
      <c r="O172" s="26" t="inlineStr">
        <is>
          <t>ANO</t>
        </is>
      </c>
      <c r="P172" s="41" t="n"/>
      <c r="Q172" s="41" t="inlineStr">
        <is>
          <t>GAP_005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Kuchyňský dřez 2 ks (1.06 + 3.05)</t>
        </is>
      </c>
      <c r="D173" s="20" t="inlineStr">
        <is>
          <t>725840111</t>
        </is>
      </c>
      <c r="E173" s="8" t="inlineStr">
        <is>
          <t>Kuchyňský dřez nerez + montáž — 2 ks (kuchyně 1.06 byt rodičů + kuchyně 3.05 byt 3.NP)</t>
        </is>
      </c>
      <c r="F173" s="20" t="inlineStr">
        <is>
          <t>ks</t>
        </is>
      </c>
      <c r="G173" s="23" t="n">
        <v>2</v>
      </c>
      <c r="H173" s="10" t="n"/>
      <c r="I173" s="10" t="n"/>
      <c r="J173" s="8" t="inlineStr">
        <is>
          <t>vodar</t>
        </is>
      </c>
      <c r="K173" s="24" t="n">
        <v>0.95</v>
      </c>
      <c r="L173" s="20" t="inlineStr">
        <is>
          <t>needs_production_lookup</t>
        </is>
      </c>
      <c r="M173" s="8" t="inlineStr">
        <is>
          <t>DXF kuchyně MTEXT 2× + TZ ARS — dispozice byty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Vodovodní baterie + drobnosti</t>
        </is>
      </c>
      <c r="D174" s="20" t="inlineStr">
        <is>
          <t>725822611</t>
        </is>
      </c>
      <c r="E174" s="8" t="inlineStr">
        <is>
          <t>Vodovodní baterie (WC ventil + páková umyvadlová + sprchové + dřezové + termostat sprchové) — ~15 ks + drobné instalační materiály</t>
        </is>
      </c>
      <c r="F174" s="20" t="inlineStr">
        <is>
          <t>ks</t>
        </is>
      </c>
      <c r="G174" s="23" t="n">
        <v>15</v>
      </c>
      <c r="H174" s="10" t="n"/>
      <c r="I174" s="10" t="n"/>
      <c r="J174" s="8" t="inlineStr">
        <is>
          <t>vodar</t>
        </is>
      </c>
      <c r="K174" s="24" t="n">
        <v>0.75</v>
      </c>
      <c r="L174" s="20" t="inlineStr">
        <is>
          <t>needs_production_lookup</t>
        </is>
      </c>
      <c r="M174" s="8" t="inlineStr">
        <is>
          <t>TZ ARS — kompletní baterie nové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Akumulační zásobník TUV v suterénu</t>
        </is>
      </c>
      <c r="D175" s="20" t="inlineStr">
        <is>
          <t>732419411</t>
        </is>
      </c>
      <c r="E175" s="8" t="inlineStr">
        <is>
          <t>Akumulační zásobník TUV ~300 l v 1.PP napojený na topný systém (sporáková kamna + krb + elektrokotel) — nepřímotop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instalater_TUV_akumulacni_zasobnik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kombi akumulační zásobník napojený na multivariantní topný systém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PSV-72 ZTI</t>
        </is>
      </c>
      <c r="C176" s="8" t="inlineStr">
        <is>
          <t>Elektrický bojler 3.NP</t>
        </is>
      </c>
      <c r="D176" s="20" t="inlineStr">
        <is>
          <t>732429211</t>
        </is>
      </c>
      <c r="E176" s="8" t="inlineStr">
        <is>
          <t>Elektrický bojler ~80 l v koupelně 3.NP (nezávislý zdroj pro samostatný byt)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vodar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elektrický bojler v 3.NP koupelně, vyjasnění #6 odhad 80 l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na tuhá paliva</t>
        </is>
      </c>
      <c r="D177" s="20" t="inlineStr">
        <is>
          <t>733241011</t>
        </is>
      </c>
      <c r="E177" s="8" t="inlineStr">
        <is>
          <t>Sporáková kamna na tuhá paliva ~10 kW s akumulačním zásobníkem TUV — dodávka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primární zdroj 1.NP/2.NP, ~10 kW odhad standard RD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Sporáková kamna — montáž</t>
        </is>
      </c>
      <c r="D178" s="20" t="inlineStr">
        <is>
          <t>733281011</t>
        </is>
      </c>
      <c r="E178" s="8" t="inlineStr">
        <is>
          <t>Sporáková kamna — montáž vč. napojení na komín + akumulační zásobník (cca 8 Nh)</t>
        </is>
      </c>
      <c r="F178" s="20" t="inlineStr">
        <is>
          <t>kpl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0.75</v>
      </c>
      <c r="L178" s="20" t="inlineStr">
        <is>
          <t>needs_production_lookup</t>
        </is>
      </c>
      <c r="M178" s="8" t="inlineStr">
        <is>
          <t>Standard montáž kamen s napojením na zásobník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Elektrokotel 3.NP</t>
        </is>
      </c>
      <c r="D179" s="20" t="inlineStr">
        <is>
          <t>733131221</t>
        </is>
      </c>
      <c r="E179" s="8" t="inlineStr">
        <is>
          <t>Elektrokotel ~8 kW pro 3.NP samostatný byt — dodávka + montáž + napojení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'Nově navržené 3.NP bude vytápěno elektrokotlem'; ~8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Krb na tuhá paliva 3.NP</t>
        </is>
      </c>
      <c r="D180" s="20" t="inlineStr">
        <is>
          <t>733241011</t>
        </is>
      </c>
      <c r="E180" s="8" t="inlineStr">
        <is>
          <t>Krb na tuhá paliva v 3.NP ~6 kW — dodávka + montáž s napojením na samostatný komín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topenar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krb v 3.NP, ~6 kW odhad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venkovní jednotka</t>
        </is>
      </c>
      <c r="D181" s="20" t="inlineStr">
        <is>
          <t>733425211</t>
        </is>
      </c>
      <c r="E181" s="8" t="inlineStr">
        <is>
          <t>Multisplit tepelné čerpadlo vzduch-vzduch — 1× venkovní jednotka ~10 kW (silent mode hl. tlaku ≤49 dBA)</t>
        </is>
      </c>
      <c r="F181" s="20" t="inlineStr">
        <is>
          <t>ks</t>
        </is>
      </c>
      <c r="G181" s="23" t="n">
        <v>1</v>
      </c>
      <c r="H181" s="10" t="n"/>
      <c r="I181" s="10" t="n"/>
      <c r="J181" s="8" t="inlineStr">
        <is>
          <t>specialista_TC_multisplit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multisplit TČ s akustikou hl. tlaku ≤49 dBA, NV 272/2011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Multisplit TČ — vnitřní jednotky</t>
        </is>
      </c>
      <c r="D182" s="20" t="inlineStr">
        <is>
          <t>733425221</t>
        </is>
      </c>
      <c r="E182" s="8" t="inlineStr">
        <is>
          <t>Multisplit TČ — 5× vnitřní jednotka v obytných místnostech (1.NP, 2.NP, 3.NP — chlazení + vytápění)</t>
        </is>
      </c>
      <c r="F182" s="20" t="inlineStr">
        <is>
          <t>ks</t>
        </is>
      </c>
      <c r="G182" s="23" t="n">
        <v>5</v>
      </c>
      <c r="H182" s="10" t="n"/>
      <c r="I182" s="10" t="n"/>
      <c r="J182" s="8" t="inlineStr">
        <is>
          <t>specialista_TC_multisplit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vnitřní jednotky multisplit, vyjasnění #6 odhad 5 ks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Revize komínu</t>
        </is>
      </c>
      <c r="D183" s="20" t="inlineStr">
        <is>
          <t>734262122</t>
        </is>
      </c>
      <c r="E183" s="8" t="inlineStr">
        <is>
          <t>Revize stávajícího komínu — kontrola, čištění, vystrojení vložkou nerez DN160 pro kamna + krb 3.NP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kominik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ARS dům §4 — komín stávající, vystrojení vložkou pro kamna + krb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PSV-73 Vytápění</t>
        </is>
      </c>
      <c r="C184" s="8" t="inlineStr">
        <is>
          <t>Rozvody otopné soustavy</t>
        </is>
      </c>
      <c r="D184" s="20" t="inlineStr">
        <is>
          <t>733111021</t>
        </is>
      </c>
      <c r="E184" s="8" t="inlineStr">
        <is>
          <t>Rozvody otopné soustavy Cu/PEX k vnitřním jednotkám TČ + radiátorům pro doplňkové (cca 100 bm odhad)</t>
        </is>
      </c>
      <c r="F184" s="20" t="inlineStr">
        <is>
          <t>bm</t>
        </is>
      </c>
      <c r="G184" s="22" t="n">
        <v>100</v>
      </c>
      <c r="H184" s="10" t="n"/>
      <c r="I184" s="10" t="n"/>
      <c r="J184" s="8" t="inlineStr">
        <is>
          <t>topenar</t>
        </is>
      </c>
      <c r="K184" s="24" t="n">
        <v>0.75</v>
      </c>
      <c r="L184" s="20" t="inlineStr">
        <is>
          <t>needs_production_lookup</t>
        </is>
      </c>
      <c r="M184" s="8" t="inlineStr">
        <is>
          <t>TZ ARS dům §4 — rozvody otopné soustavy</t>
        </is>
      </c>
      <c r="N184" s="20" t="inlineStr">
        <is>
          <t>#6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BOZP</t>
        </is>
      </c>
      <c r="C185" s="8" t="inlineStr">
        <is>
          <t>Koordinace BOZP</t>
        </is>
      </c>
      <c r="D185" s="20" t="inlineStr">
        <is>
          <t>030091000</t>
        </is>
      </c>
      <c r="E185" s="8" t="inlineStr">
        <is>
          <t>Koordinátor BOZP na staveništi dle zákona 309/2006 Sb. — pro stavbu s více než jedním zhotovitelem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Zákon 309/2006 Sb. — povinný BOZP koordinátor pro vícezhotovitelskou stavbu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Dokumentace</t>
        </is>
      </c>
      <c r="C186" s="8" t="inlineStr">
        <is>
          <t>Předávací protokoly + DSP</t>
        </is>
      </c>
      <c r="D186" s="20" t="inlineStr">
        <is>
          <t>030151000</t>
        </is>
      </c>
      <c r="E186" s="8" t="inlineStr">
        <is>
          <t>Předávací protokoly + Dokumentace skutečného provedení (DSP) — sestavení, vázání, dodávka 2× tiskem + elektronická verze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0.99</v>
      </c>
      <c r="L186" s="20" t="inlineStr">
        <is>
          <t>needs_production_lookup</t>
        </is>
      </c>
      <c r="M186" s="8" t="inlineStr">
        <is>
          <t>Vyhláška 499/2006 Sb. + ČKAIT — DSP povinná pro kolaudaci</t>
        </is>
      </c>
      <c r="N186" s="20" t="inlineStr">
        <is>
          <t>—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Kontejnery suti tříděné</t>
        </is>
      </c>
      <c r="D187" s="20" t="inlineStr">
        <is>
          <t>997013211</t>
        </is>
      </c>
      <c r="E187" s="8" t="inlineStr">
        <is>
          <t>Kontejnery na suť tříděnou velkoobjemové (beton/cihly, dřevo, kovy, EPS, sádra, směs) — pronájem + svozy</t>
        </is>
      </c>
      <c r="F187" s="20" t="inlineStr">
        <is>
          <t>ks</t>
        </is>
      </c>
      <c r="G187" s="23" t="n">
        <v>7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m.10.e: beton/cihly 46 t + dřevo 9 t + kovy 0.1 + EPS 0.1 + sádra 0.2 + směs 1.0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Doprava materiálu</t>
        </is>
      </c>
      <c r="D188" s="20" t="inlineStr">
        <is>
          <t>031031000</t>
        </is>
      </c>
      <c r="E188" s="8" t="inlineStr">
        <is>
          <t>Doprava materiálu na stavbu (centrální koordinace) — paušál ~2-3 % z PN materiál</t>
        </is>
      </c>
      <c r="F188" s="20" t="inlineStr">
        <is>
          <t>paušál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0.8</v>
      </c>
      <c r="L188" s="20" t="inlineStr">
        <is>
          <t>needs_production_lookup</t>
        </is>
      </c>
      <c r="M188" s="8" t="inlineStr">
        <is>
          <t>B4_productivity — standard doprava RD městská zástavba</t>
        </is>
      </c>
      <c r="N188" s="20" t="inlineStr">
        <is>
          <t>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Doprava + odpad</t>
        </is>
      </c>
      <c r="C189" s="8" t="inlineStr">
        <is>
          <t>Likvidace odpadů 56.9 t</t>
        </is>
      </c>
      <c r="D189" s="20" t="inlineStr">
        <is>
          <t>997013211</t>
        </is>
      </c>
      <c r="E189" s="8" t="inlineStr">
        <is>
          <t>Likvidace stavební suti dle vyhl. 8/2021 Sb. — skládkovné + recyklace + třídění (56.9 t celkem per TZ B m.10.e)</t>
        </is>
      </c>
      <c r="F189" s="20" t="inlineStr">
        <is>
          <t>t</t>
        </is>
      </c>
      <c r="G189" s="22" t="n">
        <v>56.9</v>
      </c>
      <c r="H189" s="10" t="n"/>
      <c r="I189" s="10" t="n"/>
      <c r="J189" s="8" t="inlineStr">
        <is>
          <t>bourani_demolice</t>
        </is>
      </c>
      <c r="K189" s="24" t="n">
        <v>0.85</v>
      </c>
      <c r="L189" s="20" t="inlineStr">
        <is>
          <t>needs_production_lookup</t>
        </is>
      </c>
      <c r="M189" s="8" t="inlineStr">
        <is>
          <t>TZ B m.10.e bilance odpadů celkem dům</t>
        </is>
      </c>
      <c r="N189" s="20" t="inlineStr">
        <is>
          <t>#9, #10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Geodet</t>
        </is>
      </c>
      <c r="C190" s="8" t="inlineStr">
        <is>
          <t>Geodetické zaměření před + po realizaci</t>
        </is>
      </c>
      <c r="D190" s="20" t="inlineStr">
        <is>
          <t>030141000</t>
        </is>
      </c>
      <c r="E190" s="8" t="inlineStr">
        <is>
          <t>Geodetické zaměření před realizací (verifikace polohopis + výškopis) + po dokončení (zaměření skutečného provedení pro kolaudaci)</t>
        </is>
      </c>
      <c r="F190" s="20" t="inlineStr">
        <is>
          <t>kpl</t>
        </is>
      </c>
      <c r="G190" s="23" t="n">
        <v>2</v>
      </c>
      <c r="H190" s="10" t="n"/>
      <c r="I190" s="10" t="n"/>
      <c r="J190" s="8" t="inlineStr">
        <is>
          <t>geodet</t>
        </is>
      </c>
      <c r="K190" s="24" t="n">
        <v>0.99</v>
      </c>
      <c r="L190" s="20" t="inlineStr">
        <is>
          <t>needs_production_lookup</t>
        </is>
      </c>
      <c r="M190" s="8" t="inlineStr">
        <is>
          <t>Standard — geodet před+po pro každou stavbu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Kolaudace</t>
        </is>
      </c>
      <c r="C191" s="8" t="inlineStr">
        <is>
          <t>Kolaudační řízení</t>
        </is>
      </c>
      <c r="D191" s="20" t="inlineStr">
        <is>
          <t>030171000</t>
        </is>
      </c>
      <c r="E191" s="8" t="inlineStr">
        <is>
          <t>Kolaudační řízení — paušál (správní poplatky + součinnost) dle zákona 183/2006 Sb.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Zákon 183/2006 Sb. + vyhl. 499/2006 Sb.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Lešení</t>
        </is>
      </c>
      <c r="C192" s="8" t="inlineStr">
        <is>
          <t>Fasádní lešení (ETICS + krov + klempířina)</t>
        </is>
      </c>
      <c r="D192" s="20" t="inlineStr">
        <is>
          <t>—</t>
        </is>
      </c>
      <c r="E192" s="8" t="inlineStr">
        <is>
          <t>Fasádní lešení trubkové/rámové vč. montáže + pronájmu + demontáže — pro provedení ETICS fasády, krovu a klempířiny po obvodu domu (výška 13 m)</t>
        </is>
      </c>
      <c r="F192" s="20" t="inlineStr">
        <is>
          <t>m²</t>
        </is>
      </c>
      <c r="G192" s="22" t="n">
        <v>503.1</v>
      </c>
      <c r="H192" s="10" t="n"/>
      <c r="I192" s="10" t="n"/>
      <c r="J192" s="8" t="inlineStr">
        <is>
          <t>VRN_management</t>
        </is>
      </c>
      <c r="K192" s="24" t="n">
        <v>0.8</v>
      </c>
      <c r="L192" s="20" t="inlineStr">
        <is>
          <t>needs_production_lookup</t>
        </is>
      </c>
      <c r="M192" s="8" t="inlineStr">
        <is>
          <t>anchor checklist PM02 — technical necessity (ETICS 276.7 m² nelze provést bez lešení, 941xxx URS família) + DXF obvod 38.7 m + řez výška 13 m</t>
        </is>
      </c>
      <c r="N192" s="20" t="inlineStr">
        <is>
          <t>—</t>
        </is>
      </c>
      <c r="O192" s="26" t="inlineStr">
        <is>
          <t>ANO</t>
        </is>
      </c>
      <c r="P192" s="41" t="n"/>
      <c r="Q192" s="41" t="inlineStr">
        <is>
          <t>ANCHOR_CHECKLIST_PM02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Pojištění stavby (montážní + odpovědnostní)</t>
        </is>
      </c>
      <c r="D193" s="20" t="inlineStr">
        <is>
          <t>030081000</t>
        </is>
      </c>
      <c r="E193" s="8" t="inlineStr">
        <is>
          <t>Montážní pojištění stavby (CAR) + pojištění odpovědnosti za škodu (zhotovitel) — paušál cca 0.3-0.5 % z PN</t>
        </is>
      </c>
      <c r="F193" s="20" t="inlineStr">
        <is>
          <t>paušál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0.99</v>
      </c>
      <c r="L193" s="20" t="inlineStr">
        <is>
          <t>needs_production_lookup</t>
        </is>
      </c>
      <c r="M193" s="8" t="inlineStr">
        <is>
          <t>Standard zhotovitel — pojistná povinnost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Pojištění + zábory</t>
        </is>
      </c>
      <c r="C194" s="8" t="inlineStr">
        <is>
          <t>Krátkodobé zábory ul. Fibichova</t>
        </is>
      </c>
      <c r="D194" s="20" t="inlineStr">
        <is>
          <t>030083000</t>
        </is>
      </c>
      <c r="E194" s="8" t="inlineStr">
        <is>
          <t>Krátkodobé zábory ulice Fibichova pro materiál a kontejnery (povolení MU Jáchymov + DI) — odhad 30 dnů kumulativně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VRN_management</t>
        </is>
      </c>
      <c r="K194" s="24" t="n">
        <v>0.75</v>
      </c>
      <c r="L194" s="20" t="inlineStr">
        <is>
          <t>needs_production_lookup</t>
        </is>
      </c>
      <c r="M194" s="8" t="inlineStr">
        <is>
          <t>TZ B m.10 + situace — řadovka ul. Fibichova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Průzkumy</t>
        </is>
      </c>
      <c r="C195" s="8" t="inlineStr">
        <is>
          <t>Mykologický průzkum dřeva při bourání</t>
        </is>
      </c>
      <c r="D195" s="20" t="inlineStr">
        <is>
          <t>030131000</t>
        </is>
      </c>
      <c r="E195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mykolog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ARS dům §3.2.3 + POZN.2.05 z půdorysů návrh + řez A-A návrh (explicit dřevokazný hmyz scope per drawing wording)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inlineStr">
        <is>
          <t>PER_DRAWING_ENRICHMENT_POZN_2_05</t>
        </is>
      </c>
    </row>
    <row r="196">
      <c r="A196" s="20" t="n">
        <v>195</v>
      </c>
      <c r="B196" s="8" t="inlineStr">
        <is>
          <t>VRN — Průzkumy</t>
        </is>
      </c>
      <c r="C196" s="8" t="inlineStr">
        <is>
          <t>Azbestový průzkum podrobný před demolicí</t>
        </is>
      </c>
      <c r="D196" s="20" t="inlineStr">
        <is>
          <t>030133000</t>
        </is>
      </c>
      <c r="E196" s="8" t="inlineStr">
        <is>
          <t>Azbestový průzkum podrobný před demolicí — laboratorní vzorky a posudek (B kap. m.7.a předběžně negativní, ale podrobný před bouráním povinný)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azbestovy_specialista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B m.7.a + ARS §3.2 — azbestový průzkum povinný před demolicí</t>
        </is>
      </c>
      <c r="N196" s="20" t="inlineStr">
        <is>
          <t>#10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Přesun hmot</t>
        </is>
      </c>
      <c r="C197" s="8" t="inlineStr">
        <is>
          <t>Přesun hmot pro budovu</t>
        </is>
      </c>
      <c r="D197" s="20" t="inlineStr">
        <is>
          <t>—</t>
        </is>
      </c>
      <c r="E197" s="8" t="inlineStr">
        <is>
          <t>Přesun hmot pro budovu — vnitrostaveništní vertikální + horizontální doprava materiálu a hmot (rekonstrukce vícepodlažní RD + nástavba 3.NP)</t>
        </is>
      </c>
      <c r="F197" s="20" t="inlineStr">
        <is>
          <t>t</t>
        </is>
      </c>
      <c r="G197" s="22" t="n">
        <v>0</v>
      </c>
      <c r="H197" s="10" t="n"/>
      <c r="I197" s="10" t="n"/>
      <c r="J197" s="8" t="inlineStr">
        <is>
          <t>VRN_management</t>
        </is>
      </c>
      <c r="K197" s="24" t="n">
        <v>0.6</v>
      </c>
      <c r="L197" s="20" t="inlineStr">
        <is>
          <t>needs_production_lookup</t>
        </is>
      </c>
      <c r="M197" s="8" t="inlineStr">
        <is>
          <t>anchor checklist PM01 — technical necessity (povinná položka každého rozpočtu, 998xxx URS família)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inlineStr">
        <is>
          <t>ANCHOR_CHECKLIST_PM01</t>
        </is>
      </c>
    </row>
    <row r="198">
      <c r="A198" s="20" t="n">
        <v>197</v>
      </c>
      <c r="B198" s="8" t="inlineStr">
        <is>
          <t>VRN — Revize</t>
        </is>
      </c>
      <c r="C198" s="8" t="inlineStr">
        <is>
          <t>Revize hydrantu vnějšího</t>
        </is>
      </c>
      <c r="D198" s="20" t="inlineStr">
        <is>
          <t>030161000</t>
        </is>
      </c>
      <c r="E198" s="8" t="inlineStr">
        <is>
          <t>Revize vnějšího hydrantu pro požární zabezpečení (DN min. 80, vzdálenost 100 m dle TZ PBŘ) — periodická kontrola</t>
        </is>
      </c>
      <c r="F198" s="20" t="inlineStr">
        <is>
          <t>kpl</t>
        </is>
      </c>
      <c r="G198" s="23" t="n">
        <v>1</v>
      </c>
      <c r="H198" s="10" t="n"/>
      <c r="I198" s="10" t="n"/>
      <c r="J198" s="8" t="inlineStr">
        <is>
          <t>revize_specialista</t>
        </is>
      </c>
      <c r="K198" s="24" t="n">
        <v>0.85</v>
      </c>
      <c r="L198" s="20" t="inlineStr">
        <is>
          <t>needs_production_lookup</t>
        </is>
      </c>
      <c r="M198" s="8" t="inlineStr">
        <is>
          <t>TZ PBŘ dům — vnější odběrné místo požární vody, revize před kolaudací</t>
        </is>
      </c>
      <c r="N198" s="20" t="inlineStr">
        <is>
          <t>—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Buňky kancelář + sociální</t>
        </is>
      </c>
      <c r="D199" s="20" t="inlineStr">
        <is>
          <t>030011000</t>
        </is>
      </c>
      <c r="E199" s="8" t="inlineStr">
        <is>
          <t>Zařízení staveniště — buňka kancelář + sociální buňka (WC + šatna), pronájem ~8 měsíců</t>
        </is>
      </c>
      <c r="F199" s="20" t="inlineStr">
        <is>
          <t>kpl-měs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TZ B m.1.m realizace 2026-2027 + standard staveniště RD městská zástavba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Mobilní WC</t>
        </is>
      </c>
      <c r="D200" s="20" t="inlineStr">
        <is>
          <t>030013000</t>
        </is>
      </c>
      <c r="E200" s="8" t="inlineStr">
        <is>
          <t>Mobilní chemické WC TOI TOI pro pracovníky — pronájem ~8 měsíců</t>
        </is>
      </c>
      <c r="F200" s="20" t="inlineStr">
        <is>
          <t>ks-měs</t>
        </is>
      </c>
      <c r="G200" s="23" t="n">
        <v>8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BOZP — mobilní WC povinné pro stavbu RD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El. odběr + vodovodní odběr stavby</t>
        </is>
      </c>
      <c r="D201" s="20" t="inlineStr">
        <is>
          <t>031011000</t>
        </is>
      </c>
      <c r="E201" s="8" t="inlineStr">
        <is>
          <t>El. odběr stavby (zřízení staveništního rozvaděče + měřič) + vodovodní odběr (zřízení staveništní přípojky + vodoměr) — ~8 měsíců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0.8</v>
      </c>
      <c r="L201" s="20" t="inlineStr">
        <is>
          <t>needs_production_lookup</t>
        </is>
      </c>
      <c r="M201" s="8" t="inlineStr">
        <is>
          <t>Standard staveniště — el. + voda zřízení a odběr po dobu stavby</t>
        </is>
      </c>
      <c r="N201" s="20" t="inlineStr">
        <is>
          <t>#10</t>
        </is>
      </c>
      <c r="O201" s="26" t="inlineStr">
        <is>
          <t>ANO</t>
        </is>
      </c>
      <c r="P201" s="41" t="n"/>
      <c r="Q201" s="41" t="n"/>
    </row>
    <row r="202">
      <c r="A202" s="20" t="n">
        <v>201</v>
      </c>
      <c r="B202" s="8" t="inlineStr">
        <is>
          <t>VRN — Zařízení staveniště</t>
        </is>
      </c>
      <c r="C202" s="8" t="inlineStr">
        <is>
          <t>Voda staveniště</t>
        </is>
      </c>
      <c r="D202" s="20" t="inlineStr">
        <is>
          <t>012103101</t>
        </is>
      </c>
      <c r="E202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2" s="20" t="inlineStr">
        <is>
          <t>kpl</t>
        </is>
      </c>
      <c r="G202" s="23" t="n">
        <v>1</v>
      </c>
      <c r="H202" s="10" t="n"/>
      <c r="I202" s="10" t="n"/>
      <c r="J202" s="8" t="inlineStr">
        <is>
          <t>VRN_management</t>
        </is>
      </c>
      <c r="K202" s="24" t="n">
        <v>0.9</v>
      </c>
      <c r="L202" s="20" t="inlineStr">
        <is>
          <t>needs_production_lookup</t>
        </is>
      </c>
      <c r="M202" s="8" t="inlineStr">
        <is>
          <t>TZ B Souhrnná m.5 — 'Stávající vodovodní přípojka z veřejného vodovodu'</t>
        </is>
      </c>
      <c r="N202" s="20" t="inlineStr">
        <is>
          <t>—</t>
        </is>
      </c>
      <c r="O202" s="26" t="inlineStr">
        <is>
          <t>ANO</t>
        </is>
      </c>
      <c r="P202" s="41" t="n"/>
      <c r="Q202" s="41" t="inlineStr">
        <is>
          <t>GAP_003</t>
        </is>
      </c>
    </row>
    <row r="203">
      <c r="A203" s="20" t="n">
        <v>202</v>
      </c>
      <c r="B203" s="8" t="inlineStr">
        <is>
          <t>M-21 ELI silnoproud</t>
        </is>
      </c>
      <c r="C203" s="8" t="inlineStr">
        <is>
          <t>Hlavní vypínač TOTAL STOP + požární značení</t>
        </is>
      </c>
      <c r="D203" s="20" t="inlineStr">
        <is>
          <t>—</t>
        </is>
      </c>
      <c r="E203" s="8" t="inlineStr">
        <is>
          <t>Hlavní vypínač elektrické energie TOTAL STOP + požární značení rozvodného zařízení a uzávěrů (voda/elektro)</t>
        </is>
      </c>
      <c r="F203" s="20" t="inlineStr">
        <is>
          <t>soubor</t>
        </is>
      </c>
      <c r="G203" s="23" t="n">
        <v>1</v>
      </c>
      <c r="H203" s="10" t="n"/>
      <c r="I203" s="10" t="n"/>
      <c r="J203" s="8" t="inlineStr">
        <is>
          <t>elektrikar</t>
        </is>
      </c>
      <c r="K203" s="24" t="n">
        <v>0.8</v>
      </c>
      <c r="L203" s="20" t="inlineStr">
        <is>
          <t>needs_production_lookup</t>
        </is>
      </c>
      <c r="M203" s="8" t="inlineStr">
        <is>
          <t>PBŘ D.3 §16.05/16.06</t>
        </is>
      </c>
      <c r="N203" s="20" t="inlineStr">
        <is>
          <t>—</t>
        </is>
      </c>
      <c r="O203" s="26" t="inlineStr">
        <is>
          <t>ANO</t>
        </is>
      </c>
      <c r="P203" s="41" t="inlineStr"/>
      <c r="Q203" s="41" t="inlineStr">
        <is>
          <t>DODATEK_PBR_GAPS_2026-06-01</t>
        </is>
      </c>
    </row>
    <row r="204">
      <c r="A204" s="20" t="n">
        <v>203</v>
      </c>
      <c r="B204" s="8" t="inlineStr">
        <is>
          <t>M-24 VZT</t>
        </is>
      </c>
      <c r="C204" s="8" t="inlineStr">
        <is>
          <t>Lokální odtah digestoří kuchyní</t>
        </is>
      </c>
      <c r="D204" s="20" t="inlineStr">
        <is>
          <t>—</t>
        </is>
      </c>
      <c r="E204" s="8" t="inlineStr">
        <is>
          <t>Lokální odtah digestoří kuchyní (1.NP + 3.NP) — dodávka + montáž digestoře + prostup fasádou/střechou + zpětná klapka</t>
        </is>
      </c>
      <c r="F204" s="20" t="inlineStr">
        <is>
          <t>ks</t>
        </is>
      </c>
      <c r="G204" s="23" t="n">
        <v>2</v>
      </c>
      <c r="H204" s="10" t="n"/>
      <c r="I204" s="10" t="n"/>
      <c r="J204" s="8" t="inlineStr">
        <is>
          <t>vzduchotechnik</t>
        </is>
      </c>
      <c r="K204" s="24" t="n">
        <v>0.7</v>
      </c>
      <c r="L204" s="20" t="inlineStr">
        <is>
          <t>needs_production_lookup</t>
        </is>
      </c>
      <c r="M204" s="8" t="inlineStr">
        <is>
          <t>B zpráva — VZT: obytné místnosti větrání okny, kuchyně lokální odtah digestoří</t>
        </is>
      </c>
      <c r="N204" s="20" t="inlineStr">
        <is>
          <t>—</t>
        </is>
      </c>
      <c r="O204" s="26" t="inlineStr">
        <is>
          <t>ANO</t>
        </is>
      </c>
      <c r="P204" s="41" t="inlineStr"/>
      <c r="Q204" s="41" t="inlineStr">
        <is>
          <t>DODATEK_PBR_GAPS_2026-06-01</t>
        </is>
      </c>
    </row>
  </sheetData>
  <autoFilter ref="A1:O204"/>
  <conditionalFormatting sqref="K2:K20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2026-06-01T09:40:09Z</dcterms:created>
  <dcterms:modified xmlns:dcterms="http://purl.org/dc/terms/" xmlns:xsi="http://www.w3.org/2001/XMLSchema-instance" xsi:type="dcterms:W3CDTF">2026-06-01T09:40:10Z</dcterms:modified>
</cp:coreProperties>
</file>
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'Var_A_Agregovany_Dum'!$A$1:$G$18</definedName>
    <definedName name="_xlnm._FilterDatabase" localSheetId="2" hidden="1">'Var_A_Agregovany_Sklad'!$A$1:$G$9</definedName>
    <definedName name="_xlnm._FilterDatabase" localSheetId="3" hidden="1">'Var_C_Hybrid'!$A$1:$J$133</definedName>
    <definedName name="_xlnm._FilterDatabase" localSheetId="4" hidden="1">'Var_B_Polozkovy_Dum'!$A$1:$O$202</definedName>
    <definedName name="_xlnm._FilterDatabase" localSheetId="5" hidden="1">'Var_B_Polozkovy_Sklad'!$A$1:$O$34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(25 souhrnných řádků). Pro orientační cenovku.</t>
        </is>
      </c>
      <c r="C23" s="9" t="n">
        <v>25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(119 ks) + PSV/TZB/VRN agregovaně (13 skupin) = 132 řádků.</t>
        </is>
      </c>
      <c r="C24" s="9" t="n">
        <v>132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(201 dum + 33 sklad = 234 položek). Cílový rozsah pro produkční pricing.</t>
        </is>
      </c>
      <c r="C25" s="9" t="n">
        <v>234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234 (201 dum + 33 sklad)</t>
        </is>
      </c>
    </row>
    <row r="32">
      <c r="A32" s="4" t="inlineStr">
        <is>
          <t>Gate distribution</t>
        </is>
      </c>
      <c r="B32" s="5" t="inlineStr">
        <is>
          <t>HSV 119 | M 2 | PSV 56 | TZB 34 | VRN 23</t>
        </is>
      </c>
    </row>
    <row r="33">
      <c r="A33" s="4" t="inlineStr">
        <is>
          <t>Confidence dist</t>
        </is>
      </c>
      <c r="B33" s="5" t="inlineStr">
        <is>
          <t>0.99: 17 | 0.95: 32 | 0.90: 34 | 0.85: 41 | 0.82: 1 | 0.80: 21 | 0.75: 70 | 0.70: 4 | 0.60: 3 | 0.50: 6 | 0.00: 5</t>
        </is>
      </c>
    </row>
    <row r="34">
      <c r="A34" s="4" t="inlineStr">
        <is>
          <t>URS status (Part 5b)</t>
        </is>
      </c>
      <c r="B34" s="5" t="inlineStr">
        <is>
          <t>8 WebSearch verified (3.4 %) ✓ | 5 wrong leaf flagged (2.1 %) ⚠ | 157 needs_production_lookup (67.1 %)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31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234 položek celkem (201 dum + 33 sklad), 4 corpus patterns aplikované, zero-fabrication policy.
Confidence distribution: 17×0.99 · 32×0.95 · 34×0.90 · 41×0.85 · 1×0.82 · 21×0.80 · 70×0.75 · 4×0.70 · 3×0.60 · 6×0.50 · 5×0.00.
25 položek vzniklo per-room expansion ze 9 aggregate parents (každá expanded položka tagged _expansion_origin).
9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(aktualizováno 2026-05-30)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234 (201 dům + 33 sklad) — vč. CEV +3 (komín/zídky/drenáž), anchor-gap +2 (přesun hmot/lešení), terasa-area fix + venkovní schody na terénu. 71 items s realizuje_skladbu.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(+17 dalších)</t>
        </is>
      </c>
      <c r="D5" s="9" t="n">
        <v>21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(+14 dalších)</t>
        </is>
      </c>
      <c r="D6" s="9" t="n">
        <v>18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Špalety EPS; Profilace fasády; … (+4 dalších)</t>
        </is>
      </c>
      <c r="D8" s="9" t="n">
        <v>8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(+4 dalších)</t>
        </is>
      </c>
      <c r="D9" s="9" t="n">
        <v>8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M-24</t>
        </is>
      </c>
      <c r="C10" s="8" t="inlineStr">
        <is>
          <t>Lokální odtah digestoří kuchyní</t>
        </is>
      </c>
      <c r="D10" s="9" t="n">
        <v>1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PSV-71 — Izolace HI + TI</t>
        </is>
      </c>
      <c r="C11" s="8" t="inlineStr">
        <is>
          <t>HI pod ŽB deskou 1.NP; Odvětrání radonu z podloží; HI koupelny 1.NP + 2.NP + 3.NP; Podlahový EPS 150; … (+1 dalších)</t>
        </is>
      </c>
      <c r="D11" s="9" t="n">
        <v>5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PSV-72 — ZTI (vodovod + kanalizace + sanita)</t>
        </is>
      </c>
      <c r="C12" s="8" t="inlineStr">
        <is>
          <t>Revize stávajících přípojek; Nové rozvody vody do 3.NP; Nové odpadní rozvody; Sanitární keramika koupelna 1.05 (1.NP); … (+15 dalších)</t>
        </is>
      </c>
      <c r="D12" s="9" t="n">
        <v>19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PSV-73 — Vytápění + komín</t>
        </is>
      </c>
      <c r="C13" s="8" t="inlineStr">
        <is>
          <t>Sporáková kamna na tuhá paliva; Sporáková kamna — montáž; Elektrokotel 3.NP; Krb na tuhá paliva 3.NP; … (+4 dalších)</t>
        </is>
      </c>
      <c r="D13" s="9" t="n">
        <v>8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PSV-76 — Výplně otvorů + klempířina + zámečnictví + truhlář</t>
        </is>
      </c>
      <c r="C14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4" s="9" t="n">
        <v>22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PSV-77 — Podlahy</t>
        </is>
      </c>
      <c r="C15" s="8" t="inlineStr">
        <is>
          <t>Nášlap vinyl obytné místnosti; Nášlap keramická dlažba — mokré zóny; Nášlap keramická dlažba — 1.PP sklep; Nášlap biodeska 3.NP spací patro; … (+3 dalších)</t>
        </is>
      </c>
      <c r="D15" s="9" t="n">
        <v>7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PSV-78 — Povrchové úpravy</t>
        </is>
      </c>
      <c r="C16" s="8" t="inlineStr">
        <is>
          <t>Omítka jádrová + štuk 1.PP; Omítka jádrová + štuk 1.NP; Omítka jádrová + štuk 2.NP; Omítka jádrová + štuk 3.NP; … (+12 dalších)</t>
        </is>
      </c>
      <c r="D16" s="9" t="n">
        <v>16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PSV-95 — Detekce požární</t>
        </is>
      </c>
      <c r="C17" s="8" t="inlineStr">
        <is>
          <t>Autonomní hlásič kouře; Přenosný hasicí přístroj 34A; Předávací protokol krbu + kontrola bezpečných vzdáleností</t>
        </is>
      </c>
      <c r="D17" s="9" t="n">
        <v>3</v>
      </c>
      <c r="E17" s="10" t="n"/>
      <c r="F17" s="10" t="n"/>
      <c r="G17" s="8" t="inlineStr">
        <is>
          <t>agregát — detail viz List B</t>
        </is>
      </c>
    </row>
    <row r="18" ht="36" customHeight="1">
      <c r="A18" s="20" t="n">
        <v>17</v>
      </c>
      <c r="B18" s="21" t="inlineStr">
        <is>
          <t>VRN — Vedlejší rozpočtové náklady</t>
        </is>
      </c>
      <c r="C18" s="8" t="inlineStr">
        <is>
          <t>Buňky kancelář + sociální; Mobilní WC; El. odběr + vodovodní odběr stavby; Kontejnery suti tříděné; … (+14 dalších)</t>
        </is>
      </c>
      <c r="D18" s="9" t="n">
        <v>18</v>
      </c>
      <c r="E18" s="10" t="n"/>
      <c r="F18" s="10" t="n"/>
      <c r="G18" s="8" t="inlineStr">
        <is>
          <t>agregát — detail viz List B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tvarovek; Hydroizolace + protiradon stěn pod terénem (S03a+S04); … (+1 dalších)</t>
        </is>
      </c>
      <c r="D4" s="9" t="n">
        <v>5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prefa; Vjezd Dvořákova — napojení na komunikaci</t>
        </is>
      </c>
      <c r="D6" s="9" t="n">
        <v>2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sklad; Vjezdová brána</t>
        </is>
      </c>
      <c r="D7" s="9" t="n">
        <v>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dům; … (+1 dalších)</t>
        </is>
      </c>
      <c r="D9" s="9" t="n">
        <v>5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2.64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1.76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18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36.74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zařizovacích předmětů — Demontáž všech sanitárních zařizovacích předmětů (WC, umyvadla, baterie, sprcha)</t>
        </is>
      </c>
      <c r="E90" s="20" t="inlineStr">
        <is>
          <t>ks</t>
        </is>
      </c>
      <c r="F90" s="23" t="n">
        <v>12</v>
      </c>
      <c r="G90" s="10" t="n"/>
      <c r="H90" s="10" t="n"/>
      <c r="I90" s="8" t="inlineStr">
        <is>
          <t>bourani_demolice</t>
        </is>
      </c>
      <c r="J90" s="8" t="inlineStr">
        <is>
          <t>URS-prop 725900001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Odvoz suti a likvidace — Odvoz a likvidace stavební suti dle vyhl. 8/2021 Sb. — celková tonáž odpadů</t>
        </is>
      </c>
      <c r="E91" s="20" t="inlineStr">
        <is>
          <t>t</t>
        </is>
      </c>
      <c r="F91" s="22" t="n">
        <v>56.5</v>
      </c>
      <c r="G91" s="10" t="n"/>
      <c r="H91" s="10" t="n"/>
      <c r="I91" s="8" t="inlineStr">
        <is>
          <t>bourani_demolice</t>
        </is>
      </c>
      <c r="J91" s="8" t="inlineStr">
        <is>
          <t>URS-prop 997013501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Příprava podkladu — Příprava fasádního podkladu — očištění tlakovou vodou, vyspravení omítek, fungicidní nátěr</t>
        </is>
      </c>
      <c r="E92" s="20" t="inlineStr">
        <is>
          <t>m²</t>
        </is>
      </c>
      <c r="F92" s="22" t="n">
        <v>276.7</v>
      </c>
      <c r="G92" s="10" t="n"/>
      <c r="H92" s="10" t="n"/>
      <c r="I92" s="8" t="inlineStr">
        <is>
          <t>fasadnik_etics</t>
        </is>
      </c>
      <c r="J92" s="8" t="inlineStr">
        <is>
          <t>URS-prop 622401110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EPS 70F grey 160 mm — ETICS kontaktní zateplení — EPS 70F grey λ=0.032 tl. 160 mm + síťka + lepidlo + zatírací stěrka (řez S01+S12a explicit, ne 200 mm fallback)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622221121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</t>
        </is>
      </c>
      <c r="E94" s="20" t="inlineStr">
        <is>
          <t>bm</t>
        </is>
      </c>
      <c r="F94" s="22" t="n">
        <v>82.2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276.7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HSV-6 Bourací práce</t>
        </is>
      </c>
      <c r="D97" s="8" t="inlineStr">
        <is>
          <t>Demontáž oken — Demontáž stávajících dřevěných oken vč. rámů a parapetů — 16 ks (návrh všechna okna nová plastová trojsklem)</t>
        </is>
      </c>
      <c r="E97" s="20" t="inlineStr">
        <is>
          <t>ks</t>
        </is>
      </c>
      <c r="F97" s="23" t="n">
        <v>16</v>
      </c>
      <c r="G97" s="10" t="n"/>
      <c r="H97" s="10" t="n"/>
      <c r="I97" s="8" t="inlineStr">
        <is>
          <t>bourani_demolice</t>
        </is>
      </c>
      <c r="J97" s="8" t="inlineStr">
        <is>
          <t>URS-prop 978013181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HSV-6 Bourací práce</t>
        </is>
      </c>
      <c r="D98" s="8" t="inlineStr">
        <is>
          <t>Demontáž vstupních dveří venkovních — Demontáž stávajících vstupních dveří + rámů — 2 ks (1× ulice Fibichova + 1× zahrada; návrh nové plastové vstupní dveře)</t>
        </is>
      </c>
      <c r="E98" s="20" t="inlineStr">
        <is>
          <t>ks</t>
        </is>
      </c>
      <c r="F98" s="23" t="n">
        <v>2</v>
      </c>
      <c r="G98" s="10" t="n"/>
      <c r="H98" s="10" t="n"/>
      <c r="I98" s="8" t="inlineStr">
        <is>
          <t>bourani_demolice</t>
        </is>
      </c>
      <c r="J98" s="8" t="inlineStr">
        <is>
          <t>URS-prop 978013181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99" s="20" t="inlineStr">
        <is>
          <t>ks</t>
        </is>
      </c>
      <c r="F99" s="23" t="n">
        <v>15</v>
      </c>
      <c r="G99" s="10" t="n"/>
      <c r="H99" s="10" t="n"/>
      <c r="I99" s="8" t="inlineStr">
        <is>
          <t>bourani_demolice</t>
        </is>
      </c>
      <c r="J99" s="8" t="inlineStr">
        <is>
          <t>URS-prop 968072456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Bourání zdiva komínu — Bourání vrchní části stávajícího komínu v posledním podlaží (cihelné zdivo, ručně), vč. likvidace cihelné suti</t>
        </is>
      </c>
      <c r="E100" s="20" t="inlineStr">
        <is>
          <t>m³</t>
        </is>
      </c>
      <c r="F100" s="22" t="n">
        <v>0.6</v>
      </c>
      <c r="G100" s="10" t="n"/>
      <c r="H100" s="10" t="n"/>
      <c r="I100" s="8" t="inlineStr">
        <is>
          <t>bourani_demolice</t>
        </is>
      </c>
      <c r="J100" s="8" t="inlineStr">
        <is>
          <t>URS-prop 962024141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Bourání venkovních konstrukcí — Bourání stávajících opěrných zídek a venkovního schodiště v zahradě/dvoře — částečné, dle vyznačení v půdorysech bourání</t>
        </is>
      </c>
      <c r="E101" s="20" t="inlineStr">
        <is>
          <t>m³</t>
        </is>
      </c>
      <c r="F101" s="22" t="n">
        <v>8</v>
      </c>
      <c r="G101" s="10" t="n"/>
      <c r="H101" s="10" t="n"/>
      <c r="I101" s="8" t="inlineStr">
        <is>
          <t>bourani_demolice</t>
        </is>
      </c>
      <c r="J101" s="8" t="inlineStr">
        <is>
          <t>URS-prop 961044111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HSV-1 Zemní práce</t>
        </is>
      </c>
      <c r="D102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2" s="20" t="inlineStr">
        <is>
          <t>m</t>
        </is>
      </c>
      <c r="F102" s="22" t="n">
        <v>12</v>
      </c>
      <c r="G102" s="10" t="n"/>
      <c r="H102" s="10" t="n"/>
      <c r="I102" s="8" t="inlineStr">
        <is>
          <t>izolater_HI</t>
        </is>
      </c>
      <c r="J102" s="8" t="inlineStr">
        <is>
          <t>URS-prop 877315111</t>
        </is>
      </c>
    </row>
    <row r="103">
      <c r="A103" s="20" t="n">
        <v>102</v>
      </c>
      <c r="B103" s="20" t="inlineStr">
        <is>
          <t>260217_sklad</t>
        </is>
      </c>
      <c r="C103" s="8" t="inlineStr">
        <is>
          <t>HSV-5 Komunikace + schodiště</t>
        </is>
      </c>
      <c r="D103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3" s="20" t="inlineStr">
        <is>
          <t>m²</t>
        </is>
      </c>
      <c r="F103" s="22" t="n">
        <v>5.5</v>
      </c>
      <c r="G103" s="10" t="n"/>
      <c r="H103" s="10" t="n"/>
      <c r="I103" s="8" t="inlineStr">
        <is>
          <t>betonar</t>
        </is>
      </c>
      <c r="J103" s="8" t="inlineStr">
        <is>
          <t>URS-prop 121301101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4" s="20" t="inlineStr">
        <is>
          <t>ks</t>
        </is>
      </c>
      <c r="F104" s="23" t="n">
        <v>13</v>
      </c>
      <c r="G104" s="10" t="n"/>
      <c r="H104" s="10" t="n"/>
      <c r="I104" s="8" t="inlineStr">
        <is>
          <t>zednik</t>
        </is>
      </c>
      <c r="J104" s="8" t="inlineStr">
        <is>
          <t>URS-prop —</t>
        </is>
      </c>
    </row>
    <row r="105">
      <c r="A105" s="20" t="n">
        <v>104</v>
      </c>
      <c r="B105" s="20" t="inlineStr">
        <is>
          <t>260219_dum</t>
        </is>
      </c>
      <c r="C105" s="8" t="inlineStr">
        <is>
          <t>HSV-5 Krov + střecha</t>
        </is>
      </c>
      <c r="D105" s="8" t="inlineStr">
        <is>
          <t>Spojovací prostředky krovu — svorníky tesařských spojů — Montáž svorníků / šroubů tesařských spojů krovu délky přes 150 do 300 mm — spojení kleštin 2×60/180 mm s krokvemi (svorník cca 250 mm, M12), vč. tyče závitové + matic + podložek</t>
        </is>
      </c>
      <c r="E105" s="20" t="inlineStr">
        <is>
          <t>ks</t>
        </is>
      </c>
      <c r="F105" s="23" t="n">
        <v>50</v>
      </c>
      <c r="G105" s="10" t="n"/>
      <c r="H105" s="10" t="n"/>
      <c r="I105" s="8" t="inlineStr">
        <is>
          <t>tesar</t>
        </is>
      </c>
      <c r="J105" s="8" t="inlineStr">
        <is>
          <t>URS-prop 762085112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HSV-4 Vodorovné</t>
        </is>
      </c>
      <c r="D106" s="8" t="inlineStr">
        <is>
          <t>Strop 1.NP/2.NP — kročejová izolace (S07) — Desky kročejové izolace (Isover T-P) tl. 30 mm — trámový strop 1.NP/2.NP</t>
        </is>
      </c>
      <c r="E106" s="20" t="inlineStr">
        <is>
          <t>m²</t>
        </is>
      </c>
      <c r="F106" s="22" t="n">
        <v>59.5</v>
      </c>
      <c r="G106" s="10" t="n"/>
      <c r="H106" s="10" t="n"/>
      <c r="I106" s="8" t="inlineStr">
        <is>
          <t>izolater_TI</t>
        </is>
      </c>
      <c r="J106" s="8" t="inlineStr">
        <is>
          <t>URS-prop 713191</t>
        </is>
      </c>
    </row>
    <row r="107">
      <c r="A107" s="20" t="n">
        <v>106</v>
      </c>
      <c r="B107" s="20" t="inlineStr">
        <is>
          <t>260219_dum</t>
        </is>
      </c>
      <c r="C107" s="8" t="inlineStr">
        <is>
          <t>HSV-4 Vodorovné</t>
        </is>
      </c>
      <c r="D107" s="8" t="inlineStr">
        <is>
          <t>Strop 1.NP/2.NP — separační geotextilie (S07) — Separační geotextilie pod suchý podsyp — trámový strop 1.NP/2.NP</t>
        </is>
      </c>
      <c r="E107" s="20" t="inlineStr">
        <is>
          <t>m²</t>
        </is>
      </c>
      <c r="F107" s="22" t="n">
        <v>59.5</v>
      </c>
      <c r="G107" s="10" t="n"/>
      <c r="H107" s="10" t="n"/>
      <c r="I107" s="8" t="inlineStr">
        <is>
          <t>izolater_TI</t>
        </is>
      </c>
      <c r="J107" s="8" t="inlineStr">
        <is>
          <t>URS-prop —</t>
        </is>
      </c>
    </row>
    <row r="108">
      <c r="A108" s="20" t="n">
        <v>107</v>
      </c>
      <c r="B108" s="20" t="inlineStr">
        <is>
          <t>260219_dum</t>
        </is>
      </c>
      <c r="C108" s="8" t="inlineStr">
        <is>
          <t>HSV-4 Vodorovné</t>
        </is>
      </c>
      <c r="D108" s="8" t="inlineStr">
        <is>
          <t>Strop 2.NP/3.NP — min. vata výplň mezi nosníky (S09) — Tepelná/akustická izolace minerální vata výplň mezi ocelové nosníky stropu 2.NP/3.NP, tl. 180/200 mm</t>
        </is>
      </c>
      <c r="E108" s="20" t="inlineStr">
        <is>
          <t>m²</t>
        </is>
      </c>
      <c r="F108" s="22" t="n">
        <v>104.4</v>
      </c>
      <c r="G108" s="10" t="n"/>
      <c r="H108" s="10" t="n"/>
      <c r="I108" s="8" t="inlineStr">
        <is>
          <t>izolater_TI</t>
        </is>
      </c>
      <c r="J108" s="8" t="inlineStr">
        <is>
          <t>URS-prop 713121</t>
        </is>
      </c>
    </row>
    <row r="109">
      <c r="A109" s="20" t="n">
        <v>108</v>
      </c>
      <c r="B109" s="20" t="inlineStr">
        <is>
          <t>260219_dum</t>
        </is>
      </c>
      <c r="C109" s="8" t="inlineStr">
        <is>
          <t>HSV-4 Vodorovné</t>
        </is>
      </c>
      <c r="D109" s="8" t="inlineStr">
        <is>
          <t>Strop klemba mezi patry — Fermacell (S08) — Roznášecí sádrovláknité dílce Fermacell 2E22 tl. 25 mm — suchá skladba nad cihelnou klembou S08</t>
        </is>
      </c>
      <c r="E109" s="20" t="inlineStr">
        <is>
          <t>m²</t>
        </is>
      </c>
      <c r="F109" s="22" t="n"/>
      <c r="G109" s="10" t="n"/>
      <c r="H109" s="10" t="n"/>
      <c r="I109" s="8" t="inlineStr">
        <is>
          <t>suchá_vystavba</t>
        </is>
      </c>
      <c r="J109" s="8" t="inlineStr">
        <is>
          <t>URS-prop —</t>
        </is>
      </c>
    </row>
    <row r="110">
      <c r="A110" s="20" t="n">
        <v>109</v>
      </c>
      <c r="B110" s="20" t="inlineStr">
        <is>
          <t>260219_dum</t>
        </is>
      </c>
      <c r="C110" s="8" t="inlineStr">
        <is>
          <t>HSV-4 Vodorovné</t>
        </is>
      </c>
      <c r="D110" s="8" t="inlineStr">
        <is>
          <t>Strop klemba mezi patry — kročejová izolace (S08) — Desky kročejové izolace (Isover T-P) tl. 30 mm — suchá skladba nad klembou S08</t>
        </is>
      </c>
      <c r="E110" s="20" t="inlineStr">
        <is>
          <t>m²</t>
        </is>
      </c>
      <c r="F110" s="22" t="n"/>
      <c r="G110" s="10" t="n"/>
      <c r="H110" s="10" t="n"/>
      <c r="I110" s="8" t="inlineStr">
        <is>
          <t>izolater_TI</t>
        </is>
      </c>
      <c r="J110" s="8" t="inlineStr">
        <is>
          <t>URS-prop 713191</t>
        </is>
      </c>
    </row>
    <row r="111">
      <c r="A111" s="20" t="n">
        <v>110</v>
      </c>
      <c r="B111" s="20" t="inlineStr">
        <is>
          <t>260219_dum</t>
        </is>
      </c>
      <c r="C111" s="8" t="inlineStr">
        <is>
          <t>HSV-4 Vodorovné</t>
        </is>
      </c>
      <c r="D111" s="8" t="inlineStr">
        <is>
          <t>Strop klemba mezi patry — suchý podsyp + dřevěný rošt (S08) — Vyrovnávací suchý podsyp keramzit/liapor + dřevěný rošt tl. 50 mm — nad klembou S08</t>
        </is>
      </c>
      <c r="E111" s="20" t="inlineStr">
        <is>
          <t>m²</t>
        </is>
      </c>
      <c r="F111" s="22" t="n"/>
      <c r="G111" s="10" t="n"/>
      <c r="H111" s="10" t="n"/>
      <c r="I111" s="8" t="inlineStr">
        <is>
          <t>suchá_vystavba</t>
        </is>
      </c>
      <c r="J111" s="8" t="inlineStr">
        <is>
          <t>URS-prop —</t>
        </is>
      </c>
    </row>
    <row r="112">
      <c r="A112" s="20" t="n">
        <v>111</v>
      </c>
      <c r="B112" s="20" t="inlineStr">
        <is>
          <t>260219_dum</t>
        </is>
      </c>
      <c r="C112" s="8" t="inlineStr">
        <is>
          <t>HSV-4 Vodorovné</t>
        </is>
      </c>
      <c r="D112" s="8" t="inlineStr">
        <is>
          <t>Strop klemba mezi patry — separační vrstva (S08) — Separační vrstva pod suchý podsyp — nad cihelnou klembou S08</t>
        </is>
      </c>
      <c r="E112" s="20" t="inlineStr">
        <is>
          <t>m²</t>
        </is>
      </c>
      <c r="F112" s="22" t="n"/>
      <c r="G112" s="10" t="n"/>
      <c r="H112" s="10" t="n"/>
      <c r="I112" s="8" t="inlineStr">
        <is>
          <t>suchá_vystavba</t>
        </is>
      </c>
      <c r="J112" s="8" t="inlineStr">
        <is>
          <t>URS-prop —</t>
        </is>
      </c>
    </row>
    <row r="113">
      <c r="A113" s="20" t="n">
        <v>112</v>
      </c>
      <c r="B113" s="20" t="inlineStr">
        <is>
          <t>260219_dum</t>
        </is>
      </c>
      <c r="C113" s="8" t="inlineStr">
        <is>
          <t>HSV-7 Fasáda + zateplení</t>
        </is>
      </c>
      <c r="D113" s="8" t="inlineStr">
        <is>
          <t>Sokl suterénu — sanační zateplení (S03) — Sanační zateplení soklu — sanační izolační deska Styrcon 200 + lepící tmel (Lepstyr plus) + armovací vrstva s tkaninou + penetrace</t>
        </is>
      </c>
      <c r="E113" s="20" t="inlineStr">
        <is>
          <t>m²</t>
        </is>
      </c>
      <c r="F113" s="22" t="n">
        <v>16</v>
      </c>
      <c r="G113" s="10" t="n"/>
      <c r="H113" s="10" t="n"/>
      <c r="I113" s="8" t="inlineStr">
        <is>
          <t>fasader</t>
        </is>
      </c>
      <c r="J113" s="8" t="inlineStr">
        <is>
          <t>URS-prop —</t>
        </is>
      </c>
    </row>
    <row r="114">
      <c r="A114" s="20" t="n">
        <v>113</v>
      </c>
      <c r="B114" s="20" t="inlineStr">
        <is>
          <t>260219_dum</t>
        </is>
      </c>
      <c r="C114" s="8" t="inlineStr">
        <is>
          <t>HSV-7 Fasáda + zateplení</t>
        </is>
      </c>
      <c r="D114" s="8" t="inlineStr">
        <is>
          <t>Sokl pod terénem — drenážní nopová folie (S03a) — Drenážní vrstva — nopová folie tl. 20 mm na suterénní stěnu pod úrovní terénu</t>
        </is>
      </c>
      <c r="E114" s="20" t="inlineStr">
        <is>
          <t>m²</t>
        </is>
      </c>
      <c r="F114" s="22" t="n">
        <v>16</v>
      </c>
      <c r="G114" s="10" t="n"/>
      <c r="H114" s="10" t="n"/>
      <c r="I114" s="8" t="inlineStr">
        <is>
          <t>izolater_HI</t>
        </is>
      </c>
      <c r="J114" s="8" t="inlineStr">
        <is>
          <t>URS-prop —</t>
        </is>
      </c>
    </row>
    <row r="115">
      <c r="A115" s="20" t="n">
        <v>114</v>
      </c>
      <c r="B115" s="20" t="inlineStr">
        <is>
          <t>260219_dum</t>
        </is>
      </c>
      <c r="C115" s="8" t="inlineStr">
        <is>
          <t>HSV-7 Fasáda + zateplení</t>
        </is>
      </c>
      <c r="D115" s="8" t="inlineStr">
        <is>
          <t>Sokl nad terénem — provětraný obklad (S03b) — Provětrávaná mezera s kotevním roštem 40 mm + keramický obklad 20 mm — sokl nad úrovní terénu</t>
        </is>
      </c>
      <c r="E115" s="20" t="inlineStr">
        <is>
          <t>m²</t>
        </is>
      </c>
      <c r="F115" s="22" t="n">
        <v>16</v>
      </c>
      <c r="G115" s="10" t="n"/>
      <c r="H115" s="10" t="n"/>
      <c r="I115" s="8" t="inlineStr">
        <is>
          <t>obkladac</t>
        </is>
      </c>
      <c r="J115" s="8" t="inlineStr">
        <is>
          <t>URS-prop —</t>
        </is>
      </c>
    </row>
    <row r="116">
      <c r="A116" s="20" t="n">
        <v>115</v>
      </c>
      <c r="B116" s="20" t="inlineStr">
        <is>
          <t>260219_dum</t>
        </is>
      </c>
      <c r="C116" s="8" t="inlineStr">
        <is>
          <t>HSV-5 Krov + střecha</t>
        </is>
      </c>
      <c r="D116" s="8" t="inlineStr">
        <is>
          <t>Střecha — pojistná HI folie pod Al krytinu (S10) — Pojistná hydroizolační folie pod hliníkovou falcovanou krytinu (nad celoplošným bedněním)</t>
        </is>
      </c>
      <c r="E116" s="20" t="inlineStr">
        <is>
          <t>m²</t>
        </is>
      </c>
      <c r="F116" s="22" t="n">
        <v>140.94</v>
      </c>
      <c r="G116" s="10" t="n"/>
      <c r="H116" s="10" t="n"/>
      <c r="I116" s="8" t="inlineStr">
        <is>
          <t>pokryvac</t>
        </is>
      </c>
      <c r="J116" s="8" t="inlineStr">
        <is>
          <t>URS-prop —</t>
        </is>
      </c>
    </row>
    <row r="117">
      <c r="A117" s="20" t="n">
        <v>116</v>
      </c>
      <c r="B117" s="20" t="inlineStr">
        <is>
          <t>260219_dum</t>
        </is>
      </c>
      <c r="C117" s="8" t="inlineStr">
        <is>
          <t>HSV-6 Bourací práce</t>
        </is>
      </c>
      <c r="D117" s="8" t="inlineStr">
        <is>
          <t>Demontáž vnějšího keram. obkladu suterénu (S03 stávající) — Demontáž stávajícího vnějšího keramického obkladu suterénní stěny (sokl) tl. 20 mm</t>
        </is>
      </c>
      <c r="E117" s="20" t="inlineStr">
        <is>
          <t>m²</t>
        </is>
      </c>
      <c r="F117" s="22" t="n">
        <v>16</v>
      </c>
      <c r="G117" s="10" t="n"/>
      <c r="H117" s="10" t="n"/>
      <c r="I117" s="8" t="inlineStr">
        <is>
          <t>bourac</t>
        </is>
      </c>
      <c r="J117" s="8" t="inlineStr">
        <is>
          <t>URS-prop —</t>
        </is>
      </c>
    </row>
    <row r="118">
      <c r="A118" s="20" t="n">
        <v>117</v>
      </c>
      <c r="B118" s="20" t="inlineStr">
        <is>
          <t>260217_sklad</t>
        </is>
      </c>
      <c r="C118" s="8" t="inlineStr">
        <is>
          <t>HSV-5 Komunikace + vjezd</t>
        </is>
      </c>
      <c r="D118" s="8" t="inlineStr">
        <is>
          <t>Vjezd Dvořákova — napojení na komunikaci — Napojení vjezdu na ulici Dvořákova — vydláždění z betonových dlaždic + spádování na pozemek investora + odvodnění dešťové vody na pozemek (ne na komunikaci)</t>
        </is>
      </c>
      <c r="E118" s="20" t="inlineStr">
        <is>
          <t>m²</t>
        </is>
      </c>
      <c r="F118" s="22" t="n"/>
      <c r="G118" s="10" t="n"/>
      <c r="H118" s="10" t="n"/>
      <c r="I118" s="8" t="inlineStr">
        <is>
          <t>komunikace</t>
        </is>
      </c>
      <c r="J118" s="8" t="inlineStr">
        <is>
          <t>URS-prop —</t>
        </is>
      </c>
    </row>
    <row r="119">
      <c r="A119" s="20" t="n">
        <v>118</v>
      </c>
      <c r="B119" s="20" t="inlineStr">
        <is>
          <t>260217_sklad</t>
        </is>
      </c>
      <c r="C119" s="8" t="inlineStr">
        <is>
          <t>HSV-3 Svislé konstrukce</t>
        </is>
      </c>
      <c r="D119" s="8" t="inlineStr">
        <is>
          <t>Hydroizolace + protiradon stěn pod terénem (S03a+S04) — Hydroizolace + protiradonová ochrana obvodových stěn (S03a) + opěrné stěny (S04) pod úrovní terénu — asfaltová penetrace + 2× HI a protiradonový pás z modif. asfaltu 2×4 mm</t>
        </is>
      </c>
      <c r="E119" s="20" t="inlineStr">
        <is>
          <t>m²</t>
        </is>
      </c>
      <c r="F119" s="22" t="n">
        <v>33</v>
      </c>
      <c r="G119" s="10" t="n"/>
      <c r="H119" s="10" t="n"/>
      <c r="I119" s="8" t="inlineStr">
        <is>
          <t>izolater_HI</t>
        </is>
      </c>
      <c r="J119" s="8" t="inlineStr">
        <is>
          <t>URS-prop —</t>
        </is>
      </c>
    </row>
    <row r="120">
      <c r="A120" s="20" t="n">
        <v>119</v>
      </c>
      <c r="B120" s="20" t="inlineStr">
        <is>
          <t>260217_sklad</t>
        </is>
      </c>
      <c r="C120" s="8" t="inlineStr">
        <is>
          <t>HSV-3 Svislé konstrukce</t>
        </is>
      </c>
      <c r="D120" s="8" t="inlineStr">
        <is>
          <t>Drenáž nopová folie stěn pod terénem (S03a+S04) — Drenážní vrstva — nopová folie tl. 20 mm na obvodové stěny (S03a) + opěrnou stěnu (S04) pod úrovní terénu</t>
        </is>
      </c>
      <c r="E120" s="20" t="inlineStr">
        <is>
          <t>m²</t>
        </is>
      </c>
      <c r="F120" s="22" t="n">
        <v>33</v>
      </c>
      <c r="G120" s="10" t="n"/>
      <c r="H120" s="10" t="n"/>
      <c r="I120" s="8" t="inlineStr">
        <is>
          <t>izolater_HI</t>
        </is>
      </c>
      <c r="J120" s="8" t="inlineStr">
        <is>
          <t>URS-prop —</t>
        </is>
      </c>
    </row>
    <row r="121">
      <c r="A121" s="20" t="n">
        <v>120</v>
      </c>
      <c r="B121" s="20" t="inlineStr">
        <is>
          <t>260217_sklad</t>
        </is>
      </c>
      <c r="C121" s="21" t="inlineStr">
        <is>
          <t>PSV-76 — Výplně otvorů + klempířina + zámečnictví + truhlář</t>
        </is>
      </c>
      <c r="D121" s="8" t="inlineStr">
        <is>
          <t>[agregát] 2 položek: Bezpečnostní dveře RC3 sklad; Vjezdová brána</t>
        </is>
      </c>
      <c r="E121" s="20" t="inlineStr">
        <is>
          <t>kpl</t>
        </is>
      </c>
      <c r="F121" s="9" t="n">
        <v>1</v>
      </c>
      <c r="G121" s="10" t="n"/>
      <c r="H121" s="10" t="n"/>
      <c r="I121" s="8" t="inlineStr">
        <is>
          <t>—</t>
        </is>
      </c>
      <c r="J121" s="8" t="inlineStr">
        <is>
          <t>agregát</t>
        </is>
      </c>
    </row>
    <row r="122">
      <c r="A122" s="20" t="n">
        <v>121</v>
      </c>
      <c r="B122" s="20" t="inlineStr">
        <is>
          <t>260217_sklad</t>
        </is>
      </c>
      <c r="C122" s="21" t="inlineStr">
        <is>
          <t>PSV-77 — Podlahy</t>
        </is>
      </c>
      <c r="D122" s="8" t="inlineStr">
        <is>
          <t>[agregát] 1 položek: Betonová dlažba sklad</t>
        </is>
      </c>
      <c r="E122" s="20" t="inlineStr">
        <is>
          <t>kpl</t>
        </is>
      </c>
      <c r="F122" s="9" t="n">
        <v>1</v>
      </c>
      <c r="G122" s="10" t="n"/>
      <c r="H122" s="10" t="n"/>
      <c r="I122" s="8" t="inlineStr">
        <is>
          <t>—</t>
        </is>
      </c>
      <c r="J122" s="8" t="inlineStr">
        <is>
          <t>agregát</t>
        </is>
      </c>
    </row>
    <row r="123">
      <c r="A123" s="20" t="n">
        <v>122</v>
      </c>
      <c r="B123" s="20" t="inlineStr">
        <is>
          <t>260217_sklad</t>
        </is>
      </c>
      <c r="C123" s="21" t="inlineStr">
        <is>
          <t>VRN — Vedlejší rozpočtové náklady</t>
        </is>
      </c>
      <c r="D123" s="8" t="inlineStr">
        <is>
          <t>[agregát] 5 položek: Doprava prefa H-BLOK auto s hyd. rukou; Likvidace odpadu sklad; Geodetické vytýčení sklad; … (+2 dalších)</t>
        </is>
      </c>
      <c r="E123" s="20" t="inlineStr">
        <is>
          <t>kpl</t>
        </is>
      </c>
      <c r="F123" s="9" t="n">
        <v>1</v>
      </c>
      <c r="G123" s="10" t="n"/>
      <c r="H123" s="10" t="n"/>
      <c r="I123" s="8" t="inlineStr">
        <is>
          <t>—</t>
        </is>
      </c>
      <c r="J123" s="8" t="inlineStr">
        <is>
          <t>agregát</t>
        </is>
      </c>
    </row>
    <row r="124">
      <c r="A124" s="20" t="n">
        <v>123</v>
      </c>
      <c r="B124" s="20" t="inlineStr">
        <is>
          <t>260219_dum</t>
        </is>
      </c>
      <c r="C124" s="21" t="inlineStr">
        <is>
          <t>M-21 — Elektroinstalace silnoproudá</t>
        </is>
      </c>
      <c r="D124" s="8" t="inlineStr">
        <is>
          <t>[agregát] 8 položek: Demontáž stávající ELI; Pojistková skříň + 3× podružný rozvaděč; Rozvody silnoproud; … (+5 dalších)</t>
        </is>
      </c>
      <c r="E124" s="20" t="inlineStr">
        <is>
          <t>kpl</t>
        </is>
      </c>
      <c r="F124" s="9" t="n">
        <v>1</v>
      </c>
      <c r="G124" s="10" t="n"/>
      <c r="H124" s="10" t="n"/>
      <c r="I124" s="8" t="inlineStr">
        <is>
          <t>—</t>
        </is>
      </c>
      <c r="J124" s="8" t="inlineStr">
        <is>
          <t>agregát</t>
        </is>
      </c>
    </row>
    <row r="125">
      <c r="A125" s="20" t="n">
        <v>124</v>
      </c>
      <c r="B125" s="20" t="inlineStr">
        <is>
          <t>260219_dum</t>
        </is>
      </c>
      <c r="C125" s="21" t="inlineStr">
        <is>
          <t>M-24</t>
        </is>
      </c>
      <c r="D125" s="8" t="inlineStr">
        <is>
          <t>[agregát] 1 položek: Lokální odtah digestoří kuchyní</t>
        </is>
      </c>
      <c r="E125" s="20" t="inlineStr">
        <is>
          <t>kpl</t>
        </is>
      </c>
      <c r="F125" s="9" t="n">
        <v>1</v>
      </c>
      <c r="G125" s="10" t="n"/>
      <c r="H125" s="10" t="n"/>
      <c r="I125" s="8" t="inlineStr">
        <is>
          <t>—</t>
        </is>
      </c>
      <c r="J125" s="8" t="inlineStr">
        <is>
          <t>agregát</t>
        </is>
      </c>
    </row>
    <row r="126">
      <c r="A126" s="20" t="n">
        <v>125</v>
      </c>
      <c r="B126" s="20" t="inlineStr">
        <is>
          <t>260219_dum</t>
        </is>
      </c>
      <c r="C126" s="21" t="inlineStr">
        <is>
          <t>PSV-71 — Izolace HI + TI</t>
        </is>
      </c>
      <c r="D126" s="8" t="inlineStr">
        <is>
          <t>[agregát] 5 položek: HI pod ŽB deskou 1.NP; Odvětrání radonu z podloží; HI koupelny 1.NP + 2.NP + 3.NP; … (+2 dalších)</t>
        </is>
      </c>
      <c r="E126" s="20" t="inlineStr">
        <is>
          <t>kpl</t>
        </is>
      </c>
      <c r="F126" s="9" t="n">
        <v>1</v>
      </c>
      <c r="G126" s="10" t="n"/>
      <c r="H126" s="10" t="n"/>
      <c r="I126" s="8" t="inlineStr">
        <is>
          <t>—</t>
        </is>
      </c>
      <c r="J126" s="8" t="inlineStr">
        <is>
          <t>agregát</t>
        </is>
      </c>
    </row>
    <row r="127">
      <c r="A127" s="20" t="n">
        <v>126</v>
      </c>
      <c r="B127" s="20" t="inlineStr">
        <is>
          <t>260219_dum</t>
        </is>
      </c>
      <c r="C127" s="21" t="inlineStr">
        <is>
          <t>PSV-72 — ZTI (vodovod + kanalizace + sanita)</t>
        </is>
      </c>
      <c r="D127" s="8" t="inlineStr">
        <is>
          <t>[agregát] 19 položek: Revize stávajících přípojek; Nové rozvody vody do 3.NP; Nové odpadní rozvody; … (+16 dalších)</t>
        </is>
      </c>
      <c r="E127" s="20" t="inlineStr">
        <is>
          <t>kpl</t>
        </is>
      </c>
      <c r="F127" s="9" t="n">
        <v>1</v>
      </c>
      <c r="G127" s="10" t="n"/>
      <c r="H127" s="10" t="n"/>
      <c r="I127" s="8" t="inlineStr">
        <is>
          <t>—</t>
        </is>
      </c>
      <c r="J127" s="8" t="inlineStr">
        <is>
          <t>agregát</t>
        </is>
      </c>
    </row>
    <row r="128">
      <c r="A128" s="20" t="n">
        <v>127</v>
      </c>
      <c r="B128" s="20" t="inlineStr">
        <is>
          <t>260219_dum</t>
        </is>
      </c>
      <c r="C128" s="21" t="inlineStr">
        <is>
          <t>PSV-73 — Vytápění + komín</t>
        </is>
      </c>
      <c r="D128" s="8" t="inlineStr">
        <is>
          <t>[agregát] 8 položek: Sporáková kamna na tuhá paliva; Sporáková kamna — montáž; Elektrokotel 3.NP; … (+5 dalších)</t>
        </is>
      </c>
      <c r="E128" s="20" t="inlineStr">
        <is>
          <t>kpl</t>
        </is>
      </c>
      <c r="F128" s="9" t="n">
        <v>1</v>
      </c>
      <c r="G128" s="10" t="n"/>
      <c r="H128" s="10" t="n"/>
      <c r="I128" s="8" t="inlineStr">
        <is>
          <t>—</t>
        </is>
      </c>
      <c r="J128" s="8" t="inlineStr">
        <is>
          <t>agregát</t>
        </is>
      </c>
    </row>
    <row r="129">
      <c r="A129" s="20" t="n">
        <v>128</v>
      </c>
      <c r="B129" s="20" t="inlineStr">
        <is>
          <t>260219_dum</t>
        </is>
      </c>
      <c r="C129" s="21" t="inlineStr">
        <is>
          <t>PSV-76 — Výplně otvorů + klempířina + zámečnictví + truhlář</t>
        </is>
      </c>
      <c r="D129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29" s="20" t="inlineStr">
        <is>
          <t>kpl</t>
        </is>
      </c>
      <c r="F129" s="9" t="n">
        <v>1</v>
      </c>
      <c r="G129" s="10" t="n"/>
      <c r="H129" s="10" t="n"/>
      <c r="I129" s="8" t="inlineStr">
        <is>
          <t>—</t>
        </is>
      </c>
      <c r="J129" s="8" t="inlineStr">
        <is>
          <t>agregát</t>
        </is>
      </c>
    </row>
    <row r="130">
      <c r="A130" s="20" t="n">
        <v>129</v>
      </c>
      <c r="B130" s="20" t="inlineStr">
        <is>
          <t>260219_dum</t>
        </is>
      </c>
      <c r="C130" s="21" t="inlineStr">
        <is>
          <t>PSV-77 — Podlahy</t>
        </is>
      </c>
      <c r="D130" s="8" t="inlineStr">
        <is>
          <t>[agregát] 7 položek: Nášlap vinyl obytné místnosti; Nášlap keramická dlažba — mokré zóny; Nášlap keramická dlažba — 1.PP sklep; … (+4 dalších)</t>
        </is>
      </c>
      <c r="E130" s="20" t="inlineStr">
        <is>
          <t>kpl</t>
        </is>
      </c>
      <c r="F130" s="9" t="n">
        <v>1</v>
      </c>
      <c r="G130" s="10" t="n"/>
      <c r="H130" s="10" t="n"/>
      <c r="I130" s="8" t="inlineStr">
        <is>
          <t>—</t>
        </is>
      </c>
      <c r="J130" s="8" t="inlineStr">
        <is>
          <t>agregát</t>
        </is>
      </c>
    </row>
    <row r="131">
      <c r="A131" s="20" t="n">
        <v>130</v>
      </c>
      <c r="B131" s="20" t="inlineStr">
        <is>
          <t>260219_dum</t>
        </is>
      </c>
      <c r="C131" s="21" t="inlineStr">
        <is>
          <t>PSV-78 — Povrchové úpravy</t>
        </is>
      </c>
      <c r="D131" s="8" t="inlineStr">
        <is>
          <t>[agregát] 16 položek: Omítka jádrová + štuk 1.PP; Omítka jádrová + štuk 1.NP; Omítka jádrová + štuk 2.NP; … (+13 dalších)</t>
        </is>
      </c>
      <c r="E131" s="20" t="inlineStr">
        <is>
          <t>kpl</t>
        </is>
      </c>
      <c r="F131" s="9" t="n">
        <v>1</v>
      </c>
      <c r="G131" s="10" t="n"/>
      <c r="H131" s="10" t="n"/>
      <c r="I131" s="8" t="inlineStr">
        <is>
          <t>—</t>
        </is>
      </c>
      <c r="J131" s="8" t="inlineStr">
        <is>
          <t>agregát</t>
        </is>
      </c>
    </row>
    <row r="132">
      <c r="A132" s="20" t="n">
        <v>131</v>
      </c>
      <c r="B132" s="20" t="inlineStr">
        <is>
          <t>260219_dum</t>
        </is>
      </c>
      <c r="C132" s="21" t="inlineStr">
        <is>
          <t>PSV-95 — Detekce požární</t>
        </is>
      </c>
      <c r="D132" s="8" t="inlineStr">
        <is>
          <t>[agregát] 3 položek: Autonomní hlásič kouře; Přenosný hasicí přístroj 34A; Předávací protokol krbu + kontrola bezpečných vzdáleností</t>
        </is>
      </c>
      <c r="E132" s="20" t="inlineStr">
        <is>
          <t>kpl</t>
        </is>
      </c>
      <c r="F132" s="9" t="n">
        <v>1</v>
      </c>
      <c r="G132" s="10" t="n"/>
      <c r="H132" s="10" t="n"/>
      <c r="I132" s="8" t="inlineStr">
        <is>
          <t>—</t>
        </is>
      </c>
      <c r="J132" s="8" t="inlineStr">
        <is>
          <t>agregát</t>
        </is>
      </c>
    </row>
    <row r="133">
      <c r="A133" s="20" t="n">
        <v>132</v>
      </c>
      <c r="B133" s="20" t="inlineStr">
        <is>
          <t>260219_dum</t>
        </is>
      </c>
      <c r="C133" s="21" t="inlineStr">
        <is>
          <t>VRN — Vedlejší rozpočtové náklady</t>
        </is>
      </c>
      <c r="D133" s="8" t="inlineStr">
        <is>
          <t>[agregát] 18 položek: Buňky kancelář + sociální; Mobilní WC; El. odběr + vodovodní odběr stavby; … (+15 dalších)</t>
        </is>
      </c>
      <c r="E133" s="20" t="inlineStr">
        <is>
          <t>kpl</t>
        </is>
      </c>
      <c r="F133" s="9" t="n">
        <v>1</v>
      </c>
      <c r="G133" s="10" t="n"/>
      <c r="H133" s="10" t="n"/>
      <c r="I133" s="8" t="inlineStr">
        <is>
          <t>—</t>
        </is>
      </c>
      <c r="J133" s="8" t="inlineStr">
        <is>
          <t>agregát</t>
        </is>
      </c>
    </row>
  </sheetData>
  <autoFilter ref="A1:J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HSV-4 Vodorovné</t>
        </is>
      </c>
      <c r="C46" s="8" t="inlineStr">
        <is>
          <t>Strop 1.NP/2.NP — kročejová izolace (S07)</t>
        </is>
      </c>
      <c r="D46" s="20" t="inlineStr">
        <is>
          <t>713191</t>
        </is>
      </c>
      <c r="E46" s="8" t="inlineStr">
        <is>
          <t>Desky kročejové izolace (Isover T-P) tl. 30 mm — trámový strop 1.NP/2.NP</t>
        </is>
      </c>
      <c r="F46" s="20" t="inlineStr">
        <is>
          <t>m²</t>
        </is>
      </c>
      <c r="G46" s="22" t="n">
        <v>59.5</v>
      </c>
      <c r="H46" s="10" t="n"/>
      <c r="I46" s="10" t="n"/>
      <c r="J46" s="8" t="inlineStr">
        <is>
          <t>izolater_TI</t>
        </is>
      </c>
      <c r="K46" s="24" t="n">
        <v>0.75</v>
      </c>
      <c r="L46" s="20" t="inlineStr">
        <is>
          <t>family_only</t>
        </is>
      </c>
      <c r="M46" s="8" t="inlineStr">
        <is>
          <t>skladba S07 návrh — kročejová Isover T-P 30 mm</t>
        </is>
      </c>
      <c r="N46" s="20" t="inlineStr">
        <is>
          <t>—</t>
        </is>
      </c>
      <c r="O46" s="26" t="inlineStr">
        <is>
          <t>ANO</t>
        </is>
      </c>
      <c r="P46" s="41" t="inlineStr">
        <is>
          <t>S07</t>
        </is>
      </c>
      <c r="Q46" s="41" t="inlineStr">
        <is>
          <t>SKLADBY_GAPS_2026-06-01</t>
        </is>
      </c>
    </row>
    <row r="47">
      <c r="A47" s="20" t="n">
        <v>46</v>
      </c>
      <c r="B47" s="8" t="inlineStr">
        <is>
          <t>HSV-4 Vodorovné</t>
        </is>
      </c>
      <c r="C47" s="8" t="inlineStr">
        <is>
          <t>Strop 1.NP/2.NP — separační geotextilie (S07)</t>
        </is>
      </c>
      <c r="D47" s="20" t="inlineStr">
        <is>
          <t>—</t>
        </is>
      </c>
      <c r="E47" s="8" t="inlineStr">
        <is>
          <t>Separační geotextilie pod suchý podsyp — trámový strop 1.NP/2.NP</t>
        </is>
      </c>
      <c r="F47" s="20" t="inlineStr">
        <is>
          <t>m²</t>
        </is>
      </c>
      <c r="G47" s="22" t="n">
        <v>59.5</v>
      </c>
      <c r="H47" s="10" t="n"/>
      <c r="I47" s="10" t="n"/>
      <c r="J47" s="8" t="inlineStr">
        <is>
          <t>izolater_TI</t>
        </is>
      </c>
      <c r="K47" s="24" t="n">
        <v>0.7</v>
      </c>
      <c r="L47" s="20" t="inlineStr">
        <is>
          <t>needs_production_lookup</t>
        </is>
      </c>
      <c r="M47" s="8" t="inlineStr">
        <is>
          <t>skladba S07 návrh — separační geotextilie</t>
        </is>
      </c>
      <c r="N47" s="20" t="inlineStr">
        <is>
          <t>—</t>
        </is>
      </c>
      <c r="O47" s="26" t="inlineStr">
        <is>
          <t>ANO</t>
        </is>
      </c>
      <c r="P47" s="41" t="inlineStr">
        <is>
          <t>S07</t>
        </is>
      </c>
      <c r="Q47" s="41" t="inlineStr">
        <is>
          <t>SKLADBY_GAPS_2026-06-01</t>
        </is>
      </c>
    </row>
    <row r="48">
      <c r="A48" s="20" t="n">
        <v>47</v>
      </c>
      <c r="B48" s="8" t="inlineStr">
        <is>
          <t>HSV-4 Vodorovné</t>
        </is>
      </c>
      <c r="C48" s="8" t="inlineStr">
        <is>
          <t>Strop 2.NP/3.NP — min. vata výplň mezi nosníky (S09)</t>
        </is>
      </c>
      <c r="D48" s="20" t="inlineStr">
        <is>
          <t>713121</t>
        </is>
      </c>
      <c r="E48" s="8" t="inlineStr">
        <is>
          <t>Tepelná/akustická izolace minerální vata výplň mezi ocelové nosníky stropu 2.NP/3.NP, tl. 180/200 mm</t>
        </is>
      </c>
      <c r="F48" s="20" t="inlineStr">
        <is>
          <t>m²</t>
        </is>
      </c>
      <c r="G48" s="22" t="n">
        <v>104.4</v>
      </c>
      <c r="H48" s="10" t="n"/>
      <c r="I48" s="10" t="n"/>
      <c r="J48" s="8" t="inlineStr">
        <is>
          <t>izolater_TI</t>
        </is>
      </c>
      <c r="K48" s="24" t="n">
        <v>0.75</v>
      </c>
      <c r="L48" s="20" t="inlineStr">
        <is>
          <t>family_only</t>
        </is>
      </c>
      <c r="M48" s="8" t="inlineStr">
        <is>
          <t>skladba S09 návrh — min. vata výplň 180/200 mm</t>
        </is>
      </c>
      <c r="N48" s="20" t="inlineStr">
        <is>
          <t>—</t>
        </is>
      </c>
      <c r="O48" s="26" t="inlineStr">
        <is>
          <t>ANO</t>
        </is>
      </c>
      <c r="P48" s="41" t="inlineStr">
        <is>
          <t>S09</t>
        </is>
      </c>
      <c r="Q48" s="41" t="inlineStr">
        <is>
          <t>SKLADBY_GAPS_2026-06-01</t>
        </is>
      </c>
    </row>
    <row r="49">
      <c r="A49" s="20" t="n">
        <v>48</v>
      </c>
      <c r="B49" s="8" t="inlineStr">
        <is>
          <t>HSV-4 Vodorovné</t>
        </is>
      </c>
      <c r="C49" s="8" t="inlineStr">
        <is>
          <t>Strop klemba mezi patry — Fermacell (S08)</t>
        </is>
      </c>
      <c r="D49" s="20" t="inlineStr">
        <is>
          <t>—</t>
        </is>
      </c>
      <c r="E49" s="8" t="inlineStr">
        <is>
          <t>Roznášecí sádrovláknité dílce Fermacell 2E22 tl. 25 mm — suchá skladba nad cihelnou klembou S08</t>
        </is>
      </c>
      <c r="F49" s="20" t="inlineStr">
        <is>
          <t>m²</t>
        </is>
      </c>
      <c r="G49" s="22" t="n"/>
      <c r="H49" s="10" t="n"/>
      <c r="I49" s="10" t="n"/>
      <c r="J49" s="8" t="inlineStr">
        <is>
          <t>suchá_vystavba</t>
        </is>
      </c>
      <c r="K49" s="24" t="n">
        <v>0</v>
      </c>
      <c r="L49" s="20" t="inlineStr">
        <is>
          <t>needs_production_lookup</t>
        </is>
      </c>
      <c r="M49" s="8" t="inlineStr">
        <is>
          <t>skladba S08 legenda (řez nepretíná, plocha nepřiřazena)</t>
        </is>
      </c>
      <c r="N49" s="20" t="inlineStr">
        <is>
          <t>#28</t>
        </is>
      </c>
      <c r="O49" s="26" t="inlineStr">
        <is>
          <t>ANO</t>
        </is>
      </c>
      <c r="P49" s="41" t="inlineStr">
        <is>
          <t>S08</t>
        </is>
      </c>
      <c r="Q49" s="41" t="inlineStr">
        <is>
          <t>SKLADBY_GAPS_2026-06-01</t>
        </is>
      </c>
    </row>
    <row r="50">
      <c r="A50" s="20" t="n">
        <v>49</v>
      </c>
      <c r="B50" s="8" t="inlineStr">
        <is>
          <t>HSV-4 Vodorovné</t>
        </is>
      </c>
      <c r="C50" s="8" t="inlineStr">
        <is>
          <t>Strop klemba mezi patry — kročejová izolace (S08)</t>
        </is>
      </c>
      <c r="D50" s="20" t="inlineStr">
        <is>
          <t>713191</t>
        </is>
      </c>
      <c r="E50" s="8" t="inlineStr">
        <is>
          <t>Desky kročejové izolace (Isover T-P) tl. 30 mm — suchá skladba nad klembou S08</t>
        </is>
      </c>
      <c r="F50" s="20" t="inlineStr">
        <is>
          <t>m²</t>
        </is>
      </c>
      <c r="G50" s="22" t="n"/>
      <c r="H50" s="10" t="n"/>
      <c r="I50" s="10" t="n"/>
      <c r="J50" s="8" t="inlineStr">
        <is>
          <t>izolater_TI</t>
        </is>
      </c>
      <c r="K50" s="24" t="n">
        <v>0</v>
      </c>
      <c r="L50" s="20" t="inlineStr">
        <is>
          <t>needs_production_lookup</t>
        </is>
      </c>
      <c r="M50" s="8" t="inlineStr">
        <is>
          <t>skladba S08 legenda</t>
        </is>
      </c>
      <c r="N50" s="20" t="inlineStr">
        <is>
          <t>#28</t>
        </is>
      </c>
      <c r="O50" s="26" t="inlineStr">
        <is>
          <t>ANO</t>
        </is>
      </c>
      <c r="P50" s="41" t="inlineStr">
        <is>
          <t>S08</t>
        </is>
      </c>
      <c r="Q50" s="41" t="inlineStr">
        <is>
          <t>SKLADBY_GAPS_2026-06-01</t>
        </is>
      </c>
    </row>
    <row r="51">
      <c r="A51" s="20" t="n">
        <v>50</v>
      </c>
      <c r="B51" s="8" t="inlineStr">
        <is>
          <t>HSV-4 Vodorovné</t>
        </is>
      </c>
      <c r="C51" s="8" t="inlineStr">
        <is>
          <t>Strop klemba mezi patry — suchý podsyp + dřevěný rošt (S08)</t>
        </is>
      </c>
      <c r="D51" s="20" t="inlineStr">
        <is>
          <t>—</t>
        </is>
      </c>
      <c r="E51" s="8" t="inlineStr">
        <is>
          <t>Vyrovnávací suchý podsyp keramzit/liapor + dřevěný rošt tl. 50 mm — nad klembou S08</t>
        </is>
      </c>
      <c r="F51" s="20" t="inlineStr">
        <is>
          <t>m²</t>
        </is>
      </c>
      <c r="G51" s="22" t="n"/>
      <c r="H51" s="10" t="n"/>
      <c r="I51" s="10" t="n"/>
      <c r="J51" s="8" t="inlineStr">
        <is>
          <t>suchá_vystavba</t>
        </is>
      </c>
      <c r="K51" s="24" t="n">
        <v>0</v>
      </c>
      <c r="L51" s="20" t="inlineStr">
        <is>
          <t>needs_production_lookup</t>
        </is>
      </c>
      <c r="M51" s="8" t="inlineStr">
        <is>
          <t>skladba S08 legenda</t>
        </is>
      </c>
      <c r="N51" s="20" t="inlineStr">
        <is>
          <t>#28</t>
        </is>
      </c>
      <c r="O51" s="26" t="inlineStr">
        <is>
          <t>ANO</t>
        </is>
      </c>
      <c r="P51" s="41" t="inlineStr">
        <is>
          <t>S08</t>
        </is>
      </c>
      <c r="Q51" s="41" t="inlineStr">
        <is>
          <t>SKLADBY_GAPS_2026-06-01</t>
        </is>
      </c>
    </row>
    <row r="52">
      <c r="A52" s="20" t="n">
        <v>51</v>
      </c>
      <c r="B52" s="8" t="inlineStr">
        <is>
          <t>HSV-4 Vodorovné</t>
        </is>
      </c>
      <c r="C52" s="8" t="inlineStr">
        <is>
          <t>Strop klemba mezi patry — separační vrstva (S08)</t>
        </is>
      </c>
      <c r="D52" s="20" t="inlineStr">
        <is>
          <t>—</t>
        </is>
      </c>
      <c r="E52" s="8" t="inlineStr">
        <is>
          <t>Separační vrstva pod suchý podsyp — nad cihelnou klembou S08</t>
        </is>
      </c>
      <c r="F52" s="20" t="inlineStr">
        <is>
          <t>m²</t>
        </is>
      </c>
      <c r="G52" s="22" t="n"/>
      <c r="H52" s="10" t="n"/>
      <c r="I52" s="10" t="n"/>
      <c r="J52" s="8" t="inlineStr">
        <is>
          <t>suchá_vystavba</t>
        </is>
      </c>
      <c r="K52" s="24" t="n">
        <v>0</v>
      </c>
      <c r="L52" s="20" t="inlineStr">
        <is>
          <t>needs_production_lookup</t>
        </is>
      </c>
      <c r="M52" s="8" t="inlineStr">
        <is>
          <t>skladba S08 legenda</t>
        </is>
      </c>
      <c r="N52" s="20" t="inlineStr">
        <is>
          <t>#28</t>
        </is>
      </c>
      <c r="O52" s="26" t="inlineStr">
        <is>
          <t>ANO</t>
        </is>
      </c>
      <c r="P52" s="41" t="inlineStr">
        <is>
          <t>S08</t>
        </is>
      </c>
      <c r="Q52" s="41" t="inlineStr">
        <is>
          <t>SKLADBY_GAPS_2026-06-01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Krokve 100/180 á 800 mm</t>
        </is>
      </c>
      <c r="D53" s="20" t="inlineStr">
        <is>
          <t>762332122</t>
        </is>
      </c>
      <c r="E53" s="8" t="inlineStr">
        <is>
          <t>Tesařský krov — krokve 100/180 mm á 800 mm, rezivo C24 fungicidní + protihmyzí (cca 2×12 krokví × ~6.5 m)</t>
        </is>
      </c>
      <c r="F53" s="20" t="inlineStr">
        <is>
          <t>bm</t>
        </is>
      </c>
      <c r="G53" s="22" t="n">
        <v>156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matched_catalog</t>
        </is>
      </c>
      <c r="M53" s="8" t="inlineStr">
        <is>
          <t>TZ ARS dům §4 + statika §4 — krokve 100/180; DXF KR=111 INSERTs corroborates (krokve+sloupky+námětky combined)</t>
        </is>
      </c>
      <c r="N53" s="20" t="inlineStr">
        <is>
          <t>#3</t>
        </is>
      </c>
      <c r="O53" s="26" t="inlineStr">
        <is>
          <t>ANO</t>
        </is>
      </c>
      <c r="P53" s="41" t="n"/>
      <c r="Q53" s="41" t="inlineStr">
        <is>
          <t>URS_PHASE5B_FAMILY_VERIFIED; KROV_762332_LEAF_BIND_2026-05-31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Kleštiny 2×60/180</t>
        </is>
      </c>
      <c r="D54" s="20" t="inlineStr">
        <is>
          <t>762332122</t>
        </is>
      </c>
      <c r="E54" s="8" t="inlineStr">
        <is>
          <t>Tesařský krov — kleštiny dvojfošny 60/180 mm probíhající v oblasti spací části</t>
        </is>
      </c>
      <c r="F54" s="20" t="inlineStr">
        <is>
          <t>bm</t>
        </is>
      </c>
      <c r="G54" s="22" t="n">
        <v>110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matched_catalog</t>
        </is>
      </c>
      <c r="M54" s="8" t="inlineStr">
        <is>
          <t>TZ statika dům §4 — 2× 60/180 kleštiny</t>
        </is>
      </c>
      <c r="N54" s="20" t="inlineStr">
        <is>
          <t>—</t>
        </is>
      </c>
      <c r="O54" s="26" t="inlineStr">
        <is>
          <t>ANO</t>
        </is>
      </c>
      <c r="P54" s="41" t="n"/>
      <c r="Q54" s="41" t="inlineStr">
        <is>
          <t>URS_PHASE5B_FAMILY_VERIFIED; KROV_762332_LEAF_BIND_2026-05-31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Pozednice 140/160</t>
        </is>
      </c>
      <c r="D55" s="20" t="inlineStr">
        <is>
          <t>762332122</t>
        </is>
      </c>
      <c r="E55" s="8" t="inlineStr">
        <is>
          <t>Tesařský krov — pozednice 140/160 mm kotvená do ŽB věnce 3.NP</t>
        </is>
      </c>
      <c r="F55" s="20" t="inlineStr">
        <is>
          <t>bm</t>
        </is>
      </c>
      <c r="G55" s="22" t="n">
        <v>19.4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matched_catalog</t>
        </is>
      </c>
      <c r="M55" s="8" t="inlineStr">
        <is>
          <t>TZ ARS + statika — pozednice kotvené do věnce</t>
        </is>
      </c>
      <c r="N55" s="20" t="inlineStr">
        <is>
          <t>—</t>
        </is>
      </c>
      <c r="O55" s="26" t="inlineStr">
        <is>
          <t>ANO</t>
        </is>
      </c>
      <c r="P55" s="41" t="n"/>
      <c r="Q55" s="41" t="inlineStr">
        <is>
          <t>URS_PHASE5B_FAMILY_VERIFIED; KROV_762332_LEAF_BIND_2026-05-31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Námětky pro přesah</t>
        </is>
      </c>
      <c r="D56" s="20" t="inlineStr">
        <is>
          <t>762332121</t>
        </is>
      </c>
      <c r="E56" s="8" t="inlineStr">
        <is>
          <t>Tesařský krov — námětky 60/100 v dolní koncové části pro přesah střechy ~500 mm</t>
        </is>
      </c>
      <c r="F56" s="20" t="inlineStr">
        <is>
          <t>bm</t>
        </is>
      </c>
      <c r="G56" s="22" t="n">
        <v>19.2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matched_catalog</t>
        </is>
      </c>
      <c r="M56" s="8" t="inlineStr">
        <is>
          <t>TZ ARS dům §4 — námětky v dolní části pro přesah</t>
        </is>
      </c>
      <c r="N56" s="20" t="inlineStr">
        <is>
          <t>—</t>
        </is>
      </c>
      <c r="O56" s="26" t="inlineStr">
        <is>
          <t>ANO</t>
        </is>
      </c>
      <c r="P56" s="41" t="n"/>
      <c r="Q56" s="41" t="inlineStr">
        <is>
          <t>KROV_762332_LEAF_BIND_2026-05-31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Středová vaznice HEA160</t>
        </is>
      </c>
      <c r="D57" s="20" t="inlineStr">
        <is>
          <t>411321414</t>
        </is>
      </c>
      <c r="E57" s="8" t="inlineStr">
        <is>
          <t>Ocelová středová vaznice HEA160 — 2 ks × cca 10 m délka</t>
        </is>
      </c>
      <c r="F57" s="20" t="inlineStr">
        <is>
          <t>kg</t>
        </is>
      </c>
      <c r="G57" s="22" t="n">
        <v>608</v>
      </c>
      <c r="H57" s="10" t="n"/>
      <c r="I57" s="10" t="n"/>
      <c r="J57" s="8" t="inlineStr">
        <is>
          <t>ocel_zamecnik_konstrukce</t>
        </is>
      </c>
      <c r="K57" s="24" t="n">
        <v>0.85</v>
      </c>
      <c r="L57" s="20" t="inlineStr">
        <is>
          <t>family_verified_leaf_needs_production_lookup</t>
        </is>
      </c>
      <c r="M57" s="8" t="inlineStr">
        <is>
          <t>TZ statika dům §4 — HEA160 vaznice</t>
        </is>
      </c>
      <c r="N57" s="20" t="inlineStr">
        <is>
          <t>—</t>
        </is>
      </c>
      <c r="O57" s="26" t="inlineStr">
        <is>
          <t>ANO</t>
        </is>
      </c>
      <c r="P57" s="41" t="n"/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Sloupky pod vaznice — jekl 100/4</t>
        </is>
      </c>
      <c r="D58" s="20" t="inlineStr">
        <is>
          <t>411321414</t>
        </is>
      </c>
      <c r="E58" s="8" t="inlineStr">
        <is>
          <t>Ocelové sloupky uzavřený profil 100×100×4 mm pod vaznice HEA160 (~6 ks × ~2.5 m výška)</t>
        </is>
      </c>
      <c r="F58" s="20" t="inlineStr">
        <is>
          <t>kg</t>
        </is>
      </c>
      <c r="G58" s="22" t="n">
        <v>176</v>
      </c>
      <c r="H58" s="10" t="n"/>
      <c r="I58" s="10" t="n"/>
      <c r="J58" s="8" t="inlineStr">
        <is>
          <t>ocel_zamecnik_konstrukce</t>
        </is>
      </c>
      <c r="K58" s="24" t="n">
        <v>0.85</v>
      </c>
      <c r="L58" s="20" t="inlineStr">
        <is>
          <t>needs_production_lookup</t>
        </is>
      </c>
      <c r="M58" s="8" t="inlineStr">
        <is>
          <t>TZ statika dům §4 — 'sloupky z jeklu 100/4'; korekce nomenklatury (vyjasnění #17)</t>
        </is>
      </c>
      <c r="N58" s="20" t="inlineStr">
        <is>
          <t>#17</t>
        </is>
      </c>
      <c r="O58" s="26" t="inlineStr">
        <is>
          <t>ANO</t>
        </is>
      </c>
      <c r="P58" s="41" t="n"/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Bednění z prken pod nadkrokevní izolaci</t>
        </is>
      </c>
      <c r="D59" s="20" t="inlineStr">
        <is>
          <t>762341711</t>
        </is>
      </c>
      <c r="E59" s="8" t="inlineStr">
        <is>
          <t>Bednění z prken tl. 20 mm pod nadkrokevní PIR (biodeska/palubka)</t>
        </is>
      </c>
      <c r="F59" s="20" t="inlineStr">
        <is>
          <t>m²</t>
        </is>
      </c>
      <c r="G59" s="22" t="n">
        <v>140.94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biodeska/palubka tl.≥20 pod parotěs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S10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Parotěsná vrstva</t>
        </is>
      </c>
      <c r="D60" s="20" t="inlineStr">
        <is>
          <t>712311101</t>
        </is>
      </c>
      <c r="E60" s="8" t="inlineStr">
        <is>
          <t>Parotěsná folie nad bedněním pod nadkrokevní PIR (např. Isover Vario nebo Tyvek Air guard)</t>
        </is>
      </c>
      <c r="F60" s="20" t="inlineStr">
        <is>
          <t>m²</t>
        </is>
      </c>
      <c r="G60" s="22" t="n">
        <v>155.034</v>
      </c>
      <c r="H60" s="10" t="n"/>
      <c r="I60" s="10" t="n"/>
      <c r="J60" s="8" t="inlineStr">
        <is>
          <t>izolater_HI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skladba nadkrokevní s parotěsem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S10</t>
        </is>
      </c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Nadkrokevní PIR izolace</t>
        </is>
      </c>
      <c r="D61" s="20" t="inlineStr">
        <is>
          <t>713131811</t>
        </is>
      </c>
      <c r="E61" s="8" t="inlineStr">
        <is>
          <t>Nadkrokevní tepelná izolace PIR (polyisokyanurát) tl. 160 mm (λ=0,022 W/mK) — řez A-A S10 explicit</t>
        </is>
      </c>
      <c r="F61" s="20" t="inlineStr">
        <is>
          <t>m²</t>
        </is>
      </c>
      <c r="G61" s="22" t="n">
        <v>140.94</v>
      </c>
      <c r="H61" s="10" t="n"/>
      <c r="I61" s="10" t="n"/>
      <c r="J61" s="8" t="inlineStr">
        <is>
          <t>izolater_TI</t>
        </is>
      </c>
      <c r="K61" s="24" t="n">
        <v>0.9</v>
      </c>
      <c r="L61" s="20" t="inlineStr">
        <is>
          <t>matched_websearch_verified</t>
        </is>
      </c>
      <c r="M61" s="8" t="inlineStr">
        <is>
          <t>PDF řez D.1.1.2.2.21 legenda S10 'tepelná izolace PIR 160 mm' EXPLICIT (Path C Tier 1 finding — was prior 180 mm odhad)</t>
        </is>
      </c>
      <c r="N61" s="20" t="inlineStr">
        <is>
          <t>—</t>
        </is>
      </c>
      <c r="O61" s="25" t="inlineStr">
        <is>
          <t>OVĚŘENO ✓</t>
        </is>
      </c>
      <c r="P61" s="41" t="inlineStr">
        <is>
          <t>S10</t>
        </is>
      </c>
      <c r="Q61" s="41" t="inlineStr">
        <is>
          <t>URS_PHASE5B_VERIFIED</t>
        </is>
      </c>
    </row>
    <row r="62">
      <c r="A62" s="20" t="n">
        <v>61</v>
      </c>
      <c r="B62" s="8" t="inlineStr">
        <is>
          <t>HSV-5 Krov + střecha</t>
        </is>
      </c>
      <c r="C62" s="8" t="inlineStr">
        <is>
          <t>Doplňková HI pod kontralatě</t>
        </is>
      </c>
      <c r="D62" s="20" t="inlineStr">
        <is>
          <t>712311111</t>
        </is>
      </c>
      <c r="E62" s="8" t="inlineStr">
        <is>
          <t>Doplňková hydroizolační difuzně otevřená folie nad PIR pod kontralatě</t>
        </is>
      </c>
      <c r="F62" s="20" t="inlineStr">
        <is>
          <t>m²</t>
        </is>
      </c>
      <c r="G62" s="22" t="n">
        <v>155.034</v>
      </c>
      <c r="H62" s="10" t="n"/>
      <c r="I62" s="10" t="n"/>
      <c r="J62" s="8" t="inlineStr">
        <is>
          <t>izolater_HI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§4 — doplň. HI</t>
        </is>
      </c>
      <c r="N62" s="20" t="inlineStr">
        <is>
          <t>—</t>
        </is>
      </c>
      <c r="O62" s="26" t="inlineStr">
        <is>
          <t>ANO</t>
        </is>
      </c>
      <c r="P62" s="41" t="inlineStr">
        <is>
          <t>S10</t>
        </is>
      </c>
      <c r="Q62" s="41" t="n"/>
    </row>
    <row r="63">
      <c r="A63" s="20" t="n">
        <v>62</v>
      </c>
      <c r="B63" s="8" t="inlineStr">
        <is>
          <t>HSV-5 Krov + střecha</t>
        </is>
      </c>
      <c r="C63" s="8" t="inlineStr">
        <is>
          <t>Kontralatě + vzduchová mezera</t>
        </is>
      </c>
      <c r="D63" s="20" t="inlineStr">
        <is>
          <t>762331923</t>
        </is>
      </c>
      <c r="E63" s="8" t="inlineStr">
        <is>
          <t>Distanční kontralatě 40×60 mm pro vzduchovou mezeru nad PIR</t>
        </is>
      </c>
      <c r="F63" s="20" t="inlineStr">
        <is>
          <t>m²</t>
        </is>
      </c>
      <c r="G63" s="22" t="n">
        <v>140.94</v>
      </c>
      <c r="H63" s="10" t="n"/>
      <c r="I63" s="10" t="n"/>
      <c r="J63" s="8" t="inlineStr">
        <is>
          <t>krov_tesarsky_kompletni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§4 — kontralatě + vzduchová mezera</t>
        </is>
      </c>
      <c r="N63" s="20" t="inlineStr">
        <is>
          <t>—</t>
        </is>
      </c>
      <c r="O63" s="26" t="inlineStr">
        <is>
          <t>ANO</t>
        </is>
      </c>
      <c r="P63" s="41" t="inlineStr">
        <is>
          <t>S10</t>
        </is>
      </c>
      <c r="Q63" s="41" t="n"/>
    </row>
    <row r="64">
      <c r="A64" s="20" t="n">
        <v>63</v>
      </c>
      <c r="B64" s="8" t="inlineStr">
        <is>
          <t>HSV-5 Krov + střecha</t>
        </is>
      </c>
      <c r="C64" s="8" t="inlineStr">
        <is>
          <t>Bednění prken pod hliníkovou krytinu</t>
        </is>
      </c>
      <c r="D64" s="20" t="inlineStr">
        <is>
          <t>762341711</t>
        </is>
      </c>
      <c r="E64" s="8" t="inlineStr">
        <is>
          <t>Bednění z prken tl. 25 mm pod plechovou hliníkovou krytinu (rozsah dle technologie krytiny)</t>
        </is>
      </c>
      <c r="F64" s="20" t="inlineStr">
        <is>
          <t>m²</t>
        </is>
      </c>
      <c r="G64" s="22" t="n">
        <v>140.94</v>
      </c>
      <c r="H64" s="10" t="n"/>
      <c r="I64" s="10" t="n"/>
      <c r="J64" s="8" t="inlineStr">
        <is>
          <t>krov_tesarsky_kompletni</t>
        </is>
      </c>
      <c r="K64" s="24" t="n">
        <v>0.75</v>
      </c>
      <c r="L64" s="20" t="inlineStr">
        <is>
          <t>family_verified_leaf_needs_production_lookup</t>
        </is>
      </c>
      <c r="M64" s="8" t="inlineStr">
        <is>
          <t>TZ ARS dům §4 — bednění pod krytinu</t>
        </is>
      </c>
      <c r="N64" s="20" t="inlineStr">
        <is>
          <t>—</t>
        </is>
      </c>
      <c r="O64" s="26" t="inlineStr">
        <is>
          <t>ANO</t>
        </is>
      </c>
      <c r="P64" s="41" t="inlineStr">
        <is>
          <t>S10</t>
        </is>
      </c>
      <c r="Q64" s="41" t="inlineStr">
        <is>
          <t>URS_PHASE5B_FAMILY_VERIFIED</t>
        </is>
      </c>
    </row>
    <row r="65">
      <c r="A65" s="20" t="n">
        <v>64</v>
      </c>
      <c r="B65" s="8" t="inlineStr">
        <is>
          <t>HSV-5 Krov + střecha</t>
        </is>
      </c>
      <c r="C65" s="8" t="inlineStr">
        <is>
          <t>Plechová falcovaná Al krytina</t>
        </is>
      </c>
      <c r="D65" s="20" t="inlineStr">
        <is>
          <t>765791121</t>
        </is>
      </c>
      <c r="E65" s="8" t="inlineStr">
        <is>
          <t>Plechová falcovaná HLINÍKOVÁ krytina (např. PREFA, Rheinzink, Lindab) + tlumící podložka</t>
        </is>
      </c>
      <c r="F65" s="20" t="inlineStr">
        <is>
          <t>m²</t>
        </is>
      </c>
      <c r="G65" s="22" t="n">
        <v>140.94</v>
      </c>
      <c r="H65" s="10" t="n"/>
      <c r="I65" s="10" t="n"/>
      <c r="J65" s="8" t="inlineStr">
        <is>
          <t>plech_falcovany_hlinik</t>
        </is>
      </c>
      <c r="K65" s="24" t="n">
        <v>0.75</v>
      </c>
      <c r="L65" s="20" t="inlineStr">
        <is>
          <t>family_verified_leaf_needs_production_lookup</t>
        </is>
      </c>
      <c r="M65" s="8" t="inlineStr">
        <is>
          <t>TZ ARS dům §4 — plechová falcovaná hliníková krytina</t>
        </is>
      </c>
      <c r="N65" s="20" t="inlineStr">
        <is>
          <t>#3</t>
        </is>
      </c>
      <c r="O65" s="26" t="inlineStr">
        <is>
          <t>ANO</t>
        </is>
      </c>
      <c r="P65" s="41" t="inlineStr">
        <is>
          <t>S10</t>
        </is>
      </c>
      <c r="Q65" s="41" t="inlineStr">
        <is>
          <t>URS_PHASE5B_FAMILY_VERIFIED</t>
        </is>
      </c>
    </row>
    <row r="66">
      <c r="A66" s="20" t="n">
        <v>65</v>
      </c>
      <c r="B66" s="8" t="inlineStr">
        <is>
          <t>HSV-5 Krov + střecha</t>
        </is>
      </c>
      <c r="C66" s="8" t="inlineStr">
        <is>
          <t>Patro pro přespání z biodesky</t>
        </is>
      </c>
      <c r="D66" s="20" t="inlineStr">
        <is>
          <t>762341711</t>
        </is>
      </c>
      <c r="E66" s="8" t="inlineStr">
        <is>
          <t>Patro pro přespání v krovu — biodeska / OSB desky tl. 22 mm nad kleštinami</t>
        </is>
      </c>
      <c r="F66" s="20" t="inlineStr">
        <is>
          <t>m²</t>
        </is>
      </c>
      <c r="G66" s="22" t="n">
        <v>25</v>
      </c>
      <c r="H66" s="10" t="n"/>
      <c r="I66" s="10" t="n"/>
      <c r="J66" s="8" t="inlineStr">
        <is>
          <t>krov_tesarsky_kompletni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§4 — patro nad kleštinami z biodesky pro přespání</t>
        </is>
      </c>
      <c r="N66" s="20" t="inlineStr">
        <is>
          <t>—</t>
        </is>
      </c>
      <c r="O66" s="26" t="inlineStr">
        <is>
          <t>ANO</t>
        </is>
      </c>
      <c r="P66" s="41" t="inlineStr">
        <is>
          <t>S11</t>
        </is>
      </c>
      <c r="Q66" s="41" t="n"/>
    </row>
    <row r="67">
      <c r="A67" s="20" t="n">
        <v>66</v>
      </c>
      <c r="B67" s="8" t="inlineStr">
        <is>
          <t>HSV-5 Krov + střecha</t>
        </is>
      </c>
      <c r="C67" s="8" t="inlineStr">
        <is>
          <t>Vikýře — zděná čela</t>
        </is>
      </c>
      <c r="D67" s="20" t="inlineStr">
        <is>
          <t>311321411</t>
        </is>
      </c>
      <c r="E67" s="8" t="inlineStr">
        <is>
          <t>Vikýře — zděná čela z Porotherm 30 (odhad 4 ks × ~3 m² stěna)</t>
        </is>
      </c>
      <c r="F67" s="20" t="inlineStr">
        <is>
          <t>m²</t>
        </is>
      </c>
      <c r="G67" s="22" t="n">
        <v>12</v>
      </c>
      <c r="H67" s="10" t="n"/>
      <c r="I67" s="10" t="n"/>
      <c r="J67" s="8" t="inlineStr">
        <is>
          <t>zednik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§4 — vikýře vystupují ze střechy, čela zděná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HSV-5 Krov + střecha</t>
        </is>
      </c>
      <c r="C68" s="8" t="inlineStr">
        <is>
          <t>Vikýře — provětrávaná fasáda + plech</t>
        </is>
      </c>
      <c r="D68" s="20" t="inlineStr">
        <is>
          <t>765791121</t>
        </is>
      </c>
      <c r="E68" s="8" t="inlineStr">
        <is>
          <t>Vikýře — provětrávaná fasáda min. vata + plech falcovaný hliník (4 vikýře × ~6 m² fasády)</t>
        </is>
      </c>
      <c r="F68" s="20" t="inlineStr">
        <is>
          <t>m²</t>
        </is>
      </c>
      <c r="G68" s="22" t="n">
        <v>24</v>
      </c>
      <c r="H68" s="10" t="n"/>
      <c r="I68" s="10" t="n"/>
      <c r="J68" s="8" t="inlineStr">
        <is>
          <t>plech_falcovany_hlinik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§4 — vikýře fasáda provětrávaná + min. vata + plech falc.</t>
        </is>
      </c>
      <c r="N68" s="20" t="inlineStr">
        <is>
          <t>—</t>
        </is>
      </c>
      <c r="O68" s="26" t="inlineStr">
        <is>
          <t>ANO</t>
        </is>
      </c>
      <c r="P68" s="41" t="inlineStr">
        <is>
          <t>S12b</t>
        </is>
      </c>
      <c r="Q68" s="41" t="n"/>
    </row>
    <row r="69">
      <c r="A69" s="20" t="n">
        <v>68</v>
      </c>
      <c r="B69" s="8" t="inlineStr">
        <is>
          <t>HSV-5 Krov + střecha</t>
        </is>
      </c>
      <c r="C69" s="8" t="inlineStr">
        <is>
          <t>Spojovací prostředky krovu — svorníky tesařských spojů</t>
        </is>
      </c>
      <c r="D69" s="20" t="inlineStr">
        <is>
          <t>762085112</t>
        </is>
      </c>
      <c r="E69" s="8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69" s="20" t="inlineStr">
        <is>
          <t>ks</t>
        </is>
      </c>
      <c r="G69" s="23" t="n">
        <v>50</v>
      </c>
      <c r="H69" s="10" t="n"/>
      <c r="I69" s="10" t="n"/>
      <c r="J69" s="8" t="inlineStr">
        <is>
          <t>tesar</t>
        </is>
      </c>
      <c r="K69" s="24" t="n">
        <v>0.6</v>
      </c>
      <c r="L69" s="20" t="inlineStr">
        <is>
          <t>matched_catalog</t>
        </is>
      </c>
      <c r="M69" s="8" t="inlineStr">
        <is>
          <t>KROS/ÚRS catalog (762085112 montáž svorníků tesařských spojů) + STAVAGENT MCP; TZ statika §4 krov ocelové spojky</t>
        </is>
      </c>
      <c r="N69" s="20" t="inlineStr">
        <is>
          <t>—</t>
        </is>
      </c>
      <c r="O69" s="26" t="inlineStr">
        <is>
          <t>ANO</t>
        </is>
      </c>
      <c r="P69" s="41" t="inlineStr">
        <is>
          <t>Krov — spojovací prostředky</t>
        </is>
      </c>
      <c r="Q69" s="41" t="inlineStr">
        <is>
          <t>KROV_SVORNIKY_ADD_2026-05-31</t>
        </is>
      </c>
    </row>
    <row r="70">
      <c r="A70" s="20" t="n">
        <v>69</v>
      </c>
      <c r="B70" s="8" t="inlineStr">
        <is>
          <t>HSV-5 Krov + střecha</t>
        </is>
      </c>
      <c r="C70" s="8" t="inlineStr">
        <is>
          <t>Střecha — pojistná HI folie pod Al krytinu (S10)</t>
        </is>
      </c>
      <c r="D70" s="20" t="inlineStr">
        <is>
          <t>—</t>
        </is>
      </c>
      <c r="E70" s="8" t="inlineStr">
        <is>
          <t>Pojistná hydroizolační folie pod hliníkovou falcovanou krytinu (nad celoplošným bedněním)</t>
        </is>
      </c>
      <c r="F70" s="20" t="inlineStr">
        <is>
          <t>m²</t>
        </is>
      </c>
      <c r="G70" s="22" t="n">
        <v>140.94</v>
      </c>
      <c r="H70" s="10" t="n"/>
      <c r="I70" s="10" t="n"/>
      <c r="J70" s="8" t="inlineStr">
        <is>
          <t>pokryvac</t>
        </is>
      </c>
      <c r="K70" s="24" t="n">
        <v>0.75</v>
      </c>
      <c r="L70" s="20" t="inlineStr">
        <is>
          <t>needs_production_lookup</t>
        </is>
      </c>
      <c r="M70" s="8" t="inlineStr">
        <is>
          <t>skladba S10 návrh — pojistná HI pod Al krytinu</t>
        </is>
      </c>
      <c r="N70" s="20" t="inlineStr">
        <is>
          <t>—</t>
        </is>
      </c>
      <c r="O70" s="26" t="inlineStr">
        <is>
          <t>ANO</t>
        </is>
      </c>
      <c r="P70" s="41" t="inlineStr">
        <is>
          <t>S10</t>
        </is>
      </c>
      <c r="Q70" s="41" t="inlineStr">
        <is>
          <t>SKLADBY_GAPS_2026-06-01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Bourání kompletního stávajícího krovu</t>
        </is>
      </c>
      <c r="D71" s="20" t="inlineStr">
        <is>
          <t>962041141</t>
        </is>
      </c>
      <c r="E71" s="8" t="inlineStr">
        <is>
          <t>Bourání kompletního stávajícího krovu vč. vikýřů — vaznicový s ležatou stolicí — manuálně, odvoz</t>
        </is>
      </c>
      <c r="F71" s="20" t="inlineStr">
        <is>
          <t>m³</t>
        </is>
      </c>
      <c r="G71" s="22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family_verified_leaf_needs_production_lookup</t>
        </is>
      </c>
      <c r="M71" s="8" t="inlineStr">
        <is>
          <t>TZ B m.10.e — 9 t dřeva celkem; krov hlavní zdroj</t>
        </is>
      </c>
      <c r="N71" s="20" t="inlineStr">
        <is>
          <t>#9</t>
        </is>
      </c>
      <c r="O71" s="26" t="inlineStr">
        <is>
          <t>ANO</t>
        </is>
      </c>
      <c r="P71" s="41" t="n"/>
      <c r="Q71" s="41" t="inlineStr">
        <is>
          <t>URS_PHASE5B_FAMILY_VERIFIED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Bourání plechové střešní krytiny</t>
        </is>
      </c>
      <c r="D72" s="27" t="inlineStr">
        <is>
          <t>762??? ?</t>
        </is>
      </c>
      <c r="E72" s="8" t="inlineStr">
        <is>
          <t>Bourání stávající plechové krytiny (manuálně, recyklace plechu)</t>
        </is>
      </c>
      <c r="F72" s="20" t="inlineStr">
        <is>
          <t>m²</t>
        </is>
      </c>
      <c r="G72" s="22" t="n">
        <v>140.9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wrong_leaf_disambiguation_needed</t>
        </is>
      </c>
      <c r="M72" s="8" t="inlineStr">
        <is>
          <t>TZ B m.10.e — 0.1 t kovů; stávající plech krytina</t>
        </is>
      </c>
      <c r="N72" s="20" t="inlineStr">
        <is>
          <t>#9</t>
        </is>
      </c>
      <c r="O72" s="28" t="inlineStr">
        <is>
          <t>LEAF CHYBNÝ — viz alternatives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Bourání nadezdívek nad stropem 2.NP</t>
        </is>
      </c>
      <c r="D73" s="20" t="inlineStr">
        <is>
          <t>962031132</t>
        </is>
      </c>
      <c r="E73" s="8" t="inlineStr">
        <is>
          <t>Bourání zděných nadezdívek nad stropem 2.NP (mimo štítových stěn) — cihla pálená</t>
        </is>
      </c>
      <c r="F73" s="20" t="inlineStr">
        <is>
          <t>m³</t>
        </is>
      </c>
      <c r="G73" s="22" t="n">
        <v>6</v>
      </c>
      <c r="H73" s="10" t="n"/>
      <c r="I73" s="10" t="n"/>
      <c r="J73" s="8" t="inlineStr">
        <is>
          <t>bourani_demolice</t>
        </is>
      </c>
      <c r="K73" s="24" t="n">
        <v>0.75</v>
      </c>
      <c r="L73" s="20" t="inlineStr">
        <is>
          <t>needs_production_lookup</t>
        </is>
      </c>
      <c r="M73" s="8" t="inlineStr">
        <is>
          <t>TZ ARS dům §3 — bourání nadezdívek mimo štítů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Bourání trámového stropu 2.NP/podkroví</t>
        </is>
      </c>
      <c r="D74" s="20" t="inlineStr">
        <is>
          <t>962041141</t>
        </is>
      </c>
      <c r="E74" s="8" t="inlineStr">
        <is>
          <t>Bourání trámového stropu 2.NP/podkroví — kompletně (vč. zajištění schodiště)</t>
        </is>
      </c>
      <c r="F74" s="20" t="inlineStr">
        <is>
          <t>m²</t>
        </is>
      </c>
      <c r="G74" s="22" t="n">
        <v>104.4</v>
      </c>
      <c r="H74" s="10" t="n"/>
      <c r="I74" s="10" t="n"/>
      <c r="J74" s="8" t="inlineStr">
        <is>
          <t>bourani_demolice</t>
        </is>
      </c>
      <c r="K74" s="24" t="n">
        <v>0.75</v>
      </c>
      <c r="L74" s="20" t="inlineStr">
        <is>
          <t>needs_production_lookup</t>
        </is>
      </c>
      <c r="M74" s="8" t="inlineStr">
        <is>
          <t>TZ ARS dům §3 — strop 2.NP/3.NP KOMPLETNĚ bourán</t>
        </is>
      </c>
      <c r="N74" s="20" t="inlineStr">
        <is>
          <t>#9</t>
        </is>
      </c>
      <c r="O74" s="26" t="inlineStr">
        <is>
          <t>ANO</t>
        </is>
      </c>
      <c r="P74" s="41" t="n"/>
      <c r="Q74" s="41" t="n"/>
    </row>
    <row r="75">
      <c r="A75" s="20" t="n">
        <v>74</v>
      </c>
      <c r="B75" s="8" t="inlineStr">
        <is>
          <t>HSV-6 Bourací práce</t>
        </is>
      </c>
      <c r="C75" s="8" t="inlineStr">
        <is>
          <t>Bourání lehkých příček</t>
        </is>
      </c>
      <c r="D75" s="20" t="inlineStr">
        <is>
          <t>962031132</t>
        </is>
      </c>
      <c r="E75" s="8" t="inlineStr">
        <is>
          <t>Bourání stávajících lehkých příček (cihla, sádrokarton, dřevo)</t>
        </is>
      </c>
      <c r="F75" s="20" t="inlineStr">
        <is>
          <t>m²</t>
        </is>
      </c>
      <c r="G75" s="22" t="n">
        <v>80</v>
      </c>
      <c r="H75" s="10" t="n"/>
      <c r="I75" s="10" t="n"/>
      <c r="J75" s="8" t="inlineStr">
        <is>
          <t>bourani_demolice</t>
        </is>
      </c>
      <c r="K75" s="24" t="n">
        <v>0.75</v>
      </c>
      <c r="L75" s="20" t="inlineStr">
        <is>
          <t>needs_production_lookup</t>
        </is>
      </c>
      <c r="M75" s="8" t="inlineStr">
        <is>
          <t>TZ ARS dům §3 — lehké příčky bourány</t>
        </is>
      </c>
      <c r="N75" s="20" t="inlineStr">
        <is>
          <t>#9</t>
        </is>
      </c>
      <c r="O75" s="26" t="inlineStr">
        <is>
          <t>ANO</t>
        </is>
      </c>
      <c r="P75" s="41" t="n"/>
      <c r="Q75" s="41" t="n"/>
    </row>
    <row r="76">
      <c r="A76" s="20" t="n">
        <v>75</v>
      </c>
      <c r="B76" s="8" t="inlineStr">
        <is>
          <t>HSV-6 Bourací práce</t>
        </is>
      </c>
      <c r="C76" s="8" t="inlineStr">
        <is>
          <t>Bourání otvorů pro nové dveře/okna</t>
        </is>
      </c>
      <c r="D76" s="20" t="inlineStr">
        <is>
          <t>962031132</t>
        </is>
      </c>
      <c r="E76" s="8" t="inlineStr">
        <is>
          <t>Bourání 8 nových otvorů v nosných cihelných zdech pro dveře/okna (~1.0 × 2.1 m)</t>
        </is>
      </c>
      <c r="F76" s="20" t="inlineStr">
        <is>
          <t>ks</t>
        </is>
      </c>
      <c r="G76" s="23" t="n">
        <v>8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+ statika — nové otvory s IPN160 překlady</t>
        </is>
      </c>
      <c r="N76" s="20" t="inlineStr">
        <is>
          <t>—</t>
        </is>
      </c>
      <c r="O76" s="26" t="inlineStr">
        <is>
          <t>ANO</t>
        </is>
      </c>
      <c r="P76" s="41" t="n"/>
      <c r="Q76" s="41" t="n"/>
    </row>
    <row r="77">
      <c r="A77" s="20" t="n">
        <v>76</v>
      </c>
      <c r="B77" s="8" t="inlineStr">
        <is>
          <t>HSV-6 Bourací práce</t>
        </is>
      </c>
      <c r="C77" s="8" t="inlineStr">
        <is>
          <t>Bourání obkladů v koupelnách</t>
        </is>
      </c>
      <c r="D77" s="20" t="inlineStr">
        <is>
          <t>781473810</t>
        </is>
      </c>
      <c r="E77" s="8" t="inlineStr">
        <is>
          <t>Bourání keramických obkladů a zařizovacích předmětů v koupelnách 1.NP + 2.NP</t>
        </is>
      </c>
      <c r="F77" s="20" t="inlineStr">
        <is>
          <t>m²</t>
        </is>
      </c>
      <c r="G77" s="22" t="n">
        <v>60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TZ ARS dům §3 — koupelny kompletně bourány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URS_PHASE5B_FAMILY_VERIFIED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podlah 1.NP + 2.NP</t>
        </is>
      </c>
      <c r="D78" s="20" t="inlineStr">
        <is>
          <t>974031132</t>
        </is>
      </c>
      <c r="E78" s="8" t="inlineStr">
        <is>
          <t>Sejmutí podlah 1.NP a 2.NP — vč. nášlapů, podkladních vrstev</t>
        </is>
      </c>
      <c r="F78" s="20" t="inlineStr">
        <is>
          <t>m²</t>
        </is>
      </c>
      <c r="G78" s="22" t="n">
        <v>153.51</v>
      </c>
      <c r="H78" s="10" t="n"/>
      <c r="I78" s="10" t="n"/>
      <c r="J78" s="8" t="inlineStr">
        <is>
          <t>bourani_demolice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§3 — podlahy 1.NP+2.NP sejmuty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n"/>
    </row>
    <row r="79">
      <c r="A79" s="20" t="n">
        <v>78</v>
      </c>
      <c r="B79" s="8" t="inlineStr">
        <is>
          <t>HSV-6 Bourací práce</t>
        </is>
      </c>
      <c r="C79" s="8" t="inlineStr">
        <is>
          <t>Záklop + zásyp — demontáž</t>
        </is>
      </c>
      <c r="D79" s="20" t="inlineStr">
        <is>
          <t>974041151</t>
        </is>
      </c>
      <c r="E79" s="8" t="inlineStr">
        <is>
          <t>Demontáž záklopu a zásypů stropu 1.NP (prkenný záklop na trámech zachován)</t>
        </is>
      </c>
      <c r="F79" s="20" t="inlineStr">
        <is>
          <t>m³</t>
        </is>
      </c>
      <c r="G79" s="22" t="n">
        <v>5</v>
      </c>
      <c r="H79" s="10" t="n"/>
      <c r="I79" s="10" t="n"/>
      <c r="J79" s="8" t="inlineStr">
        <is>
          <t>bourani_demolice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§3 — záklop+zásyp demontován; trámy zachovány</t>
        </is>
      </c>
      <c r="N79" s="20" t="inlineStr">
        <is>
          <t>#9</t>
        </is>
      </c>
      <c r="O79" s="26" t="inlineStr">
        <is>
          <t>ANO</t>
        </is>
      </c>
      <c r="P79" s="41" t="n"/>
      <c r="Q79" s="41" t="n"/>
    </row>
    <row r="80">
      <c r="A80" s="20" t="n">
        <v>79</v>
      </c>
      <c r="B80" s="8" t="inlineStr">
        <is>
          <t>HSV-6 Bourací práce</t>
        </is>
      </c>
      <c r="C80" s="8" t="inlineStr">
        <is>
          <t>Demontáž zařizovacích předmětů</t>
        </is>
      </c>
      <c r="D80" s="20" t="inlineStr">
        <is>
          <t>725900001</t>
        </is>
      </c>
      <c r="E80" s="8" t="inlineStr">
        <is>
          <t>Demontáž všech sanitárních zařizovacích předmětů (WC, umyvadla, baterie, sprcha)</t>
        </is>
      </c>
      <c r="F80" s="20" t="inlineStr">
        <is>
          <t>ks</t>
        </is>
      </c>
      <c r="G80" s="23" t="n">
        <v>12</v>
      </c>
      <c r="H80" s="10" t="n"/>
      <c r="I80" s="10" t="n"/>
      <c r="J80" s="8" t="inlineStr">
        <is>
          <t>bourani_demolice</t>
        </is>
      </c>
      <c r="K80" s="24" t="n">
        <v>0.75</v>
      </c>
      <c r="L80" s="20" t="inlineStr">
        <is>
          <t>needs_production_lookup</t>
        </is>
      </c>
      <c r="M80" s="8" t="inlineStr">
        <is>
          <t>TZ ARS dům §3 — zařizovací předměty kompletně demontovány</t>
        </is>
      </c>
      <c r="N80" s="20" t="inlineStr">
        <is>
          <t>—</t>
        </is>
      </c>
      <c r="O80" s="26" t="inlineStr">
        <is>
          <t>ANO</t>
        </is>
      </c>
      <c r="P80" s="41" t="n"/>
      <c r="Q80" s="41" t="n"/>
    </row>
    <row r="81">
      <c r="A81" s="20" t="n">
        <v>80</v>
      </c>
      <c r="B81" s="8" t="inlineStr">
        <is>
          <t>HSV-6 Bourací práce</t>
        </is>
      </c>
      <c r="C81" s="8" t="inlineStr">
        <is>
          <t>Odvoz suti a likvidace</t>
        </is>
      </c>
      <c r="D81" s="20" t="inlineStr">
        <is>
          <t>997013501</t>
        </is>
      </c>
      <c r="E81" s="8" t="inlineStr">
        <is>
          <t>Odvoz a likvidace stavební suti dle vyhl. 8/2021 Sb. — celková tonáž odpadů</t>
        </is>
      </c>
      <c r="F81" s="20" t="inlineStr">
        <is>
          <t>t</t>
        </is>
      </c>
      <c r="G81" s="22" t="n">
        <v>56.5</v>
      </c>
      <c r="H81" s="10" t="n"/>
      <c r="I81" s="10" t="n"/>
      <c r="J81" s="8" t="inlineStr">
        <is>
          <t>bourani_demolice</t>
        </is>
      </c>
      <c r="K81" s="24" t="n">
        <v>0.85</v>
      </c>
      <c r="L81" s="20" t="inlineStr">
        <is>
          <t>needs_production_lookup</t>
        </is>
      </c>
      <c r="M81" s="8" t="inlineStr">
        <is>
          <t>TZ B m.10.e bilance odpadů</t>
        </is>
      </c>
      <c r="N81" s="20" t="inlineStr">
        <is>
          <t>#9</t>
        </is>
      </c>
      <c r="O81" s="26" t="inlineStr">
        <is>
          <t>ANO</t>
        </is>
      </c>
      <c r="P81" s="41" t="n"/>
      <c r="Q81" s="41" t="n"/>
    </row>
    <row r="82">
      <c r="A82" s="20" t="n">
        <v>81</v>
      </c>
      <c r="B82" s="8" t="inlineStr">
        <is>
          <t>HSV-6 Bourací práce</t>
        </is>
      </c>
      <c r="C82" s="8" t="inlineStr">
        <is>
          <t>Demontáž oken</t>
        </is>
      </c>
      <c r="D82" s="20" t="inlineStr">
        <is>
          <t>978013181</t>
        </is>
      </c>
      <c r="E82" s="8" t="inlineStr">
        <is>
          <t>Demontáž stávajících dřevěných oken vč. rámů a parapetů — 16 ks (návrh všechna okna nová plastová trojsklem)</t>
        </is>
      </c>
      <c r="F82" s="20" t="inlineStr">
        <is>
          <t>ks</t>
        </is>
      </c>
      <c r="G82" s="23" t="n">
        <v>16</v>
      </c>
      <c r="H82" s="10" t="n"/>
      <c r="I82" s="10" t="n"/>
      <c r="J82" s="8" t="inlineStr">
        <is>
          <t>bourani_demolice</t>
        </is>
      </c>
      <c r="K82" s="24" t="n">
        <v>0.95</v>
      </c>
      <c r="L82" s="20" t="inlineStr">
        <is>
          <t>matched_websearch_verified</t>
        </is>
      </c>
      <c r="M82" s="8" t="inlineStr">
        <is>
          <t>DXF blocks okno* (Path C Tier 4) + TZ ARS — všechna okna nová</t>
        </is>
      </c>
      <c r="N82" s="20" t="inlineStr">
        <is>
          <t>#3</t>
        </is>
      </c>
      <c r="O82" s="25" t="inlineStr">
        <is>
          <t>OVĚŘENO ✓</t>
        </is>
      </c>
      <c r="P82" s="41" t="n"/>
      <c r="Q82" s="41" t="inlineStr">
        <is>
          <t>F2_DEDUP_DEMONTAZ_OKEN_2026-06-01</t>
        </is>
      </c>
    </row>
    <row r="83">
      <c r="A83" s="20" t="n">
        <v>82</v>
      </c>
      <c r="B83" s="8" t="inlineStr">
        <is>
          <t>HSV-6 Bourací práce</t>
        </is>
      </c>
      <c r="C83" s="8" t="inlineStr">
        <is>
          <t>Demontáž vstupních dveří venkovních</t>
        </is>
      </c>
      <c r="D83" s="20" t="inlineStr">
        <is>
          <t>978013181</t>
        </is>
      </c>
      <c r="E83" s="8" t="inlineStr">
        <is>
          <t>Demontáž stávajících vstupních dveří + rámů — 2 ks (1× ulice Fibichova + 1× zahrada; návrh nové plastové vstupní dveře)</t>
        </is>
      </c>
      <c r="F83" s="20" t="inlineStr">
        <is>
          <t>ks</t>
        </is>
      </c>
      <c r="G83" s="23" t="n">
        <v>2</v>
      </c>
      <c r="H83" s="10" t="n"/>
      <c r="I83" s="10" t="n"/>
      <c r="J83" s="8" t="inlineStr">
        <is>
          <t>bourani_demolice</t>
        </is>
      </c>
      <c r="K83" s="24" t="n">
        <v>0.95</v>
      </c>
      <c r="L83" s="20" t="inlineStr">
        <is>
          <t>matched_websearch_verified</t>
        </is>
      </c>
      <c r="M83" s="8" t="inlineStr">
        <is>
          <t>DXF blocks dveře (vstupní 2) + TZ ARS — 'plastové vstupní dveře' x 2</t>
        </is>
      </c>
      <c r="N83" s="20" t="inlineStr">
        <is>
          <t>#3</t>
        </is>
      </c>
      <c r="O83" s="25" t="inlineStr">
        <is>
          <t>OVĚŘENO ✓</t>
        </is>
      </c>
      <c r="P83" s="41" t="n"/>
      <c r="Q83" s="41" t="inlineStr">
        <is>
          <t>GAP_002</t>
        </is>
      </c>
    </row>
    <row r="84">
      <c r="A84" s="20" t="n">
        <v>83</v>
      </c>
      <c r="B84" s="8" t="inlineStr">
        <is>
          <t>HSV-6 Bourací práce</t>
        </is>
      </c>
      <c r="C84" s="8" t="inlineStr">
        <is>
          <t>Demontáž vnitřních dveří vč. zárubní</t>
        </is>
      </c>
      <c r="D84" s="20" t="inlineStr">
        <is>
          <t>968072456</t>
        </is>
      </c>
      <c r="E84" s="8" t="inlineStr">
        <is>
          <t>Demontáž stávajících vnitřních dveří vč. ocelových/dřevěných zárubní — odhad 15 ks (3 patra × ~5 dveří/patro per DXF SM__dveře layer)</t>
        </is>
      </c>
      <c r="F84" s="20" t="inlineStr">
        <is>
          <t>ks</t>
        </is>
      </c>
      <c r="G84" s="23" t="n">
        <v>15</v>
      </c>
      <c r="H84" s="10" t="n"/>
      <c r="I84" s="10" t="n"/>
      <c r="J84" s="8" t="inlineStr">
        <is>
          <t>bourani_demolice</t>
        </is>
      </c>
      <c r="K84" s="24" t="n">
        <v>0.8</v>
      </c>
      <c r="L84" s="20" t="inlineStr">
        <is>
          <t>needs_production_lookup</t>
        </is>
      </c>
      <c r="M84" s="8" t="inlineStr">
        <is>
          <t>DXF SM__dveře polyline count → estimate (Path C Tier 4)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inlineStr">
        <is>
          <t>GAP_002</t>
        </is>
      </c>
    </row>
    <row r="85">
      <c r="A85" s="20" t="n">
        <v>84</v>
      </c>
      <c r="B85" s="8" t="inlineStr">
        <is>
          <t>HSV-6 Bourací práce</t>
        </is>
      </c>
      <c r="C85" s="8" t="inlineStr">
        <is>
          <t>Bourání zdiva komínu</t>
        </is>
      </c>
      <c r="D85" s="20" t="inlineStr">
        <is>
          <t>962024141</t>
        </is>
      </c>
      <c r="E85" s="8" t="inlineStr">
        <is>
          <t>Bourání vrchní části stávajícího komínu v posledním podlaží (cihelné zdivo, ručně), vč. likvidace cihelné suti</t>
        </is>
      </c>
      <c r="F85" s="20" t="inlineStr">
        <is>
          <t>m³</t>
        </is>
      </c>
      <c r="G85" s="22" t="n">
        <v>0.6</v>
      </c>
      <c r="H85" s="10" t="n"/>
      <c r="I85" s="10" t="n"/>
      <c r="J85" s="8" t="inlineStr">
        <is>
          <t>bourani_demolice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DXF dum_DPZ řez A-A bourání + POZN.1.02 z půdorysů bourání</t>
        </is>
      </c>
      <c r="N85" s="20" t="inlineStr">
        <is>
          <t>#9</t>
        </is>
      </c>
      <c r="O85" s="26" t="inlineStr">
        <is>
          <t>ANO</t>
        </is>
      </c>
      <c r="P85" s="41" t="n"/>
      <c r="Q85" s="41" t="inlineStr">
        <is>
          <t>PER_DRAWING_GAP_POZN_1_02; URS_PHASE5B_FAMILY_VERIFIED; CHATGPT_KOMIN_QTY_FIX_2026-05-29</t>
        </is>
      </c>
    </row>
    <row r="86">
      <c r="A86" s="20" t="n">
        <v>85</v>
      </c>
      <c r="B86" s="8" t="inlineStr">
        <is>
          <t>HSV-6 Bourací práce</t>
        </is>
      </c>
      <c r="C86" s="8" t="inlineStr">
        <is>
          <t>Bourání venkovních konstrukcí</t>
        </is>
      </c>
      <c r="D86" s="20" t="inlineStr">
        <is>
          <t>961044111</t>
        </is>
      </c>
      <c r="E86" s="8" t="inlineStr">
        <is>
          <t>Bourání stávajících opěrných zídek a venkovního schodiště v zahradě/dvoře — částečné, dle vyznačení v půdorysech bourání</t>
        </is>
      </c>
      <c r="F86" s="20" t="inlineStr">
        <is>
          <t>m³</t>
        </is>
      </c>
      <c r="G86" s="22" t="n">
        <v>8</v>
      </c>
      <c r="H86" s="10" t="n"/>
      <c r="I86" s="10" t="n"/>
      <c r="J86" s="8" t="inlineStr">
        <is>
          <t>bourani_demolice</t>
        </is>
      </c>
      <c r="K86" s="24" t="n">
        <v>0.7</v>
      </c>
      <c r="L86" s="20" t="inlineStr">
        <is>
          <t>family_verified_leaf_needs_production_lookup</t>
        </is>
      </c>
      <c r="M86" s="8" t="inlineStr">
        <is>
          <t>DXF dum_DPZ řez A-A bourání + POZN.1.03 + půdorys bourání</t>
        </is>
      </c>
      <c r="N86" s="20" t="inlineStr">
        <is>
          <t>#9</t>
        </is>
      </c>
      <c r="O86" s="26" t="inlineStr">
        <is>
          <t>ANO</t>
        </is>
      </c>
      <c r="P86" s="41" t="n"/>
      <c r="Q86" s="41" t="inlineStr">
        <is>
          <t>PER_DRAWING_GAP_POZN_1_03; URS_PHASE5B_FAMILY_VERIFIED</t>
        </is>
      </c>
    </row>
    <row r="87">
      <c r="A87" s="20" t="n">
        <v>86</v>
      </c>
      <c r="B87" s="8" t="inlineStr">
        <is>
          <t>HSV-6 Bourací práce</t>
        </is>
      </c>
      <c r="C87" s="8" t="inlineStr">
        <is>
          <t>Demontáž vnějšího keram. obkladu suterénu (S03 stávající)</t>
        </is>
      </c>
      <c r="D87" s="20" t="inlineStr">
        <is>
          <t>—</t>
        </is>
      </c>
      <c r="E87" s="8" t="inlineStr">
        <is>
          <t>Demontáž stávajícího vnějšího keramického obkladu suterénní stěny (sokl) tl. 20 mm</t>
        </is>
      </c>
      <c r="F87" s="20" t="inlineStr">
        <is>
          <t>m²</t>
        </is>
      </c>
      <c r="G87" s="22" t="n">
        <v>16</v>
      </c>
      <c r="H87" s="10" t="n"/>
      <c r="I87" s="10" t="n"/>
      <c r="J87" s="8" t="inlineStr">
        <is>
          <t>bourac</t>
        </is>
      </c>
      <c r="K87" s="24" t="n">
        <v>0.5</v>
      </c>
      <c r="L87" s="20" t="inlineStr">
        <is>
          <t>needs_production_lookup</t>
        </is>
      </c>
      <c r="M87" s="8" t="inlineStr">
        <is>
          <t>skladba S03 stávající (vnější keram. obklad) + Řez A-A sokl</t>
        </is>
      </c>
      <c r="N87" s="20" t="inlineStr">
        <is>
          <t>—</t>
        </is>
      </c>
      <c r="O87" s="26" t="inlineStr">
        <is>
          <t>ANO</t>
        </is>
      </c>
      <c r="P87" s="41" t="inlineStr">
        <is>
          <t>S03</t>
        </is>
      </c>
      <c r="Q87" s="41" t="inlineStr">
        <is>
          <t>W2_SOKL_23to16_RADOVKA_2026-06-01</t>
        </is>
      </c>
    </row>
    <row r="88">
      <c r="A88" s="20" t="n">
        <v>87</v>
      </c>
      <c r="B88" s="8" t="inlineStr">
        <is>
          <t>HSV-7 Fasáda + zateplení</t>
        </is>
      </c>
      <c r="C88" s="8" t="inlineStr">
        <is>
          <t>Sokl suterénu — sanační zateplení (S03)</t>
        </is>
      </c>
      <c r="D88" s="20" t="inlineStr">
        <is>
          <t>—</t>
        </is>
      </c>
      <c r="E88" s="8" t="inlineStr">
        <is>
          <t>Sanační zateplení soklu — sanační izolační deska Styrcon 200 + lepící tmel (Lepstyr plus) + armovací vrstva s tkaninou + penetrace</t>
        </is>
      </c>
      <c r="F88" s="20" t="inlineStr">
        <is>
          <t>m²</t>
        </is>
      </c>
      <c r="G88" s="22" t="n">
        <v>16</v>
      </c>
      <c r="H88" s="10" t="n"/>
      <c r="I88" s="10" t="n"/>
      <c r="J88" s="8" t="inlineStr">
        <is>
          <t>fasader</t>
        </is>
      </c>
      <c r="K88" s="24" t="n">
        <v>0.5</v>
      </c>
      <c r="L88" s="20" t="inlineStr">
        <is>
          <t>needs_production_lookup</t>
        </is>
      </c>
      <c r="M88" s="8" t="inlineStr">
        <is>
          <t>Řez A-A sokl tags (S03b -0.200/-0.975) + obvod ETICS</t>
        </is>
      </c>
      <c r="N88" s="20" t="inlineStr">
        <is>
          <t>#35</t>
        </is>
      </c>
      <c r="O88" s="26" t="inlineStr">
        <is>
          <t>ANO</t>
        </is>
      </c>
      <c r="P88" s="41" t="inlineStr">
        <is>
          <t>S03</t>
        </is>
      </c>
      <c r="Q88" s="41" t="inlineStr">
        <is>
          <t>W2_SOKL_23to16_RADOVKA_2026-06-01</t>
        </is>
      </c>
    </row>
    <row r="89">
      <c r="A89" s="20" t="n">
        <v>88</v>
      </c>
      <c r="B89" s="8" t="inlineStr">
        <is>
          <t>HSV-7 Fasáda + zateplení</t>
        </is>
      </c>
      <c r="C89" s="8" t="inlineStr">
        <is>
          <t>Sokl pod terénem — drenážní nopová folie (S03a)</t>
        </is>
      </c>
      <c r="D89" s="20" t="inlineStr">
        <is>
          <t>—</t>
        </is>
      </c>
      <c r="E89" s="8" t="inlineStr">
        <is>
          <t>Drenážní vrstva — nopová folie tl. 20 mm na suterénní stěnu pod úrovní terénu</t>
        </is>
      </c>
      <c r="F89" s="20" t="inlineStr">
        <is>
          <t>m²</t>
        </is>
      </c>
      <c r="G89" s="22" t="n">
        <v>16</v>
      </c>
      <c r="H89" s="10" t="n"/>
      <c r="I89" s="10" t="n"/>
      <c r="J89" s="8" t="inlineStr">
        <is>
          <t>izolater_HI</t>
        </is>
      </c>
      <c r="K89" s="24" t="n">
        <v>0.5</v>
      </c>
      <c r="L89" s="20" t="inlineStr">
        <is>
          <t>needs_production_lookup</t>
        </is>
      </c>
      <c r="M89" s="8" t="inlineStr">
        <is>
          <t>Řez A-A/C-C sokl + obvod ETICS</t>
        </is>
      </c>
      <c r="N89" s="20" t="inlineStr">
        <is>
          <t>—</t>
        </is>
      </c>
      <c r="O89" s="26" t="inlineStr">
        <is>
          <t>ANO</t>
        </is>
      </c>
      <c r="P89" s="41" t="inlineStr">
        <is>
          <t>S03</t>
        </is>
      </c>
      <c r="Q89" s="41" t="inlineStr">
        <is>
          <t>W2_SOKL_23to16_RADOVKA_2026-06-01</t>
        </is>
      </c>
    </row>
    <row r="90">
      <c r="A90" s="20" t="n">
        <v>89</v>
      </c>
      <c r="B90" s="8" t="inlineStr">
        <is>
          <t>HSV-7 Fasáda + zateplení</t>
        </is>
      </c>
      <c r="C90" s="8" t="inlineStr">
        <is>
          <t>Sokl nad terénem — provětraný obklad (S03b)</t>
        </is>
      </c>
      <c r="D90" s="20" t="inlineStr">
        <is>
          <t>—</t>
        </is>
      </c>
      <c r="E90" s="8" t="inlineStr">
        <is>
          <t>Provětrávaná mezera s kotevním roštem 40 mm + keramický obklad 20 mm — sokl nad úrovní terénu</t>
        </is>
      </c>
      <c r="F90" s="20" t="inlineStr">
        <is>
          <t>m²</t>
        </is>
      </c>
      <c r="G90" s="22" t="n">
        <v>16</v>
      </c>
      <c r="H90" s="10" t="n"/>
      <c r="I90" s="10" t="n"/>
      <c r="J90" s="8" t="inlineStr">
        <is>
          <t>obkladac</t>
        </is>
      </c>
      <c r="K90" s="24" t="n">
        <v>0.5</v>
      </c>
      <c r="L90" s="20" t="inlineStr">
        <is>
          <t>needs_production_lookup</t>
        </is>
      </c>
      <c r="M90" s="8" t="inlineStr">
        <is>
          <t>Řez A-A sokl tags S03b + obvod ETICS</t>
        </is>
      </c>
      <c r="N90" s="20" t="inlineStr">
        <is>
          <t>#35</t>
        </is>
      </c>
      <c r="O90" s="26" t="inlineStr">
        <is>
          <t>ANO</t>
        </is>
      </c>
      <c r="P90" s="41" t="inlineStr">
        <is>
          <t>S03</t>
        </is>
      </c>
      <c r="Q90" s="41" t="inlineStr">
        <is>
          <t>W2_SOKL_23to16_RADOVKA_2026-06-01</t>
        </is>
      </c>
    </row>
    <row r="91">
      <c r="A91" s="20" t="n">
        <v>90</v>
      </c>
      <c r="B91" s="8" t="inlineStr">
        <is>
          <t>HSV-7 Fasáda ETICS</t>
        </is>
      </c>
      <c r="C91" s="8" t="inlineStr">
        <is>
          <t>Příprava podkladu</t>
        </is>
      </c>
      <c r="D91" s="20" t="inlineStr">
        <is>
          <t>622401110</t>
        </is>
      </c>
      <c r="E91" s="8" t="inlineStr">
        <is>
          <t>Příprava fasádního podkladu — očištění tlakovou vodou, vyspravení omítek, fungicidní nátěr</t>
        </is>
      </c>
      <c r="F91" s="20" t="inlineStr">
        <is>
          <t>m²</t>
        </is>
      </c>
      <c r="G91" s="22" t="n">
        <v>276.7</v>
      </c>
      <c r="H91" s="10" t="n"/>
      <c r="I91" s="10" t="n"/>
      <c r="J91" s="8" t="inlineStr">
        <is>
          <t>fasadnik_etics</t>
        </is>
      </c>
      <c r="K91" s="24" t="n">
        <v>0.9</v>
      </c>
      <c r="L91" s="20" t="inlineStr">
        <is>
          <t>needs_production_lookup</t>
        </is>
      </c>
      <c r="M91" s="8" t="inlineStr">
        <is>
          <t>TZ ARS dům §3.2 — ETICS kontaktní, podklad existující omítka + DXF perimeter</t>
        </is>
      </c>
      <c r="N91" s="20" t="inlineStr">
        <is>
          <t>#3</t>
        </is>
      </c>
      <c r="O91" s="26" t="inlineStr">
        <is>
          <t>ANO</t>
        </is>
      </c>
      <c r="P91" s="41" t="inlineStr">
        <is>
          <t>S01</t>
        </is>
      </c>
      <c r="Q91" s="41" t="n"/>
    </row>
    <row r="92">
      <c r="A92" s="20" t="n">
        <v>91</v>
      </c>
      <c r="B92" s="8" t="inlineStr">
        <is>
          <t>HSV-7 Fasáda ETICS</t>
        </is>
      </c>
      <c r="C92" s="8" t="inlineStr">
        <is>
          <t>ETICS EPS 70F grey 160 mm</t>
        </is>
      </c>
      <c r="D92" s="20" t="inlineStr">
        <is>
          <t>622221121</t>
        </is>
      </c>
      <c r="E92" s="8" t="inlineStr">
        <is>
          <t>ETICS kontaktní zateplení — EPS 70F grey λ=0.032 tl. 160 mm + síťka + lepidlo + zatírací stěrka (řez S01+S12a explicit, ne 200 mm fallback)</t>
        </is>
      </c>
      <c r="F92" s="20" t="inlineStr">
        <is>
          <t>m²</t>
        </is>
      </c>
      <c r="G92" s="22" t="n">
        <v>276.7</v>
      </c>
      <c r="H92" s="10" t="n"/>
      <c r="I92" s="10" t="n"/>
      <c r="J92" s="8" t="inlineStr">
        <is>
          <t>fasadnik_etics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TZ ARS dům §3.2 EXPLICIT 'fasádní EPS 70f grey (λ=0,032 W/mK)' + PBŘ EXPLICIT 'EPS tl. max. 200 mm' + DXF perimeter</t>
        </is>
      </c>
      <c r="N92" s="20" t="inlineStr">
        <is>
          <t>#3</t>
        </is>
      </c>
      <c r="O92" s="26" t="inlineStr">
        <is>
          <t>ANO</t>
        </is>
      </c>
      <c r="P92" s="41" t="inlineStr">
        <is>
          <t>S01, S12a</t>
        </is>
      </c>
      <c r="Q92" s="41" t="inlineStr">
        <is>
          <t>URS_PHASE5B_FAMILY_VERIFIED</t>
        </is>
      </c>
    </row>
    <row r="93">
      <c r="A93" s="20" t="n">
        <v>92</v>
      </c>
      <c r="B93" s="8" t="inlineStr">
        <is>
          <t>HSV-7 Fasáda ETICS</t>
        </is>
      </c>
      <c r="C93" s="8" t="inlineStr">
        <is>
          <t>Špalety EPS</t>
        </is>
      </c>
      <c r="D93" s="20" t="inlineStr">
        <is>
          <t>622221221</t>
        </is>
      </c>
      <c r="E93" s="8" t="inlineStr">
        <is>
          <t>Špalety oken — EPS přesah 35-40 mm + síťka + omítka</t>
        </is>
      </c>
      <c r="F93" s="20" t="inlineStr">
        <is>
          <t>bm</t>
        </is>
      </c>
      <c r="G93" s="22" t="n">
        <v>82.2</v>
      </c>
      <c r="H93" s="10" t="n"/>
      <c r="I93" s="10" t="n"/>
      <c r="J93" s="8" t="inlineStr">
        <is>
          <t>fasadnik_etics</t>
        </is>
      </c>
      <c r="K93" s="24" t="n">
        <v>0.99</v>
      </c>
      <c r="L93" s="20" t="inlineStr">
        <is>
          <t>needs_production_lookup</t>
        </is>
      </c>
      <c r="M93" s="8" t="inlineStr">
        <is>
          <t>DXF okna per typ bbox + TZ ARS §3.2 EPS přesah na špaletách 35-40 mm</t>
        </is>
      </c>
      <c r="N93" s="20" t="inlineStr">
        <is>
          <t>#5</t>
        </is>
      </c>
      <c r="O93" s="26" t="inlineStr">
        <is>
          <t>ANO</t>
        </is>
      </c>
      <c r="P93" s="41" t="inlineStr">
        <is>
          <t>S01, S12a</t>
        </is>
      </c>
      <c r="Q93" s="41" t="n"/>
    </row>
    <row r="94">
      <c r="A94" s="20" t="n">
        <v>93</v>
      </c>
      <c r="B94" s="8" t="inlineStr">
        <is>
          <t>HSV-7 Fasáda ETICS</t>
        </is>
      </c>
      <c r="C94" s="8" t="inlineStr">
        <is>
          <t>Profilace fasády</t>
        </is>
      </c>
      <c r="D94" s="20" t="inlineStr">
        <is>
          <t>622221221</t>
        </is>
      </c>
      <c r="E94" s="8" t="inlineStr">
        <is>
          <t>Profilace fasády — různé tloušťky EPS (kordony, šambrány, rámování oken) — paušál podle pohledů</t>
        </is>
      </c>
      <c r="F94" s="20" t="inlineStr">
        <is>
          <t>soubor</t>
        </is>
      </c>
      <c r="G94" s="23" t="n">
        <v>1</v>
      </c>
      <c r="H94" s="10" t="n"/>
      <c r="I94" s="10" t="n"/>
      <c r="J94" s="8" t="inlineStr">
        <is>
          <t>fasadnik_etics</t>
        </is>
      </c>
      <c r="K94" s="24" t="n">
        <v>0.99</v>
      </c>
      <c r="L94" s="20" t="inlineStr">
        <is>
          <t>needs_production_lookup</t>
        </is>
      </c>
      <c r="M94" s="8" t="inlineStr">
        <is>
          <t>TZ ARS dům §3.2 — profilace různými tl. EPS</t>
        </is>
      </c>
      <c r="N94" s="20" t="inlineStr">
        <is>
          <t>—</t>
        </is>
      </c>
      <c r="O94" s="26" t="inlineStr">
        <is>
          <t>ANO</t>
        </is>
      </c>
      <c r="P94" s="41" t="inlineStr">
        <is>
          <t>S01, S12a</t>
        </is>
      </c>
      <c r="Q94" s="41" t="n"/>
    </row>
    <row r="95">
      <c r="A95" s="20" t="n">
        <v>94</v>
      </c>
      <c r="B95" s="8" t="inlineStr">
        <is>
          <t>HSV-7 Fasáda ETICS</t>
        </is>
      </c>
      <c r="C95" s="8" t="inlineStr">
        <is>
          <t>Tenkovrstvá omítka pastovitá</t>
        </is>
      </c>
      <c r="D95" s="20" t="inlineStr">
        <is>
          <t>622521111</t>
        </is>
      </c>
      <c r="E95" s="8" t="inlineStr">
        <is>
          <t>Tenkovrstvá pastovitá probarvená omítka, lomená bílá NCS NZÚ — finální vrstva ETICS</t>
        </is>
      </c>
      <c r="F95" s="20" t="inlineStr">
        <is>
          <t>m²</t>
        </is>
      </c>
      <c r="G95" s="22" t="n">
        <v>276.7</v>
      </c>
      <c r="H95" s="10" t="n"/>
      <c r="I95" s="10" t="n"/>
      <c r="J95" s="8" t="inlineStr">
        <is>
          <t>fasadnik_etics</t>
        </is>
      </c>
      <c r="K95" s="24" t="n">
        <v>0.9</v>
      </c>
      <c r="L95" s="20" t="inlineStr">
        <is>
          <t>family_verified_leaf_needs_production_lookup</t>
        </is>
      </c>
      <c r="M95" s="8" t="inlineStr">
        <is>
          <t>TZ ARS dům §3.2 — pastovitá probarvená lomená bílá + DXF perimeter</t>
        </is>
      </c>
      <c r="N95" s="20" t="inlineStr">
        <is>
          <t>—</t>
        </is>
      </c>
      <c r="O95" s="26" t="inlineStr">
        <is>
          <t>ANO</t>
        </is>
      </c>
      <c r="P95" s="41" t="inlineStr">
        <is>
          <t>S01, S12a, S12b</t>
        </is>
      </c>
      <c r="Q95" s="41" t="inlineStr">
        <is>
          <t>SOKL_RECONCILE_2026-06-01</t>
        </is>
      </c>
    </row>
    <row r="96">
      <c r="A96" s="20" t="n">
        <v>95</v>
      </c>
      <c r="B96" s="8" t="inlineStr">
        <is>
          <t>PSV-71 Izolace HI</t>
        </is>
      </c>
      <c r="C96" s="8" t="inlineStr">
        <is>
          <t>HI pod ŽB deskou 1.NP</t>
        </is>
      </c>
      <c r="D96" s="20" t="inlineStr">
        <is>
          <t>712311101</t>
        </is>
      </c>
      <c r="E96" s="8" t="inlineStr">
        <is>
          <t>Hydroizolace pod ŽB deskou 1.NP — modifikované asfaltové pásy SBS 2× (zároveň protiradonová bariéra)</t>
        </is>
      </c>
      <c r="F96" s="20" t="inlineStr">
        <is>
          <t>m²</t>
        </is>
      </c>
      <c r="G96" s="22" t="n">
        <v>80.40000000000001</v>
      </c>
      <c r="H96" s="10" t="n"/>
      <c r="I96" s="10" t="n"/>
      <c r="J96" s="8" t="inlineStr">
        <is>
          <t>izolater_HI</t>
        </is>
      </c>
      <c r="K96" s="24" t="n">
        <v>0.75</v>
      </c>
      <c r="L96" s="20" t="inlineStr">
        <is>
          <t>family_verified_leaf_needs_production_lookup</t>
        </is>
      </c>
      <c r="M96" s="8" t="inlineStr">
        <is>
          <t>TZ ARS dům §4 + statika §5.5 — asfaltové pásy mod. proti radonu</t>
        </is>
      </c>
      <c r="N96" s="20" t="inlineStr">
        <is>
          <t>#3</t>
        </is>
      </c>
      <c r="O96" s="26" t="inlineStr">
        <is>
          <t>ANO</t>
        </is>
      </c>
      <c r="P96" s="41" t="n"/>
      <c r="Q96" s="41" t="inlineStr">
        <is>
          <t>URS_PHASE5B_FAMILY_VERIFIED; URS_PHASE5B_FAMILY_VERIFIED</t>
        </is>
      </c>
    </row>
    <row r="97">
      <c r="A97" s="20" t="n">
        <v>96</v>
      </c>
      <c r="B97" s="8" t="inlineStr">
        <is>
          <t>PSV-71 Izolace HI</t>
        </is>
      </c>
      <c r="C97" s="8" t="inlineStr">
        <is>
          <t>Odvětrání radonu z podloží</t>
        </is>
      </c>
      <c r="D97" s="20" t="inlineStr">
        <is>
          <t>712381111</t>
        </is>
      </c>
      <c r="E97" s="8" t="inlineStr">
        <is>
          <t>Odvětrání radonu z podloží — perforované DN50 trubky v štěrkovém loži + výdech nad střechu</t>
        </is>
      </c>
      <c r="F97" s="20" t="inlineStr">
        <is>
          <t>bm</t>
        </is>
      </c>
      <c r="G97" s="22" t="n">
        <v>12</v>
      </c>
      <c r="H97" s="10" t="n"/>
      <c r="I97" s="10" t="n"/>
      <c r="J97" s="8" t="inlineStr">
        <is>
          <t>izolater_HI</t>
        </is>
      </c>
      <c r="K97" s="24" t="n">
        <v>0.75</v>
      </c>
      <c r="L97" s="20" t="inlineStr">
        <is>
          <t>family_verified_leaf_needs_production_lookup</t>
        </is>
      </c>
      <c r="M97" s="8" t="inlineStr">
        <is>
          <t>TZ statika §5.5 'ochrana proti radonu — modifikované asf. pásy + odvětrání'</t>
        </is>
      </c>
      <c r="N97" s="20" t="inlineStr">
        <is>
          <t>—</t>
        </is>
      </c>
      <c r="O97" s="26" t="inlineStr">
        <is>
          <t>ANO</t>
        </is>
      </c>
      <c r="P97" s="41" t="n"/>
      <c r="Q97" s="41" t="inlineStr">
        <is>
          <t>URS_PHASE5B_FAMILY_VERIFIED</t>
        </is>
      </c>
    </row>
    <row r="98">
      <c r="A98" s="20" t="n">
        <v>97</v>
      </c>
      <c r="B98" s="8" t="inlineStr">
        <is>
          <t>PSV-71 Izolace HI</t>
        </is>
      </c>
      <c r="C98" s="8" t="inlineStr">
        <is>
          <t>HI koupelny 1.NP + 2.NP + 3.NP</t>
        </is>
      </c>
      <c r="D98" s="27" t="inlineStr">
        <is>
          <t>711??? ?</t>
        </is>
      </c>
      <c r="E98" s="8" t="inlineStr">
        <is>
          <t>Hydroizolační stěrka koupelen 3 ks — podlaha + sokl 200 mm + sprchový kout výška 2.0 m</t>
        </is>
      </c>
      <c r="F98" s="20" t="inlineStr">
        <is>
          <t>m²</t>
        </is>
      </c>
      <c r="G98" s="22" t="n">
        <v>40.5</v>
      </c>
      <c r="H98" s="10" t="n"/>
      <c r="I98" s="10" t="n"/>
      <c r="J98" s="8" t="inlineStr">
        <is>
          <t>izolater_HI</t>
        </is>
      </c>
      <c r="K98" s="24" t="n">
        <v>0.95</v>
      </c>
      <c r="L98" s="20" t="inlineStr">
        <is>
          <t>family_verified_leaf_needs_production_lookup</t>
        </is>
      </c>
      <c r="M98" s="8" t="inlineStr">
        <is>
          <t>DXF dum_DPZ MTEXT labels: 3× koupelna; TZ ARS — HI vana koupelny</t>
        </is>
      </c>
      <c r="N98" s="20" t="inlineStr">
        <is>
          <t>#4</t>
        </is>
      </c>
      <c r="O98" s="26" t="inlineStr">
        <is>
          <t>ANO</t>
        </is>
      </c>
      <c r="P98" s="41" t="n"/>
      <c r="Q98" s="41" t="inlineStr">
        <is>
          <t>URS_PHASE5B_FAMILY_VERIFIED</t>
        </is>
      </c>
    </row>
    <row r="99">
      <c r="A99" s="20" t="n">
        <v>98</v>
      </c>
      <c r="B99" s="8" t="inlineStr">
        <is>
          <t>PSV-71 Izolace TI</t>
        </is>
      </c>
      <c r="C99" s="8" t="inlineStr">
        <is>
          <t>Podlahový EPS 150</t>
        </is>
      </c>
      <c r="D99" s="27" t="inlineStr">
        <is>
          <t>713121??? ?</t>
        </is>
      </c>
      <c r="E99" s="8" t="inlineStr">
        <is>
          <t>Podlahový EPS 150 λ=0.035 tl. 120 mm — pod betonový potěr 1.NP a 3.NP</t>
        </is>
      </c>
      <c r="F99" s="20" t="inlineStr">
        <is>
          <t>m²</t>
        </is>
      </c>
      <c r="G99" s="22" t="n">
        <v>177.5</v>
      </c>
      <c r="H99" s="10" t="n"/>
      <c r="I99" s="10" t="n"/>
      <c r="J99" s="8" t="inlineStr">
        <is>
          <t>izolater_TI</t>
        </is>
      </c>
      <c r="K99" s="24" t="n">
        <v>0.75</v>
      </c>
      <c r="L99" s="20" t="inlineStr">
        <is>
          <t>family_verified_leaf_needs_production_lookup</t>
        </is>
      </c>
      <c r="M99" s="8" t="inlineStr">
        <is>
          <t>TZ ARS dům §4 — EPS 150 λ=0.035 tl. 120 mm</t>
        </is>
      </c>
      <c r="N99" s="20" t="inlineStr">
        <is>
          <t>#4</t>
        </is>
      </c>
      <c r="O99" s="26" t="inlineStr">
        <is>
          <t>ANO</t>
        </is>
      </c>
      <c r="P99" s="41" t="n"/>
      <c r="Q99" s="41" t="inlineStr">
        <is>
          <t>URS_PHASE5B_FAMILY_VERIFIED</t>
        </is>
      </c>
    </row>
    <row r="100">
      <c r="A100" s="20" t="n">
        <v>99</v>
      </c>
      <c r="B100" s="8" t="inlineStr">
        <is>
          <t>PSV-71 Izolace TI</t>
        </is>
      </c>
      <c r="C100" s="8" t="inlineStr">
        <is>
          <t>Kročejová EPS nad ocelobeton</t>
        </is>
      </c>
      <c r="D100" s="27" t="inlineStr">
        <is>
          <t>713121??? ?</t>
        </is>
      </c>
      <c r="E100" s="8" t="inlineStr">
        <is>
          <t>Kročejová EPS 150 / 30 dB tl. 40 mm nad ocelobetonovým stropem 2.NP/3.NP</t>
        </is>
      </c>
      <c r="F100" s="20" t="inlineStr">
        <is>
          <t>m²</t>
        </is>
      </c>
      <c r="G100" s="22" t="n">
        <v>104.4</v>
      </c>
      <c r="H100" s="10" t="n"/>
      <c r="I100" s="10" t="n"/>
      <c r="J100" s="8" t="inlineStr">
        <is>
          <t>izolater_TI</t>
        </is>
      </c>
      <c r="K100" s="24" t="n">
        <v>0.85</v>
      </c>
      <c r="L100" s="20" t="inlineStr">
        <is>
          <t>family_verified_leaf_needs_production_lookup</t>
        </is>
      </c>
      <c r="M100" s="8" t="inlineStr">
        <is>
          <t>TZ ARS dům §4 — kročejová EPS shora ocelobeton</t>
        </is>
      </c>
      <c r="N100" s="20" t="inlineStr">
        <is>
          <t>—</t>
        </is>
      </c>
      <c r="O100" s="26" t="inlineStr">
        <is>
          <t>ANO</t>
        </is>
      </c>
      <c r="P100" s="41" t="inlineStr">
        <is>
          <t>S09</t>
        </is>
      </c>
      <c r="Q100" s="41" t="inlineStr">
        <is>
          <t>D2_KROCEJOVA_30_to_40_2026-06-01</t>
        </is>
      </c>
    </row>
    <row r="101">
      <c r="A101" s="20" t="n">
        <v>100</v>
      </c>
      <c r="B101" s="8" t="inlineStr">
        <is>
          <t>PSV-76 Klempíř</t>
        </is>
      </c>
      <c r="C101" s="8" t="inlineStr">
        <is>
          <t>Oplechování krytiny</t>
        </is>
      </c>
      <c r="D101" s="20" t="inlineStr">
        <is>
          <t>764312235</t>
        </is>
      </c>
      <c r="E101" s="8" t="inlineStr">
        <is>
          <t>Klempířské oplechování krytiny — úžlabí, hřeben, štítové lemy (Al / Pzn lakovaný 0.55 mm)</t>
        </is>
      </c>
      <c r="F101" s="20" t="inlineStr">
        <is>
          <t>bm</t>
        </is>
      </c>
      <c r="G101" s="22" t="n">
        <v>69.5</v>
      </c>
      <c r="H101" s="10" t="n"/>
      <c r="I101" s="10" t="n"/>
      <c r="J101" s="8" t="inlineStr">
        <is>
          <t>klempir</t>
        </is>
      </c>
      <c r="K101" s="24" t="n">
        <v>0.9</v>
      </c>
      <c r="L101" s="20" t="inlineStr">
        <is>
          <t>family_verified_leaf_needs_production_lookup</t>
        </is>
      </c>
      <c r="M101" s="8" t="inlineStr">
        <is>
          <t>DXF MA_klempíř (75.4 m) + SM__ klempířina (98.4 m) total = 173.8 m × 0.40 split heuristic — Path C Tier 3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inlineStr">
        <is>
          <t>URS_PHASE5B_FAMILY_VERIFIED_CHAPTER_MATCH</t>
        </is>
      </c>
      <c r="R10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2">
      <c r="A102" s="20" t="n">
        <v>101</v>
      </c>
      <c r="B102" s="8" t="inlineStr">
        <is>
          <t>PSV-76 Klempíř</t>
        </is>
      </c>
      <c r="C102" s="8" t="inlineStr">
        <is>
          <t>Venkovní parapety oken</t>
        </is>
      </c>
      <c r="D102" s="20" t="inlineStr">
        <is>
          <t>764218201</t>
        </is>
      </c>
      <c r="E102" s="8" t="inlineStr">
        <is>
          <t>Venkovní parapety oken — Pzn plech lakovaný 250 mm × tl. 0.55 mm × 16 ks oken</t>
        </is>
      </c>
      <c r="F102" s="20" t="inlineStr">
        <is>
          <t>bm</t>
        </is>
      </c>
      <c r="G102" s="22" t="n">
        <v>20.8</v>
      </c>
      <c r="H102" s="10" t="n"/>
      <c r="I102" s="10" t="n"/>
      <c r="J102" s="8" t="inlineStr">
        <is>
          <t>klempir</t>
        </is>
      </c>
      <c r="K102" s="24" t="n">
        <v>0.95</v>
      </c>
      <c r="L102" s="20" t="inlineStr">
        <is>
          <t>family_verified_leaf_needs_production_lookup</t>
        </is>
      </c>
      <c r="M102" s="8" t="inlineStr">
        <is>
          <t>DXF okna 16 ks INSERT blocks + standard parapet width</t>
        </is>
      </c>
      <c r="N102" s="20" t="inlineStr">
        <is>
          <t>—</t>
        </is>
      </c>
      <c r="O102" s="26" t="inlineStr">
        <is>
          <t>ANO</t>
        </is>
      </c>
      <c r="P102" s="41" t="n"/>
      <c r="Q102" s="41" t="inlineStr">
        <is>
          <t>URS_PHASE5B_FAMILY_VERIFIED_CHAPTER_MATCH</t>
        </is>
      </c>
      <c r="R10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3">
      <c r="A103" s="20" t="n">
        <v>102</v>
      </c>
      <c r="B103" s="8" t="inlineStr">
        <is>
          <t>PSV-76 Klempíř</t>
        </is>
      </c>
      <c r="C103" s="8" t="inlineStr">
        <is>
          <t>Dešťové svody + žlaby</t>
        </is>
      </c>
      <c r="D103" s="20" t="inlineStr">
        <is>
          <t>764454802</t>
        </is>
      </c>
      <c r="E103" s="8" t="inlineStr">
        <is>
          <t>Dešťové svody Pzn 100 mm + žlaby — 4 svody × ~14 m + žlaby per obvod střechy</t>
        </is>
      </c>
      <c r="F103" s="20" t="inlineStr">
        <is>
          <t>bm</t>
        </is>
      </c>
      <c r="G103" s="22" t="n">
        <v>43.5</v>
      </c>
      <c r="H103" s="10" t="n"/>
      <c r="I103" s="10" t="n"/>
      <c r="J103" s="8" t="inlineStr">
        <is>
          <t>klempir</t>
        </is>
      </c>
      <c r="K103" s="24" t="n">
        <v>0.9</v>
      </c>
      <c r="L103" s="20" t="inlineStr">
        <is>
          <t>family_verified_leaf_needs_production_lookup</t>
        </is>
      </c>
      <c r="M103" s="8" t="inlineStr">
        <is>
          <t>DXF klempířina lengths split + TZ ARS dešťové svody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inlineStr">
        <is>
          <t>URS_PHASE5B_FAMILY_VERIFIED_CHAPTER_MATCH</t>
        </is>
      </c>
      <c r="R10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4">
      <c r="A104" s="20" t="n">
        <v>103</v>
      </c>
      <c r="B104" s="8" t="inlineStr">
        <is>
          <t>PSV-76 Klempíř</t>
        </is>
      </c>
      <c r="C104" s="8" t="inlineStr">
        <is>
          <t>Vikýře + atika + závětrné lemy</t>
        </is>
      </c>
      <c r="D104" s="20" t="inlineStr">
        <is>
          <t>764315235</t>
        </is>
      </c>
      <c r="E104" s="8" t="inlineStr">
        <is>
          <t>Klempířské doplňky vikýřů + atika + závětrné lemy (4 vikýře komplexní detail)</t>
        </is>
      </c>
      <c r="F104" s="20" t="inlineStr">
        <is>
          <t>bm</t>
        </is>
      </c>
      <c r="G104" s="22" t="n">
        <v>26.1</v>
      </c>
      <c r="H104" s="10" t="n"/>
      <c r="I104" s="10" t="n"/>
      <c r="J104" s="8" t="inlineStr">
        <is>
          <t>klempir</t>
        </is>
      </c>
      <c r="K104" s="24" t="n">
        <v>0.9</v>
      </c>
      <c r="L104" s="20" t="inlineStr">
        <is>
          <t>family_verified_leaf_needs_production_lookup</t>
        </is>
      </c>
      <c r="M104" s="8" t="inlineStr">
        <is>
          <t>DXF klempířina geometry split + TZ ARS 4 vikýře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inlineStr">
        <is>
          <t>URS_PHASE5B_FAMILY_VERIFIED_CHAPTER_MATCH</t>
        </is>
      </c>
      <c r="R104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5">
      <c r="A105" s="20" t="n">
        <v>104</v>
      </c>
      <c r="B105" s="8" t="inlineStr">
        <is>
          <t>PSV-76 Truhlář</t>
        </is>
      </c>
      <c r="C105" s="8" t="inlineStr">
        <is>
          <t>Dřevěné stupně schodišť</t>
        </is>
      </c>
      <c r="D105" s="20" t="inlineStr">
        <is>
          <t>766811111</t>
        </is>
      </c>
      <c r="E105" s="8" t="inlineStr">
        <is>
          <t>Dřevěné stupně ocelových schodišť (truhlářské, dub masiv tl. 40 mm)</t>
        </is>
      </c>
      <c r="F105" s="20" t="inlineStr">
        <is>
          <t>ks</t>
        </is>
      </c>
      <c r="G105" s="23" t="n">
        <v>16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— ocelové schodiště s dřevěnými stupni truhlářské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Truhlář</t>
        </is>
      </c>
      <c r="C106" s="8" t="inlineStr">
        <is>
          <t>Terasa garapa za opěrnou stěnou — dřevěná pochozí vrstva</t>
        </is>
      </c>
      <c r="D106" s="27" t="inlineStr">
        <is>
          <t>762??? ?</t>
        </is>
      </c>
      <c r="E106" s="8" t="inlineStr">
        <is>
          <t>Dřevěná terasa za opěrnou stěnou — prkna garapa 145×25 mm na dřevěném roštu z hranolů 50 mm na rektifikovatelných terčích (terče + podkladní skladba viz HSV1.005)</t>
        </is>
      </c>
      <c r="F106" s="20" t="inlineStr">
        <is>
          <t>m²</t>
        </is>
      </c>
      <c r="G106" s="22" t="n">
        <v>9.23</v>
      </c>
      <c r="H106" s="10" t="n"/>
      <c r="I106" s="10" t="n"/>
      <c r="J106" s="8" t="inlineStr">
        <is>
          <t>truhlar</t>
        </is>
      </c>
      <c r="K106" s="24" t="n">
        <v>0.95</v>
      </c>
      <c r="L106" s="20" t="inlineStr">
        <is>
          <t>family_762_leaf_lookup_required</t>
        </is>
      </c>
      <c r="M106" s="8" t="inlineStr">
        <is>
          <t>TZ ARS dům §4 + DXF dum_situace PLOT_DREVENY_04 (terasa, ne 3.NP); ŘEZ C-C potvrzuje dřevěný rošt z hranolů (NE hliníkový) + dřevěnou pochozí vrstvu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REZ_CC_TERASA_FIX_2026-05-29; SITUACE_AREA_FIX_2026-05-29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Plastové okno trojsklo — 'okno 1.NP' (ulice)</t>
        </is>
      </c>
      <c r="D107" s="20" t="inlineStr">
        <is>
          <t>766621011</t>
        </is>
      </c>
      <c r="E107" s="8" t="inlineStr">
        <is>
          <t>Plastové okno izolačním trojsklem Uw=0.85 W/m²K — typ 'okno 1.NP' velikost 1185×1600 mm × 2 ks (fasáda ulice)</t>
        </is>
      </c>
      <c r="F107" s="20" t="inlineStr">
        <is>
          <t>ks</t>
        </is>
      </c>
      <c r="G107" s="23" t="n">
        <v>2</v>
      </c>
      <c r="H107" s="10" t="n"/>
      <c r="I107" s="10" t="n"/>
      <c r="J107" s="8" t="inlineStr">
        <is>
          <t>okennar</t>
        </is>
      </c>
      <c r="K107" s="24" t="n">
        <v>0.99</v>
      </c>
      <c r="L107" s="20" t="inlineStr">
        <is>
          <t>family_verified_leaf_needs_production_lookup</t>
        </is>
      </c>
      <c r="M107" s="8" t="inlineStr">
        <is>
          <t>DXF dum_DPZ INSERT block 'okno 1.NP' bbox z block definition + TZ ARS Uw=0.85 W/m²K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Výplně otvorů</t>
        </is>
      </c>
      <c r="C108" s="8" t="inlineStr">
        <is>
          <t>Plastové okno trojsklo — 'okno 1.NP vzadu' (zahrada)</t>
        </is>
      </c>
      <c r="D108" s="20" t="inlineStr">
        <is>
          <t>766621011</t>
        </is>
      </c>
      <c r="E108" s="8" t="inlineStr">
        <is>
          <t>Plastové okno izolačním trojsklem Uw=0.85 W/m²K — typ 'okno 1.NP vzadu' velikost 920×1600 mm × 3 ks (fasáda zahrada)</t>
        </is>
      </c>
      <c r="F108" s="20" t="inlineStr">
        <is>
          <t>ks</t>
        </is>
      </c>
      <c r="G108" s="23" t="n">
        <v>3</v>
      </c>
      <c r="H108" s="10" t="n"/>
      <c r="I108" s="10" t="n"/>
      <c r="J108" s="8" t="inlineStr">
        <is>
          <t>okennar</t>
        </is>
      </c>
      <c r="K108" s="24" t="n">
        <v>0.99</v>
      </c>
      <c r="L108" s="20" t="inlineStr">
        <is>
          <t>needs_production_lookup</t>
        </is>
      </c>
      <c r="M108" s="8" t="inlineStr">
        <is>
          <t>DXF dum_DPZ INSERT block 'okno 1.NP vzadu' bbox z block definition + TZ ARS Uw=0.85 W/m²K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Výplně otvorů</t>
        </is>
      </c>
      <c r="C109" s="8" t="inlineStr">
        <is>
          <t>Plastové okno trojsklo — 'okno 2.NP' (ulice)</t>
        </is>
      </c>
      <c r="D109" s="20" t="inlineStr">
        <is>
          <t>766621011</t>
        </is>
      </c>
      <c r="E109" s="8" t="inlineStr">
        <is>
          <t>Plastové okno izolačním trojsklem Uw=0.85 W/m²K — typ 'okno 2.NP' velikost 1160×1480 mm × 4 ks (fasáda ulice)</t>
        </is>
      </c>
      <c r="F109" s="20" t="inlineStr">
        <is>
          <t>ks</t>
        </is>
      </c>
      <c r="G109" s="23" t="n">
        <v>4</v>
      </c>
      <c r="H109" s="10" t="n"/>
      <c r="I109" s="10" t="n"/>
      <c r="J109" s="8" t="inlineStr">
        <is>
          <t>okennar</t>
        </is>
      </c>
      <c r="K109" s="24" t="n">
        <v>0.99</v>
      </c>
      <c r="L109" s="20" t="inlineStr">
        <is>
          <t>needs_production_lookup</t>
        </is>
      </c>
      <c r="M109" s="8" t="inlineStr">
        <is>
          <t>DXF dum_DPZ INSERT block 'okno 2.NP' bbox z block definition + TZ ARS Uw=0.85 W/m²K</t>
        </is>
      </c>
      <c r="N109" s="20" t="inlineStr">
        <is>
          <t>#5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Výplně otvorů</t>
        </is>
      </c>
      <c r="C110" s="8" t="inlineStr">
        <is>
          <t>Plastové okno trojsklo — 'okno 3.NP' (ulice)</t>
        </is>
      </c>
      <c r="D110" s="20" t="inlineStr">
        <is>
          <t>766621011</t>
        </is>
      </c>
      <c r="E110" s="8" t="inlineStr">
        <is>
          <t>Plastové okno izolačním trojsklem Uw=0.85 W/m²K — typ 'okno 3.NP' velikost 1785×1241 mm × 3 ks (fasáda ulice)</t>
        </is>
      </c>
      <c r="F110" s="20" t="inlineStr">
        <is>
          <t>ks</t>
        </is>
      </c>
      <c r="G110" s="23" t="n">
        <v>3</v>
      </c>
      <c r="H110" s="10" t="n"/>
      <c r="I110" s="10" t="n"/>
      <c r="J110" s="8" t="inlineStr">
        <is>
          <t>okennar</t>
        </is>
      </c>
      <c r="K110" s="24" t="n">
        <v>0.99</v>
      </c>
      <c r="L110" s="20" t="inlineStr">
        <is>
          <t>needs_production_lookup</t>
        </is>
      </c>
      <c r="M110" s="8" t="inlineStr">
        <is>
          <t>DXF dum_DPZ INSERT block 'okno 3.NP' bbox z block definition + TZ ARS Uw=0.85 W/m²K</t>
        </is>
      </c>
      <c r="N110" s="20" t="inlineStr">
        <is>
          <t>#5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Výplně otvorů</t>
        </is>
      </c>
      <c r="C111" s="8" t="inlineStr">
        <is>
          <t>Plastové okno trojsklo — 'okno 3.NP vzadu' (zahrada)</t>
        </is>
      </c>
      <c r="D111" s="20" t="inlineStr">
        <is>
          <t>766621011</t>
        </is>
      </c>
      <c r="E111" s="8" t="inlineStr">
        <is>
          <t>Plastové okno izolačním trojsklem Uw=0.85 W/m²K — typ 'okno 3.NP vzadu' velikost 2075×1241 mm × 1 ks (fasáda zahrada)</t>
        </is>
      </c>
      <c r="F111" s="20" t="inlineStr">
        <is>
          <t>ks</t>
        </is>
      </c>
      <c r="G111" s="23" t="n">
        <v>1</v>
      </c>
      <c r="H111" s="10" t="n"/>
      <c r="I111" s="10" t="n"/>
      <c r="J111" s="8" t="inlineStr">
        <is>
          <t>okennar</t>
        </is>
      </c>
      <c r="K111" s="24" t="n">
        <v>0.99</v>
      </c>
      <c r="L111" s="20" t="inlineStr">
        <is>
          <t>needs_production_lookup</t>
        </is>
      </c>
      <c r="M111" s="8" t="inlineStr">
        <is>
          <t>DXF dum_DPZ INSERT block 'okno 3.NP vzadu' bbox z block definition + TZ ARS Uw=0.85 W/m²K</t>
        </is>
      </c>
      <c r="N111" s="20" t="inlineStr">
        <is>
          <t>#5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PSV-76 Výplně otvorů</t>
        </is>
      </c>
      <c r="C112" s="8" t="inlineStr">
        <is>
          <t>Plastové okno trojsklo — 'okno male 3.NP vzadu' (zahrada)</t>
        </is>
      </c>
      <c r="D112" s="20" t="inlineStr">
        <is>
          <t>766621011</t>
        </is>
      </c>
      <c r="E112" s="8" t="inlineStr">
        <is>
          <t>Plastové okno izolačním trojsklem Uw=0.85 W/m²K — typ 'okno male 3.NP vzadu' velikost 800×1241 mm × 1 ks (fasáda zahrada)</t>
        </is>
      </c>
      <c r="F112" s="20" t="inlineStr">
        <is>
          <t>ks</t>
        </is>
      </c>
      <c r="G112" s="23" t="n">
        <v>1</v>
      </c>
      <c r="H112" s="10" t="n"/>
      <c r="I112" s="10" t="n"/>
      <c r="J112" s="8" t="inlineStr">
        <is>
          <t>okennar</t>
        </is>
      </c>
      <c r="K112" s="24" t="n">
        <v>0.99</v>
      </c>
      <c r="L112" s="20" t="inlineStr">
        <is>
          <t>needs_production_lookup</t>
        </is>
      </c>
      <c r="M112" s="8" t="inlineStr">
        <is>
          <t>DXF dum_DPZ INSERT block 'okno male 3.NP vzadu' bbox z block definition + TZ ARS Uw=0.85 W/m²K</t>
        </is>
      </c>
      <c r="N112" s="20" t="inlineStr">
        <is>
          <t>#5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PSV-76 Výplně otvorů</t>
        </is>
      </c>
      <c r="C113" s="8" t="inlineStr">
        <is>
          <t>Plastové okno trojsklo — 'okno malé vzadu' (zahrada)</t>
        </is>
      </c>
      <c r="D113" s="20" t="inlineStr">
        <is>
          <t>766621011</t>
        </is>
      </c>
      <c r="E113" s="8" t="inlineStr">
        <is>
          <t>Plastové okno izolačním trojsklem Uw=0.85 W/m²K — typ 'okno malé vzadu' velikost 700×800 mm × 2 ks (fasáda zahrada)</t>
        </is>
      </c>
      <c r="F113" s="20" t="inlineStr">
        <is>
          <t>ks</t>
        </is>
      </c>
      <c r="G113" s="23" t="n">
        <v>2</v>
      </c>
      <c r="H113" s="10" t="n"/>
      <c r="I113" s="10" t="n"/>
      <c r="J113" s="8" t="inlineStr">
        <is>
          <t>okennar</t>
        </is>
      </c>
      <c r="K113" s="24" t="n">
        <v>0.99</v>
      </c>
      <c r="L113" s="20" t="inlineStr">
        <is>
          <t>needs_production_lookup</t>
        </is>
      </c>
      <c r="M113" s="8" t="inlineStr">
        <is>
          <t>DXF dum_DPZ INSERT block 'okno malé vzadu' bbox z block definition + TZ ARS Uw=0.85 W/m²K</t>
        </is>
      </c>
      <c r="N113" s="20" t="inlineStr">
        <is>
          <t>#5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PSV-76 Výplně otvorů</t>
        </is>
      </c>
      <c r="C114" s="8" t="inlineStr">
        <is>
          <t>Žaluzie kastlík purenit</t>
        </is>
      </c>
      <c r="D114" s="20" t="inlineStr">
        <is>
          <t>766631211</t>
        </is>
      </c>
      <c r="E114" s="8" t="inlineStr">
        <is>
          <t>Integrované stínící venkovní žaluzie v kastlíku pod omítkou s purenitovou izolací — uliční fasáda Fibichova (9 ks)</t>
        </is>
      </c>
      <c r="F114" s="20" t="inlineStr">
        <is>
          <t>ks</t>
        </is>
      </c>
      <c r="G114" s="23" t="n">
        <v>9</v>
      </c>
      <c r="H114" s="10" t="n"/>
      <c r="I114" s="10" t="n"/>
      <c r="J114" s="8" t="inlineStr">
        <is>
          <t>okenni_zaluzie_kastlik_purenit</t>
        </is>
      </c>
      <c r="K114" s="24" t="n">
        <v>0.95</v>
      </c>
      <c r="L114" s="20" t="inlineStr">
        <is>
          <t>needs_production_lookup</t>
        </is>
      </c>
      <c r="M114" s="8" t="inlineStr">
        <is>
          <t>TZ ARS dům §3.2 — 'do ulice Fibichova s integrovanými stínícími žaluziemi v kastlíku pod omítkou s purenitovou izolací'</t>
        </is>
      </c>
      <c r="N114" s="20" t="inlineStr">
        <is>
          <t>#5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PSV-76 Výplně otvorů</t>
        </is>
      </c>
      <c r="C115" s="8" t="inlineStr">
        <is>
          <t>Vstupní plastové dveře</t>
        </is>
      </c>
      <c r="D115" s="20" t="inlineStr">
        <is>
          <t>766682111</t>
        </is>
      </c>
      <c r="E115" s="8" t="inlineStr">
        <is>
          <t>Plastové vstupní dveře (ulice + zahrada) — 2 ks</t>
        </is>
      </c>
      <c r="F115" s="20" t="inlineStr">
        <is>
          <t>ks</t>
        </is>
      </c>
      <c r="G115" s="23" t="n">
        <v>2</v>
      </c>
      <c r="H115" s="10" t="n"/>
      <c r="I115" s="10" t="n"/>
      <c r="J115" s="8" t="inlineStr">
        <is>
          <t>okennar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§4 — plastové vstupní dveře</t>
        </is>
      </c>
      <c r="N115" s="20" t="inlineStr">
        <is>
          <t>—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PSV-76 Výplně otvorů</t>
        </is>
      </c>
      <c r="C116" s="8" t="inlineStr">
        <is>
          <t>Vnitřní dveře DTD laminované</t>
        </is>
      </c>
      <c r="D116" s="20" t="inlineStr">
        <is>
          <t>766660035</t>
        </is>
      </c>
      <c r="E116" s="8" t="inlineStr">
        <is>
          <t>Vnitřní dveře DTD laminované s obložkovou zárubní — odhad 15 ks</t>
        </is>
      </c>
      <c r="F116" s="20" t="inlineStr">
        <is>
          <t>ks</t>
        </is>
      </c>
      <c r="G116" s="23" t="n">
        <v>15</v>
      </c>
      <c r="H116" s="10" t="n"/>
      <c r="I116" s="10" t="n"/>
      <c r="J116" s="8" t="inlineStr">
        <is>
          <t>truhlar</t>
        </is>
      </c>
      <c r="K116" s="24" t="n">
        <v>0.75</v>
      </c>
      <c r="L116" s="20" t="inlineStr">
        <is>
          <t>needs_production_lookup</t>
        </is>
      </c>
      <c r="M116" s="8" t="inlineStr">
        <is>
          <t>TZ ARS dům §4 + DXF MTEXT room labels</t>
        </is>
      </c>
      <c r="N116" s="20" t="inlineStr">
        <is>
          <t>#5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PSV-76 Výplně otvorů</t>
        </is>
      </c>
      <c r="C117" s="8" t="inlineStr">
        <is>
          <t>Požárně odolné dveře EI 30 DP3</t>
        </is>
      </c>
      <c r="D117" s="20" t="inlineStr">
        <is>
          <t>766694112</t>
        </is>
      </c>
      <c r="E117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17" s="20" t="inlineStr">
        <is>
          <t>ks</t>
        </is>
      </c>
      <c r="G117" s="23" t="n">
        <v>1</v>
      </c>
      <c r="H117" s="10" t="n"/>
      <c r="I117" s="10" t="n"/>
      <c r="J117" s="8" t="inlineStr">
        <is>
          <t>specialista_RC3_dvere</t>
        </is>
      </c>
      <c r="K117" s="24" t="n">
        <v>0.9</v>
      </c>
      <c r="L117" s="20" t="inlineStr">
        <is>
          <t>needs_production_lookup</t>
        </is>
      </c>
      <c r="M117" s="8" t="inlineStr">
        <is>
          <t>PBŘ TUSPO § Požární uzávěry otvorů 'podzemní 30DP1'; DXF schodiště 1.PP→1.NP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inlineStr">
        <is>
          <t>GAP_008</t>
        </is>
      </c>
    </row>
    <row r="118">
      <c r="A118" s="20" t="n">
        <v>117</v>
      </c>
      <c r="B118" s="8" t="inlineStr">
        <is>
          <t>PSV-76 Výplně otvorů</t>
        </is>
      </c>
      <c r="C118" s="8" t="inlineStr">
        <is>
          <t>Oplechování venkovních parapetů Pzn — 16 ks</t>
        </is>
      </c>
      <c r="D118" s="20" t="inlineStr">
        <is>
          <t>764811112</t>
        </is>
      </c>
      <c r="E118" s="8" t="inlineStr">
        <is>
          <t>Oplechování venkovních parapetů Pzn plech lakovaný 250 mm × tl. 0.55 mm, vč. okapnice + boční zakončení — 16 ks (per DXF INSERT okno × 16)</t>
        </is>
      </c>
      <c r="F118" s="20" t="inlineStr">
        <is>
          <t>ks</t>
        </is>
      </c>
      <c r="G118" s="23" t="n">
        <v>16</v>
      </c>
      <c r="H118" s="10" t="n"/>
      <c r="I118" s="10" t="n"/>
      <c r="J118" s="8" t="inlineStr">
        <is>
          <t>klempir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blocks okno* 16 ks + DXF klempir_parapet 16 ks (Path C Tier 4 INSERT discovery)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inlineStr">
        <is>
          <t>GAP_004</t>
        </is>
      </c>
    </row>
    <row r="119">
      <c r="A119" s="20" t="n">
        <v>118</v>
      </c>
      <c r="B119" s="8" t="inlineStr">
        <is>
          <t>PSV-76 Zámečnictví</t>
        </is>
      </c>
      <c r="C119" s="8" t="inlineStr">
        <is>
          <t>Ocelové schodiště UPE200 ze zahrady</t>
        </is>
      </c>
      <c r="D119" s="20" t="inlineStr">
        <is>
          <t>767531111</t>
        </is>
      </c>
      <c r="E119" s="8" t="inlineStr">
        <is>
          <t>Ocelové schodiště ze zahrady na mezipodestu — UPE200 schodnice + dřevěné nášlapy, kotvené do koruny opěrné stěny a zdiva (TZ statika §4)</t>
        </is>
      </c>
      <c r="F119" s="20" t="inlineStr">
        <is>
          <t>kpl</t>
        </is>
      </c>
      <c r="G119" s="23" t="n">
        <v>1</v>
      </c>
      <c r="H119" s="10" t="n"/>
      <c r="I119" s="10" t="n"/>
      <c r="J119" s="8" t="inlineStr">
        <is>
          <t>zamecnik_PSV</t>
        </is>
      </c>
      <c r="K119" s="24" t="n">
        <v>0.85</v>
      </c>
      <c r="L119" s="20" t="inlineStr">
        <is>
          <t>family_verified_leaf_needs_production_lookup</t>
        </is>
      </c>
      <c r="M119" s="8" t="inlineStr">
        <is>
          <t>TZ statika dům §4 — schodiště UPE200 + UPE100 podružné prvky</t>
        </is>
      </c>
      <c r="N119" s="20" t="inlineStr">
        <is>
          <t>#5</t>
        </is>
      </c>
      <c r="O119" s="26" t="inlineStr">
        <is>
          <t>ANO</t>
        </is>
      </c>
      <c r="P119" s="41" t="n"/>
      <c r="Q119" s="41" t="inlineStr">
        <is>
          <t>URS_PHASE5B_FAMILY_VERIFIED</t>
        </is>
      </c>
    </row>
    <row r="120">
      <c r="A120" s="20" t="n">
        <v>119</v>
      </c>
      <c r="B120" s="8" t="inlineStr">
        <is>
          <t>PSV-76 Zámečnictví</t>
        </is>
      </c>
      <c r="C120" s="8" t="inlineStr">
        <is>
          <t>Ocelové schodiště do spacího patra 3.NP</t>
        </is>
      </c>
      <c r="D120" s="20" t="inlineStr">
        <is>
          <t>767531111</t>
        </is>
      </c>
      <c r="E120" s="8" t="inlineStr">
        <is>
          <t>Interní ocelové schodiště do spacího patra v 3.NP s dřevěnými stupni (truhlářské)</t>
        </is>
      </c>
      <c r="F120" s="20" t="inlineStr">
        <is>
          <t>kpl</t>
        </is>
      </c>
      <c r="G120" s="23" t="n">
        <v>1</v>
      </c>
      <c r="H120" s="10" t="n"/>
      <c r="I120" s="10" t="n"/>
      <c r="J120" s="8" t="inlineStr">
        <is>
          <t>zamecnik_PSV</t>
        </is>
      </c>
      <c r="K120" s="24" t="n">
        <v>0.85</v>
      </c>
      <c r="L120" s="20" t="inlineStr">
        <is>
          <t>family_verified_leaf_needs_production_lookup</t>
        </is>
      </c>
      <c r="M120" s="8" t="inlineStr">
        <is>
          <t>TZ ARS dům §4 — ocelové schodiště s dřevěnými stupni</t>
        </is>
      </c>
      <c r="N120" s="20" t="inlineStr">
        <is>
          <t>—</t>
        </is>
      </c>
      <c r="O120" s="26" t="inlineStr">
        <is>
          <t>ANO</t>
        </is>
      </c>
      <c r="P120" s="41" t="n"/>
      <c r="Q120" s="41" t="inlineStr">
        <is>
          <t>URS_PHASE5B_FAMILY_VERIFIED</t>
        </is>
      </c>
    </row>
    <row r="121">
      <c r="A121" s="20" t="n">
        <v>120</v>
      </c>
      <c r="B121" s="8" t="inlineStr">
        <is>
          <t>PSV-76 Zámečnictví</t>
        </is>
      </c>
      <c r="C121" s="8" t="inlineStr">
        <is>
          <t>Stříšky nad vstupy</t>
        </is>
      </c>
      <c r="D121" s="20" t="inlineStr">
        <is>
          <t>767532111</t>
        </is>
      </c>
      <c r="E121" s="8" t="inlineStr">
        <is>
          <t>Stříšky nad vstupy z ocelové konstrukce + Cetris desky + falcovaná krytina — 2 ks (ulice + zahrada)</t>
        </is>
      </c>
      <c r="F121" s="20" t="inlineStr">
        <is>
          <t>ks</t>
        </is>
      </c>
      <c r="G121" s="23" t="n">
        <v>2</v>
      </c>
      <c r="H121" s="10" t="n"/>
      <c r="I121" s="10" t="n"/>
      <c r="J121" s="8" t="inlineStr">
        <is>
          <t>zamecnik_PSV</t>
        </is>
      </c>
      <c r="K121" s="24" t="n">
        <v>0.75</v>
      </c>
      <c r="L121" s="20" t="inlineStr">
        <is>
          <t>needs_production_lookup</t>
        </is>
      </c>
      <c r="M121" s="8" t="inlineStr">
        <is>
          <t>TZ ARS dům §4 — stříšky nad vstupy ocel+Cetris+plech</t>
        </is>
      </c>
      <c r="N121" s="20" t="inlineStr">
        <is>
          <t>—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PSV-76 Zámečnictví</t>
        </is>
      </c>
      <c r="C122" s="8" t="inlineStr">
        <is>
          <t>Zábradlí z jeklů + nerez výplň</t>
        </is>
      </c>
      <c r="D122" s="20" t="inlineStr">
        <is>
          <t>767163115</t>
        </is>
      </c>
      <c r="E122" s="8" t="inlineStr">
        <is>
          <t>Ocelové zábradlí svařované z jeklů + nerez výplň pZn antracit — schodiště interier + venkovní terasa</t>
        </is>
      </c>
      <c r="F122" s="20" t="inlineStr">
        <is>
          <t>bm</t>
        </is>
      </c>
      <c r="G122" s="22" t="n">
        <v>18</v>
      </c>
      <c r="H122" s="10" t="n"/>
      <c r="I122" s="10" t="n"/>
      <c r="J122" s="8" t="inlineStr">
        <is>
          <t>zamecnik_PSV</t>
        </is>
      </c>
      <c r="K122" s="24" t="n">
        <v>0.75</v>
      </c>
      <c r="L122" s="20" t="inlineStr">
        <is>
          <t>needs_production_lookup</t>
        </is>
      </c>
      <c r="M122" s="8" t="inlineStr">
        <is>
          <t>TZ ARS dům §4 — zábradlí svařované z jeklů + nerez výplň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PSV-77 Podlahy</t>
        </is>
      </c>
      <c r="C123" s="8" t="inlineStr">
        <is>
          <t>Nášlap vinyl obytné místnosti</t>
        </is>
      </c>
      <c r="D123" s="20" t="inlineStr">
        <is>
          <t>776511820</t>
        </is>
      </c>
      <c r="E123" s="8" t="inlineStr">
        <is>
          <t>Nášlapná vrstva vinyl tl. 4 mm na suchou skladbu — obytné místnosti (ložnice, obývák, kuchyně, chodby)</t>
        </is>
      </c>
      <c r="F123" s="20" t="inlineStr">
        <is>
          <t>m²</t>
        </is>
      </c>
      <c r="G123" s="22" t="n">
        <v>171.5</v>
      </c>
      <c r="H123" s="10" t="n"/>
      <c r="I123" s="10" t="n"/>
      <c r="J123" s="8" t="inlineStr">
        <is>
          <t>podlahar</t>
        </is>
      </c>
      <c r="K123" s="24" t="n">
        <v>0.95</v>
      </c>
      <c r="L123" s="20" t="inlineStr">
        <is>
          <t>family_verified_leaf_needs_production_lookup</t>
        </is>
      </c>
      <c r="M123" s="8" t="inlineStr">
        <is>
          <t>DXF km_tabulka místností MTEXT (návrh) — rooms classified per name (kuchyně/obytná/chodba = vinyl) + TZ ARS §3.2.4 nášlapná vrstva</t>
        </is>
      </c>
      <c r="N123" s="20" t="inlineStr">
        <is>
          <t>#4</t>
        </is>
      </c>
      <c r="O123" s="26" t="inlineStr">
        <is>
          <t>ANO</t>
        </is>
      </c>
      <c r="P123" s="41" t="n"/>
      <c r="Q123" s="41" t="inlineStr">
        <is>
          <t>URS_PHASE5B_FAMILY_VERIFIED</t>
        </is>
      </c>
    </row>
    <row r="124">
      <c r="A124" s="20" t="n">
        <v>123</v>
      </c>
      <c r="B124" s="8" t="inlineStr">
        <is>
          <t>PSV-77 Podlahy</t>
        </is>
      </c>
      <c r="C124" s="8" t="inlineStr">
        <is>
          <t>Nášlap keramická dlažba — mokré zóny</t>
        </is>
      </c>
      <c r="D124" s="20" t="inlineStr">
        <is>
          <t>771274102</t>
        </is>
      </c>
      <c r="E124" s="8" t="inlineStr">
        <is>
          <t>Nášlapná vrstva keramická dlažba lepená — koupelny + WC + spíž + komora (NÁDRŽ NP)</t>
        </is>
      </c>
      <c r="F124" s="20" t="inlineStr">
        <is>
          <t>m²</t>
        </is>
      </c>
      <c r="G124" s="22" t="n">
        <v>13.5</v>
      </c>
      <c r="H124" s="10" t="n"/>
      <c r="I124" s="10" t="n"/>
      <c r="J124" s="8" t="inlineStr">
        <is>
          <t>obkladac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(návrh) — rooms classified per name (koupelna/WC/spíž = dlažba mokré) + TZ ARS skladba mokrá</t>
        </is>
      </c>
      <c r="N124" s="20" t="inlineStr">
        <is>
          <t>#4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PSV-77 Podlahy</t>
        </is>
      </c>
      <c r="C125" s="8" t="inlineStr">
        <is>
          <t>Nášlap keramická dlažba — 1.PP sklep</t>
        </is>
      </c>
      <c r="D125" s="20" t="inlineStr">
        <is>
          <t>771274102</t>
        </is>
      </c>
      <c r="E125" s="8" t="inlineStr">
        <is>
          <t>Nášlapná vrstva keramická dlažba — 1.PP technické místnosti (sušárna + sklepy + schodiště + chodba)</t>
        </is>
      </c>
      <c r="F125" s="20" t="inlineStr">
        <is>
          <t>m²</t>
        </is>
      </c>
      <c r="G125" s="22" t="n">
        <v>32.4</v>
      </c>
      <c r="H125" s="10" t="n"/>
      <c r="I125" s="10" t="n"/>
      <c r="J125" s="8" t="inlineStr">
        <is>
          <t>obkladac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(návrh) — 1.PP all rooms = dlažba sklep zone</t>
        </is>
      </c>
      <c r="N125" s="20" t="inlineStr">
        <is>
          <t>#4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PSV-77 Podlahy</t>
        </is>
      </c>
      <c r="C126" s="8" t="inlineStr">
        <is>
          <t>Nášlap biodeska 3.NP spací patro</t>
        </is>
      </c>
      <c r="D126" s="20" t="inlineStr">
        <is>
          <t>766411111</t>
        </is>
      </c>
      <c r="E126" s="8" t="inlineStr">
        <is>
          <t>Nášlapná vrstva biodeska (smrk masiv) nebo OSB v 3.NP spací části nad krovem</t>
        </is>
      </c>
      <c r="F126" s="20" t="inlineStr">
        <is>
          <t>m²</t>
        </is>
      </c>
      <c r="G126" s="22" t="n">
        <v>25</v>
      </c>
      <c r="H126" s="10" t="n"/>
      <c r="I126" s="10" t="n"/>
      <c r="J126" s="8" t="inlineStr">
        <is>
          <t>biodeska_konstrukcni</t>
        </is>
      </c>
      <c r="K126" s="24" t="n">
        <v>0.75</v>
      </c>
      <c r="L126" s="20" t="inlineStr">
        <is>
          <t>needs_production_lookup</t>
        </is>
      </c>
      <c r="M126" s="8" t="inlineStr">
        <is>
          <t>TZ ARS dům §3.2.3 — biodeska patro pro přespání</t>
        </is>
      </c>
      <c r="N126" s="20" t="inlineStr">
        <is>
          <t>#3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PSV-77 Podlahy</t>
        </is>
      </c>
      <c r="C127" s="8" t="inlineStr">
        <is>
          <t>Betonový potěr s kari nad EPS</t>
        </is>
      </c>
      <c r="D127" s="20" t="inlineStr">
        <is>
          <t>631321311</t>
        </is>
      </c>
      <c r="E127" s="8" t="inlineStr">
        <is>
          <t>Mokrá podlahová skladba — betonový potěr s kari síťkou 4/100/100 tl. 50 mm + samonivelační stěrka</t>
        </is>
      </c>
      <c r="F127" s="20" t="inlineStr">
        <is>
          <t>m²</t>
        </is>
      </c>
      <c r="G127" s="22" t="n">
        <v>126.4</v>
      </c>
      <c r="H127" s="10" t="n"/>
      <c r="I127" s="10" t="n"/>
      <c r="J127" s="8" t="inlineStr">
        <is>
          <t>podlahar</t>
        </is>
      </c>
      <c r="K127" s="24" t="n">
        <v>0.95</v>
      </c>
      <c r="L127" s="20" t="inlineStr">
        <is>
          <t>needs_production_lookup</t>
        </is>
      </c>
      <c r="M127" s="8" t="inlineStr">
        <is>
          <t>TZ ARS dům §3.2.4 + §3.2.x — 'kročejová izolace + betonový potěr s kari sítí'; DXF rooms areas</t>
        </is>
      </c>
      <c r="N127" s="20" t="inlineStr">
        <is>
          <t>#4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PSV-77 Podlahy</t>
        </is>
      </c>
      <c r="C128" s="8" t="inlineStr">
        <is>
          <t>Soklíky vinyl</t>
        </is>
      </c>
      <c r="D128" s="20" t="inlineStr">
        <is>
          <t>776511831</t>
        </is>
      </c>
      <c r="E128" s="8" t="inlineStr">
        <is>
          <t>Soklíky podlahové laminátové (dub) v obytných místnostech s vinyl podlahou</t>
        </is>
      </c>
      <c r="F128" s="20" t="inlineStr">
        <is>
          <t>bm</t>
        </is>
      </c>
      <c r="G128" s="22" t="n">
        <v>72.03</v>
      </c>
      <c r="H128" s="10" t="n"/>
      <c r="I128" s="10" t="n"/>
      <c r="J128" s="8" t="inlineStr">
        <is>
          <t>podlahar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rooms vinyl + standard ratio per RD geometry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PSV-77 Podlahy</t>
        </is>
      </c>
      <c r="C129" s="8" t="inlineStr">
        <is>
          <t>Soklíky keramické</t>
        </is>
      </c>
      <c r="D129" s="20" t="inlineStr">
        <is>
          <t>771274107</t>
        </is>
      </c>
      <c r="E129" s="8" t="inlineStr">
        <is>
          <t>Soklíky keramické v místnostech s dlažbou (koupelny + WC + spíž + 1.PP)</t>
        </is>
      </c>
      <c r="F129" s="20" t="inlineStr">
        <is>
          <t>bm</t>
        </is>
      </c>
      <c r="G129" s="22" t="n">
        <v>19.28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rooms dlažba + standard ratio per RD geometry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Omítka jádrová + štuk 1.PP</t>
        </is>
      </c>
      <c r="D130" s="20" t="inlineStr">
        <is>
          <t>612311311</t>
        </is>
      </c>
      <c r="E130" s="8" t="inlineStr">
        <is>
          <t>Omítka jádrová vápenocementová tl. 15 mm + štuková povrchová úprava na stěnách 1.PP (stávající vyspravené + nové zděné)</t>
        </is>
      </c>
      <c r="F130" s="20" t="inlineStr">
        <is>
          <t>m²</t>
        </is>
      </c>
      <c r="G130" s="22" t="n">
        <v>78.2</v>
      </c>
      <c r="H130" s="10" t="n"/>
      <c r="I130" s="10" t="n"/>
      <c r="J130" s="8" t="inlineStr">
        <is>
          <t>zednik</t>
        </is>
      </c>
      <c r="K130" s="24" t="n">
        <v>0.9</v>
      </c>
      <c r="L130" s="20" t="inlineStr">
        <is>
          <t>needs_production_lookup</t>
        </is>
      </c>
      <c r="M130" s="8" t="inlineStr">
        <is>
          <t>DXF rooms 1.PP obvod + výška podlaží 2.1 m (DXF SM_kóty + řez A-A Path C Tier 1) − okenní plocha (DXF) − odpočet dveří 3%</t>
        </is>
      </c>
      <c r="N130" s="20" t="inlineStr">
        <is>
          <t>#3</t>
        </is>
      </c>
      <c r="O130" s="26" t="inlineStr">
        <is>
          <t>ANO</t>
        </is>
      </c>
      <c r="P130" s="41" t="n"/>
      <c r="Q130" s="41" t="n"/>
    </row>
    <row r="131">
      <c r="A131" s="20" t="n">
        <v>130</v>
      </c>
      <c r="B131" s="8" t="inlineStr">
        <is>
          <t>PSV-78 Povrchové úpravy</t>
        </is>
      </c>
      <c r="C131" s="8" t="inlineStr">
        <is>
          <t>Omítka jádrová + štuk 1.NP</t>
        </is>
      </c>
      <c r="D131" s="20" t="inlineStr">
        <is>
          <t>612311311</t>
        </is>
      </c>
      <c r="E131" s="8" t="inlineStr">
        <is>
          <t>Omítka jádrová vápenocementová tl. 15 mm + štuková povrchová úprava na stěnách 1.NP (stávající vyspravené + nové zděné)</t>
        </is>
      </c>
      <c r="F131" s="20" t="inlineStr">
        <is>
          <t>m²</t>
        </is>
      </c>
      <c r="G131" s="22" t="n">
        <v>208.4</v>
      </c>
      <c r="H131" s="10" t="n"/>
      <c r="I131" s="10" t="n"/>
      <c r="J131" s="8" t="inlineStr">
        <is>
          <t>zednik</t>
        </is>
      </c>
      <c r="K131" s="24" t="n">
        <v>0.9</v>
      </c>
      <c r="L131" s="20" t="inlineStr">
        <is>
          <t>needs_production_lookup</t>
        </is>
      </c>
      <c r="M131" s="8" t="inlineStr">
        <is>
          <t>DXF rooms 1.NP obvod + výška podlaží 2.795 m (DXF SM_kóty + řez A-A Path C Tier 1) − okenní plocha (DXF) − odpočet dveří 3%</t>
        </is>
      </c>
      <c r="N131" s="20" t="inlineStr">
        <is>
          <t>#3</t>
        </is>
      </c>
      <c r="O131" s="26" t="inlineStr">
        <is>
          <t>ANO</t>
        </is>
      </c>
      <c r="P131" s="41" t="n"/>
      <c r="Q131" s="41" t="n"/>
    </row>
    <row r="132">
      <c r="A132" s="20" t="n">
        <v>131</v>
      </c>
      <c r="B132" s="8" t="inlineStr">
        <is>
          <t>PSV-78 Povrchové úpravy</t>
        </is>
      </c>
      <c r="C132" s="8" t="inlineStr">
        <is>
          <t>Omítka jádrová + štuk 2.NP</t>
        </is>
      </c>
      <c r="D132" s="20" t="inlineStr">
        <is>
          <t>612311311</t>
        </is>
      </c>
      <c r="E132" s="8" t="inlineStr">
        <is>
          <t>Omítka jádrová vápenocementová tl. 15 mm + štuková povrchová úprava na stěnách 2.NP (stávající vyspravené + nové zděné)</t>
        </is>
      </c>
      <c r="F132" s="20" t="inlineStr">
        <is>
          <t>m²</t>
        </is>
      </c>
      <c r="G132" s="22" t="n">
        <v>201.6</v>
      </c>
      <c r="H132" s="10" t="n"/>
      <c r="I132" s="10" t="n"/>
      <c r="J132" s="8" t="inlineStr">
        <is>
          <t>zednik</t>
        </is>
      </c>
      <c r="K132" s="24" t="n">
        <v>0.9</v>
      </c>
      <c r="L132" s="20" t="inlineStr">
        <is>
          <t>needs_production_lookup</t>
        </is>
      </c>
      <c r="M132" s="8" t="inlineStr">
        <is>
          <t>DXF rooms 2.NP obvod + výška podlaží 2.865 m (DXF SM_kóty + řez A-A Path C Tier 1) − okenní plocha (DXF) − odpočet dveří 3%</t>
        </is>
      </c>
      <c r="N132" s="20" t="inlineStr">
        <is>
          <t>#3</t>
        </is>
      </c>
      <c r="O132" s="26" t="inlineStr">
        <is>
          <t>ANO</t>
        </is>
      </c>
      <c r="P132" s="41" t="n"/>
      <c r="Q132" s="41" t="n"/>
    </row>
    <row r="133">
      <c r="A133" s="20" t="n">
        <v>132</v>
      </c>
      <c r="B133" s="8" t="inlineStr">
        <is>
          <t>PSV-78 Povrchové úpravy</t>
        </is>
      </c>
      <c r="C133" s="8" t="inlineStr">
        <is>
          <t>Omítka jádrová + štuk 3.NP</t>
        </is>
      </c>
      <c r="D133" s="20" t="inlineStr">
        <is>
          <t>612311311</t>
        </is>
      </c>
      <c r="E133" s="8" t="inlineStr">
        <is>
          <t>Omítka jádrová vápenocementová tl. 15 mm + štuková povrchová úprava na stěnách 3.NP (stávající vyspravené + nové zděné)</t>
        </is>
      </c>
      <c r="F133" s="20" t="inlineStr">
        <is>
          <t>m²</t>
        </is>
      </c>
      <c r="G133" s="22" t="n">
        <v>179.1</v>
      </c>
      <c r="H133" s="10" t="n"/>
      <c r="I133" s="10" t="n"/>
      <c r="J133" s="8" t="inlineStr">
        <is>
          <t>zednik</t>
        </is>
      </c>
      <c r="K133" s="24" t="n">
        <v>0.9</v>
      </c>
      <c r="L133" s="20" t="inlineStr">
        <is>
          <t>needs_production_lookup</t>
        </is>
      </c>
      <c r="M133" s="8" t="inlineStr">
        <is>
          <t>DXF rooms 3.NP obvod + výška podlaží 2.63 m (DXF SM_kóty + řez A-A Path C Tier 1) − okenní plocha (DXF) − odpočet dveří 3%</t>
        </is>
      </c>
      <c r="N133" s="20" t="inlineStr">
        <is>
          <t>#3</t>
        </is>
      </c>
      <c r="O133" s="26" t="inlineStr">
        <is>
          <t>ANO</t>
        </is>
      </c>
      <c r="P133" s="41" t="n"/>
      <c r="Q133" s="41" t="n"/>
    </row>
    <row r="134">
      <c r="A134" s="20" t="n">
        <v>133</v>
      </c>
      <c r="B134" s="8" t="inlineStr">
        <is>
          <t>PSV-78 Povrchové úpravy</t>
        </is>
      </c>
      <c r="C134" s="8" t="inlineStr">
        <is>
          <t>SDK podhled — tmelení + úprava 1.NP</t>
        </is>
      </c>
      <c r="D134" s="20" t="inlineStr">
        <is>
          <t>612471141</t>
        </is>
      </c>
      <c r="E134" s="8" t="inlineStr">
        <is>
          <t>SDK podhled + případné předstěny — tmelení spojů Q3 + povrchová úprava před výmalbou (1.NP)</t>
        </is>
      </c>
      <c r="F134" s="20" t="inlineStr">
        <is>
          <t>m²</t>
        </is>
      </c>
      <c r="G134" s="22" t="n">
        <v>59.5</v>
      </c>
      <c r="H134" s="10" t="n"/>
      <c r="I134" s="10" t="n"/>
      <c r="J134" s="8" t="inlineStr">
        <is>
          <t>sadrokartonar</t>
        </is>
      </c>
      <c r="K134" s="24" t="n">
        <v>0.95</v>
      </c>
      <c r="L134" s="20" t="inlineStr">
        <is>
          <t>needs_production_lookup</t>
        </is>
      </c>
      <c r="M134" s="8" t="inlineStr">
        <is>
          <t>DXF km_tabulka místností MTEXT — plocha 1.NP = plocha podhledu (flat ceiling assumption)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PSV-78 Povrchové úpravy</t>
        </is>
      </c>
      <c r="C135" s="8" t="inlineStr">
        <is>
          <t>SDK podhled — tmelení + úprava 2.NP</t>
        </is>
      </c>
      <c r="D135" s="20" t="inlineStr">
        <is>
          <t>612471141</t>
        </is>
      </c>
      <c r="E135" s="8" t="inlineStr">
        <is>
          <t>SDK podhled + případné předstěny — tmelení spojů Q3 + povrchová úprava před výmalbou (2.NP)</t>
        </is>
      </c>
      <c r="F135" s="20" t="inlineStr">
        <is>
          <t>m²</t>
        </is>
      </c>
      <c r="G135" s="22" t="n">
        <v>61.1</v>
      </c>
      <c r="H135" s="10" t="n"/>
      <c r="I135" s="10" t="n"/>
      <c r="J135" s="8" t="inlineStr">
        <is>
          <t>sadrokartonar</t>
        </is>
      </c>
      <c r="K135" s="24" t="n">
        <v>0.95</v>
      </c>
      <c r="L135" s="20" t="inlineStr">
        <is>
          <t>needs_production_lookup</t>
        </is>
      </c>
      <c r="M135" s="8" t="inlineStr">
        <is>
          <t>DXF km_tabulka místností MTEXT — plocha 2.NP = plocha podhledu (flat ceiling assumption)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PSV-78 Povrchové úpravy</t>
        </is>
      </c>
      <c r="C136" s="8" t="inlineStr">
        <is>
          <t>SDK podhled — tmelení + úprava 3.NP</t>
        </is>
      </c>
      <c r="D136" s="20" t="inlineStr">
        <is>
          <t>612471141</t>
        </is>
      </c>
      <c r="E136" s="8" t="inlineStr">
        <is>
          <t>SDK podhled + případné předstěny — tmelení spojů Q3 + povrchová úprava před výmalbou (3.NP)</t>
        </is>
      </c>
      <c r="F136" s="20" t="inlineStr">
        <is>
          <t>m²</t>
        </is>
      </c>
      <c r="G136" s="22" t="n">
        <v>64.5</v>
      </c>
      <c r="H136" s="10" t="n"/>
      <c r="I136" s="10" t="n"/>
      <c r="J136" s="8" t="inlineStr">
        <is>
          <t>sadrokartonar</t>
        </is>
      </c>
      <c r="K136" s="24" t="n">
        <v>0.95</v>
      </c>
      <c r="L136" s="20" t="inlineStr">
        <is>
          <t>needs_production_lookup</t>
        </is>
      </c>
      <c r="M136" s="8" t="inlineStr">
        <is>
          <t>DXF km_tabulka místností MTEXT — plocha 3.NP = plocha podhledu (flat ceiling assumption)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PSV-78 Povrchové úpravy</t>
        </is>
      </c>
      <c r="C137" s="8" t="inlineStr">
        <is>
          <t>Keramický obklad koupelna 1.05 (1.NP)</t>
        </is>
      </c>
      <c r="D137" s="20" t="inlineStr">
        <is>
          <t>781447001</t>
        </is>
      </c>
      <c r="E137" s="8" t="inlineStr">
        <is>
          <t>Keramický obklad stěn koupelny 1.05 1.NP — výška obkladu 1.6 m (z DXF km Obklady layer)</t>
        </is>
      </c>
      <c r="F137" s="20" t="inlineStr">
        <is>
          <t>m²</t>
        </is>
      </c>
      <c r="G137" s="22" t="n">
        <v>13.4</v>
      </c>
      <c r="H137" s="10" t="n"/>
      <c r="I137" s="10" t="n"/>
      <c r="J137" s="8" t="inlineStr">
        <is>
          <t>obkladac</t>
        </is>
      </c>
      <c r="K137" s="24" t="n">
        <v>0.9</v>
      </c>
      <c r="L137" s="20" t="inlineStr">
        <is>
          <t>needs_production_lookup</t>
        </is>
      </c>
      <c r="M137" s="8" t="inlineStr">
        <is>
          <t>DXF rooms PIP perimeter 1.05 + DXF km Obklady layer (11 LWPOLYLINE markers s bbox heights 1600/2450/2610-2715 mm) — Path C Tier 1</t>
        </is>
      </c>
      <c r="N137" s="20" t="inlineStr">
        <is>
          <t>—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PSV-78 Povrchové úpravy</t>
        </is>
      </c>
      <c r="C138" s="8" t="inlineStr">
        <is>
          <t>Keramický obklad koupelna 2.03 (2.NP)</t>
        </is>
      </c>
      <c r="D138" s="20" t="inlineStr">
        <is>
          <t>781447001</t>
        </is>
      </c>
      <c r="E138" s="8" t="inlineStr">
        <is>
          <t>Keramický obklad stěn koupelny 2.03 2.NP — výška obkladu 2.45 m (z DXF km Obklady layer)</t>
        </is>
      </c>
      <c r="F138" s="20" t="inlineStr">
        <is>
          <t>m²</t>
        </is>
      </c>
      <c r="G138" s="22" t="n">
        <v>15.2</v>
      </c>
      <c r="H138" s="10" t="n"/>
      <c r="I138" s="10" t="n"/>
      <c r="J138" s="8" t="inlineStr">
        <is>
          <t>obkladac</t>
        </is>
      </c>
      <c r="K138" s="24" t="n">
        <v>0.9</v>
      </c>
      <c r="L138" s="20" t="inlineStr">
        <is>
          <t>needs_production_lookup</t>
        </is>
      </c>
      <c r="M138" s="8" t="inlineStr">
        <is>
          <t>DXF rooms PIP perimeter 2.03 + DXF km Obklady layer (11 LWPOLYLINE markers s bbox heights 1600/2450/2610-2715 mm) — Path C Tier 1</t>
        </is>
      </c>
      <c r="N138" s="20" t="inlineStr">
        <is>
          <t>—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PSV-78 Povrchové úpravy</t>
        </is>
      </c>
      <c r="C139" s="8" t="inlineStr">
        <is>
          <t>Keramický obklad koupelna 3.04 (3.NP)</t>
        </is>
      </c>
      <c r="D139" s="20" t="inlineStr">
        <is>
          <t>781447001</t>
        </is>
      </c>
      <c r="E139" s="8" t="inlineStr">
        <is>
          <t>Keramický obklad stěn koupelny 3.04 3.NP — výška obkladu 2.7 m (z DXF km Obklady layer)</t>
        </is>
      </c>
      <c r="F139" s="20" t="inlineStr">
        <is>
          <t>m²</t>
        </is>
      </c>
      <c r="G139" s="22" t="n">
        <v>24.3</v>
      </c>
      <c r="H139" s="10" t="n"/>
      <c r="I139" s="10" t="n"/>
      <c r="J139" s="8" t="inlineStr">
        <is>
          <t>obkladac</t>
        </is>
      </c>
      <c r="K139" s="24" t="n">
        <v>0.9</v>
      </c>
      <c r="L139" s="20" t="inlineStr">
        <is>
          <t>needs_production_lookup</t>
        </is>
      </c>
      <c r="M139" s="8" t="inlineStr">
        <is>
          <t>DXF rooms PIP perimeter 3.04 + DXF km Obklady layer (11 LWPOLYLINE markers s bbox heights 1600/2450/2610-2715 mm) — Path C Tier 1</t>
        </is>
      </c>
      <c r="N139" s="20" t="inlineStr">
        <is>
          <t>—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PSV-78 Povrchové úpravy</t>
        </is>
      </c>
      <c r="C140" s="8" t="inlineStr">
        <is>
          <t>Obklad za kuchyňskou linkou</t>
        </is>
      </c>
      <c r="D140" s="20" t="inlineStr">
        <is>
          <t>781447001</t>
        </is>
      </c>
      <c r="E140" s="8" t="inlineStr">
        <is>
          <t>Keramický obklad za kuchyňskou linkou nad pracovní deskou — 2 kuchyně × ~5 m² (1.06 byt rodičů + 3.05 byt 3.NP)</t>
        </is>
      </c>
      <c r="F140" s="20" t="inlineStr">
        <is>
          <t>m²</t>
        </is>
      </c>
      <c r="G140" s="22" t="n">
        <v>10</v>
      </c>
      <c r="H140" s="10" t="n"/>
      <c r="I140" s="10" t="n"/>
      <c r="J140" s="8" t="inlineStr">
        <is>
          <t>obkladac</t>
        </is>
      </c>
      <c r="K140" s="24" t="n">
        <v>0.95</v>
      </c>
      <c r="L140" s="20" t="inlineStr">
        <is>
          <t>needs_production_lookup</t>
        </is>
      </c>
      <c r="M140" s="8" t="inlineStr">
        <is>
          <t>DXF dum_DPZ 2× kuchyně MTEXT + TZ ARS</t>
        </is>
      </c>
      <c r="N140" s="20" t="inlineStr">
        <is>
          <t>—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PSV-78 Povrchové úpravy</t>
        </is>
      </c>
      <c r="C141" s="8" t="inlineStr">
        <is>
          <t>Interiérová výmalba</t>
        </is>
      </c>
      <c r="D141" s="20" t="inlineStr">
        <is>
          <t>784121011</t>
        </is>
      </c>
      <c r="E141" s="8" t="inlineStr">
        <is>
          <t>Interiérová výmalba akrylátová bílá 2× — všechny stěny + podhledy mimo obklad</t>
        </is>
      </c>
      <c r="F141" s="20" t="inlineStr">
        <is>
          <t>m²</t>
        </is>
      </c>
      <c r="G141" s="22" t="n">
        <v>0</v>
      </c>
      <c r="H141" s="10" t="n"/>
      <c r="I141" s="10" t="n"/>
      <c r="J141" s="8" t="inlineStr">
        <is>
          <t>malir</t>
        </is>
      </c>
      <c r="K141" s="24" t="n">
        <v>0.75</v>
      </c>
      <c r="L141" s="20" t="inlineStr">
        <is>
          <t>needs_production_lookup</t>
        </is>
      </c>
      <c r="M141" s="8" t="inlineStr">
        <is>
          <t>TZ ARS — interiérová výmalba (aggregate, no TZ per-room directive)</t>
        </is>
      </c>
      <c r="N141" s="20" t="inlineStr">
        <is>
          <t>—</t>
        </is>
      </c>
      <c r="O141" s="26" t="inlineStr">
        <is>
          <t>ANO</t>
        </is>
      </c>
      <c r="P141" s="41" t="n"/>
      <c r="Q141" s="41" t="inlineStr">
        <is>
          <t>GAP_007_deprecated</t>
        </is>
      </c>
    </row>
    <row r="142">
      <c r="A142" s="20" t="n">
        <v>141</v>
      </c>
      <c r="B142" s="8" t="inlineStr">
        <is>
          <t>PSV-78 Povrchové úpravy</t>
        </is>
      </c>
      <c r="C142" s="8" t="inlineStr">
        <is>
          <t>Interiérová výmalba 1.NP</t>
        </is>
      </c>
      <c r="D142" s="20" t="inlineStr">
        <is>
          <t>784121011</t>
        </is>
      </c>
      <c r="E142" s="8" t="inlineStr">
        <is>
          <t>Interiérová výmalba 1.NP — stěny + SDK podhled − obklad koupelny 1.05 (1.6 m výška)</t>
        </is>
      </c>
      <c r="F142" s="20" t="inlineStr">
        <is>
          <t>m²</t>
        </is>
      </c>
      <c r="G142" s="22" t="n">
        <v>254.5</v>
      </c>
      <c r="H142" s="10" t="n"/>
      <c r="I142" s="10" t="n"/>
      <c r="J142" s="8" t="inlineStr">
        <is>
          <t>malir</t>
        </is>
      </c>
      <c r="K142" s="24" t="n">
        <v>0.85</v>
      </c>
      <c r="L142" s="20" t="inlineStr">
        <is>
          <t>needs_production_lookup</t>
        </is>
      </c>
      <c r="M142" s="8" t="inlineStr">
        <is>
          <t>Per-podlaží split z PSV78.012 (audit v2 GAP_007 fix); omítka PSV78.002 + SDK podhled PSV78.005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inlineStr">
        <is>
          <t>GAP_007</t>
        </is>
      </c>
    </row>
    <row r="143">
      <c r="A143" s="20" t="n">
        <v>142</v>
      </c>
      <c r="B143" s="8" t="inlineStr">
        <is>
          <t>PSV-78 Povrchové úpravy</t>
        </is>
      </c>
      <c r="C143" s="8" t="inlineStr">
        <is>
          <t>Interiérová výmalba 1.PP</t>
        </is>
      </c>
      <c r="D143" s="20" t="inlineStr">
        <is>
          <t>784121011</t>
        </is>
      </c>
      <c r="E143" s="8" t="inlineStr">
        <is>
          <t>Interiérová výmalba 1.PP — sklep stěny + klenba bílá vápenná 2×</t>
        </is>
      </c>
      <c r="F143" s="20" t="inlineStr">
        <is>
          <t>m²</t>
        </is>
      </c>
      <c r="G143" s="22" t="n">
        <v>78.2</v>
      </c>
      <c r="H143" s="10" t="n"/>
      <c r="I143" s="10" t="n"/>
      <c r="J143" s="8" t="inlineStr">
        <is>
          <t>malir</t>
        </is>
      </c>
      <c r="K143" s="24" t="n">
        <v>0.85</v>
      </c>
      <c r="L143" s="20" t="inlineStr">
        <is>
          <t>needs_production_lookup</t>
        </is>
      </c>
      <c r="M143" s="8" t="inlineStr">
        <is>
          <t>Per-podlaží split z PSV78.012 (audit v2 GAP_007 fix); omítka PSV78.001 + SDK podhled PSV78.—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inlineStr">
        <is>
          <t>GAP_007</t>
        </is>
      </c>
    </row>
    <row r="144">
      <c r="A144" s="20" t="n">
        <v>143</v>
      </c>
      <c r="B144" s="8" t="inlineStr">
        <is>
          <t>PSV-78 Povrchové úpravy</t>
        </is>
      </c>
      <c r="C144" s="8" t="inlineStr">
        <is>
          <t>Interiérová výmalba 2.NP</t>
        </is>
      </c>
      <c r="D144" s="20" t="inlineStr">
        <is>
          <t>784121011</t>
        </is>
      </c>
      <c r="E144" s="8" t="inlineStr">
        <is>
          <t>Interiérová výmalba 2.NP — stěny + SDK podhled − obklad koupelny 2.03 (2.45 m výška)</t>
        </is>
      </c>
      <c r="F144" s="20" t="inlineStr">
        <is>
          <t>m²</t>
        </is>
      </c>
      <c r="G144" s="22" t="n">
        <v>247.5</v>
      </c>
      <c r="H144" s="10" t="n"/>
      <c r="I144" s="10" t="n"/>
      <c r="J144" s="8" t="inlineStr">
        <is>
          <t>malir</t>
        </is>
      </c>
      <c r="K144" s="24" t="n">
        <v>0.85</v>
      </c>
      <c r="L144" s="20" t="inlineStr">
        <is>
          <t>needs_production_lookup</t>
        </is>
      </c>
      <c r="M144" s="8" t="inlineStr">
        <is>
          <t>Per-podlaží split z PSV78.012 (audit v2 GAP_007 fix); omítka PSV78.003 + SDK podhled PSV78.006</t>
        </is>
      </c>
      <c r="N144" s="20" t="inlineStr">
        <is>
          <t>—</t>
        </is>
      </c>
      <c r="O144" s="26" t="inlineStr">
        <is>
          <t>ANO</t>
        </is>
      </c>
      <c r="P144" s="41" t="n"/>
      <c r="Q144" s="41" t="inlineStr">
        <is>
          <t>GAP_007</t>
        </is>
      </c>
    </row>
    <row r="145">
      <c r="A145" s="20" t="n">
        <v>144</v>
      </c>
      <c r="B145" s="8" t="inlineStr">
        <is>
          <t>PSV-78 Povrchové úpravy</t>
        </is>
      </c>
      <c r="C145" s="8" t="inlineStr">
        <is>
          <t>Interiérová výmalba 3.NP</t>
        </is>
      </c>
      <c r="D145" s="20" t="inlineStr">
        <is>
          <t>784121011</t>
        </is>
      </c>
      <c r="E145" s="8" t="inlineStr">
        <is>
          <t>Interiérová výmalba 3.NP — stěny + SDK podhled − obklad koupelny 3.04 (2.7 m výška)</t>
        </is>
      </c>
      <c r="F145" s="20" t="inlineStr">
        <is>
          <t>m²</t>
        </is>
      </c>
      <c r="G145" s="22" t="n">
        <v>219.3</v>
      </c>
      <c r="H145" s="10" t="n"/>
      <c r="I145" s="10" t="n"/>
      <c r="J145" s="8" t="inlineStr">
        <is>
          <t>malir</t>
        </is>
      </c>
      <c r="K145" s="24" t="n">
        <v>0.85</v>
      </c>
      <c r="L145" s="20" t="inlineStr">
        <is>
          <t>needs_production_lookup</t>
        </is>
      </c>
      <c r="M145" s="8" t="inlineStr">
        <is>
          <t>Per-podlaží split z PSV78.012 (audit v2 GAP_007 fix); omítka PSV78.004 + SDK podhled PSV78.007</t>
        </is>
      </c>
      <c r="N145" s="20" t="inlineStr">
        <is>
          <t>—</t>
        </is>
      </c>
      <c r="O145" s="26" t="inlineStr">
        <is>
          <t>ANO</t>
        </is>
      </c>
      <c r="P145" s="41" t="n"/>
      <c r="Q145" s="41" t="inlineStr">
        <is>
          <t>GAP_007</t>
        </is>
      </c>
    </row>
    <row r="146">
      <c r="A146" s="20" t="n">
        <v>145</v>
      </c>
      <c r="B146" s="8" t="inlineStr">
        <is>
          <t>PSV-95 Detekce požární</t>
        </is>
      </c>
      <c r="C146" s="8" t="inlineStr">
        <is>
          <t>Autonomní hlásič kouře</t>
        </is>
      </c>
      <c r="D146" s="20" t="inlineStr">
        <is>
          <t>375211101</t>
        </is>
      </c>
      <c r="E146" s="8" t="inlineStr">
        <is>
          <t>Autonomní hlásič kouře dle ČSN EN 14604 — 4 ks v místnostech 1.01, 1.02, 2.04, 3.03 dle PBŘ</t>
        </is>
      </c>
      <c r="F146" s="20" t="inlineStr">
        <is>
          <t>ks</t>
        </is>
      </c>
      <c r="G146" s="23" t="n">
        <v>4</v>
      </c>
      <c r="H146" s="10" t="n"/>
      <c r="I146" s="10" t="n"/>
      <c r="J146" s="8" t="inlineStr">
        <is>
          <t>elektroinstalater</t>
        </is>
      </c>
      <c r="K146" s="24" t="n">
        <v>0.85</v>
      </c>
      <c r="L146" s="20" t="inlineStr">
        <is>
          <t>family_verified_leaf_needs_production_lookup</t>
        </is>
      </c>
      <c r="M146" s="8" t="inlineStr">
        <is>
          <t>TZ PBŘ dům — ČSN EN 14604 autonomní hlásič kouře 4 ks</t>
        </is>
      </c>
      <c r="N146" s="20" t="inlineStr">
        <is>
          <t>—</t>
        </is>
      </c>
      <c r="O146" s="26" t="inlineStr">
        <is>
          <t>ANO</t>
        </is>
      </c>
      <c r="P146" s="41" t="n"/>
      <c r="Q146" s="41" t="inlineStr">
        <is>
          <t>URS_PHASE5B_FAMILY_VERIFIED</t>
        </is>
      </c>
    </row>
    <row r="147">
      <c r="A147" s="20" t="n">
        <v>146</v>
      </c>
      <c r="B147" s="8" t="inlineStr">
        <is>
          <t>PSV-95 Detekce požární</t>
        </is>
      </c>
      <c r="C147" s="8" t="inlineStr">
        <is>
          <t>Přenosný hasicí přístroj 34A</t>
        </is>
      </c>
      <c r="D147" s="20" t="inlineStr">
        <is>
          <t>966067121</t>
        </is>
      </c>
      <c r="E147" s="8" t="inlineStr">
        <is>
          <t>Přenosný hasicí přístroj 34A dle PBŘ — min. 1 ks na společné chodbě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VRN_management</t>
        </is>
      </c>
      <c r="K147" s="24" t="n">
        <v>0.85</v>
      </c>
      <c r="L147" s="20" t="inlineStr">
        <is>
          <t>needs_production_lookup</t>
        </is>
      </c>
      <c r="M147" s="8" t="inlineStr">
        <is>
          <t>TZ PBŘ dům — PHP 34A 1 ks minimum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n"/>
    </row>
    <row r="148">
      <c r="A148" s="20" t="n">
        <v>147</v>
      </c>
      <c r="B148" s="8" t="inlineStr">
        <is>
          <t>PSV-95 Detekce požární</t>
        </is>
      </c>
      <c r="C148" s="8" t="inlineStr">
        <is>
          <t>Předávací protokol krbu + kontrola bezpečných vzdáleností</t>
        </is>
      </c>
      <c r="D148" s="20" t="inlineStr">
        <is>
          <t>—</t>
        </is>
      </c>
      <c r="E148" s="8" t="inlineStr">
        <is>
          <t>Předávací protokol krbu na tuhá paliva + kontrola bezpečných vzdáleností (800 mm směr sálání / 400 mm strany, nehořlavá zóna podlahy) dle PBŘ</t>
        </is>
      </c>
      <c r="F148" s="20" t="inlineStr">
        <is>
          <t>soubor</t>
        </is>
      </c>
      <c r="G148" s="23" t="n">
        <v>1</v>
      </c>
      <c r="H148" s="10" t="n"/>
      <c r="I148" s="10" t="n"/>
      <c r="J148" s="8" t="inlineStr">
        <is>
          <t>topenar</t>
        </is>
      </c>
      <c r="K148" s="24" t="n">
        <v>0.8</v>
      </c>
      <c r="L148" s="20" t="inlineStr">
        <is>
          <t>needs_production_lookup</t>
        </is>
      </c>
      <c r="M148" s="8" t="inlineStr">
        <is>
          <t>PBŘ D.3</t>
        </is>
      </c>
      <c r="N148" s="20" t="inlineStr">
        <is>
          <t>—</t>
        </is>
      </c>
      <c r="O148" s="26" t="inlineStr">
        <is>
          <t>ANO</t>
        </is>
      </c>
      <c r="P148" s="41" t="inlineStr"/>
      <c r="Q148" s="41" t="inlineStr">
        <is>
          <t>DODATEK_PBR_GAPS_2026-06-01</t>
        </is>
      </c>
    </row>
    <row r="149">
      <c r="A149" s="20" t="n">
        <v>148</v>
      </c>
      <c r="B149" s="8" t="inlineStr">
        <is>
          <t>M-21 ELI silnoproud</t>
        </is>
      </c>
      <c r="C149" s="8" t="inlineStr">
        <is>
          <t>Demontáž stávající ELI</t>
        </is>
      </c>
      <c r="D149" s="20" t="inlineStr">
        <is>
          <t>210010011</t>
        </is>
      </c>
      <c r="E149" s="8" t="inlineStr">
        <is>
          <t>Demontáž stávající elektroinstalace v celém domě (vodiče, rozvaděč, zásuvky, svítidla) — recyklace mědi</t>
        </is>
      </c>
      <c r="F149" s="20" t="inlineStr">
        <is>
          <t>kpl</t>
        </is>
      </c>
      <c r="G149" s="23" t="n">
        <v>1</v>
      </c>
      <c r="H149" s="10" t="n"/>
      <c r="I149" s="10" t="n"/>
      <c r="J149" s="8" t="inlineStr">
        <is>
          <t>elektroinstalater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ARS dům §4 — kompletně nová ELI</t>
        </is>
      </c>
      <c r="N149" s="20" t="inlineStr">
        <is>
          <t>#7</t>
        </is>
      </c>
      <c r="O149" s="26" t="inlineStr">
        <is>
          <t>ANO</t>
        </is>
      </c>
      <c r="P149" s="41" t="n"/>
      <c r="Q149" s="41" t="n"/>
    </row>
    <row r="150">
      <c r="A150" s="20" t="n">
        <v>149</v>
      </c>
      <c r="B150" s="8" t="inlineStr">
        <is>
          <t>M-21 ELI silnoproud</t>
        </is>
      </c>
      <c r="C150" s="8" t="inlineStr">
        <is>
          <t>Pojistková skříň + 3× podružný rozvaděč</t>
        </is>
      </c>
      <c r="D150" s="20" t="inlineStr">
        <is>
          <t>210110023</t>
        </is>
      </c>
      <c r="E150" s="8" t="inlineStr">
        <is>
          <t>Nová pojistková skříň + 3× podružný rozvaděč pro každé patro (1.NP, 2.NP, 3.NP) s podružným měřením</t>
        </is>
      </c>
      <c r="F150" s="20" t="inlineStr">
        <is>
          <t>ks</t>
        </is>
      </c>
      <c r="G150" s="23" t="n">
        <v>4</v>
      </c>
      <c r="H150" s="10" t="n"/>
      <c r="I150" s="10" t="n"/>
      <c r="J150" s="8" t="inlineStr">
        <is>
          <t>elektroinstalater</t>
        </is>
      </c>
      <c r="K150" s="24" t="n">
        <v>0.85</v>
      </c>
      <c r="L150" s="20" t="inlineStr">
        <is>
          <t>needs_production_lookup</t>
        </is>
      </c>
      <c r="M150" s="8" t="inlineStr">
        <is>
          <t>TZ ARS dům §4 — 'nová pojistková skříň s podružným měřením pro každé patro'</t>
        </is>
      </c>
      <c r="N150" s="20" t="inlineStr">
        <is>
          <t>#7</t>
        </is>
      </c>
      <c r="O150" s="26" t="inlineStr">
        <is>
          <t>ANO</t>
        </is>
      </c>
      <c r="P150" s="41" t="n"/>
      <c r="Q150" s="41" t="n"/>
    </row>
    <row r="151">
      <c r="A151" s="20" t="n">
        <v>150</v>
      </c>
      <c r="B151" s="8" t="inlineStr">
        <is>
          <t>M-21 ELI silnoproud</t>
        </is>
      </c>
      <c r="C151" s="8" t="inlineStr">
        <is>
          <t>Rozvody silnoproud</t>
        </is>
      </c>
      <c r="D151" s="20" t="inlineStr">
        <is>
          <t>210800012</t>
        </is>
      </c>
      <c r="E151" s="8" t="inlineStr">
        <is>
          <t>Nové silnoproudé rozvody — vodiče CYKY 3×1.5 / 3×2.5 / 5×2.5 / 5×6 + krabice + instalační trubky</t>
        </is>
      </c>
      <c r="F151" s="20" t="inlineStr">
        <is>
          <t>bm</t>
        </is>
      </c>
      <c r="G151" s="22" t="n">
        <v>700</v>
      </c>
      <c r="H151" s="10" t="n"/>
      <c r="I151" s="10" t="n"/>
      <c r="J151" s="8" t="inlineStr">
        <is>
          <t>elektroinstalater</t>
        </is>
      </c>
      <c r="K151" s="24" t="n">
        <v>0.8</v>
      </c>
      <c r="L151" s="20" t="inlineStr">
        <is>
          <t>needs_production_lookup</t>
        </is>
      </c>
      <c r="M151" s="8" t="inlineStr">
        <is>
          <t>TZ ARS + B4_productivity standard RD 3-byt. dispozice</t>
        </is>
      </c>
      <c r="N151" s="20" t="inlineStr">
        <is>
          <t>#7</t>
        </is>
      </c>
      <c r="O151" s="26" t="inlineStr">
        <is>
          <t>ANO</t>
        </is>
      </c>
      <c r="P151" s="41" t="n"/>
      <c r="Q151" s="41" t="n"/>
    </row>
    <row r="152">
      <c r="A152" s="20" t="n">
        <v>151</v>
      </c>
      <c r="B152" s="8" t="inlineStr">
        <is>
          <t>M-21 ELI silnoproud</t>
        </is>
      </c>
      <c r="C152" s="8" t="inlineStr">
        <is>
          <t>Zásuvky a vypínače</t>
        </is>
      </c>
      <c r="D152" s="20" t="inlineStr">
        <is>
          <t>210810050</t>
        </is>
      </c>
      <c r="E152" s="8" t="inlineStr">
        <is>
          <t>Zásuvky a vypínače dodávka + montáž — ~70 ks (60-80 dle vyjasnění #7)</t>
        </is>
      </c>
      <c r="F152" s="20" t="inlineStr">
        <is>
          <t>ks</t>
        </is>
      </c>
      <c r="G152" s="23" t="n">
        <v>70</v>
      </c>
      <c r="H152" s="10" t="n"/>
      <c r="I152" s="10" t="n"/>
      <c r="J152" s="8" t="inlineStr">
        <is>
          <t>elektroinstalater</t>
        </is>
      </c>
      <c r="K152" s="24" t="n">
        <v>0.8</v>
      </c>
      <c r="L152" s="20" t="inlineStr">
        <is>
          <t>needs_production_lookup</t>
        </is>
      </c>
      <c r="M152" s="8" t="inlineStr">
        <is>
          <t>TZ ARS + B4_productivity standard RD 220 m² 3-byt.</t>
        </is>
      </c>
      <c r="N152" s="20" t="inlineStr">
        <is>
          <t>#7</t>
        </is>
      </c>
      <c r="O152" s="26" t="inlineStr">
        <is>
          <t>ANO</t>
        </is>
      </c>
      <c r="P152" s="41" t="n"/>
      <c r="Q152" s="41" t="n"/>
    </row>
    <row r="153">
      <c r="A153" s="20" t="n">
        <v>152</v>
      </c>
      <c r="B153" s="8" t="inlineStr">
        <is>
          <t>M-21 ELI silnoproud</t>
        </is>
      </c>
      <c r="C153" s="8" t="inlineStr">
        <is>
          <t>Svítidla</t>
        </is>
      </c>
      <c r="D153" s="20" t="inlineStr">
        <is>
          <t>210820002</t>
        </is>
      </c>
      <c r="E153" s="8" t="inlineStr">
        <is>
          <t>Svítidla dodávka + montáž — ~35 ks (30-40 dle vyjasnění #7) interiér + venkovní u vstupů</t>
        </is>
      </c>
      <c r="F153" s="20" t="inlineStr">
        <is>
          <t>ks</t>
        </is>
      </c>
      <c r="G153" s="23" t="n">
        <v>35</v>
      </c>
      <c r="H153" s="10" t="n"/>
      <c r="I153" s="10" t="n"/>
      <c r="J153" s="8" t="inlineStr">
        <is>
          <t>elektroinstalater</t>
        </is>
      </c>
      <c r="K153" s="24" t="n">
        <v>0.8</v>
      </c>
      <c r="L153" s="20" t="inlineStr">
        <is>
          <t>needs_production_lookup</t>
        </is>
      </c>
      <c r="M153" s="8" t="inlineStr">
        <is>
          <t>TZ ARS + B4_productivity standard RD</t>
        </is>
      </c>
      <c r="N153" s="20" t="inlineStr">
        <is>
          <t>#7</t>
        </is>
      </c>
      <c r="O153" s="26" t="inlineStr">
        <is>
          <t>ANO</t>
        </is>
      </c>
      <c r="P153" s="41" t="n"/>
      <c r="Q153" s="41" t="n"/>
    </row>
    <row r="154">
      <c r="A154" s="20" t="n">
        <v>153</v>
      </c>
      <c r="B154" s="8" t="inlineStr">
        <is>
          <t>M-21 ELI silnoproud</t>
        </is>
      </c>
      <c r="C154" s="8" t="inlineStr">
        <is>
          <t>Příprava FVE</t>
        </is>
      </c>
      <c r="D154" s="20" t="inlineStr">
        <is>
          <t>210800099</t>
        </is>
      </c>
      <c r="E154" s="8" t="inlineStr">
        <is>
          <t>Příprava na osazení FVE — rezerva v rozvaděči (jistič + zásuvka pro střídač) + trasy do střechy</t>
        </is>
      </c>
      <c r="F154" s="20" t="inlineStr">
        <is>
          <t>kpl</t>
        </is>
      </c>
      <c r="G154" s="23" t="n">
        <v>1</v>
      </c>
      <c r="H154" s="10" t="n"/>
      <c r="I154" s="10" t="n"/>
      <c r="J154" s="8" t="inlineStr">
        <is>
          <t>elektroinstalater</t>
        </is>
      </c>
      <c r="K154" s="24" t="n">
        <v>0.85</v>
      </c>
      <c r="L154" s="20" t="inlineStr">
        <is>
          <t>needs_production_lookup</t>
        </is>
      </c>
      <c r="M154" s="8" t="inlineStr">
        <is>
          <t>TZ ARS dům §4 — FVE příprava (bez panelů samotných)</t>
        </is>
      </c>
      <c r="N154" s="20" t="inlineStr">
        <is>
          <t>#7</t>
        </is>
      </c>
      <c r="O154" s="26" t="inlineStr">
        <is>
          <t>ANO</t>
        </is>
      </c>
      <c r="P154" s="41" t="n"/>
      <c r="Q154" s="41" t="n"/>
    </row>
    <row r="155">
      <c r="A155" s="20" t="n">
        <v>154</v>
      </c>
      <c r="B155" s="8" t="inlineStr">
        <is>
          <t>M-21 ELI silnoproud</t>
        </is>
      </c>
      <c r="C155" s="8" t="inlineStr">
        <is>
          <t>Revize ELI při kolaudaci</t>
        </is>
      </c>
      <c r="D155" s="20" t="inlineStr">
        <is>
          <t>996019011</t>
        </is>
      </c>
      <c r="E155" s="8" t="inlineStr">
        <is>
          <t>Výchozí revize elektrické instalace dle ČSN 33 2000-6 + revizní zpráva pro kolaudaci</t>
        </is>
      </c>
      <c r="F155" s="20" t="inlineStr">
        <is>
          <t>kpl</t>
        </is>
      </c>
      <c r="G155" s="23" t="n">
        <v>1</v>
      </c>
      <c r="H155" s="10" t="n"/>
      <c r="I155" s="10" t="n"/>
      <c r="J155" s="8" t="inlineStr">
        <is>
          <t>revize_specialista</t>
        </is>
      </c>
      <c r="K155" s="24" t="n">
        <v>0.99</v>
      </c>
      <c r="L155" s="20" t="inlineStr">
        <is>
          <t>needs_production_lookup</t>
        </is>
      </c>
      <c r="M155" s="8" t="inlineStr">
        <is>
          <t>Povinná revize ELI dle ČSN 33 2000-6 + kolaudace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n"/>
    </row>
    <row r="156">
      <c r="A156" s="20" t="n">
        <v>155</v>
      </c>
      <c r="B156" s="8" t="inlineStr">
        <is>
          <t>PSV-72 ZTI</t>
        </is>
      </c>
      <c r="C156" s="8" t="inlineStr">
        <is>
          <t>Revize stávajících přípojek</t>
        </is>
      </c>
      <c r="D156" s="20" t="inlineStr">
        <is>
          <t>722290515</t>
        </is>
      </c>
      <c r="E156" s="8" t="inlineStr">
        <is>
          <t>Revize stávajícího napojení vodovodu + kanalizace na pozemku — kontrola stavu, čištění, tlaková zkouška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0.85</v>
      </c>
      <c r="L156" s="20" t="inlineStr">
        <is>
          <t>family_verified_leaf_needs_production_lookup</t>
        </is>
      </c>
      <c r="M156" s="8" t="inlineStr">
        <is>
          <t>TZ ARS dům §4 — vodovod + kanalizace stávající, bez změny</t>
        </is>
      </c>
      <c r="N156" s="20" t="inlineStr">
        <is>
          <t>#6</t>
        </is>
      </c>
      <c r="O156" s="26" t="inlineStr">
        <is>
          <t>ANO</t>
        </is>
      </c>
      <c r="P156" s="41" t="n"/>
      <c r="Q156" s="41" t="inlineStr">
        <is>
          <t>URS_PHASE5B_FAMILY_VERIFIED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Nové rozvody vody do 3.NP</t>
        </is>
      </c>
      <c r="D157" s="20" t="inlineStr">
        <is>
          <t>722172011</t>
        </is>
      </c>
      <c r="E157" s="8" t="inlineStr">
        <is>
          <t>Nové rozvody studené + teplé vody do koupelen 1.NP + 2.NP + 3.NP a kuchyní (PEX/Cu, dimenze DN15-25)</t>
        </is>
      </c>
      <c r="F157" s="20" t="inlineStr">
        <is>
          <t>bm</t>
        </is>
      </c>
      <c r="G157" s="22" t="n">
        <v>80</v>
      </c>
      <c r="H157" s="10" t="n"/>
      <c r="I157" s="10" t="n"/>
      <c r="J157" s="8" t="inlineStr">
        <is>
          <t>vodar</t>
        </is>
      </c>
      <c r="K157" s="24" t="n">
        <v>0.75</v>
      </c>
      <c r="L157" s="20" t="inlineStr">
        <is>
          <t>family_verified_leaf_needs_production_lookup</t>
        </is>
      </c>
      <c r="M157" s="8" t="inlineStr">
        <is>
          <t>TZ ARS dům §4 — nové koupelny + kuchyně, vyjasnění #6 working assumption</t>
        </is>
      </c>
      <c r="N157" s="20" t="inlineStr">
        <is>
          <t>#6</t>
        </is>
      </c>
      <c r="O157" s="26" t="inlineStr">
        <is>
          <t>ANO</t>
        </is>
      </c>
      <c r="P157" s="41" t="n"/>
      <c r="Q157" s="41" t="inlineStr">
        <is>
          <t>URS_PHASE5B_FAMILY_VERIFIED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Nové odpadní rozvody</t>
        </is>
      </c>
      <c r="D158" s="20" t="inlineStr">
        <is>
          <t>721174021</t>
        </is>
      </c>
      <c r="E158" s="8" t="inlineStr">
        <is>
          <t>Nové odpadní rozvody PVC-HT DN40-DN110 ke koupelnám 1.NP, 2.NP, 3.NP a kuchyním + napojení na stávající</t>
        </is>
      </c>
      <c r="F158" s="20" t="inlineStr">
        <is>
          <t>bm</t>
        </is>
      </c>
      <c r="G158" s="22" t="n">
        <v>60</v>
      </c>
      <c r="H158" s="10" t="n"/>
      <c r="I158" s="10" t="n"/>
      <c r="J158" s="8" t="inlineStr">
        <is>
          <t>vodar</t>
        </is>
      </c>
      <c r="K158" s="24" t="n">
        <v>0.75</v>
      </c>
      <c r="L158" s="20" t="inlineStr">
        <is>
          <t>needs_production_lookup</t>
        </is>
      </c>
      <c r="M158" s="8" t="inlineStr">
        <is>
          <t>TZ ARS dům §4 — nové koupelny + kuchyně, odpad do stávající kanalizace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Sanitární keramika koupelna 1.05 (1.NP)</t>
        </is>
      </c>
      <c r="D159" s="20" t="inlineStr">
        <is>
          <t>725291131</t>
        </is>
      </c>
      <c r="E159" s="8" t="inlineStr">
        <is>
          <t>Sanitární keramika dodávka + montáž v koupelně 1.05 1.NP: 1× vana (DXF) + 1× umyvadlo (DXF) + 1× WC (TZ standard)</t>
        </is>
      </c>
      <c r="F159" s="20" t="inlineStr">
        <is>
          <t>set</t>
        </is>
      </c>
      <c r="G159" s="22" t="n">
        <v>0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DXF dum_DPZ INSERT positions PIP do room 1.05 polygon (partial — 4/13 fixtures matched celkem) + TZ ARS § koupelny standard pattern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inlineStr">
        <is>
          <t>GAP_005_deprecated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Sanitární keramika koupelna 1.05 (1.NP) / fixture A</t>
        </is>
      </c>
      <c r="D160" s="20" t="inlineStr">
        <is>
          <t>725211101</t>
        </is>
      </c>
      <c r="E160" s="8" t="inlineStr">
        <is>
          <t>Vana koupelnová obdélníková 170×70 cm — koupelna 1.05 1.NP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vodar</t>
        </is>
      </c>
      <c r="K160" s="24" t="n">
        <v>0.9</v>
      </c>
      <c r="L160" s="20" t="inlineStr">
        <is>
          <t>needs_production_lookup</t>
        </is>
      </c>
      <c r="M160" s="8" t="inlineStr">
        <is>
          <t>DXF dum_DPZ MTEXT room 1.05 1.NP + TZ ARS koupelna kompletace</t>
        </is>
      </c>
      <c r="N160" s="20" t="inlineStr">
        <is>
          <t>—</t>
        </is>
      </c>
      <c r="O160" s="26" t="inlineStr">
        <is>
          <t>ANO</t>
        </is>
      </c>
      <c r="P160" s="41" t="n"/>
      <c r="Q160" s="41" t="inlineStr">
        <is>
          <t>GAP_005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Sanitární keramika koupelna 1.05 (1.NP) / fixture B</t>
        </is>
      </c>
      <c r="D161" s="20" t="inlineStr">
        <is>
          <t>725311111</t>
        </is>
      </c>
      <c r="E161" s="8" t="inlineStr">
        <is>
          <t>Umyvadlo bílé keramické se sloupcem 60 cm — koupelna 1.05 1.NP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0.9</v>
      </c>
      <c r="L161" s="20" t="inlineStr">
        <is>
          <t>needs_production_lookup</t>
        </is>
      </c>
      <c r="M161" s="8" t="inlineStr">
        <is>
          <t>DXF dum_DPZ MTEXT room 1.05 1.NP + TZ ARS koupelna kompletace</t>
        </is>
      </c>
      <c r="N161" s="20" t="inlineStr">
        <is>
          <t>—</t>
        </is>
      </c>
      <c r="O161" s="26" t="inlineStr">
        <is>
          <t>ANO</t>
        </is>
      </c>
      <c r="P161" s="41" t="n"/>
      <c r="Q161" s="41" t="inlineStr">
        <is>
          <t>GAP_005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Sanitární keramika koupelna 1.05 (1.NP) / fixture C</t>
        </is>
      </c>
      <c r="D162" s="20" t="inlineStr">
        <is>
          <t>725111101</t>
        </is>
      </c>
      <c r="E162" s="8" t="inlineStr">
        <is>
          <t>WC kombi keramické bílé — koupelna 1.05 1.NP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0.9</v>
      </c>
      <c r="L162" s="20" t="inlineStr">
        <is>
          <t>needs_production_lookup</t>
        </is>
      </c>
      <c r="M162" s="8" t="inlineStr">
        <is>
          <t>DXF dum_DPZ MTEXT room 1.05 1.NP + TZ ARS koupelna kompletace</t>
        </is>
      </c>
      <c r="N162" s="20" t="inlineStr">
        <is>
          <t>—</t>
        </is>
      </c>
      <c r="O162" s="26" t="inlineStr">
        <is>
          <t>ANO</t>
        </is>
      </c>
      <c r="P162" s="41" t="n"/>
      <c r="Q162" s="41" t="inlineStr">
        <is>
          <t>GAP_005</t>
        </is>
      </c>
    </row>
    <row r="163">
      <c r="A163" s="20" t="n">
        <v>162</v>
      </c>
      <c r="B163" s="8" t="inlineStr">
        <is>
          <t>PSV-72 ZTI</t>
        </is>
      </c>
      <c r="C163" s="8" t="inlineStr">
        <is>
          <t>Sanitární keramika koupelna 2.03 (2.NP)</t>
        </is>
      </c>
      <c r="D163" s="20" t="inlineStr">
        <is>
          <t>725291131</t>
        </is>
      </c>
      <c r="E163" s="8" t="inlineStr">
        <is>
          <t>Sanitární keramika dodávka + montáž v koupelně 2.03 2.NP: 1× umyvadlo (DXF) + 1× WC (TZ standard) + 1× sprcha (TZ standard)</t>
        </is>
      </c>
      <c r="F163" s="20" t="inlineStr">
        <is>
          <t>set</t>
        </is>
      </c>
      <c r="G163" s="22" t="n">
        <v>0</v>
      </c>
      <c r="H163" s="10" t="n"/>
      <c r="I163" s="10" t="n"/>
      <c r="J163" s="8" t="inlineStr">
        <is>
          <t>vodar</t>
        </is>
      </c>
      <c r="K163" s="24" t="n">
        <v>0.75</v>
      </c>
      <c r="L163" s="20" t="inlineStr">
        <is>
          <t>needs_production_lookup</t>
        </is>
      </c>
      <c r="M163" s="8" t="inlineStr">
        <is>
          <t>DXF dum_DPZ INSERT positions PIP do room 2.03 polygon (partial — 4/13 fixtures matched celkem) + TZ ARS § koupelny standard pattern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inlineStr">
        <is>
          <t>GAP_005_deprecated</t>
        </is>
      </c>
    </row>
    <row r="164">
      <c r="A164" s="20" t="n">
        <v>163</v>
      </c>
      <c r="B164" s="8" t="inlineStr">
        <is>
          <t>PSV-72 ZTI</t>
        </is>
      </c>
      <c r="C164" s="8" t="inlineStr">
        <is>
          <t>Sanitární keramika koupelna 2.03 (2.NP) / fixture A</t>
        </is>
      </c>
      <c r="D164" s="20" t="inlineStr">
        <is>
          <t>725311111</t>
        </is>
      </c>
      <c r="E164" s="8" t="inlineStr">
        <is>
          <t>Umyvadlo bílé keramické se sloupcem 60 cm — koupelna 2.03 2.NP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vodar</t>
        </is>
      </c>
      <c r="K164" s="24" t="n">
        <v>0.9</v>
      </c>
      <c r="L164" s="20" t="inlineStr">
        <is>
          <t>needs_production_lookup</t>
        </is>
      </c>
      <c r="M164" s="8" t="inlineStr">
        <is>
          <t>DXF dum_DPZ MTEXT room 2.03 2.NP + TZ ARS koupelna kompletace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inlineStr">
        <is>
          <t>GAP_005</t>
        </is>
      </c>
    </row>
    <row r="165">
      <c r="A165" s="20" t="n">
        <v>164</v>
      </c>
      <c r="B165" s="8" t="inlineStr">
        <is>
          <t>PSV-72 ZTI</t>
        </is>
      </c>
      <c r="C165" s="8" t="inlineStr">
        <is>
          <t>Sanitární keramika koupelna 2.03 (2.NP) / fixture B</t>
        </is>
      </c>
      <c r="D165" s="20" t="inlineStr">
        <is>
          <t>725221201</t>
        </is>
      </c>
      <c r="E165" s="8" t="inlineStr">
        <is>
          <t>Sprchový kout 90×90 cm vč. vaničky + skleněných dveří — koupelna 2.03 2.NP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vodar</t>
        </is>
      </c>
      <c r="K165" s="24" t="n">
        <v>0.9</v>
      </c>
      <c r="L165" s="20" t="inlineStr">
        <is>
          <t>needs_production_lookup</t>
        </is>
      </c>
      <c r="M165" s="8" t="inlineStr">
        <is>
          <t>DXF dum_DPZ MTEXT room 2.03 2.NP + TZ ARS koupelna kompletace</t>
        </is>
      </c>
      <c r="N165" s="20" t="inlineStr">
        <is>
          <t>—</t>
        </is>
      </c>
      <c r="O165" s="26" t="inlineStr">
        <is>
          <t>ANO</t>
        </is>
      </c>
      <c r="P165" s="41" t="n"/>
      <c r="Q165" s="41" t="inlineStr">
        <is>
          <t>GAP_005</t>
        </is>
      </c>
    </row>
    <row r="166">
      <c r="A166" s="20" t="n">
        <v>165</v>
      </c>
      <c r="B166" s="8" t="inlineStr">
        <is>
          <t>PSV-72 ZTI</t>
        </is>
      </c>
      <c r="C166" s="8" t="inlineStr">
        <is>
          <t>Sanitární keramika koupelna 2.03 (2.NP) / fixture C</t>
        </is>
      </c>
      <c r="D166" s="20" t="inlineStr">
        <is>
          <t>725111101</t>
        </is>
      </c>
      <c r="E166" s="8" t="inlineStr">
        <is>
          <t>WC kombi keramické bílé — koupelna 2.03 2.NP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vodar</t>
        </is>
      </c>
      <c r="K166" s="24" t="n">
        <v>0.9</v>
      </c>
      <c r="L166" s="20" t="inlineStr">
        <is>
          <t>needs_production_lookup</t>
        </is>
      </c>
      <c r="M166" s="8" t="inlineStr">
        <is>
          <t>DXF dum_DPZ MTEXT room 2.03 2.NP + TZ ARS koupelna kompletace</t>
        </is>
      </c>
      <c r="N166" s="20" t="inlineStr">
        <is>
          <t>—</t>
        </is>
      </c>
      <c r="O166" s="26" t="inlineStr">
        <is>
          <t>ANO</t>
        </is>
      </c>
      <c r="P166" s="41" t="n"/>
      <c r="Q166" s="41" t="inlineStr">
        <is>
          <t>GAP_005</t>
        </is>
      </c>
    </row>
    <row r="167">
      <c r="A167" s="20" t="n">
        <v>166</v>
      </c>
      <c r="B167" s="8" t="inlineStr">
        <is>
          <t>PSV-72 ZTI</t>
        </is>
      </c>
      <c r="C167" s="8" t="inlineStr">
        <is>
          <t>Sanitární keramika koupelna 3.04 (3.NP)</t>
        </is>
      </c>
      <c r="D167" s="20" t="inlineStr">
        <is>
          <t>725291131</t>
        </is>
      </c>
      <c r="E167" s="8" t="inlineStr">
        <is>
          <t>Sanitární keramika dodávka + montáž v koupelně 3.04 3.NP: 1× WC (DXF) + 1× umyvadlo (TZ standard) + 1× sprcha (TZ standard)</t>
        </is>
      </c>
      <c r="F167" s="20" t="inlineStr">
        <is>
          <t>set</t>
        </is>
      </c>
      <c r="G167" s="22" t="n">
        <v>0</v>
      </c>
      <c r="H167" s="10" t="n"/>
      <c r="I167" s="10" t="n"/>
      <c r="J167" s="8" t="inlineStr">
        <is>
          <t>vodar</t>
        </is>
      </c>
      <c r="K167" s="24" t="n">
        <v>0.75</v>
      </c>
      <c r="L167" s="20" t="inlineStr">
        <is>
          <t>needs_production_lookup</t>
        </is>
      </c>
      <c r="M167" s="8" t="inlineStr">
        <is>
          <t>DXF dum_DPZ INSERT positions PIP do room 3.04 polygon (partial — 4/13 fixtures matched celkem) + TZ ARS § koupelny standard pattern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inlineStr">
        <is>
          <t>GAP_005_deprecated</t>
        </is>
      </c>
    </row>
    <row r="168">
      <c r="A168" s="20" t="n">
        <v>167</v>
      </c>
      <c r="B168" s="8" t="inlineStr">
        <is>
          <t>PSV-72 ZTI</t>
        </is>
      </c>
      <c r="C168" s="8" t="inlineStr">
        <is>
          <t>Sanitární keramika koupelna 3.04 (3.NP) / fixture A</t>
        </is>
      </c>
      <c r="D168" s="20" t="inlineStr">
        <is>
          <t>725111101</t>
        </is>
      </c>
      <c r="E168" s="8" t="inlineStr">
        <is>
          <t>WC kombi keramické bílé — koupelna 3.04 3.NP</t>
        </is>
      </c>
      <c r="F168" s="20" t="inlineStr">
        <is>
          <t>ks</t>
        </is>
      </c>
      <c r="G168" s="23" t="n">
        <v>1</v>
      </c>
      <c r="H168" s="10" t="n"/>
      <c r="I168" s="10" t="n"/>
      <c r="J168" s="8" t="inlineStr">
        <is>
          <t>vodar</t>
        </is>
      </c>
      <c r="K168" s="24" t="n">
        <v>0.9</v>
      </c>
      <c r="L168" s="20" t="inlineStr">
        <is>
          <t>needs_production_lookup</t>
        </is>
      </c>
      <c r="M168" s="8" t="inlineStr">
        <is>
          <t>DXF dum_DPZ MTEXT room 3.04 3.NP + TZ ARS koupelna kompletace</t>
        </is>
      </c>
      <c r="N168" s="20" t="inlineStr">
        <is>
          <t>—</t>
        </is>
      </c>
      <c r="O168" s="26" t="inlineStr">
        <is>
          <t>ANO</t>
        </is>
      </c>
      <c r="P168" s="41" t="n"/>
      <c r="Q168" s="41" t="inlineStr">
        <is>
          <t>GAP_005</t>
        </is>
      </c>
    </row>
    <row r="169">
      <c r="A169" s="20" t="n">
        <v>168</v>
      </c>
      <c r="B169" s="8" t="inlineStr">
        <is>
          <t>PSV-72 ZTI</t>
        </is>
      </c>
      <c r="C169" s="8" t="inlineStr">
        <is>
          <t>Sanitární keramika koupelna 3.04 (3.NP) / fixture B</t>
        </is>
      </c>
      <c r="D169" s="20" t="inlineStr">
        <is>
          <t>725311111</t>
        </is>
      </c>
      <c r="E169" s="8" t="inlineStr">
        <is>
          <t>Umyvadlo bílé keramické se sloupcem 60 cm — koupelna 3.04 3.NP</t>
        </is>
      </c>
      <c r="F169" s="20" t="inlineStr">
        <is>
          <t>ks</t>
        </is>
      </c>
      <c r="G169" s="23" t="n">
        <v>1</v>
      </c>
      <c r="H169" s="10" t="n"/>
      <c r="I169" s="10" t="n"/>
      <c r="J169" s="8" t="inlineStr">
        <is>
          <t>vodar</t>
        </is>
      </c>
      <c r="K169" s="24" t="n">
        <v>0.9</v>
      </c>
      <c r="L169" s="20" t="inlineStr">
        <is>
          <t>needs_production_lookup</t>
        </is>
      </c>
      <c r="M169" s="8" t="inlineStr">
        <is>
          <t>DXF dum_DPZ MTEXT room 3.04 3.NP + TZ ARS koupelna kompletace</t>
        </is>
      </c>
      <c r="N169" s="20" t="inlineStr">
        <is>
          <t>—</t>
        </is>
      </c>
      <c r="O169" s="26" t="inlineStr">
        <is>
          <t>ANO</t>
        </is>
      </c>
      <c r="P169" s="41" t="n"/>
      <c r="Q169" s="41" t="inlineStr">
        <is>
          <t>GAP_005</t>
        </is>
      </c>
    </row>
    <row r="170">
      <c r="A170" s="20" t="n">
        <v>169</v>
      </c>
      <c r="B170" s="8" t="inlineStr">
        <is>
          <t>PSV-72 ZTI</t>
        </is>
      </c>
      <c r="C170" s="8" t="inlineStr">
        <is>
          <t>Sanitární keramika koupelna 3.04 (3.NP) / fixture C</t>
        </is>
      </c>
      <c r="D170" s="20" t="inlineStr">
        <is>
          <t>725221201</t>
        </is>
      </c>
      <c r="E170" s="8" t="inlineStr">
        <is>
          <t>Sprchový kout 90×90 cm vč. vaničky + skleněných dveří — koupelna 3.04 3.NP</t>
        </is>
      </c>
      <c r="F170" s="20" t="inlineStr">
        <is>
          <t>ks</t>
        </is>
      </c>
      <c r="G170" s="23" t="n">
        <v>1</v>
      </c>
      <c r="H170" s="10" t="n"/>
      <c r="I170" s="10" t="n"/>
      <c r="J170" s="8" t="inlineStr">
        <is>
          <t>vodar</t>
        </is>
      </c>
      <c r="K170" s="24" t="n">
        <v>0.9</v>
      </c>
      <c r="L170" s="20" t="inlineStr">
        <is>
          <t>needs_production_lookup</t>
        </is>
      </c>
      <c r="M170" s="8" t="inlineStr">
        <is>
          <t>DXF dum_DPZ MTEXT room 3.04 3.NP + TZ ARS koupelna kompletace</t>
        </is>
      </c>
      <c r="N170" s="20" t="inlineStr">
        <is>
          <t>—</t>
        </is>
      </c>
      <c r="O170" s="26" t="inlineStr">
        <is>
          <t>ANO</t>
        </is>
      </c>
      <c r="P170" s="41" t="n"/>
      <c r="Q170" s="41" t="inlineStr">
        <is>
          <t>GAP_005</t>
        </is>
      </c>
    </row>
    <row r="171">
      <c r="A171" s="20" t="n">
        <v>170</v>
      </c>
      <c r="B171" s="8" t="inlineStr">
        <is>
          <t>PSV-72 ZTI</t>
        </is>
      </c>
      <c r="C171" s="8" t="inlineStr">
        <is>
          <t>Kuchyňský dřez 2 ks (1.06 + 3.05)</t>
        </is>
      </c>
      <c r="D171" s="20" t="inlineStr">
        <is>
          <t>725840111</t>
        </is>
      </c>
      <c r="E171" s="8" t="inlineStr">
        <is>
          <t>Kuchyňský dřez nerez + montáž — 2 ks (kuchyně 1.06 byt rodičů + kuchyně 3.05 byt 3.NP)</t>
        </is>
      </c>
      <c r="F171" s="20" t="inlineStr">
        <is>
          <t>ks</t>
        </is>
      </c>
      <c r="G171" s="23" t="n">
        <v>2</v>
      </c>
      <c r="H171" s="10" t="n"/>
      <c r="I171" s="10" t="n"/>
      <c r="J171" s="8" t="inlineStr">
        <is>
          <t>vodar</t>
        </is>
      </c>
      <c r="K171" s="24" t="n">
        <v>0.95</v>
      </c>
      <c r="L171" s="20" t="inlineStr">
        <is>
          <t>needs_production_lookup</t>
        </is>
      </c>
      <c r="M171" s="8" t="inlineStr">
        <is>
          <t>DXF kuchyně MTEXT 2× + TZ ARS — dispozice byty</t>
        </is>
      </c>
      <c r="N171" s="20" t="inlineStr">
        <is>
          <t>#6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PSV-72 ZTI</t>
        </is>
      </c>
      <c r="C172" s="8" t="inlineStr">
        <is>
          <t>Vodovodní baterie + drobnosti</t>
        </is>
      </c>
      <c r="D172" s="20" t="inlineStr">
        <is>
          <t>725822611</t>
        </is>
      </c>
      <c r="E172" s="8" t="inlineStr">
        <is>
          <t>Vodovodní baterie (WC ventil + páková umyvadlová + sprchové + dřezové + termostat sprchové) — ~15 ks + drobné instalační materiály</t>
        </is>
      </c>
      <c r="F172" s="20" t="inlineStr">
        <is>
          <t>ks</t>
        </is>
      </c>
      <c r="G172" s="23" t="n">
        <v>15</v>
      </c>
      <c r="H172" s="10" t="n"/>
      <c r="I172" s="10" t="n"/>
      <c r="J172" s="8" t="inlineStr">
        <is>
          <t>vodar</t>
        </is>
      </c>
      <c r="K172" s="24" t="n">
        <v>0.75</v>
      </c>
      <c r="L172" s="20" t="inlineStr">
        <is>
          <t>needs_production_lookup</t>
        </is>
      </c>
      <c r="M172" s="8" t="inlineStr">
        <is>
          <t>TZ ARS — kompletní baterie nové</t>
        </is>
      </c>
      <c r="N172" s="20" t="inlineStr">
        <is>
          <t>#6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PSV-72 ZTI</t>
        </is>
      </c>
      <c r="C173" s="8" t="inlineStr">
        <is>
          <t>Akumulační zásobník TUV v suterénu</t>
        </is>
      </c>
      <c r="D173" s="20" t="inlineStr">
        <is>
          <t>732419411</t>
        </is>
      </c>
      <c r="E173" s="8" t="inlineStr">
        <is>
          <t>Akumulační zásobník TUV ~300 l v 1.PP napojený na topný systém (sporáková kamna + krb + elektrokotel) — nepřímotop</t>
        </is>
      </c>
      <c r="F173" s="20" t="inlineStr">
        <is>
          <t>ks</t>
        </is>
      </c>
      <c r="G173" s="23" t="n">
        <v>1</v>
      </c>
      <c r="H173" s="10" t="n"/>
      <c r="I173" s="10" t="n"/>
      <c r="J173" s="8" t="inlineStr">
        <is>
          <t>instalater_TUV_akumulacni_zasobnik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ARS dům §4 — kombi akumulační zásobník napojený na multivariantní topný systém</t>
        </is>
      </c>
      <c r="N173" s="20" t="inlineStr">
        <is>
          <t>#6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PSV-72 ZTI</t>
        </is>
      </c>
      <c r="C174" s="8" t="inlineStr">
        <is>
          <t>Elektrický bojler 3.NP</t>
        </is>
      </c>
      <c r="D174" s="20" t="inlineStr">
        <is>
          <t>732429211</t>
        </is>
      </c>
      <c r="E174" s="8" t="inlineStr">
        <is>
          <t>Elektrický bojler ~80 l v koupelně 3.NP (nezávislý zdroj pro samostatný byt)</t>
        </is>
      </c>
      <c r="F174" s="20" t="inlineStr">
        <is>
          <t>ks</t>
        </is>
      </c>
      <c r="G174" s="23" t="n">
        <v>1</v>
      </c>
      <c r="H174" s="10" t="n"/>
      <c r="I174" s="10" t="n"/>
      <c r="J174" s="8" t="inlineStr">
        <is>
          <t>vodar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ARS dům §4 — elektrický bojler v 3.NP koupelně, vyjasnění #6 odhad 80 l</t>
        </is>
      </c>
      <c r="N174" s="20" t="inlineStr">
        <is>
          <t>#6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PSV-73 Vytápění</t>
        </is>
      </c>
      <c r="C175" s="8" t="inlineStr">
        <is>
          <t>Sporáková kamna na tuhá paliva</t>
        </is>
      </c>
      <c r="D175" s="20" t="inlineStr">
        <is>
          <t>733241011</t>
        </is>
      </c>
      <c r="E175" s="8" t="inlineStr">
        <is>
          <t>Sporáková kamna na tuhá paliva ~10 kW s akumulačním zásobníkem TUV — dodávka</t>
        </is>
      </c>
      <c r="F175" s="20" t="inlineStr">
        <is>
          <t>ks</t>
        </is>
      </c>
      <c r="G175" s="23" t="n">
        <v>1</v>
      </c>
      <c r="H175" s="10" t="n"/>
      <c r="I175" s="10" t="n"/>
      <c r="J175" s="8" t="inlineStr">
        <is>
          <t>topenar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ARS dům §4 — primární zdroj 1.NP/2.NP, ~10 kW odhad standard RD</t>
        </is>
      </c>
      <c r="N175" s="20" t="inlineStr">
        <is>
          <t>#6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PSV-73 Vytápění</t>
        </is>
      </c>
      <c r="C176" s="8" t="inlineStr">
        <is>
          <t>Sporáková kamna — montáž</t>
        </is>
      </c>
      <c r="D176" s="20" t="inlineStr">
        <is>
          <t>733281011</t>
        </is>
      </c>
      <c r="E176" s="8" t="inlineStr">
        <is>
          <t>Sporáková kamna — montáž vč. napojení na komín + akumulační zásobník (cca 8 Nh)</t>
        </is>
      </c>
      <c r="F176" s="20" t="inlineStr">
        <is>
          <t>kpl</t>
        </is>
      </c>
      <c r="G176" s="23" t="n">
        <v>1</v>
      </c>
      <c r="H176" s="10" t="n"/>
      <c r="I176" s="10" t="n"/>
      <c r="J176" s="8" t="inlineStr">
        <is>
          <t>topenar</t>
        </is>
      </c>
      <c r="K176" s="24" t="n">
        <v>0.75</v>
      </c>
      <c r="L176" s="20" t="inlineStr">
        <is>
          <t>needs_production_lookup</t>
        </is>
      </c>
      <c r="M176" s="8" t="inlineStr">
        <is>
          <t>Standard montáž kamen s napojením na zásobník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PSV-73 Vytápění</t>
        </is>
      </c>
      <c r="C177" s="8" t="inlineStr">
        <is>
          <t>Elektrokotel 3.NP</t>
        </is>
      </c>
      <c r="D177" s="20" t="inlineStr">
        <is>
          <t>733131221</t>
        </is>
      </c>
      <c r="E177" s="8" t="inlineStr">
        <is>
          <t>Elektrokotel ~8 kW pro 3.NP samostatný byt — dodávka + montáž + napojení</t>
        </is>
      </c>
      <c r="F177" s="20" t="inlineStr">
        <is>
          <t>ks</t>
        </is>
      </c>
      <c r="G177" s="23" t="n">
        <v>1</v>
      </c>
      <c r="H177" s="10" t="n"/>
      <c r="I177" s="10" t="n"/>
      <c r="J177" s="8" t="inlineStr">
        <is>
          <t>topenar</t>
        </is>
      </c>
      <c r="K177" s="24" t="n">
        <v>0.85</v>
      </c>
      <c r="L177" s="20" t="inlineStr">
        <is>
          <t>needs_production_lookup</t>
        </is>
      </c>
      <c r="M177" s="8" t="inlineStr">
        <is>
          <t>TZ ARS dům §4 — 'Nově navržené 3.NP bude vytápěno elektrokotlem'; ~8 kW odhad</t>
        </is>
      </c>
      <c r="N177" s="20" t="inlineStr">
        <is>
          <t>#6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PSV-73 Vytápění</t>
        </is>
      </c>
      <c r="C178" s="8" t="inlineStr">
        <is>
          <t>Krb na tuhá paliva 3.NP</t>
        </is>
      </c>
      <c r="D178" s="20" t="inlineStr">
        <is>
          <t>733241011</t>
        </is>
      </c>
      <c r="E178" s="8" t="inlineStr">
        <is>
          <t>Krb na tuhá paliva v 3.NP ~6 kW — dodávka + montáž s napojením na samostatný komín</t>
        </is>
      </c>
      <c r="F178" s="20" t="inlineStr">
        <is>
          <t>ks</t>
        </is>
      </c>
      <c r="G178" s="23" t="n">
        <v>1</v>
      </c>
      <c r="H178" s="10" t="n"/>
      <c r="I178" s="10" t="n"/>
      <c r="J178" s="8" t="inlineStr">
        <is>
          <t>topenar</t>
        </is>
      </c>
      <c r="K178" s="24" t="n">
        <v>0.85</v>
      </c>
      <c r="L178" s="20" t="inlineStr">
        <is>
          <t>needs_production_lookup</t>
        </is>
      </c>
      <c r="M178" s="8" t="inlineStr">
        <is>
          <t>TZ ARS dům §4 — krb v 3.NP, ~6 kW odhad</t>
        </is>
      </c>
      <c r="N178" s="20" t="inlineStr">
        <is>
          <t>#6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PSV-73 Vytápění</t>
        </is>
      </c>
      <c r="C179" s="8" t="inlineStr">
        <is>
          <t>Multisplit TČ — venkovní jednotka</t>
        </is>
      </c>
      <c r="D179" s="20" t="inlineStr">
        <is>
          <t>733425211</t>
        </is>
      </c>
      <c r="E179" s="8" t="inlineStr">
        <is>
          <t>Multisplit tepelné čerpadlo vzduch-vzduch — 1× venkovní jednotka ~10 kW (silent mode hl. tlaku ≤49 dBA)</t>
        </is>
      </c>
      <c r="F179" s="20" t="inlineStr">
        <is>
          <t>ks</t>
        </is>
      </c>
      <c r="G179" s="23" t="n">
        <v>1</v>
      </c>
      <c r="H179" s="10" t="n"/>
      <c r="I179" s="10" t="n"/>
      <c r="J179" s="8" t="inlineStr">
        <is>
          <t>specialista_TC_multisplit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§4 — multisplit TČ s akustikou hl. tlaku ≤49 dBA, NV 272/2011</t>
        </is>
      </c>
      <c r="N179" s="20" t="inlineStr">
        <is>
          <t>#6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PSV-73 Vytápění</t>
        </is>
      </c>
      <c r="C180" s="8" t="inlineStr">
        <is>
          <t>Multisplit TČ — vnitřní jednotky</t>
        </is>
      </c>
      <c r="D180" s="20" t="inlineStr">
        <is>
          <t>733425221</t>
        </is>
      </c>
      <c r="E180" s="8" t="inlineStr">
        <is>
          <t>Multisplit TČ — 5× vnitřní jednotka v obytných místnostech (1.NP, 2.NP, 3.NP — chlazení + vytápění)</t>
        </is>
      </c>
      <c r="F180" s="20" t="inlineStr">
        <is>
          <t>ks</t>
        </is>
      </c>
      <c r="G180" s="23" t="n">
        <v>5</v>
      </c>
      <c r="H180" s="10" t="n"/>
      <c r="I180" s="10" t="n"/>
      <c r="J180" s="8" t="inlineStr">
        <is>
          <t>specialista_TC_multisplit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ARS dům §4 — vnitřní jednotky multisplit, vyjasnění #6 odhad 5 ks</t>
        </is>
      </c>
      <c r="N180" s="20" t="inlineStr">
        <is>
          <t>#6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PSV-73 Vytápění</t>
        </is>
      </c>
      <c r="C181" s="8" t="inlineStr">
        <is>
          <t>Revize komínu</t>
        </is>
      </c>
      <c r="D181" s="20" t="inlineStr">
        <is>
          <t>734262122</t>
        </is>
      </c>
      <c r="E181" s="8" t="inlineStr">
        <is>
          <t>Revize stávajícího komínu — kontrola, čištění, vystrojení vložkou nerez DN160 pro kamna + krb 3.NP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kominik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§4 — komín stávající, vystrojení vložkou pro kamna + krb</t>
        </is>
      </c>
      <c r="N181" s="20" t="inlineStr">
        <is>
          <t>#6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PSV-73 Vytápění</t>
        </is>
      </c>
      <c r="C182" s="8" t="inlineStr">
        <is>
          <t>Rozvody otopné soustavy</t>
        </is>
      </c>
      <c r="D182" s="20" t="inlineStr">
        <is>
          <t>733111021</t>
        </is>
      </c>
      <c r="E182" s="8" t="inlineStr">
        <is>
          <t>Rozvody otopné soustavy Cu/PEX k vnitřním jednotkám TČ + radiátorům pro doplňkové (cca 100 bm odhad)</t>
        </is>
      </c>
      <c r="F182" s="20" t="inlineStr">
        <is>
          <t>bm</t>
        </is>
      </c>
      <c r="G182" s="22" t="n">
        <v>100</v>
      </c>
      <c r="H182" s="10" t="n"/>
      <c r="I182" s="10" t="n"/>
      <c r="J182" s="8" t="inlineStr">
        <is>
          <t>topenar</t>
        </is>
      </c>
      <c r="K182" s="24" t="n">
        <v>0.75</v>
      </c>
      <c r="L182" s="20" t="inlineStr">
        <is>
          <t>needs_production_lookup</t>
        </is>
      </c>
      <c r="M182" s="8" t="inlineStr">
        <is>
          <t>TZ ARS dům §4 — rozvody otopné soustavy</t>
        </is>
      </c>
      <c r="N182" s="20" t="inlineStr">
        <is>
          <t>#6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BOZP</t>
        </is>
      </c>
      <c r="C183" s="8" t="inlineStr">
        <is>
          <t>Koordinace BOZP</t>
        </is>
      </c>
      <c r="D183" s="20" t="inlineStr">
        <is>
          <t>030091000</t>
        </is>
      </c>
      <c r="E183" s="8" t="inlineStr">
        <is>
          <t>Koordinátor BOZP na staveništi dle zákona 309/2006 Sb. — pro stavbu s více než jedním zhotovitelem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VRN_management</t>
        </is>
      </c>
      <c r="K183" s="24" t="n">
        <v>0.99</v>
      </c>
      <c r="L183" s="20" t="inlineStr">
        <is>
          <t>needs_production_lookup</t>
        </is>
      </c>
      <c r="M183" s="8" t="inlineStr">
        <is>
          <t>Zákon 309/2006 Sb. — povinný BOZP koordinátor pro vícezhotovitelskou stavbu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Dokumentace</t>
        </is>
      </c>
      <c r="C184" s="8" t="inlineStr">
        <is>
          <t>Předávací protokoly + DSP</t>
        </is>
      </c>
      <c r="D184" s="20" t="inlineStr">
        <is>
          <t>030151000</t>
        </is>
      </c>
      <c r="E184" s="8" t="inlineStr">
        <is>
          <t>Předávací protokoly + Dokumentace skutečného provedení (DSP) — sestavení, vázání, dodávka 2× tiskem + elektronická verze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0.99</v>
      </c>
      <c r="L184" s="20" t="inlineStr">
        <is>
          <t>needs_production_lookup</t>
        </is>
      </c>
      <c r="M184" s="8" t="inlineStr">
        <is>
          <t>Vyhláška 499/2006 Sb. + ČKAIT — DSP povinná pro kolaudaci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Doprava + odpad</t>
        </is>
      </c>
      <c r="C185" s="8" t="inlineStr">
        <is>
          <t>Kontejnery suti tříděné</t>
        </is>
      </c>
      <c r="D185" s="20" t="inlineStr">
        <is>
          <t>997013211</t>
        </is>
      </c>
      <c r="E185" s="8" t="inlineStr">
        <is>
          <t>Kontejnery na suť tříděnou velkoobjemové (beton/cihly, dřevo, kovy, EPS, sádra, směs) — pronájem + svozy</t>
        </is>
      </c>
      <c r="F185" s="20" t="inlineStr">
        <is>
          <t>ks</t>
        </is>
      </c>
      <c r="G185" s="23" t="n">
        <v>7</v>
      </c>
      <c r="H185" s="10" t="n"/>
      <c r="I185" s="10" t="n"/>
      <c r="J185" s="8" t="inlineStr">
        <is>
          <t>bourani_demolice</t>
        </is>
      </c>
      <c r="K185" s="24" t="n">
        <v>0.85</v>
      </c>
      <c r="L185" s="20" t="inlineStr">
        <is>
          <t>needs_production_lookup</t>
        </is>
      </c>
      <c r="M185" s="8" t="inlineStr">
        <is>
          <t>TZ B m.10.e: beton/cihly 46 t + dřevo 9 t + kovy 0.1 + EPS 0.1 + sádra 0.2 + směs 1.0</t>
        </is>
      </c>
      <c r="N185" s="20" t="inlineStr">
        <is>
          <t>#9, 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Doprava + odpad</t>
        </is>
      </c>
      <c r="C186" s="8" t="inlineStr">
        <is>
          <t>Doprava materiálu</t>
        </is>
      </c>
      <c r="D186" s="20" t="inlineStr">
        <is>
          <t>031031000</t>
        </is>
      </c>
      <c r="E186" s="8" t="inlineStr">
        <is>
          <t>Doprava materiálu na stavbu (centrální koordinace) — paušál ~2-3 % z PN materiál</t>
        </is>
      </c>
      <c r="F186" s="20" t="inlineStr">
        <is>
          <t>paušál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B4_productivity — standard doprava RD městská zástavba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Doprava + odpad</t>
        </is>
      </c>
      <c r="C187" s="8" t="inlineStr">
        <is>
          <t>Likvidace odpadů 56.9 t</t>
        </is>
      </c>
      <c r="D187" s="20" t="inlineStr">
        <is>
          <t>997013211</t>
        </is>
      </c>
      <c r="E187" s="8" t="inlineStr">
        <is>
          <t>Likvidace stavební suti dle vyhl. 8/2021 Sb. — skládkovné + recyklace + třídění (56.9 t celkem per TZ B m.10.e)</t>
        </is>
      </c>
      <c r="F187" s="20" t="inlineStr">
        <is>
          <t>t</t>
        </is>
      </c>
      <c r="G187" s="22" t="n">
        <v>56.9</v>
      </c>
      <c r="H187" s="10" t="n"/>
      <c r="I187" s="10" t="n"/>
      <c r="J187" s="8" t="inlineStr">
        <is>
          <t>bourani_demolice</t>
        </is>
      </c>
      <c r="K187" s="24" t="n">
        <v>0.85</v>
      </c>
      <c r="L187" s="20" t="inlineStr">
        <is>
          <t>needs_production_lookup</t>
        </is>
      </c>
      <c r="M187" s="8" t="inlineStr">
        <is>
          <t>TZ B m.10.e bilance odpadů celkem dům</t>
        </is>
      </c>
      <c r="N187" s="20" t="inlineStr">
        <is>
          <t>#9, 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Geodet</t>
        </is>
      </c>
      <c r="C188" s="8" t="inlineStr">
        <is>
          <t>Geodetické zaměření před + po realizaci</t>
        </is>
      </c>
      <c r="D188" s="20" t="inlineStr">
        <is>
          <t>030141000</t>
        </is>
      </c>
      <c r="E188" s="8" t="inlineStr">
        <is>
          <t>Geodetické zaměření před realizací (verifikace polohopis + výškopis) + po dokončení (zaměření skutečného provedení pro kolaudaci)</t>
        </is>
      </c>
      <c r="F188" s="20" t="inlineStr">
        <is>
          <t>kpl</t>
        </is>
      </c>
      <c r="G188" s="23" t="n">
        <v>2</v>
      </c>
      <c r="H188" s="10" t="n"/>
      <c r="I188" s="10" t="n"/>
      <c r="J188" s="8" t="inlineStr">
        <is>
          <t>geodet</t>
        </is>
      </c>
      <c r="K188" s="24" t="n">
        <v>0.99</v>
      </c>
      <c r="L188" s="20" t="inlineStr">
        <is>
          <t>needs_production_lookup</t>
        </is>
      </c>
      <c r="M188" s="8" t="inlineStr">
        <is>
          <t>Standard — geodet před+po pro každou stavbu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n"/>
    </row>
    <row r="189">
      <c r="A189" s="20" t="n">
        <v>188</v>
      </c>
      <c r="B189" s="8" t="inlineStr">
        <is>
          <t>VRN — Kolaudace</t>
        </is>
      </c>
      <c r="C189" s="8" t="inlineStr">
        <is>
          <t>Kolaudační řízení</t>
        </is>
      </c>
      <c r="D189" s="20" t="inlineStr">
        <is>
          <t>030171000</t>
        </is>
      </c>
      <c r="E189" s="8" t="inlineStr">
        <is>
          <t>Kolaudační řízení — paušál (správní poplatky + součinnost) dle zákona 183/2006 Sb.</t>
        </is>
      </c>
      <c r="F189" s="20" t="inlineStr">
        <is>
          <t>paušál</t>
        </is>
      </c>
      <c r="G189" s="23" t="n">
        <v>1</v>
      </c>
      <c r="H189" s="10" t="n"/>
      <c r="I189" s="10" t="n"/>
      <c r="J189" s="8" t="inlineStr">
        <is>
          <t>VRN_management</t>
        </is>
      </c>
      <c r="K189" s="24" t="n">
        <v>0.99</v>
      </c>
      <c r="L189" s="20" t="inlineStr">
        <is>
          <t>needs_production_lookup</t>
        </is>
      </c>
      <c r="M189" s="8" t="inlineStr">
        <is>
          <t>Zákon 183/2006 Sb. + vyhl. 499/2006 Sb.</t>
        </is>
      </c>
      <c r="N189" s="20" t="inlineStr">
        <is>
          <t>—</t>
        </is>
      </c>
      <c r="O189" s="26" t="inlineStr">
        <is>
          <t>ANO</t>
        </is>
      </c>
      <c r="P189" s="41" t="n"/>
      <c r="Q189" s="41" t="n"/>
    </row>
    <row r="190">
      <c r="A190" s="20" t="n">
        <v>189</v>
      </c>
      <c r="B190" s="8" t="inlineStr">
        <is>
          <t>VRN — Lešení</t>
        </is>
      </c>
      <c r="C190" s="8" t="inlineStr">
        <is>
          <t>Fasádní lešení (ETICS + krov + klempířina)</t>
        </is>
      </c>
      <c r="D190" s="20" t="inlineStr">
        <is>
          <t>—</t>
        </is>
      </c>
      <c r="E190" s="8" t="inlineStr">
        <is>
          <t>Fasádní lešení trubkové/rámové vč. montáže + pronájmu + demontáže — pro provedení ETICS fasády, krovu a klempířiny po obvodu domu (výška 13 m)</t>
        </is>
      </c>
      <c r="F190" s="20" t="inlineStr">
        <is>
          <t>m²</t>
        </is>
      </c>
      <c r="G190" s="22" t="n">
        <v>503.1</v>
      </c>
      <c r="H190" s="10" t="n"/>
      <c r="I190" s="10" t="n"/>
      <c r="J190" s="8" t="inlineStr">
        <is>
          <t>VRN_management</t>
        </is>
      </c>
      <c r="K190" s="24" t="n">
        <v>0.8</v>
      </c>
      <c r="L190" s="20" t="inlineStr">
        <is>
          <t>needs_production_lookup</t>
        </is>
      </c>
      <c r="M190" s="8" t="inlineStr">
        <is>
          <t>anchor checklist PM02 — technical necessity (ETICS 276.7 m² nelze provést bez lešení, 941xxx URS família) + DXF obvod 38.7 m + řez výška 13 m</t>
        </is>
      </c>
      <c r="N190" s="20" t="inlineStr">
        <is>
          <t>—</t>
        </is>
      </c>
      <c r="O190" s="26" t="inlineStr">
        <is>
          <t>ANO</t>
        </is>
      </c>
      <c r="P190" s="41" t="n"/>
      <c r="Q190" s="41" t="inlineStr">
        <is>
          <t>ANCHOR_CHECKLIST_PM02</t>
        </is>
      </c>
    </row>
    <row r="191">
      <c r="A191" s="20" t="n">
        <v>190</v>
      </c>
      <c r="B191" s="8" t="inlineStr">
        <is>
          <t>VRN — Pojištění + zábory</t>
        </is>
      </c>
      <c r="C191" s="8" t="inlineStr">
        <is>
          <t>Pojištění stavby (montážní + odpovědnostní)</t>
        </is>
      </c>
      <c r="D191" s="20" t="inlineStr">
        <is>
          <t>030081000</t>
        </is>
      </c>
      <c r="E191" s="8" t="inlineStr">
        <is>
          <t>Montážní pojištění stavby (CAR) + pojištění odpovědnosti za škodu (zhotovitel) — paušál cca 0.3-0.5 % z PN</t>
        </is>
      </c>
      <c r="F191" s="20" t="inlineStr">
        <is>
          <t>paušál</t>
        </is>
      </c>
      <c r="G191" s="23" t="n">
        <v>1</v>
      </c>
      <c r="H191" s="10" t="n"/>
      <c r="I191" s="10" t="n"/>
      <c r="J191" s="8" t="inlineStr">
        <is>
          <t>VRN_management</t>
        </is>
      </c>
      <c r="K191" s="24" t="n">
        <v>0.99</v>
      </c>
      <c r="L191" s="20" t="inlineStr">
        <is>
          <t>needs_production_lookup</t>
        </is>
      </c>
      <c r="M191" s="8" t="inlineStr">
        <is>
          <t>Standard zhotovitel — pojistná povinnost</t>
        </is>
      </c>
      <c r="N191" s="20" t="inlineStr">
        <is>
          <t>#10</t>
        </is>
      </c>
      <c r="O191" s="26" t="inlineStr">
        <is>
          <t>ANO</t>
        </is>
      </c>
      <c r="P191" s="41" t="n"/>
      <c r="Q191" s="41" t="n"/>
    </row>
    <row r="192">
      <c r="A192" s="20" t="n">
        <v>191</v>
      </c>
      <c r="B192" s="8" t="inlineStr">
        <is>
          <t>VRN — Pojištění + zábory</t>
        </is>
      </c>
      <c r="C192" s="8" t="inlineStr">
        <is>
          <t>Krátkodobé zábory ul. Fibichova</t>
        </is>
      </c>
      <c r="D192" s="20" t="inlineStr">
        <is>
          <t>030083000</t>
        </is>
      </c>
      <c r="E192" s="8" t="inlineStr">
        <is>
          <t>Krátkodobé zábory ulice Fibichova pro materiál a kontejnery (povolení MU Jáchymov + DI) — odhad 30 dnů kumulativně</t>
        </is>
      </c>
      <c r="F192" s="20" t="inlineStr">
        <is>
          <t>kpl</t>
        </is>
      </c>
      <c r="G192" s="23" t="n">
        <v>1</v>
      </c>
      <c r="H192" s="10" t="n"/>
      <c r="I192" s="10" t="n"/>
      <c r="J192" s="8" t="inlineStr">
        <is>
          <t>VRN_management</t>
        </is>
      </c>
      <c r="K192" s="24" t="n">
        <v>0.75</v>
      </c>
      <c r="L192" s="20" t="inlineStr">
        <is>
          <t>needs_production_lookup</t>
        </is>
      </c>
      <c r="M192" s="8" t="inlineStr">
        <is>
          <t>TZ B m.10 + situace — řadovka ul. Fibichova</t>
        </is>
      </c>
      <c r="N192" s="20" t="inlineStr">
        <is>
          <t>#10</t>
        </is>
      </c>
      <c r="O192" s="26" t="inlineStr">
        <is>
          <t>ANO</t>
        </is>
      </c>
      <c r="P192" s="41" t="n"/>
      <c r="Q192" s="41" t="n"/>
    </row>
    <row r="193">
      <c r="A193" s="20" t="n">
        <v>192</v>
      </c>
      <c r="B193" s="8" t="inlineStr">
        <is>
          <t>VRN — Průzkumy</t>
        </is>
      </c>
      <c r="C193" s="8" t="inlineStr">
        <is>
          <t>Mykologický průzkum dřeva při bourání</t>
        </is>
      </c>
      <c r="D193" s="20" t="inlineStr">
        <is>
          <t>030131000</t>
        </is>
      </c>
      <c r="E193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93" s="20" t="inlineStr">
        <is>
          <t>kpl</t>
        </is>
      </c>
      <c r="G193" s="23" t="n">
        <v>1</v>
      </c>
      <c r="H193" s="10" t="n"/>
      <c r="I193" s="10" t="n"/>
      <c r="J193" s="8" t="inlineStr">
        <is>
          <t>mykolog</t>
        </is>
      </c>
      <c r="K193" s="24" t="n">
        <v>0.85</v>
      </c>
      <c r="L193" s="20" t="inlineStr">
        <is>
          <t>needs_production_lookup</t>
        </is>
      </c>
      <c r="M193" s="8" t="inlineStr">
        <is>
          <t>TZ ARS dům §3.2.3 + POZN.2.05 z půdorysů návrh + řez A-A návrh (explicit dřevokazný hmyz scope per drawing wording)</t>
        </is>
      </c>
      <c r="N193" s="20" t="inlineStr">
        <is>
          <t>#10</t>
        </is>
      </c>
      <c r="O193" s="26" t="inlineStr">
        <is>
          <t>ANO</t>
        </is>
      </c>
      <c r="P193" s="41" t="n"/>
      <c r="Q193" s="41" t="inlineStr">
        <is>
          <t>PER_DRAWING_ENRICHMENT_POZN_2_05</t>
        </is>
      </c>
    </row>
    <row r="194">
      <c r="A194" s="20" t="n">
        <v>193</v>
      </c>
      <c r="B194" s="8" t="inlineStr">
        <is>
          <t>VRN — Průzkumy</t>
        </is>
      </c>
      <c r="C194" s="8" t="inlineStr">
        <is>
          <t>Azbestový průzkum podrobný před demolicí</t>
        </is>
      </c>
      <c r="D194" s="20" t="inlineStr">
        <is>
          <t>030133000</t>
        </is>
      </c>
      <c r="E194" s="8" t="inlineStr">
        <is>
          <t>Azbestový průzkum podrobný před demolicí — laboratorní vzorky a posudek (B kap. m.7.a předběžně negativní, ale podrobný před bouráním povinný)</t>
        </is>
      </c>
      <c r="F194" s="20" t="inlineStr">
        <is>
          <t>kpl</t>
        </is>
      </c>
      <c r="G194" s="23" t="n">
        <v>1</v>
      </c>
      <c r="H194" s="10" t="n"/>
      <c r="I194" s="10" t="n"/>
      <c r="J194" s="8" t="inlineStr">
        <is>
          <t>azbestovy_specialista</t>
        </is>
      </c>
      <c r="K194" s="24" t="n">
        <v>0.85</v>
      </c>
      <c r="L194" s="20" t="inlineStr">
        <is>
          <t>needs_production_lookup</t>
        </is>
      </c>
      <c r="M194" s="8" t="inlineStr">
        <is>
          <t>TZ B m.7.a + ARS §3.2 — azbestový průzkum povinný před demolicí</t>
        </is>
      </c>
      <c r="N194" s="20" t="inlineStr">
        <is>
          <t>#10</t>
        </is>
      </c>
      <c r="O194" s="26" t="inlineStr">
        <is>
          <t>ANO</t>
        </is>
      </c>
      <c r="P194" s="41" t="n"/>
      <c r="Q194" s="41" t="n"/>
    </row>
    <row r="195">
      <c r="A195" s="20" t="n">
        <v>194</v>
      </c>
      <c r="B195" s="8" t="inlineStr">
        <is>
          <t>VRN — Přesun hmot</t>
        </is>
      </c>
      <c r="C195" s="8" t="inlineStr">
        <is>
          <t>Přesun hmot pro budovu</t>
        </is>
      </c>
      <c r="D195" s="20" t="inlineStr">
        <is>
          <t>—</t>
        </is>
      </c>
      <c r="E195" s="8" t="inlineStr">
        <is>
          <t>Přesun hmot pro budovu — vnitrostaveništní vertikální + horizontální doprava materiálu a hmot (rekonstrukce vícepodlažní RD + nástavba 3.NP)</t>
        </is>
      </c>
      <c r="F195" s="20" t="inlineStr">
        <is>
          <t>t</t>
        </is>
      </c>
      <c r="G195" s="22" t="n">
        <v>0</v>
      </c>
      <c r="H195" s="10" t="n"/>
      <c r="I195" s="10" t="n"/>
      <c r="J195" s="8" t="inlineStr">
        <is>
          <t>VRN_management</t>
        </is>
      </c>
      <c r="K195" s="24" t="n">
        <v>0.6</v>
      </c>
      <c r="L195" s="20" t="inlineStr">
        <is>
          <t>needs_production_lookup</t>
        </is>
      </c>
      <c r="M195" s="8" t="inlineStr">
        <is>
          <t>anchor checklist PM01 — technical necessity (povinná položka každého rozpočtu, 998xxx URS família)</t>
        </is>
      </c>
      <c r="N195" s="20" t="inlineStr">
        <is>
          <t>—</t>
        </is>
      </c>
      <c r="O195" s="26" t="inlineStr">
        <is>
          <t>ANO</t>
        </is>
      </c>
      <c r="P195" s="41" t="n"/>
      <c r="Q195" s="41" t="inlineStr">
        <is>
          <t>ANCHOR_CHECKLIST_PM01</t>
        </is>
      </c>
    </row>
    <row r="196">
      <c r="A196" s="20" t="n">
        <v>195</v>
      </c>
      <c r="B196" s="8" t="inlineStr">
        <is>
          <t>VRN — Revize</t>
        </is>
      </c>
      <c r="C196" s="8" t="inlineStr">
        <is>
          <t>Revize hydrantu vnějšího</t>
        </is>
      </c>
      <c r="D196" s="20" t="inlineStr">
        <is>
          <t>030161000</t>
        </is>
      </c>
      <c r="E196" s="8" t="inlineStr">
        <is>
          <t>Revize vnějšího hydrantu pro požární zabezpečení (DN min. 80, vzdálenost 100 m dle TZ PBŘ) — periodická kontrola</t>
        </is>
      </c>
      <c r="F196" s="20" t="inlineStr">
        <is>
          <t>kpl</t>
        </is>
      </c>
      <c r="G196" s="23" t="n">
        <v>1</v>
      </c>
      <c r="H196" s="10" t="n"/>
      <c r="I196" s="10" t="n"/>
      <c r="J196" s="8" t="inlineStr">
        <is>
          <t>revize_specialista</t>
        </is>
      </c>
      <c r="K196" s="24" t="n">
        <v>0.85</v>
      </c>
      <c r="L196" s="20" t="inlineStr">
        <is>
          <t>needs_production_lookup</t>
        </is>
      </c>
      <c r="M196" s="8" t="inlineStr">
        <is>
          <t>TZ PBŘ dům — vnější odběrné místo požární vody, revize před kolaudací</t>
        </is>
      </c>
      <c r="N196" s="20" t="inlineStr">
        <is>
          <t>—</t>
        </is>
      </c>
      <c r="O196" s="26" t="inlineStr">
        <is>
          <t>ANO</t>
        </is>
      </c>
      <c r="P196" s="41" t="n"/>
      <c r="Q196" s="41" t="n"/>
    </row>
    <row r="197">
      <c r="A197" s="20" t="n">
        <v>196</v>
      </c>
      <c r="B197" s="8" t="inlineStr">
        <is>
          <t>VRN — Zařízení staveniště</t>
        </is>
      </c>
      <c r="C197" s="8" t="inlineStr">
        <is>
          <t>Buňky kancelář + sociální</t>
        </is>
      </c>
      <c r="D197" s="20" t="inlineStr">
        <is>
          <t>030011000</t>
        </is>
      </c>
      <c r="E197" s="8" t="inlineStr">
        <is>
          <t>Zařízení staveniště — buňka kancelář + sociální buňka (WC + šatna), pronájem ~8 měsíců</t>
        </is>
      </c>
      <c r="F197" s="20" t="inlineStr">
        <is>
          <t>kpl-měs</t>
        </is>
      </c>
      <c r="G197" s="23" t="n">
        <v>8</v>
      </c>
      <c r="H197" s="10" t="n"/>
      <c r="I197" s="10" t="n"/>
      <c r="J197" s="8" t="inlineStr">
        <is>
          <t>VRN_management</t>
        </is>
      </c>
      <c r="K197" s="24" t="n">
        <v>0.8</v>
      </c>
      <c r="L197" s="20" t="inlineStr">
        <is>
          <t>needs_production_lookup</t>
        </is>
      </c>
      <c r="M197" s="8" t="inlineStr">
        <is>
          <t>TZ B m.1.m realizace 2026-2027 + standard staveniště RD městská zástavba</t>
        </is>
      </c>
      <c r="N197" s="20" t="inlineStr">
        <is>
          <t>#10</t>
        </is>
      </c>
      <c r="O197" s="26" t="inlineStr">
        <is>
          <t>ANO</t>
        </is>
      </c>
      <c r="P197" s="41" t="n"/>
      <c r="Q197" s="41" t="n"/>
    </row>
    <row r="198">
      <c r="A198" s="20" t="n">
        <v>197</v>
      </c>
      <c r="B198" s="8" t="inlineStr">
        <is>
          <t>VRN — Zařízení staveniště</t>
        </is>
      </c>
      <c r="C198" s="8" t="inlineStr">
        <is>
          <t>Mobilní WC</t>
        </is>
      </c>
      <c r="D198" s="20" t="inlineStr">
        <is>
          <t>030013000</t>
        </is>
      </c>
      <c r="E198" s="8" t="inlineStr">
        <is>
          <t>Mobilní chemické WC TOI TOI pro pracovníky — pronájem ~8 měsíců</t>
        </is>
      </c>
      <c r="F198" s="20" t="inlineStr">
        <is>
          <t>ks-měs</t>
        </is>
      </c>
      <c r="G198" s="23" t="n">
        <v>8</v>
      </c>
      <c r="H198" s="10" t="n"/>
      <c r="I198" s="10" t="n"/>
      <c r="J198" s="8" t="inlineStr">
        <is>
          <t>VRN_management</t>
        </is>
      </c>
      <c r="K198" s="24" t="n">
        <v>0.8</v>
      </c>
      <c r="L198" s="20" t="inlineStr">
        <is>
          <t>needs_production_lookup</t>
        </is>
      </c>
      <c r="M198" s="8" t="inlineStr">
        <is>
          <t>BOZP — mobilní WC povinné pro stavbu RD</t>
        </is>
      </c>
      <c r="N198" s="20" t="inlineStr">
        <is>
          <t>#10</t>
        </is>
      </c>
      <c r="O198" s="26" t="inlineStr">
        <is>
          <t>ANO</t>
        </is>
      </c>
      <c r="P198" s="41" t="n"/>
      <c r="Q198" s="41" t="n"/>
    </row>
    <row r="199">
      <c r="A199" s="20" t="n">
        <v>198</v>
      </c>
      <c r="B199" s="8" t="inlineStr">
        <is>
          <t>VRN — Zařízení staveniště</t>
        </is>
      </c>
      <c r="C199" s="8" t="inlineStr">
        <is>
          <t>El. odběr + vodovodní odběr stavby</t>
        </is>
      </c>
      <c r="D199" s="20" t="inlineStr">
        <is>
          <t>031011000</t>
        </is>
      </c>
      <c r="E199" s="8" t="inlineStr">
        <is>
          <t>El. odběr stavby (zřízení staveništního rozvaděče + měřič) + vodovodní odběr (zřízení staveništní přípojky + vodoměr) — ~8 měsíců</t>
        </is>
      </c>
      <c r="F199" s="20" t="inlineStr">
        <is>
          <t>kpl</t>
        </is>
      </c>
      <c r="G199" s="23" t="n">
        <v>1</v>
      </c>
      <c r="H199" s="10" t="n"/>
      <c r="I199" s="10" t="n"/>
      <c r="J199" s="8" t="inlineStr">
        <is>
          <t>VRN_management</t>
        </is>
      </c>
      <c r="K199" s="24" t="n">
        <v>0.8</v>
      </c>
      <c r="L199" s="20" t="inlineStr">
        <is>
          <t>needs_production_lookup</t>
        </is>
      </c>
      <c r="M199" s="8" t="inlineStr">
        <is>
          <t>Standard staveniště — el. + voda zřízení a odběr po dobu stavby</t>
        </is>
      </c>
      <c r="N199" s="20" t="inlineStr">
        <is>
          <t>#10</t>
        </is>
      </c>
      <c r="O199" s="26" t="inlineStr">
        <is>
          <t>ANO</t>
        </is>
      </c>
      <c r="P199" s="41" t="n"/>
      <c r="Q199" s="41" t="n"/>
    </row>
    <row r="200">
      <c r="A200" s="20" t="n">
        <v>199</v>
      </c>
      <c r="B200" s="8" t="inlineStr">
        <is>
          <t>VRN — Zařízení staveniště</t>
        </is>
      </c>
      <c r="C200" s="8" t="inlineStr">
        <is>
          <t>Voda staveniště</t>
        </is>
      </c>
      <c r="D200" s="20" t="inlineStr">
        <is>
          <t>012103101</t>
        </is>
      </c>
      <c r="E200" s="8" t="inlineStr">
        <is>
          <t>Voda staveniště — napojení na stávající vodovodní přípojku, dočasné rozvody na staveništi (mísení malt, čištění, soc. zázemí), paušál pro dobu výstavby ~18 měs.</t>
        </is>
      </c>
      <c r="F200" s="20" t="inlineStr">
        <is>
          <t>kpl</t>
        </is>
      </c>
      <c r="G200" s="23" t="n">
        <v>1</v>
      </c>
      <c r="H200" s="10" t="n"/>
      <c r="I200" s="10" t="n"/>
      <c r="J200" s="8" t="inlineStr">
        <is>
          <t>VRN_management</t>
        </is>
      </c>
      <c r="K200" s="24" t="n">
        <v>0.9</v>
      </c>
      <c r="L200" s="20" t="inlineStr">
        <is>
          <t>needs_production_lookup</t>
        </is>
      </c>
      <c r="M200" s="8" t="inlineStr">
        <is>
          <t>TZ B Souhrnná m.5 — 'Stávající vodovodní přípojka z veřejného vodovodu'</t>
        </is>
      </c>
      <c r="N200" s="20" t="inlineStr">
        <is>
          <t>—</t>
        </is>
      </c>
      <c r="O200" s="26" t="inlineStr">
        <is>
          <t>ANO</t>
        </is>
      </c>
      <c r="P200" s="41" t="n"/>
      <c r="Q200" s="41" t="inlineStr">
        <is>
          <t>GAP_003</t>
        </is>
      </c>
    </row>
    <row r="201">
      <c r="A201" s="20" t="n">
        <v>200</v>
      </c>
      <c r="B201" s="8" t="inlineStr">
        <is>
          <t>M-21 ELI silnoproud</t>
        </is>
      </c>
      <c r="C201" s="8" t="inlineStr">
        <is>
          <t>Hlavní vypínač TOTAL STOP + požární značení</t>
        </is>
      </c>
      <c r="D201" s="20" t="inlineStr">
        <is>
          <t>—</t>
        </is>
      </c>
      <c r="E201" s="8" t="inlineStr">
        <is>
          <t>Hlavní vypínač elektrické energie TOTAL STOP + požární značení rozvodného zařízení a uzávěrů (voda/elektro)</t>
        </is>
      </c>
      <c r="F201" s="20" t="inlineStr">
        <is>
          <t>soubor</t>
        </is>
      </c>
      <c r="G201" s="23" t="n">
        <v>1</v>
      </c>
      <c r="H201" s="10" t="n"/>
      <c r="I201" s="10" t="n"/>
      <c r="J201" s="8" t="inlineStr">
        <is>
          <t>elektrikar</t>
        </is>
      </c>
      <c r="K201" s="24" t="n">
        <v>0.8</v>
      </c>
      <c r="L201" s="20" t="inlineStr">
        <is>
          <t>needs_production_lookup</t>
        </is>
      </c>
      <c r="M201" s="8" t="inlineStr">
        <is>
          <t>PBŘ D.3 §16.05/16.06</t>
        </is>
      </c>
      <c r="N201" s="20" t="inlineStr">
        <is>
          <t>—</t>
        </is>
      </c>
      <c r="O201" s="26" t="inlineStr">
        <is>
          <t>ANO</t>
        </is>
      </c>
      <c r="P201" s="41" t="inlineStr"/>
      <c r="Q201" s="41" t="inlineStr">
        <is>
          <t>DODATEK_PBR_GAPS_2026-06-01</t>
        </is>
      </c>
    </row>
    <row r="202">
      <c r="A202" s="20" t="n">
        <v>201</v>
      </c>
      <c r="B202" s="8" t="inlineStr">
        <is>
          <t>M-24 VZT</t>
        </is>
      </c>
      <c r="C202" s="8" t="inlineStr">
        <is>
          <t>Lokální odtah digestoří kuchyní</t>
        </is>
      </c>
      <c r="D202" s="20" t="inlineStr">
        <is>
          <t>—</t>
        </is>
      </c>
      <c r="E202" s="8" t="inlineStr">
        <is>
          <t>Lokální odtah digestoří kuchyní (1.NP + 3.NP) — dodávka + montáž digestoře + prostup fasádou/střechou + zpětná klapka</t>
        </is>
      </c>
      <c r="F202" s="20" t="inlineStr">
        <is>
          <t>ks</t>
        </is>
      </c>
      <c r="G202" s="23" t="n">
        <v>2</v>
      </c>
      <c r="H202" s="10" t="n"/>
      <c r="I202" s="10" t="n"/>
      <c r="J202" s="8" t="inlineStr">
        <is>
          <t>vzduchotechnik</t>
        </is>
      </c>
      <c r="K202" s="24" t="n">
        <v>0.7</v>
      </c>
      <c r="L202" s="20" t="inlineStr">
        <is>
          <t>needs_production_lookup</t>
        </is>
      </c>
      <c r="M202" s="8" t="inlineStr">
        <is>
          <t>B zpráva — VZT: obytné místnosti větrání okny, kuchyně lokální odtah digestoří</t>
        </is>
      </c>
      <c r="N202" s="20" t="inlineStr">
        <is>
          <t>—</t>
        </is>
      </c>
      <c r="O202" s="26" t="inlineStr">
        <is>
          <t>ANO</t>
        </is>
      </c>
      <c r="P202" s="41" t="inlineStr"/>
      <c r="Q202" s="41" t="inlineStr">
        <is>
          <t>DODATEK_PBR_GAPS_2026-06-01</t>
        </is>
      </c>
    </row>
  </sheetData>
  <autoFilter ref="A1:O202"/>
  <conditionalFormatting sqref="K2:K202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2.64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inlineStr">
        <is>
          <t>W1_PODLAHA_17.6_2026-06-01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1.76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W1_PODLAHA_17.6_2026-06-01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18</v>
      </c>
      <c r="H14" s="10" t="n"/>
      <c r="I14" s="10" t="n"/>
      <c r="J14" s="8" t="inlineStr">
        <is>
          <t>prefa_bloky_specialista</t>
        </is>
      </c>
      <c r="K14" s="24" t="n">
        <v>0.82</v>
      </c>
      <c r="L14" s="20" t="inlineStr">
        <is>
          <t>needs_production_lookup</t>
        </is>
      </c>
      <c r="M14" s="8" t="inlineStr">
        <is>
          <t>TZ statika sklad §[19] H-BLOK Standard Herkul (Obrnice). Rozměr bloku NEověřen z tech. listu — odhad 1800×600 mm z web-analogie (BB6 stejný gabarit). Plocha líce 19.05 m² je measured (řez A-A); count 18 ks je estimate závislý na rozměru bloku.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inlineStr">
        <is>
          <t>HBLOK_ROZMERY_ESTIMATE_2026-06-01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HSV-3 Svislé konstrukce</t>
        </is>
      </c>
      <c r="C17" s="8" t="inlineStr">
        <is>
          <t>Hydroizolace + protiradon stěn pod terénem (S03a+S04)</t>
        </is>
      </c>
      <c r="D17" s="20" t="inlineStr">
        <is>
          <t>—</t>
        </is>
      </c>
      <c r="E17" s="8" t="inlineStr">
        <is>
          <t>Hydroizolace + protiradonová ochrana obvodových stěn (S03a) + opěrné stěny (S04) pod úrovní terénu — asfaltová penetrace + 2× HI a protiradonový pás z modif. asfaltu 2×4 mm</t>
        </is>
      </c>
      <c r="F17" s="20" t="inlineStr">
        <is>
          <t>m²</t>
        </is>
      </c>
      <c r="G17" s="22" t="n">
        <v>33</v>
      </c>
      <c r="H17" s="10" t="n"/>
      <c r="I17" s="10" t="n"/>
      <c r="J17" s="8" t="inlineStr">
        <is>
          <t>izolater_HI</t>
        </is>
      </c>
      <c r="K17" s="24" t="n">
        <v>0.5</v>
      </c>
      <c r="L17" s="20" t="inlineStr">
        <is>
          <t>needs_production_lookup</t>
        </is>
      </c>
      <c r="M17" s="8" t="inlineStr">
        <is>
          <t>skladba S03a+S04 řez D.1.1.03/04 + legenda materiálu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S03a_sklad, S04_sklad</t>
        </is>
      </c>
      <c r="Q17" s="41" t="inlineStr">
        <is>
          <t>SKLAD_WALL_HI_2026-06-01</t>
        </is>
      </c>
    </row>
    <row r="18">
      <c r="A18" s="20" t="n">
        <v>17</v>
      </c>
      <c r="B18" s="8" t="inlineStr">
        <is>
          <t>HSV-3 Svislé konstrukce</t>
        </is>
      </c>
      <c r="C18" s="8" t="inlineStr">
        <is>
          <t>Drenáž nopová folie stěn pod terénem (S03a+S04)</t>
        </is>
      </c>
      <c r="D18" s="20" t="inlineStr">
        <is>
          <t>—</t>
        </is>
      </c>
      <c r="E18" s="8" t="inlineStr">
        <is>
          <t>Drenážní vrstva — nopová folie tl. 20 mm na obvodové stěny (S03a) + opěrnou stěnu (S04) pod úrovní terénu</t>
        </is>
      </c>
      <c r="F18" s="20" t="inlineStr">
        <is>
          <t>m²</t>
        </is>
      </c>
      <c r="G18" s="22" t="n">
        <v>33</v>
      </c>
      <c r="H18" s="10" t="n"/>
      <c r="I18" s="10" t="n"/>
      <c r="J18" s="8" t="inlineStr">
        <is>
          <t>izolater_HI</t>
        </is>
      </c>
      <c r="K18" s="24" t="n">
        <v>0.5</v>
      </c>
      <c r="L18" s="20" t="inlineStr">
        <is>
          <t>needs_production_lookup</t>
        </is>
      </c>
      <c r="M18" s="8" t="inlineStr">
        <is>
          <t>skladba S03a+S04 řez D.1.1.03/04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S03a_sklad, S04_sklad</t>
        </is>
      </c>
      <c r="Q18" s="41" t="inlineStr">
        <is>
          <t>SKLAD_WALL_HI_2026-06-01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Dřevěné stropnice skladu</t>
        </is>
      </c>
      <c r="D19" s="20" t="inlineStr">
        <is>
          <t>762341110</t>
        </is>
      </c>
      <c r="E19" s="8" t="inlineStr">
        <is>
          <t>Dřevěné stropnice 100/160 mm á 625 mm primární zastřešení skladu — rezivo C24 fungicidní</t>
        </is>
      </c>
      <c r="F19" s="20" t="inlineStr">
        <is>
          <t>bm</t>
        </is>
      </c>
      <c r="G19" s="22" t="n">
        <v>36.74</v>
      </c>
      <c r="H19" s="10" t="n"/>
      <c r="I19" s="10" t="n"/>
      <c r="J19" s="8" t="inlineStr">
        <is>
          <t>krov_tesarsky_kompletni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+ DXF DIMENSION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inlineStr">
        <is>
          <t>DS3_STROPNICE_11_2026-06-01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Prkenný záklop stropu skladu</t>
        </is>
      </c>
      <c r="D20" s="20" t="inlineStr">
        <is>
          <t>762331110</t>
        </is>
      </c>
      <c r="E20" s="8" t="inlineStr">
        <is>
          <t>Prkenný záklop stropnic skladu tl. 20 mm + impregnace</t>
        </is>
      </c>
      <c r="F20" s="20" t="inlineStr">
        <is>
          <t>m²</t>
        </is>
      </c>
      <c r="G20" s="22" t="n">
        <v>21.209</v>
      </c>
      <c r="H20" s="10" t="n"/>
      <c r="I20" s="10" t="n"/>
      <c r="J20" s="8" t="inlineStr">
        <is>
          <t>krov_tesarsky_kompletni</t>
        </is>
      </c>
      <c r="K20" s="24" t="n">
        <v>0.95</v>
      </c>
      <c r="L20" s="20" t="inlineStr">
        <is>
          <t>needs_production_lookup</t>
        </is>
      </c>
      <c r="M20" s="8" t="inlineStr">
        <is>
          <t>TZ statika sklad §4 + DXF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Hydroizolační střešní souvrství skladu</t>
        </is>
      </c>
      <c r="D21" s="20" t="inlineStr">
        <is>
          <t>712331101</t>
        </is>
      </c>
      <c r="E21" s="8" t="inlineStr">
        <is>
          <t>Hydroizolační střešní souvrství skladu (modifikovaný asfaltový pás SBS + ochranná vrstva)</t>
        </is>
      </c>
      <c r="F21" s="20" t="inlineStr">
        <is>
          <t>m²</t>
        </is>
      </c>
      <c r="G21" s="22" t="n">
        <v>22.26945</v>
      </c>
      <c r="H21" s="10" t="n"/>
      <c r="I21" s="10" t="n"/>
      <c r="J21" s="8" t="inlineStr">
        <is>
          <t>izolater_HI</t>
        </is>
      </c>
      <c r="K21" s="24" t="n">
        <v>0.95</v>
      </c>
      <c r="L21" s="20" t="inlineStr">
        <is>
          <t>needs_production_lookup</t>
        </is>
      </c>
      <c r="M21" s="8" t="inlineStr">
        <is>
          <t>TZ statika sklad §4 — HI souvrství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n"/>
    </row>
    <row r="22">
      <c r="A22" s="20" t="n">
        <v>21</v>
      </c>
      <c r="B22" s="8" t="inlineStr">
        <is>
          <t>HSV-4 Vodorovné</t>
        </is>
      </c>
      <c r="C22" s="8" t="inlineStr">
        <is>
          <t>IPE180 parking — sekundární</t>
        </is>
      </c>
      <c r="D22" s="20" t="inlineStr">
        <is>
          <t>411321414</t>
        </is>
      </c>
      <c r="E22" s="8" t="inlineStr">
        <is>
          <t>Sekundární zastřešení parkingu — IPE180 v rozteči 1000 mm × délka 7 m × 7 ks</t>
        </is>
      </c>
      <c r="F22" s="20" t="inlineStr">
        <is>
          <t>kg</t>
        </is>
      </c>
      <c r="G22" s="22" t="n">
        <v>921</v>
      </c>
      <c r="H22" s="10" t="n"/>
      <c r="I22" s="10" t="n"/>
      <c r="J22" s="8" t="inlineStr">
        <is>
          <t>ocel_zamecnik_konstrukce</t>
        </is>
      </c>
      <c r="K22" s="24" t="n">
        <v>0.9</v>
      </c>
      <c r="L22" s="20" t="inlineStr">
        <is>
          <t>needs_production_lookup</t>
        </is>
      </c>
      <c r="M22" s="8" t="inlineStr">
        <is>
          <t>TZ statika sklad §1.4 + DXF LWPOLYLINE 7000 mm + rozteč 1000 mm</t>
        </is>
      </c>
      <c r="N22" s="20" t="inlineStr">
        <is>
          <t>#18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HSV-4 Vodorovné</t>
        </is>
      </c>
      <c r="C23" s="8" t="inlineStr">
        <is>
          <t>Pojezdové ocelové pororošty</t>
        </is>
      </c>
      <c r="D23" s="20" t="inlineStr">
        <is>
          <t>411321515</t>
        </is>
      </c>
      <c r="E23" s="8" t="inlineStr">
        <is>
          <t>Pojezdové ocelové pororošty demontovatelné — povrch parkingu (žárově zinkováno)</t>
        </is>
      </c>
      <c r="F23" s="20" t="inlineStr">
        <is>
          <t>m²</t>
        </is>
      </c>
      <c r="G23" s="22" t="n">
        <v>44.6</v>
      </c>
      <c r="H23" s="10" t="n"/>
      <c r="I23" s="10" t="n"/>
      <c r="J23" s="8" t="inlineStr">
        <is>
          <t>ocel_zamecnik_konstrukce</t>
        </is>
      </c>
      <c r="K23" s="24" t="n">
        <v>0.9</v>
      </c>
      <c r="L23" s="20" t="inlineStr">
        <is>
          <t>family_verified_leaf_needs_production_lookup</t>
        </is>
      </c>
      <c r="M23" s="8" t="inlineStr">
        <is>
          <t>DXF sklad_DPZ km_tabulka místností + Phase 3.5 sklad qty crosscheck (Pattern 17 Phase 0a Layer 2 + Pattern 31 CEV Matrix D.2)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S02_sklad</t>
        </is>
      </c>
      <c r="Q23" s="41" t="inlineStr">
        <is>
          <t>PHASE_3_5_SKLAD_QTY_DXF_VERIFY; URS_PHASE5B_FAMILY_VERIFIED</t>
        </is>
      </c>
    </row>
    <row r="24">
      <c r="A24" s="20" t="n">
        <v>23</v>
      </c>
      <c r="B24" s="8" t="inlineStr">
        <is>
          <t>HSV-4 Vodorovné</t>
        </is>
      </c>
      <c r="C24" s="8" t="inlineStr">
        <is>
          <t>Žárový zinek IPE + pororošty</t>
        </is>
      </c>
      <c r="D24" s="20" t="inlineStr">
        <is>
          <t>783201001</t>
        </is>
      </c>
      <c r="E24" s="8" t="inlineStr">
        <is>
          <t>Žárově zinková povrchová úprava IPE180 + pororoštů dle ČSN EN ISO 12944 (C3 prostředí)</t>
        </is>
      </c>
      <c r="F24" s="20" t="inlineStr">
        <is>
          <t>kg</t>
        </is>
      </c>
      <c r="G24" s="22" t="n">
        <v>1551</v>
      </c>
      <c r="H24" s="10" t="n"/>
      <c r="I24" s="10" t="n"/>
      <c r="J24" s="8" t="inlineStr">
        <is>
          <t>ocel_zamecnik_konstrukce</t>
        </is>
      </c>
      <c r="K24" s="24" t="n">
        <v>0.8</v>
      </c>
      <c r="L24" s="20" t="inlineStr">
        <is>
          <t>needs_production_lookup</t>
        </is>
      </c>
      <c r="M24" s="8" t="inlineStr">
        <is>
          <t>TZ statika sklad §1.4 + ČSN EN ISO 12944 — žárový zinek pro pojezdové ocel</t>
        </is>
      </c>
      <c r="N24" s="20" t="inlineStr">
        <is>
          <t>—</t>
        </is>
      </c>
      <c r="O24" s="26" t="inlineStr">
        <is>
          <t>ANO</t>
        </is>
      </c>
      <c r="P24" s="41" t="inlineStr">
        <is>
          <t>S02_sklad</t>
        </is>
      </c>
      <c r="Q24" s="41" t="n"/>
    </row>
    <row r="25">
      <c r="A25" s="20" t="n">
        <v>24</v>
      </c>
      <c r="B25" s="8" t="inlineStr">
        <is>
          <t>HSV-5 Komunikace + schodiště</t>
        </is>
      </c>
      <c r="C25" s="8" t="inlineStr">
        <is>
          <t>Sklad mezipodesta schodiště prefa</t>
        </is>
      </c>
      <c r="D25" s="20" t="inlineStr">
        <is>
          <t>121301101</t>
        </is>
      </c>
      <c r="E25" s="8" t="inlineStr">
        <is>
          <t>Sklad mezipodesta schodiště — prefa betonové stupně (9 ks × 179.5×250 mm) + kladecí vrstva zavlhlého betonu nad ŽB podkladní deskou (S05 sklad skladba)</t>
        </is>
      </c>
      <c r="F25" s="20" t="inlineStr">
        <is>
          <t>m²</t>
        </is>
      </c>
      <c r="G25" s="22" t="n">
        <v>5.5</v>
      </c>
      <c r="H25" s="10" t="n"/>
      <c r="I25" s="10" t="n"/>
      <c r="J25" s="8" t="inlineStr">
        <is>
          <t>betonar</t>
        </is>
      </c>
      <c r="K25" s="24" t="n">
        <v>0.95</v>
      </c>
      <c r="L25" s="20" t="inlineStr">
        <is>
          <t>needs_production_lookup</t>
        </is>
      </c>
      <c r="M25" s="8" t="inlineStr">
        <is>
          <t>DXF sklad_DPZ km_tabulka místností room 1.02 + DXF dimension 9×179.5×250 mm + Phase 3.5 sklad S-code mapping (S05 sklad schodiště skladba)</t>
        </is>
      </c>
      <c r="N25" s="20" t="inlineStr">
        <is>
          <t>—</t>
        </is>
      </c>
      <c r="O25" s="26" t="inlineStr">
        <is>
          <t>ANO</t>
        </is>
      </c>
      <c r="P25" s="41" t="inlineStr">
        <is>
          <t>S05_sklad</t>
        </is>
      </c>
      <c r="Q25" s="41" t="inlineStr">
        <is>
          <t>PHASE_3_5_SKLAD_MEZIPODESTA_GAP</t>
        </is>
      </c>
    </row>
    <row r="26">
      <c r="A26" s="20" t="n">
        <v>25</v>
      </c>
      <c r="B26" s="8" t="inlineStr">
        <is>
          <t>HSV-5 Komunikace + vjezd</t>
        </is>
      </c>
      <c r="C26" s="8" t="inlineStr">
        <is>
          <t>Vjezd Dvořákova — napojení na komunikaci</t>
        </is>
      </c>
      <c r="D26" s="20" t="inlineStr">
        <is>
          <t>—</t>
        </is>
      </c>
      <c r="E26" s="8" t="inlineStr">
        <is>
          <t>Napojení vjezdu na ulici Dvořákova — vydláždění z betonových dlaždic + spádování na pozemek investora + odvodnění dešťové vody na pozemek (ne na komunikaci)</t>
        </is>
      </c>
      <c r="F26" s="20" t="inlineStr">
        <is>
          <t>m²</t>
        </is>
      </c>
      <c r="G26" s="22" t="n"/>
      <c r="H26" s="10" t="n"/>
      <c r="I26" s="10" t="n"/>
      <c r="J26" s="8" t="inlineStr">
        <is>
          <t>komunikace</t>
        </is>
      </c>
      <c r="K26" s="24" t="n">
        <v>0</v>
      </c>
      <c r="L26" s="20" t="inlineStr">
        <is>
          <t>needs_production_lookup</t>
        </is>
      </c>
      <c r="M26" s="8" t="inlineStr">
        <is>
          <t>Dodatek PD č.1 (E.01) / DI PČR požadavek</t>
        </is>
      </c>
      <c r="N26" s="20" t="inlineStr">
        <is>
          <t>—</t>
        </is>
      </c>
      <c r="O26" s="26" t="inlineStr">
        <is>
          <t>ANO</t>
        </is>
      </c>
      <c r="P26" s="41" t="inlineStr"/>
      <c r="Q26" s="41" t="inlineStr">
        <is>
          <t>DODATEK_PBR_GAPS_2026-06-01</t>
        </is>
      </c>
    </row>
    <row r="27">
      <c r="A27" s="20" t="n">
        <v>26</v>
      </c>
      <c r="B27" s="8" t="inlineStr">
        <is>
          <t>PSV-76 Výplně otvorů</t>
        </is>
      </c>
      <c r="C27" s="8" t="inlineStr">
        <is>
          <t>Bezpečnostní dveře RC3 sklad</t>
        </is>
      </c>
      <c r="D27" s="20" t="inlineStr">
        <is>
          <t>766682111</t>
        </is>
      </c>
      <c r="E27" s="8" t="inlineStr">
        <is>
          <t>Bezpečnostní dveře RC3 v ocelové zárubni — vrata skladu (TZ statika §1.4 RC3 certifikované)</t>
        </is>
      </c>
      <c r="F27" s="20" t="inlineStr">
        <is>
          <t>ks</t>
        </is>
      </c>
      <c r="G27" s="23" t="n">
        <v>1</v>
      </c>
      <c r="H27" s="10" t="n"/>
      <c r="I27" s="10" t="n"/>
      <c r="J27" s="8" t="inlineStr">
        <is>
          <t>specialista_RC3_dvere</t>
        </is>
      </c>
      <c r="K27" s="24" t="n">
        <v>0.85</v>
      </c>
      <c r="L27" s="20" t="inlineStr">
        <is>
          <t>needs_production_lookup</t>
        </is>
      </c>
      <c r="M27" s="8" t="inlineStr">
        <is>
          <t>TZ statika sklad §1.4 — RC3 bezpečnostní dveře v ocelové zárubni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PSV-76 Zámečnictví</t>
        </is>
      </c>
      <c r="C28" s="8" t="inlineStr">
        <is>
          <t>Vjezdová brána</t>
        </is>
      </c>
      <c r="D28" s="20" t="inlineStr">
        <is>
          <t>—</t>
        </is>
      </c>
      <c r="E28" s="8" t="inlineStr">
        <is>
          <t>Vjezdová brána na pozemku investora (ocelová) — dodávka + montáž</t>
        </is>
      </c>
      <c r="F28" s="20" t="inlineStr">
        <is>
          <t>ks</t>
        </is>
      </c>
      <c r="G28" s="23" t="n">
        <v>1</v>
      </c>
      <c r="H28" s="10" t="n"/>
      <c r="I28" s="10" t="n"/>
      <c r="J28" s="8" t="inlineStr">
        <is>
          <t>zamecnik</t>
        </is>
      </c>
      <c r="K28" s="24" t="n">
        <v>0.6</v>
      </c>
      <c r="L28" s="20" t="inlineStr">
        <is>
          <t>needs_production_lookup</t>
        </is>
      </c>
      <c r="M28" s="8" t="inlineStr">
        <is>
          <t>Dodatek PD č.1 (E.01)</t>
        </is>
      </c>
      <c r="N28" s="20" t="inlineStr">
        <is>
          <t>—</t>
        </is>
      </c>
      <c r="O28" s="26" t="inlineStr">
        <is>
          <t>ANO</t>
        </is>
      </c>
      <c r="P28" s="41" t="inlineStr"/>
      <c r="Q28" s="41" t="inlineStr">
        <is>
          <t>DODATEK_PBR_GAPS_2026-06-01</t>
        </is>
      </c>
    </row>
    <row r="29">
      <c r="A29" s="20" t="n">
        <v>28</v>
      </c>
      <c r="B29" s="8" t="inlineStr">
        <is>
          <t>PSV-77 Podlahy</t>
        </is>
      </c>
      <c r="C29" s="8" t="inlineStr">
        <is>
          <t>Betonová dlažba sklad</t>
        </is>
      </c>
      <c r="D29" s="27" t="inlineStr">
        <is>
          <t>596??? ?</t>
        </is>
      </c>
      <c r="E29" s="8" t="inlineStr">
        <is>
          <t>Betonová dlažba do pískového lože — povrch podlahy skladu (~21 m²)</t>
        </is>
      </c>
      <c r="F29" s="20" t="inlineStr">
        <is>
          <t>m²</t>
        </is>
      </c>
      <c r="G29" s="22" t="n">
        <v>17.6</v>
      </c>
      <c r="H29" s="10" t="n"/>
      <c r="I29" s="10" t="n"/>
      <c r="J29" s="8" t="inlineStr">
        <is>
          <t>podlahar</t>
        </is>
      </c>
      <c r="K29" s="24" t="n">
        <v>0.95</v>
      </c>
      <c r="L29" s="20" t="inlineStr">
        <is>
          <t>wrong_leaf_disambiguation_needed</t>
        </is>
      </c>
      <c r="M29" s="8" t="inlineStr">
        <is>
          <t>DXF sklad_DPZ km_tabulka místností + Phase 3.5 sklad qty crosscheck (Pattern 17 Phase 0a Layer 2 + Pattern 31 CEV Matrix D.2)</t>
        </is>
      </c>
      <c r="N29" s="20" t="inlineStr">
        <is>
          <t>—</t>
        </is>
      </c>
      <c r="O29" s="28" t="inlineStr">
        <is>
          <t>LEAF CHYBNÝ — viz alternatives</t>
        </is>
      </c>
      <c r="P29" s="41" t="inlineStr">
        <is>
          <t>S01_sklad</t>
        </is>
      </c>
      <c r="Q29" s="41" t="inlineStr">
        <is>
          <t>PHASE_3_5_SKLAD_QTY_DXF_VERIFY</t>
        </is>
      </c>
    </row>
    <row r="30">
      <c r="A30" s="20" t="n">
        <v>29</v>
      </c>
      <c r="B30" s="8" t="inlineStr">
        <is>
          <t>VRN — Doprava + odpad</t>
        </is>
      </c>
      <c r="C30" s="8" t="inlineStr">
        <is>
          <t>Doprava prefa H-BLOK auto s hyd. rukou</t>
        </is>
      </c>
      <c r="D30" s="20" t="inlineStr">
        <is>
          <t>031032000</t>
        </is>
      </c>
      <c r="E30" s="8" t="inlineStr">
        <is>
          <t>Doprava prefa H-BLOK Standard z výrobny Herkul (Obrnice) auto s hydraulickou rukou — celkem ~60 ks bloků</t>
        </is>
      </c>
      <c r="F30" s="20" t="inlineStr">
        <is>
          <t>kpl</t>
        </is>
      </c>
      <c r="G30" s="23" t="n">
        <v>1</v>
      </c>
      <c r="H30" s="10" t="n"/>
      <c r="I30" s="10" t="n"/>
      <c r="J30" s="8" t="inlineStr">
        <is>
          <t>prefa_bloky_specialista</t>
        </is>
      </c>
      <c r="K30" s="24" t="n">
        <v>0.85</v>
      </c>
      <c r="L30" s="20" t="inlineStr">
        <is>
          <t>needs_production_lookup</t>
        </is>
      </c>
      <c r="M30" s="8" t="inlineStr">
        <is>
          <t>TZ statika sklad §4 + ARS — auto s hyd. rukou pro osazení H-BLOK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n"/>
    </row>
    <row r="31">
      <c r="A31" s="20" t="n">
        <v>30</v>
      </c>
      <c r="B31" s="8" t="inlineStr">
        <is>
          <t>VRN — Doprava + odpad</t>
        </is>
      </c>
      <c r="C31" s="8" t="inlineStr">
        <is>
          <t>Likvidace odpadu sklad</t>
        </is>
      </c>
      <c r="D31" s="20" t="inlineStr">
        <is>
          <t>997013211</t>
        </is>
      </c>
      <c r="E31" s="8" t="inlineStr">
        <is>
          <t>Likvidace odpadu sklad — kameny ze zídek + výkop + dřevo (drobné množství)</t>
        </is>
      </c>
      <c r="F31" s="20" t="inlineStr">
        <is>
          <t>t</t>
        </is>
      </c>
      <c r="G31" s="22" t="n">
        <v>8</v>
      </c>
      <c r="H31" s="10" t="n"/>
      <c r="I31" s="10" t="n"/>
      <c r="J31" s="8" t="inlineStr">
        <is>
          <t>bourani_demolice</t>
        </is>
      </c>
      <c r="K31" s="24" t="n">
        <v>0.75</v>
      </c>
      <c r="L31" s="20" t="inlineStr">
        <is>
          <t>needs_production_lookup</t>
        </is>
      </c>
      <c r="M31" s="8" t="inlineStr">
        <is>
          <t>TZ ARS sklad §3 — kamenné zídky + schodiště odstraneny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n"/>
    </row>
    <row r="32">
      <c r="A32" s="20" t="n">
        <v>31</v>
      </c>
      <c r="B32" s="8" t="inlineStr">
        <is>
          <t>VRN — Geodet</t>
        </is>
      </c>
      <c r="C32" s="8" t="inlineStr">
        <is>
          <t>Geodetické vytýčení sklad</t>
        </is>
      </c>
      <c r="D32" s="20" t="inlineStr">
        <is>
          <t>030141000</t>
        </is>
      </c>
      <c r="E32" s="8" t="inlineStr">
        <is>
          <t>Geodetické vytýčení sklad+parking+schodiště ze situace (před realizací)</t>
        </is>
      </c>
      <c r="F32" s="20" t="inlineStr">
        <is>
          <t>kpl</t>
        </is>
      </c>
      <c r="G32" s="23" t="n">
        <v>1</v>
      </c>
      <c r="H32" s="10" t="n"/>
      <c r="I32" s="10" t="n"/>
      <c r="J32" s="8" t="inlineStr">
        <is>
          <t>geodet</t>
        </is>
      </c>
      <c r="K32" s="24" t="n">
        <v>0.99</v>
      </c>
      <c r="L32" s="20" t="inlineStr">
        <is>
          <t>needs_production_lookup</t>
        </is>
      </c>
      <c r="M32" s="8" t="inlineStr">
        <is>
          <t>Standard — geodet vytýčení pro každý nový objekt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n"/>
    </row>
    <row r="33">
      <c r="A33" s="20" t="n">
        <v>32</v>
      </c>
      <c r="B33" s="8" t="inlineStr">
        <is>
          <t>VRN — Geodet / PČR</t>
        </is>
      </c>
      <c r="C33" s="8" t="inlineStr">
        <is>
          <t>Rozhledové trojúhelníky — vytyčení + kontrola</t>
        </is>
      </c>
      <c r="D33" s="20" t="inlineStr">
        <is>
          <t>—</t>
        </is>
      </c>
      <c r="E33" s="8" t="inlineStr">
        <is>
          <t>Vytyčení + kontrola rozhledových trojúhelníků (Vn=40 km/h, Dz=25 m) dle požadavku DI PČR</t>
        </is>
      </c>
      <c r="F33" s="20" t="inlineStr">
        <is>
          <t>soubor</t>
        </is>
      </c>
      <c r="G33" s="23" t="n">
        <v>1</v>
      </c>
      <c r="H33" s="10" t="n"/>
      <c r="I33" s="10" t="n"/>
      <c r="J33" s="8" t="inlineStr">
        <is>
          <t>geodet</t>
        </is>
      </c>
      <c r="K33" s="24" t="n">
        <v>0.7</v>
      </c>
      <c r="L33" s="20" t="inlineStr">
        <is>
          <t>needs_production_lookup</t>
        </is>
      </c>
      <c r="M33" s="8" t="inlineStr">
        <is>
          <t>Dodatek PD č.1 (E.01) / DI PČR</t>
        </is>
      </c>
      <c r="N33" s="20" t="inlineStr">
        <is>
          <t>—</t>
        </is>
      </c>
      <c r="O33" s="26" t="inlineStr">
        <is>
          <t>ANO</t>
        </is>
      </c>
      <c r="P33" s="41" t="inlineStr"/>
      <c r="Q33" s="41" t="inlineStr">
        <is>
          <t>DODATEK_PBR_GAPS_2026-06-01</t>
        </is>
      </c>
    </row>
    <row r="34">
      <c r="A34" s="20" t="n">
        <v>33</v>
      </c>
      <c r="B34" s="8" t="inlineStr">
        <is>
          <t>VRN — Společné</t>
        </is>
      </c>
      <c r="C34" s="8" t="inlineStr">
        <is>
          <t>Podíl na obecných VRN dům</t>
        </is>
      </c>
      <c r="D34" s="20" t="inlineStr">
        <is>
          <t>030001000</t>
        </is>
      </c>
      <c r="E34" s="8" t="inlineStr">
        <is>
          <t>Podíl na obecných VRN domu (buňky, BOZP, pojištění, kolaudace) — paušál ~10 % nákladů sklad nebo % alokace</t>
        </is>
      </c>
      <c r="F34" s="20" t="inlineStr">
        <is>
          <t>paušál</t>
        </is>
      </c>
      <c r="G34" s="23" t="n">
        <v>1</v>
      </c>
      <c r="H34" s="10" t="n"/>
      <c r="I34" s="10" t="n"/>
      <c r="J34" s="8" t="inlineStr">
        <is>
          <t>VRN_management</t>
        </is>
      </c>
      <c r="K34" s="24" t="n">
        <v>0.8</v>
      </c>
      <c r="L34" s="20" t="inlineStr">
        <is>
          <t>needs_production_lookup</t>
        </is>
      </c>
      <c r="M34" s="8" t="inlineStr">
        <is>
          <t>Standard zhotovitel — alokace VRN pro paralelně realizovaný sklad</t>
        </is>
      </c>
      <c r="N34" s="20" t="inlineStr">
        <is>
          <t>—</t>
        </is>
      </c>
      <c r="O34" s="26" t="inlineStr">
        <is>
          <t>ANO</t>
        </is>
      </c>
      <c r="P34" s="41" t="n"/>
      <c r="Q34" s="41" t="n"/>
    </row>
  </sheetData>
  <autoFilter ref="A1:O34"/>
  <conditionalFormatting sqref="K2:K34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HSV3.003, HSV3.004, HSV3.005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HSV3.001, HSV3.004, HSV3.005</t>
        </is>
      </c>
      <c r="F32" s="44" t="inlineStr">
        <is>
          <t>33.00 m²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Hydroizolace pod ŽB deskou 1.NP — modifikované asfaltové pásy SBS 2× (zároveň pr…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2026-06-01T17:54:27Z</dcterms:created>
  <dcterms:modified xmlns:dcterms="http://purl.org/dc/terms/" xmlns:xsi="http://www.w3.org/2001/XMLSchema-instance" xsi:type="dcterms:W3CDTF">2026-06-01T17:54:27Z</dcterms:modified>
</cp:coreProperties>
</file>
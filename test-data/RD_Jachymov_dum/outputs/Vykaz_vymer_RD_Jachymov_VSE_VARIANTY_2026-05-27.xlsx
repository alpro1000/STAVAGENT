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hrn" sheetId="1" state="visible" r:id="rId1"/>
    <sheet xmlns:r="http://schemas.openxmlformats.org/officeDocument/2006/relationships" name="Var_A_Agregovany_Dum" sheetId="2" state="visible" r:id="rId2"/>
    <sheet xmlns:r="http://schemas.openxmlformats.org/officeDocument/2006/relationships" name="Var_A_Agregovany_Sklad" sheetId="3" state="visible" r:id="rId3"/>
    <sheet xmlns:r="http://schemas.openxmlformats.org/officeDocument/2006/relationships" name="Var_C_Hybrid" sheetId="4" state="visible" r:id="rId4"/>
    <sheet xmlns:r="http://schemas.openxmlformats.org/officeDocument/2006/relationships" name="Var_B_Polozkovy_Dum" sheetId="5" state="visible" r:id="rId5"/>
    <sheet xmlns:r="http://schemas.openxmlformats.org/officeDocument/2006/relationships" name="Var_B_Polozkovy_Sklad" sheetId="6" state="visible" r:id="rId6"/>
    <sheet xmlns:r="http://schemas.openxmlformats.org/officeDocument/2006/relationships" name="Var_D_PerPodlazi_Mistnost" sheetId="7" state="visible" r:id="rId7"/>
    <sheet xmlns:r="http://schemas.openxmlformats.org/officeDocument/2006/relationships" name="Var_E_Skladby_Vrstev" sheetId="8" state="visible" r:id="rId8"/>
    <sheet xmlns:r="http://schemas.openxmlformats.org/officeDocument/2006/relationships" name="Var_F_URS_Verification_Trail" sheetId="9" state="visible" r:id="rId9"/>
  </sheets>
  <definedNames>
    <definedName name="_xlnm._FilterDatabase" localSheetId="1" hidden="1">'Var_A_Agregovany_Dum'!$A$1:$G$17</definedName>
    <definedName name="_xlnm._FilterDatabase" localSheetId="2" hidden="1">'Var_A_Agregovany_Sklad'!$A$1:$G$9</definedName>
    <definedName name="_xlnm._FilterDatabase" localSheetId="3" hidden="1">'Var_C_Hybrid'!$A$1:$J$117</definedName>
    <definedName name="_xlnm._FilterDatabase" localSheetId="4" hidden="1">'Var_B_Polozkovy_Dum'!$A$1:$O$185</definedName>
    <definedName name="_xlnm._FilterDatabase" localSheetId="5" hidden="1">'Var_B_Polozkovy_Sklad'!$A$1:$O$29</definedName>
    <definedName name="_xlnm._FilterDatabase" localSheetId="8" hidden="1">'Var_F_URS_Verification_Trail'!$A$1:$H$14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Kč&quot;;-#,##0 &quot;Kč&quot;;&quot;—&quot;"/>
  </numFmts>
  <fonts count="18">
    <font>
      <name val="Calibri"/>
      <family val="2"/>
      <color theme="1"/>
      <sz val="11"/>
      <scheme val="minor"/>
    </font>
    <font>
      <name val="Calibri"/>
      <b val="1"/>
      <color rgb="001F3A5F"/>
      <sz val="18"/>
    </font>
    <font>
      <name val="Calibri"/>
      <i val="1"/>
      <color rgb="00555555"/>
      <sz val="12"/>
    </font>
    <font>
      <b val="1"/>
      <color rgb="001F3A5F"/>
      <sz val="11"/>
    </font>
    <font>
      <b val="1"/>
    </font>
    <font>
      <name val="Calibri"/>
      <b val="1"/>
      <color rgb="00FFFFFF"/>
      <sz val="11"/>
    </font>
    <font>
      <i val="1"/>
      <color rgb="00888888"/>
    </font>
    <font>
      <b val="1"/>
      <color rgb="00A04000"/>
      <sz val="11"/>
    </font>
    <font>
      <name val="Calibri"/>
      <i val="1"/>
      <color rgb="00555555"/>
      <sz val="10"/>
    </font>
    <font>
      <name val="Calibri"/>
      <b val="1"/>
      <sz val="10"/>
    </font>
    <font>
      <b val="1"/>
      <color rgb="000F5132"/>
    </font>
    <font>
      <b val="1"/>
      <color rgb="00A04000"/>
    </font>
    <font>
      <i val="1"/>
      <color rgb="009C0006"/>
    </font>
    <font>
      <b val="1"/>
      <color rgb="009C0006"/>
    </font>
    <font>
      <name val="Calibri"/>
      <b val="1"/>
      <color rgb="001F3A5F"/>
      <sz val="14"/>
    </font>
    <font>
      <name val="Calibri"/>
      <sz val="10"/>
    </font>
    <font>
      <b val="1"/>
      <color rgb="00008000"/>
    </font>
    <font>
      <name val="Calibri"/>
      <i val="1"/>
      <color rgb="00A04000"/>
      <sz val="10"/>
    </font>
  </fonts>
  <fills count="8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8E1"/>
      </patternFill>
    </fill>
    <fill>
      <patternFill patternType="solid">
        <fgColor rgb="00E8EEF7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9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right" vertical="top"/>
    </xf>
    <xf numFmtId="164" fontId="6" fillId="0" borderId="1" applyAlignment="1" pivotButton="0" quotePrefix="0" xfId="0">
      <alignment horizontal="right" vertical="top"/>
    </xf>
    <xf numFmtId="0" fontId="7" fillId="0" borderId="0" pivotButton="0" quotePrefix="0" xfId="0"/>
    <xf numFmtId="0" fontId="8" fillId="3" borderId="1" applyAlignment="1" pivotButton="0" quotePrefix="0" xfId="0">
      <alignment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" applyAlignment="1" pivotButton="0" quotePrefix="0" xfId="0">
      <alignment horizontal="center" vertical="top"/>
    </xf>
    <xf numFmtId="0" fontId="9" fillId="4" borderId="1" pivotButton="0" quotePrefix="0" xfId="0"/>
    <xf numFmtId="4" fontId="0" fillId="0" borderId="1" applyAlignment="1" pivotButton="0" quotePrefix="0" xfId="0">
      <alignment horizontal="right" vertical="top"/>
    </xf>
    <xf numFmtId="3" fontId="0" fillId="0" borderId="1" applyAlignment="1" pivotButton="0" quotePrefix="0" xfId="0">
      <alignment horizontal="right" vertical="top"/>
    </xf>
    <xf numFmtId="2" fontId="0" fillId="0" borderId="1" applyAlignment="1" pivotButton="0" quotePrefix="0" xfId="0">
      <alignment horizontal="center" vertical="top"/>
    </xf>
    <xf numFmtId="0" fontId="10" fillId="5" borderId="1" applyAlignment="1" pivotButton="0" quotePrefix="0" xfId="0">
      <alignment horizontal="center" vertical="top"/>
    </xf>
    <xf numFmtId="0" fontId="11" fillId="6" borderId="1" applyAlignment="1" pivotButton="0" quotePrefix="0" xfId="0">
      <alignment horizontal="center" vertical="top"/>
    </xf>
    <xf numFmtId="0" fontId="12" fillId="0" borderId="1" applyAlignment="1" pivotButton="0" quotePrefix="0" xfId="0">
      <alignment horizontal="center" vertical="top"/>
    </xf>
    <xf numFmtId="0" fontId="13" fillId="7" borderId="1" applyAlignment="1" pivotButton="0" quotePrefix="0" xfId="0">
      <alignment horizontal="center" vertical="top"/>
    </xf>
    <xf numFmtId="0" fontId="14" fillId="0" borderId="0" pivotButton="0" quotePrefix="0" xfId="0"/>
    <xf numFmtId="0" fontId="8" fillId="0" borderId="0" pivotButton="0" quotePrefix="0" xfId="0"/>
    <xf numFmtId="0" fontId="9" fillId="4" borderId="1" applyAlignment="1" pivotButton="0" quotePrefix="0" xfId="0">
      <alignment horizontal="center" vertical="top"/>
    </xf>
    <xf numFmtId="4" fontId="4" fillId="0" borderId="1" applyAlignment="1" pivotButton="0" quotePrefix="0" xfId="0">
      <alignment horizontal="right" vertical="top"/>
    </xf>
    <xf numFmtId="0" fontId="0" fillId="0" borderId="1" pivotButton="0" quotePrefix="0" xfId="0"/>
    <xf numFmtId="0" fontId="8" fillId="3" borderId="0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  <xf numFmtId="0" fontId="15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right" vertical="top"/>
    </xf>
    <xf numFmtId="0" fontId="16" fillId="0" borderId="1" applyAlignment="1" pivotButton="0" quotePrefix="0" xfId="0">
      <alignment vertical="top" wrapText="1"/>
    </xf>
    <xf numFmtId="0" fontId="17" fillId="3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FE4E4"/>
        </patternFill>
      </fill>
    </dxf>
    <dxf>
      <fill>
        <patternFill patternType="solid">
          <fgColor rgb="00FFF1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zoomScale="110" workbookViewId="0">
      <selection activeCell="A1" sqref="A1"/>
    </sheetView>
  </sheetViews>
  <sheetFormatPr baseColWidth="8" defaultRowHeight="15"/>
  <cols>
    <col width="24" customWidth="1" min="1" max="1"/>
    <col width="35" customWidth="1" min="2" max="2"/>
    <col width="18" customWidth="1" min="3" max="3"/>
    <col width="22" customWidth="1" min="4" max="4"/>
    <col width="18" customWidth="1" min="5" max="5"/>
    <col width="22" customWidth="1" min="6" max="6"/>
  </cols>
  <sheetData>
    <row r="1">
      <c r="A1" s="1" t="inlineStr">
        <is>
          <t>VÝKAZ VÝMĚR — RD Jáchymov Fibichova č.p. 733</t>
        </is>
      </c>
    </row>
    <row r="2">
      <c r="A2" s="2" t="inlineStr">
        <is>
          <t>Stavební úpravy a nástavba RD + zahradní sklad / parking / přístupové schodiště</t>
        </is>
      </c>
    </row>
    <row r="4">
      <c r="A4" s="3" t="inlineStr">
        <is>
          <t>IDENTIFIKAČNÍ ÚDAJE</t>
        </is>
      </c>
    </row>
    <row r="5">
      <c r="A5" s="4" t="inlineStr">
        <is>
          <t>Investor</t>
        </is>
      </c>
      <c r="B5" s="5" t="inlineStr">
        <is>
          <t>Mgr. Jindřich Volný (Fibichova 733, 362 51 Jáchymov)</t>
        </is>
      </c>
    </row>
    <row r="6">
      <c r="A6" s="4" t="inlineStr">
        <is>
          <t>Lokace</t>
        </is>
      </c>
      <c r="B6" s="5" t="inlineStr">
        <is>
          <t>Fibichova 733, 362 51 Jáchymov; parc. č. 1094/16 + st. 1022 (k.ú. Jáchymov 656437)</t>
        </is>
      </c>
    </row>
    <row r="7">
      <c r="A7" s="4" t="inlineStr">
        <is>
          <t>Architekt (ARS)</t>
        </is>
      </c>
      <c r="B7" s="5" t="inlineStr">
        <is>
          <t>SMASH architekti s.r.o. — Ing. arch. Marek Smolka, ČKA 05394</t>
        </is>
      </c>
    </row>
    <row r="8">
      <c r="A8" s="4" t="inlineStr">
        <is>
          <t>Statika</t>
        </is>
      </c>
      <c r="B8" s="5" t="inlineStr">
        <is>
          <t>TeAnau s.r.o. — Ing. Jan Tvardík, ČKAIT 0012219 (spoluautor Ing. Václav Bendík)</t>
        </is>
      </c>
    </row>
    <row r="9">
      <c r="A9" s="4" t="inlineStr">
        <is>
          <t>PBŘ</t>
        </is>
      </c>
      <c r="B9" s="5" t="inlineStr">
        <is>
          <t>TUSPO — Ing. Jan Kirschbaum / Bc. Zbyněk Tuček (ČKAIT 0013446)</t>
        </is>
      </c>
    </row>
    <row r="10">
      <c r="A10" s="4" t="inlineStr">
        <is>
          <t>Zhotovitel CN</t>
        </is>
      </c>
      <c r="B10" s="5" t="inlineStr">
        <is>
          <t>Ing. Karel Šmíd (smid.karell@gmail.com, +420 608 930 914) — smidstavitelstvi.cz</t>
        </is>
      </c>
    </row>
    <row r="11">
      <c r="A11" s="4" t="inlineStr">
        <is>
          <t>Stupeň dokumentace</t>
        </is>
      </c>
      <c r="B11" s="5" t="inlineStr">
        <is>
          <t>DSP (dokumentace pro povolení stavby), realizace 2026-2027. DPS plánována není.</t>
        </is>
      </c>
    </row>
    <row r="12">
      <c r="A12" s="4" t="inlineStr">
        <is>
          <t>Datum vygenerování</t>
        </is>
      </c>
      <c r="B12" s="5" t="inlineStr">
        <is>
          <t>2026-05-27</t>
        </is>
      </c>
    </row>
    <row r="13">
      <c r="A13" s="4" t="inlineStr">
        <is>
          <t>Verze</t>
        </is>
      </c>
      <c r="B13" s="5" t="inlineStr">
        <is>
          <t>Phase 2 — automated STAVAGENT pipeline v1.2 + subdodavatel mapping v1.2</t>
        </is>
      </c>
    </row>
    <row r="15">
      <c r="A15" s="3" t="inlineStr">
        <is>
          <t>GEOMETRIE OBOU OBJEKTŮ</t>
        </is>
      </c>
    </row>
    <row r="16">
      <c r="A16" s="4" t="inlineStr">
        <is>
          <t>260219 — Dům</t>
        </is>
      </c>
      <c r="B16" s="5" t="inlineStr">
        <is>
          <t>104,4 m² zastavěná | 219,3 m² podlahová | 987 m³ obestavěný | 13,0 m výška | 1.PP + 3.NP (nástavba)</t>
        </is>
      </c>
    </row>
    <row r="17">
      <c r="A17" s="4" t="inlineStr">
        <is>
          <t>260217 — Sklad+Parking</t>
        </is>
      </c>
      <c r="B17" s="5" t="inlineStr">
        <is>
          <t>Lichoběžník 6,35 × 3,34 m | parking 7,0 m délka (DXF DIMENSION + LWPOLYLINE verified)</t>
        </is>
      </c>
    </row>
    <row r="18">
      <c r="A18" s="4" t="inlineStr">
        <is>
          <t>Klima</t>
        </is>
      </c>
      <c r="B18" s="5" t="inlineStr">
        <is>
          <t>VII. sněhová oblast (Krušnohoří), III. větrová oblast, kategorie terénu III</t>
        </is>
      </c>
    </row>
    <row r="19">
      <c r="A19" s="4" t="inlineStr">
        <is>
          <t>Geologie</t>
        </is>
      </c>
      <c r="B19" s="5" t="inlineStr">
        <is>
          <t>Svor R5-R6 / F4-CS, Rdt 350 kPa (dům) / 300 kPa (sklad), XA1, IGP neproveden — archivní vrty</t>
        </is>
      </c>
    </row>
    <row r="21">
      <c r="A21" s="3" t="inlineStr">
        <is>
          <t>CENOVÉ SROVNÁNÍ 3 VARIANT (J. ceny vyplní zhotovitel)</t>
        </is>
      </c>
    </row>
    <row r="22" ht="32" customHeight="1">
      <c r="A22" s="6" t="inlineStr">
        <is>
          <t>Varianta</t>
        </is>
      </c>
      <c r="B22" s="6" t="inlineStr">
        <is>
          <t>Popis</t>
        </is>
      </c>
      <c r="C22" s="6" t="inlineStr">
        <is>
          <t>Počet položek</t>
        </is>
      </c>
      <c r="D22" s="6" t="inlineStr">
        <is>
          <t>Cena bez DPH (Kč)</t>
        </is>
      </c>
      <c r="E22" s="6" t="inlineStr">
        <is>
          <t>DPH 15 % (Kč)</t>
        </is>
      </c>
      <c r="F22" s="6" t="inlineStr">
        <is>
          <t>Cena s DPH (Kč)</t>
        </is>
      </c>
    </row>
    <row r="23">
      <c r="A23" s="7" t="inlineStr">
        <is>
          <t>A — Agregovaný</t>
        </is>
      </c>
      <c r="B23" s="8" t="inlineStr">
        <is>
          <t>GROUP BY kapitola (dum 22 + sklad 6 = ~28 řádků). Pro orientační cenovku.</t>
        </is>
      </c>
      <c r="C23" s="9" t="n">
        <v>30</v>
      </c>
      <c r="D23" s="10" t="n"/>
      <c r="E23" s="10" t="n"/>
      <c r="F23" s="10" t="n"/>
    </row>
    <row r="24">
      <c r="A24" s="7" t="inlineStr">
        <is>
          <t>C — Hybrid</t>
        </is>
      </c>
      <c r="B24" s="8" t="inlineStr">
        <is>
          <t>HSV položkově (95 ks) + PSV/TZB/VRN agregovaně (~80 řádků celkem).</t>
        </is>
      </c>
      <c r="C24" s="9" t="n">
        <v>111</v>
      </c>
      <c r="D24" s="10" t="n"/>
      <c r="E24" s="10" t="n"/>
      <c r="F24" s="10" t="n"/>
    </row>
    <row r="25">
      <c r="A25" s="7" t="inlineStr">
        <is>
          <t>B — Položkový</t>
        </is>
      </c>
      <c r="B25" s="8" t="inlineStr">
        <is>
          <t>Plný detail (dum 144 + sklad 27 = 171 položek). Cílový rozsah pro produkční pricing.</t>
        </is>
      </c>
      <c r="C25" s="9" t="n">
        <v>171</v>
      </c>
      <c r="D25" s="10" t="n"/>
      <c r="E25" s="10" t="n"/>
      <c r="F25" s="10" t="n"/>
    </row>
    <row r="27">
      <c r="A27" s="3" t="inlineStr">
        <is>
          <t>INVESTIČNÍ ODHAD (předběžně)</t>
        </is>
      </c>
    </row>
    <row r="28">
      <c r="A28" s="4" t="inlineStr">
        <is>
          <t>Pásmo:</t>
        </is>
      </c>
      <c r="B28" s="5" t="inlineStr">
        <is>
          <t>6,0 – 8,5 mil. Kč bez DPH (dle TZ B m.1.j obestavěný 987 m³ + sklad + parking, sazba 6-9 tis. Kč/m³ pro RD rekonstrukci v Krušnohoří)</t>
        </is>
      </c>
    </row>
    <row r="30">
      <c r="A30" s="3" t="inlineStr">
        <is>
          <t>STATISTIKY STAVAGENT PIPELINE (Phase 0b + Phase 1)</t>
        </is>
      </c>
    </row>
    <row r="31">
      <c r="A31" s="4" t="inlineStr">
        <is>
          <t>Položky celkem</t>
        </is>
      </c>
      <c r="B31" s="5" t="inlineStr">
        <is>
          <t>171 (144 dum + 27 sklad)</t>
        </is>
      </c>
    </row>
    <row r="32">
      <c r="A32" s="4" t="inlineStr">
        <is>
          <t>Gate distribution</t>
        </is>
      </c>
      <c r="B32" s="5" t="inlineStr">
        <is>
          <t>HSV 95 | PSV 35 | TZB+M 22 | VRN 19</t>
        </is>
      </c>
    </row>
    <row r="33">
      <c r="A33" s="4" t="inlineStr">
        <is>
          <t>Confidence dist</t>
        </is>
      </c>
      <c r="B33" s="5" t="inlineStr">
        <is>
          <t>0.99 manual: 5 | 0.95 DXF/regex: 21 | 0.90 LWPOLYLINE: 5 | 0.85 TZ: 36 | 0.80 empirické: 16 | 0.75 geometry: 88 | &lt;0.70: 0</t>
        </is>
      </c>
    </row>
    <row r="34">
      <c r="A34" s="4" t="inlineStr">
        <is>
          <t>URS status (Part 5b)</t>
        </is>
      </c>
      <c r="B34" s="5" t="inlineStr">
        <is>
          <t>8 WebSearch verified (3.8 %) ✓ | 9 wrong leaf flagged (4.2 %) ⚠ | 195 needs_production_lookup (92.0 %)</t>
        </is>
      </c>
    </row>
    <row r="35">
      <c r="A35" s="4" t="inlineStr">
        <is>
          <t>subdodavatel needs_mapping</t>
        </is>
      </c>
      <c r="B35" s="5" t="inlineStr">
        <is>
          <t>0 (v1.2 mapping covers all 5 RD Jáchymov pilot flags)</t>
        </is>
      </c>
    </row>
    <row r="36">
      <c r="A36" s="4" t="inlineStr">
        <is>
          <t>Phase 0b validation</t>
        </is>
      </c>
      <c r="B36" s="5" t="inlineStr">
        <is>
          <t>67/69 verified (97.1 %), 0 silent drifts, gate OPEN</t>
        </is>
      </c>
    </row>
    <row r="37">
      <c r="A37" s="4" t="inlineStr">
        <is>
          <t>Phase 0b §3.3 DXF</t>
        </is>
      </c>
      <c r="B37" s="5" t="inlineStr">
        <is>
          <t>4/4 DXF parsed OK, vyjasnění #18 fully_resolved (sklad geom z DIMENSION + parking LWPOLYLINE bbox)</t>
        </is>
      </c>
    </row>
    <row r="38">
      <c r="A38" s="4" t="inlineStr">
        <is>
          <t>Vyjasnění queue</t>
        </is>
      </c>
      <c r="B38" s="5" t="inlineStr">
        <is>
          <t>18 items (3 critical: #1 scope + #16 statika swap [fixed] + #99 N/A)</t>
        </is>
      </c>
    </row>
    <row r="39">
      <c r="A39" s="4" t="inlineStr">
        <is>
          <t>Corpus patterns aplikované</t>
        </is>
      </c>
      <c r="B39" s="5" t="inlineStr">
        <is>
          <t>4 (UNSORTED dedup + drift detection + multi-modal geometry + _gate vs kapitola_group)</t>
        </is>
      </c>
    </row>
    <row r="42">
      <c r="A42" s="11" t="inlineStr">
        <is>
          <t>POZNÁMKA — ROZSAH ROZPOČTU</t>
        </is>
      </c>
    </row>
    <row r="43" ht="80" customHeight="1">
      <c r="A43" s="12" t="inlineStr">
        <is>
          <t>Rozpočet generován STAVAGENT pipelinem z DSP dokumentace s DPS-grade DXF metadaty.
212 položek celkem (184 dum + 28 sklad), 4 corpus patterns aplikované, zero-fabrication policy.
Confidence distribution: 17×0.99 · 29×0.95 · 34×0.90 · 43×0.85 · 18×0.80 · 70×0.75 · 1×0.70.
25 položek vzniklo per-room expansion ze 9 aggregate parents (každá expanded položka tagged _expansion_origin).
10 položek recalculated s exact external perimeter 38.70 m (DXF km_R_návrh_tlustá 2 closed polygon) vs prior fallback 41.0 m.
Skladby vrstev (Sheet 8 Var_E) pochází POUZE z TZ explicit text + DXF cross-validation HATCH patterns. ŽÁDNÉ generic 'standardní RD' assumption — kde TZ silent, explicit fallback flag s ČSN default.
ÚRS kódy navrženy heuristikou. Part 5b WebSearch verified 12 codes / 8 unique families (viz Sheet 9 Var_F_URS_Verification_Trail). Wrong-leaf pattern identifikován: heuristika odhadne 6-cifernou rodinu správně v ~75 % případů, ale 9-cifrový leaf je chybný v ~63 % (odlišný distance band / materiál / geometrie / lokace). Produkční URS_MATCHER service (Perplexity-driven online lookup) nutný pro finální ověření zbývajících položek před cenotvorbou. Jednotkové ceny ponecháno k vyplnění zhotovitelem.</t>
        </is>
      </c>
      <c r="B43" s="13" t="n"/>
      <c r="C43" s="13" t="n"/>
      <c r="D43" s="13" t="n"/>
      <c r="E43" s="13" t="n"/>
      <c r="F43" s="14" t="n"/>
    </row>
    <row r="44">
      <c r="A44" s="15" t="n"/>
      <c r="F44" s="16" t="n"/>
    </row>
    <row r="45">
      <c r="A45" s="15" t="n"/>
      <c r="F45" s="16" t="n"/>
    </row>
    <row r="46">
      <c r="A46" s="15" t="n"/>
      <c r="F46" s="16" t="n"/>
    </row>
    <row r="47">
      <c r="A47" s="15" t="n"/>
      <c r="F47" s="16" t="n"/>
    </row>
    <row r="48">
      <c r="A48" s="15" t="n"/>
      <c r="F48" s="16" t="n"/>
    </row>
    <row r="49">
      <c r="A49" s="17" t="n"/>
      <c r="B49" s="18" t="n"/>
      <c r="C49" s="18" t="n"/>
      <c r="D49" s="18" t="n"/>
      <c r="E49" s="18" t="n"/>
      <c r="F49" s="19" t="n"/>
    </row>
  </sheetData>
  <mergeCells count="26">
    <mergeCell ref="B7:F7"/>
    <mergeCell ref="B16:F16"/>
    <mergeCell ref="B31:F31"/>
    <mergeCell ref="B18:F18"/>
    <mergeCell ref="A2:F2"/>
    <mergeCell ref="B12:F12"/>
    <mergeCell ref="B39:F39"/>
    <mergeCell ref="B11:F11"/>
    <mergeCell ref="B8:F8"/>
    <mergeCell ref="B17:F17"/>
    <mergeCell ref="B13:F13"/>
    <mergeCell ref="B38:F38"/>
    <mergeCell ref="B34:F34"/>
    <mergeCell ref="B10:F10"/>
    <mergeCell ref="B28:F28"/>
    <mergeCell ref="B19:F19"/>
    <mergeCell ref="B37:F37"/>
    <mergeCell ref="B9:F9"/>
    <mergeCell ref="B6:F6"/>
    <mergeCell ref="B33:F33"/>
    <mergeCell ref="A1:F1"/>
    <mergeCell ref="B5:F5"/>
    <mergeCell ref="A43:F49"/>
    <mergeCell ref="B36:F36"/>
    <mergeCell ref="B32:F32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55" customWidth="1" min="3" max="3"/>
    <col width="15" customWidth="1" min="4" max="4"/>
    <col width="21" customWidth="1" min="5" max="5"/>
    <col width="18" customWidth="1" min="6" max="6"/>
    <col width="29" customWidth="1" min="7" max="7"/>
  </cols>
  <sheetData>
    <row r="1" ht="32" customHeight="1">
      <c r="A1" s="6" t="inlineStr">
        <is>
          <t>Poř.</t>
        </is>
      </c>
      <c r="B1" s="6" t="inlineStr">
        <is>
          <t>Kapitola (souhrnná)</t>
        </is>
      </c>
      <c r="C1" s="6" t="inlineStr">
        <is>
          <t>Popis kapitoly</t>
        </is>
      </c>
      <c r="D1" s="6" t="inlineStr">
        <is>
          <t>Počet položek</t>
        </is>
      </c>
      <c r="E1" s="6" t="inlineStr">
        <is>
          <t>J. cena paušál (Kč)</t>
        </is>
      </c>
      <c r="F1" s="6" t="inlineStr">
        <is>
          <t>Cena celkem (Kč)</t>
        </is>
      </c>
      <c r="G1" s="6" t="inlineStr">
        <is>
          <t>Poznámka</t>
        </is>
      </c>
    </row>
    <row r="2" ht="36" customHeight="1">
      <c r="A2" s="20" t="n">
        <v>1</v>
      </c>
      <c r="B2" s="21" t="inlineStr">
        <is>
          <t>HSV-1 — Zemní práce</t>
        </is>
      </c>
      <c r="C2" s="8" t="inlineStr">
        <is>
          <t>Sejmutí ornice; Hloubení rýh BV; Hloubení figury anglický dvorek; Anglický dvorek — skladba dlažby; … (+5 dalších)</t>
        </is>
      </c>
      <c r="D2" s="9" t="n">
        <v>9</v>
      </c>
      <c r="E2" s="10" t="n"/>
      <c r="F2" s="10" t="n"/>
      <c r="G2" s="8" t="inlineStr">
        <is>
          <t>agregát — detail viz List B</t>
        </is>
      </c>
    </row>
    <row r="3" ht="36" customHeight="1">
      <c r="A3" s="20" t="n">
        <v>2</v>
      </c>
      <c r="B3" s="21" t="inlineStr">
        <is>
          <t>HSV-2 — Základové konstrukce + ŽB</t>
        </is>
      </c>
      <c r="C3" s="8" t="inlineStr">
        <is>
          <t>Bílá vana — pata; Bílá vana — stěna; Bílá vana — bednění systémové; Bílá vana — výztuž B500B; … (+9 dalších)</t>
        </is>
      </c>
      <c r="D3" s="9" t="n">
        <v>13</v>
      </c>
      <c r="E3" s="10" t="n"/>
      <c r="F3" s="10" t="n"/>
      <c r="G3" s="8" t="inlineStr">
        <is>
          <t>agregát — detail viz List B</t>
        </is>
      </c>
    </row>
    <row r="4" ht="36" customHeight="1">
      <c r="A4" s="20" t="n">
        <v>3</v>
      </c>
      <c r="B4" s="21" t="inlineStr">
        <is>
          <t>HSV-3 — Svislé konstrukce</t>
        </is>
      </c>
      <c r="C4" s="8" t="inlineStr">
        <is>
          <t>Dozdívky cihla pálená; Nadezdívka 3.NP Porotherm; Překlady IPN160 ve dvojici; Překlady — uložení malta + kari; … (+3 dalších)</t>
        </is>
      </c>
      <c r="D4" s="9" t="n">
        <v>7</v>
      </c>
      <c r="E4" s="10" t="n"/>
      <c r="F4" s="10" t="n"/>
      <c r="G4" s="8" t="inlineStr">
        <is>
          <t>agregát — detail viz List B</t>
        </is>
      </c>
    </row>
    <row r="5" ht="36" customHeight="1">
      <c r="A5" s="20" t="n">
        <v>4</v>
      </c>
      <c r="B5" s="21" t="inlineStr">
        <is>
          <t>HSV-4 — Vodorovné konstrukce</t>
        </is>
      </c>
      <c r="C5" s="8" t="inlineStr">
        <is>
          <t>IPE180 stropnice 1.NP; Ocelobeton — IPE180 stropnice 2.NP/3.NP; Ocelobeton — HEA180 výztuha trakt ulice; Ocelobeton — HEA200 výztuha dvorní; … (+10 dalších)</t>
        </is>
      </c>
      <c r="D5" s="9" t="n">
        <v>14</v>
      </c>
      <c r="E5" s="10" t="n"/>
      <c r="F5" s="10" t="n"/>
      <c r="G5" s="8" t="inlineStr">
        <is>
          <t>agregát — detail viz List B</t>
        </is>
      </c>
    </row>
    <row r="6" ht="36" customHeight="1">
      <c r="A6" s="20" t="n">
        <v>5</v>
      </c>
      <c r="B6" s="21" t="inlineStr">
        <is>
          <t>HSV-5 — Krov + střecha</t>
        </is>
      </c>
      <c r="C6" s="8" t="inlineStr">
        <is>
          <t>Krokve 100/180 á 800 mm; Kleštiny 2×60/180; Pozednice 140/160; Námětky pro přesah; … (+12 dalších)</t>
        </is>
      </c>
      <c r="D6" s="9" t="n">
        <v>16</v>
      </c>
      <c r="E6" s="10" t="n"/>
      <c r="F6" s="10" t="n"/>
      <c r="G6" s="8" t="inlineStr">
        <is>
          <t>agregát — detail viz List B</t>
        </is>
      </c>
    </row>
    <row r="7" ht="36" customHeight="1">
      <c r="A7" s="20" t="n">
        <v>6</v>
      </c>
      <c r="B7" s="21" t="inlineStr">
        <is>
          <t>HSV-6 — Bourací práce + demontáže</t>
        </is>
      </c>
      <c r="C7" s="8" t="inlineStr">
        <is>
          <t>Bourání kompletního stávajícího krovu; Bourání plechové střešní krytiny; Bourání nadezdívek nad stropem 2.NP; Bourání trámového stropu 2.NP/podkroví; … (+13 dalších)</t>
        </is>
      </c>
      <c r="D7" s="9" t="n">
        <v>17</v>
      </c>
      <c r="E7" s="10" t="n"/>
      <c r="F7" s="10" t="n"/>
      <c r="G7" s="8" t="inlineStr">
        <is>
          <t>agregát — detail viz List B</t>
        </is>
      </c>
    </row>
    <row r="8" ht="36" customHeight="1">
      <c r="A8" s="20" t="n">
        <v>7</v>
      </c>
      <c r="B8" s="21" t="inlineStr">
        <is>
          <t>HSV-7 — Fasáda ETICS</t>
        </is>
      </c>
      <c r="C8" s="8" t="inlineStr">
        <is>
          <t>Příprava podkladu; ETICS EPS 70F grey 160 mm; ETICS sokl XPS; Špalety EPS; … (+2 dalších)</t>
        </is>
      </c>
      <c r="D8" s="9" t="n">
        <v>6</v>
      </c>
      <c r="E8" s="10" t="n"/>
      <c r="F8" s="10" t="n"/>
      <c r="G8" s="8" t="inlineStr">
        <is>
          <t>agregát — detail viz List B</t>
        </is>
      </c>
    </row>
    <row r="9" ht="36" customHeight="1">
      <c r="A9" s="20" t="n">
        <v>8</v>
      </c>
      <c r="B9" s="21" t="inlineStr">
        <is>
          <t>M-21 — Elektroinstalace silnoproudá</t>
        </is>
      </c>
      <c r="C9" s="8" t="inlineStr">
        <is>
          <t>Demontáž stávající ELI; Pojistková skříň + 3× podružný rozvaděč; Rozvody silnoproud; Zásuvky a vypínače; … (+3 dalších)</t>
        </is>
      </c>
      <c r="D9" s="9" t="n">
        <v>7</v>
      </c>
      <c r="E9" s="10" t="n"/>
      <c r="F9" s="10" t="n"/>
      <c r="G9" s="8" t="inlineStr">
        <is>
          <t>agregát — detail viz List B</t>
        </is>
      </c>
    </row>
    <row r="10" ht="36" customHeight="1">
      <c r="A10" s="20" t="n">
        <v>9</v>
      </c>
      <c r="B10" s="21" t="inlineStr">
        <is>
          <t>PSV-71 — Izolace HI + TI</t>
        </is>
      </c>
      <c r="C10" s="8" t="inlineStr">
        <is>
          <t>HI pod ŽB deskou 1.NP; Odvětrání radonu z podloží; HI koupelny 1.NP + 2.NP + 3.NP; Podlahový EPS 150; … (+1 dalších)</t>
        </is>
      </c>
      <c r="D10" s="9" t="n">
        <v>5</v>
      </c>
      <c r="E10" s="10" t="n"/>
      <c r="F10" s="10" t="n"/>
      <c r="G10" s="8" t="inlineStr">
        <is>
          <t>agregát — detail viz List B</t>
        </is>
      </c>
    </row>
    <row r="11" ht="36" customHeight="1">
      <c r="A11" s="20" t="n">
        <v>10</v>
      </c>
      <c r="B11" s="21" t="inlineStr">
        <is>
          <t>PSV-72 — ZTI (vodovod + kanalizace + sanita)</t>
        </is>
      </c>
      <c r="C11" s="8" t="inlineStr">
        <is>
          <t>Revize stávajících přípojek; Nové rozvody vody do 3.NP; Nové odpadní rozvody; Sanitární keramika koupelna 1.05 (1.NP); … (+15 dalších)</t>
        </is>
      </c>
      <c r="D11" s="9" t="n">
        <v>19</v>
      </c>
      <c r="E11" s="10" t="n"/>
      <c r="F11" s="10" t="n"/>
      <c r="G11" s="8" t="inlineStr">
        <is>
          <t>agregát — detail viz List B</t>
        </is>
      </c>
    </row>
    <row r="12" ht="36" customHeight="1">
      <c r="A12" s="20" t="n">
        <v>11</v>
      </c>
      <c r="B12" s="21" t="inlineStr">
        <is>
          <t>PSV-73 — Vytápění + komín</t>
        </is>
      </c>
      <c r="C12" s="8" t="inlineStr">
        <is>
          <t>Sporáková kamna na tuhá paliva; Sporáková kamna — montáž; Elektrokotel 3.NP; Krb na tuhá paliva 3.NP; … (+4 dalších)</t>
        </is>
      </c>
      <c r="D12" s="9" t="n">
        <v>8</v>
      </c>
      <c r="E12" s="10" t="n"/>
      <c r="F12" s="10" t="n"/>
      <c r="G12" s="8" t="inlineStr">
        <is>
          <t>agregát — detail viz List B</t>
        </is>
      </c>
    </row>
    <row r="13" ht="36" customHeight="1">
      <c r="A13" s="20" t="n">
        <v>12</v>
      </c>
      <c r="B13" s="21" t="inlineStr">
        <is>
          <t>PSV-76 — Výplně otvorů + klempířina + zámečnictví + truhlář</t>
        </is>
      </c>
      <c r="C13" s="8" t="inlineStr">
        <is>
          <t>Plastové okno trojsklo — 'okno 1.NP' (ulice); Plastové okno trojsklo — 'okno 1.NP vzadu' (zahrada); Plastové okno trojsklo — 'okno 2.NP' (ulice); Plastové okno trojsklo — 'okno 3.NP' (ulice); … (+18 dalších)</t>
        </is>
      </c>
      <c r="D13" s="9" t="n">
        <v>22</v>
      </c>
      <c r="E13" s="10" t="n"/>
      <c r="F13" s="10" t="n"/>
      <c r="G13" s="8" t="inlineStr">
        <is>
          <t>agregát — detail viz List B</t>
        </is>
      </c>
    </row>
    <row r="14" ht="36" customHeight="1">
      <c r="A14" s="20" t="n">
        <v>13</v>
      </c>
      <c r="B14" s="21" t="inlineStr">
        <is>
          <t>PSV-77 — Podlahy</t>
        </is>
      </c>
      <c r="C14" s="8" t="inlineStr">
        <is>
          <t>Nášlap vinyl obytné místnosti; Nášlap keramická dlažba — mokré zóny; Nášlap keramická dlažba — 1.PP sklep; Nášlap biodeska 3.NP spací patro; … (+3 dalších)</t>
        </is>
      </c>
      <c r="D14" s="9" t="n">
        <v>7</v>
      </c>
      <c r="E14" s="10" t="n"/>
      <c r="F14" s="10" t="n"/>
      <c r="G14" s="8" t="inlineStr">
        <is>
          <t>agregát — detail viz List B</t>
        </is>
      </c>
    </row>
    <row r="15" ht="36" customHeight="1">
      <c r="A15" s="20" t="n">
        <v>14</v>
      </c>
      <c r="B15" s="21" t="inlineStr">
        <is>
          <t>PSV-78 — Povrchové úpravy</t>
        </is>
      </c>
      <c r="C15" s="8" t="inlineStr">
        <is>
          <t>Omítka jádrová + štuk 1.PP; Omítka jádrová + štuk 1.NP; Omítka jádrová + štuk 2.NP; Omítka jádrová + štuk 3.NP; … (+12 dalších)</t>
        </is>
      </c>
      <c r="D15" s="9" t="n">
        <v>16</v>
      </c>
      <c r="E15" s="10" t="n"/>
      <c r="F15" s="10" t="n"/>
      <c r="G15" s="8" t="inlineStr">
        <is>
          <t>agregát — detail viz List B</t>
        </is>
      </c>
    </row>
    <row r="16" ht="36" customHeight="1">
      <c r="A16" s="20" t="n">
        <v>15</v>
      </c>
      <c r="B16" s="21" t="inlineStr">
        <is>
          <t>PSV-95 — Detekce požární</t>
        </is>
      </c>
      <c r="C16" s="8" t="inlineStr">
        <is>
          <t>Autonomní hlásič kouře; Přenosný hasicí přístroj 34A</t>
        </is>
      </c>
      <c r="D16" s="9" t="n">
        <v>2</v>
      </c>
      <c r="E16" s="10" t="n"/>
      <c r="F16" s="10" t="n"/>
      <c r="G16" s="8" t="inlineStr">
        <is>
          <t>agregát — detail viz List B</t>
        </is>
      </c>
    </row>
    <row r="17" ht="36" customHeight="1">
      <c r="A17" s="20" t="n">
        <v>16</v>
      </c>
      <c r="B17" s="21" t="inlineStr">
        <is>
          <t>VRN — Vedlejší rozpočtové náklady</t>
        </is>
      </c>
      <c r="C17" s="8" t="inlineStr">
        <is>
          <t>Buňky kancelář + sociální; Mobilní WC; El. odběr + vodovodní odběr stavby; Kontejnery suti tříděné; … (+12 dalších)</t>
        </is>
      </c>
      <c r="D17" s="9" t="n">
        <v>16</v>
      </c>
      <c r="E17" s="10" t="n"/>
      <c r="F17" s="10" t="n"/>
      <c r="G17" s="8" t="inlineStr">
        <is>
          <t>agregát — detail viz List B</t>
        </is>
      </c>
    </row>
  </sheetData>
  <autoFilter ref="A1:G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55" customWidth="1" min="3" max="3"/>
    <col width="15" customWidth="1" min="4" max="4"/>
    <col width="21" customWidth="1" min="5" max="5"/>
    <col width="18" customWidth="1" min="6" max="6"/>
    <col width="29" customWidth="1" min="7" max="7"/>
  </cols>
  <sheetData>
    <row r="1" ht="32" customHeight="1">
      <c r="A1" s="6" t="inlineStr">
        <is>
          <t>Poř.</t>
        </is>
      </c>
      <c r="B1" s="6" t="inlineStr">
        <is>
          <t>Kapitola (souhrnná)</t>
        </is>
      </c>
      <c r="C1" s="6" t="inlineStr">
        <is>
          <t>Popis kapitoly</t>
        </is>
      </c>
      <c r="D1" s="6" t="inlineStr">
        <is>
          <t>Počet položek</t>
        </is>
      </c>
      <c r="E1" s="6" t="inlineStr">
        <is>
          <t>J. cena paušál (Kč)</t>
        </is>
      </c>
      <c r="F1" s="6" t="inlineStr">
        <is>
          <t>Cena celkem (Kč)</t>
        </is>
      </c>
      <c r="G1" s="6" t="inlineStr">
        <is>
          <t>Poznámka</t>
        </is>
      </c>
    </row>
    <row r="2" ht="36" customHeight="1">
      <c r="A2" s="20" t="n">
        <v>1</v>
      </c>
      <c r="B2" s="21" t="inlineStr">
        <is>
          <t>HSV-1 — Zemní práce</t>
        </is>
      </c>
      <c r="C2" s="8" t="inlineStr">
        <is>
          <t>Sejmutí stávající zídky + schodiště; Hloubení figury skladu; Hloubení rýh pro pasy; Hloubení parkingových patek; … (+2 dalších)</t>
        </is>
      </c>
      <c r="D2" s="9" t="n">
        <v>6</v>
      </c>
      <c r="E2" s="10" t="n"/>
      <c r="F2" s="10" t="n"/>
      <c r="G2" s="8" t="inlineStr">
        <is>
          <t>agregát — detail viz List B</t>
        </is>
      </c>
    </row>
    <row r="3" ht="36" customHeight="1">
      <c r="A3" s="20" t="n">
        <v>2</v>
      </c>
      <c r="B3" s="21" t="inlineStr">
        <is>
          <t>HSV-2 — Základové konstrukce + ŽB</t>
        </is>
      </c>
      <c r="C3" s="8" t="inlineStr">
        <is>
          <t>Základové pasy sklad; Patky parking — spodní; Patky parking — horní; Beton patek + zídek — zalití; … (+2 dalších)</t>
        </is>
      </c>
      <c r="D3" s="9" t="n">
        <v>6</v>
      </c>
      <c r="E3" s="10" t="n"/>
      <c r="F3" s="10" t="n"/>
      <c r="G3" s="8" t="inlineStr">
        <is>
          <t>agregát — detail viz List B</t>
        </is>
      </c>
    </row>
    <row r="4" ht="36" customHeight="1">
      <c r="A4" s="20" t="n">
        <v>3</v>
      </c>
      <c r="B4" s="21" t="inlineStr">
        <is>
          <t>HSV-3 — Svislé konstrukce</t>
        </is>
      </c>
      <c r="C4" s="8" t="inlineStr">
        <is>
          <t>H-BLOK opěrná stěna; Tvarovky ZB obvod skladu; Výztuž ZB tvarovek</t>
        </is>
      </c>
      <c r="D4" s="9" t="n">
        <v>3</v>
      </c>
      <c r="E4" s="10" t="n"/>
      <c r="F4" s="10" t="n"/>
      <c r="G4" s="8" t="inlineStr">
        <is>
          <t>agregát — detail viz List B</t>
        </is>
      </c>
    </row>
    <row r="5" ht="36" customHeight="1">
      <c r="A5" s="20" t="n">
        <v>4</v>
      </c>
      <c r="B5" s="21" t="inlineStr">
        <is>
          <t>HSV-4 — Vodorovné konstrukce</t>
        </is>
      </c>
      <c r="C5" s="8" t="inlineStr">
        <is>
          <t>Dřevěné stropnice skladu; Prkenný záklop stropu skladu; Hydroizolační střešní souvrství skladu; IPE180 parking — sekundární; … (+2 dalších)</t>
        </is>
      </c>
      <c r="D5" s="9" t="n">
        <v>6</v>
      </c>
      <c r="E5" s="10" t="n"/>
      <c r="F5" s="10" t="n"/>
      <c r="G5" s="8" t="inlineStr">
        <is>
          <t>agregát — detail viz List B</t>
        </is>
      </c>
    </row>
    <row r="6" ht="36" customHeight="1">
      <c r="A6" s="20" t="n">
        <v>5</v>
      </c>
      <c r="B6" s="21" t="inlineStr">
        <is>
          <t>HSV-5 — Krov + střecha</t>
        </is>
      </c>
      <c r="C6" s="8" t="inlineStr">
        <is>
          <t>Sklad mezipodesta schodiště prefa</t>
        </is>
      </c>
      <c r="D6" s="9" t="n">
        <v>1</v>
      </c>
      <c r="E6" s="10" t="n"/>
      <c r="F6" s="10" t="n"/>
      <c r="G6" s="8" t="inlineStr">
        <is>
          <t>agregát — detail viz List B</t>
        </is>
      </c>
    </row>
    <row r="7" ht="36" customHeight="1">
      <c r="A7" s="20" t="n">
        <v>6</v>
      </c>
      <c r="B7" s="21" t="inlineStr">
        <is>
          <t>PSV-76 — Výplně otvorů + klempířina + zámečnictví + truhlář</t>
        </is>
      </c>
      <c r="C7" s="8" t="inlineStr">
        <is>
          <t>Bezpečnostní dveře RC3 sklad</t>
        </is>
      </c>
      <c r="D7" s="9" t="n">
        <v>1</v>
      </c>
      <c r="E7" s="10" t="n"/>
      <c r="F7" s="10" t="n"/>
      <c r="G7" s="8" t="inlineStr">
        <is>
          <t>agregát — detail viz List B</t>
        </is>
      </c>
    </row>
    <row r="8" ht="36" customHeight="1">
      <c r="A8" s="20" t="n">
        <v>7</v>
      </c>
      <c r="B8" s="21" t="inlineStr">
        <is>
          <t>PSV-77 — Podlahy</t>
        </is>
      </c>
      <c r="C8" s="8" t="inlineStr">
        <is>
          <t>Betonová dlažba sklad</t>
        </is>
      </c>
      <c r="D8" s="9" t="n">
        <v>1</v>
      </c>
      <c r="E8" s="10" t="n"/>
      <c r="F8" s="10" t="n"/>
      <c r="G8" s="8" t="inlineStr">
        <is>
          <t>agregát — detail viz List B</t>
        </is>
      </c>
    </row>
    <row r="9" ht="36" customHeight="1">
      <c r="A9" s="20" t="n">
        <v>8</v>
      </c>
      <c r="B9" s="21" t="inlineStr">
        <is>
          <t>VRN — Vedlejší rozpočtové náklady</t>
        </is>
      </c>
      <c r="C9" s="8" t="inlineStr">
        <is>
          <t>Doprava prefa H-BLOK auto s hyd. rukou; Likvidace odpadu sklad; Geodetické vytýčení sklad; Podíl na obecných VRN dům</t>
        </is>
      </c>
      <c r="D9" s="9" t="n">
        <v>4</v>
      </c>
      <c r="E9" s="10" t="n"/>
      <c r="F9" s="10" t="n"/>
      <c r="G9" s="8" t="inlineStr">
        <is>
          <t>agregát — detail viz List B</t>
        </is>
      </c>
    </row>
  </sheetData>
  <autoFilter ref="A1:G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61" customWidth="1" min="3" max="3"/>
    <col width="70" customWidth="1" min="4" max="4"/>
    <col width="8" customWidth="1" min="5" max="5"/>
    <col width="20" customWidth="1" min="6" max="6"/>
    <col width="14" customWidth="1" min="7" max="7"/>
    <col width="18" customWidth="1" min="8" max="8"/>
    <col width="29" customWidth="1" min="9" max="9"/>
    <col width="22" customWidth="1" min="10" max="10"/>
  </cols>
  <sheetData>
    <row r="1" ht="32" customHeight="1">
      <c r="A1" s="6" t="inlineStr">
        <is>
          <t>Poř.</t>
        </is>
      </c>
      <c r="B1" s="6" t="inlineStr">
        <is>
          <t>Objekt</t>
        </is>
      </c>
      <c r="C1" s="6" t="inlineStr">
        <is>
          <t>Kapitola</t>
        </is>
      </c>
      <c r="D1" s="6" t="inlineStr">
        <is>
          <t>Popis</t>
        </is>
      </c>
      <c r="E1" s="6" t="inlineStr">
        <is>
          <t>MJ</t>
        </is>
      </c>
      <c r="F1" s="6" t="inlineStr">
        <is>
          <t>Množství</t>
        </is>
      </c>
      <c r="G1" s="6" t="inlineStr">
        <is>
          <t>J. cena (Kč)</t>
        </is>
      </c>
      <c r="H1" s="6" t="inlineStr">
        <is>
          <t>Cena celkem (Kč)</t>
        </is>
      </c>
      <c r="I1" s="6" t="inlineStr">
        <is>
          <t>Subdodavatel</t>
        </is>
      </c>
      <c r="J1" s="6" t="inlineStr">
        <is>
          <t>Poznámka</t>
        </is>
      </c>
    </row>
    <row r="2">
      <c r="A2" s="20" t="n">
        <v>1</v>
      </c>
      <c r="B2" s="20" t="inlineStr">
        <is>
          <t>260219_dum</t>
        </is>
      </c>
      <c r="C2" s="8" t="inlineStr">
        <is>
          <t>HSV-1 Zemní práce</t>
        </is>
      </c>
      <c r="D2" s="8" t="inlineStr">
        <is>
          <t>Sejmutí ornice — Sejmutí ornice tl. 100 mm na ploše budoucí opěrné stěny a anglického dvorku</t>
        </is>
      </c>
      <c r="E2" s="20" t="inlineStr">
        <is>
          <t>m²</t>
        </is>
      </c>
      <c r="F2" s="22" t="n">
        <v>35</v>
      </c>
      <c r="G2" s="10" t="n"/>
      <c r="H2" s="10" t="n"/>
      <c r="I2" s="8" t="inlineStr">
        <is>
          <t>zemni_prace</t>
        </is>
      </c>
      <c r="J2" s="8" t="inlineStr">
        <is>
          <t>URS-prop 121101101</t>
        </is>
      </c>
    </row>
    <row r="3">
      <c r="A3" s="20" t="n">
        <v>2</v>
      </c>
      <c r="B3" s="20" t="inlineStr">
        <is>
          <t>260219_dum</t>
        </is>
      </c>
      <c r="C3" s="8" t="inlineStr">
        <is>
          <t>HSV-1 Zemní práce</t>
        </is>
      </c>
      <c r="D3" s="8" t="inlineStr">
        <is>
          <t>Hloubení rýh BV — Hloubení rýh š. do 60 cm pro pas opěrné stěny bílé vany v zemině třídy 3 (F4-CS)</t>
        </is>
      </c>
      <c r="E3" s="20" t="inlineStr">
        <is>
          <t>m³</t>
        </is>
      </c>
      <c r="F3" s="22" t="n">
        <v>12.6</v>
      </c>
      <c r="G3" s="10" t="n"/>
      <c r="H3" s="10" t="n"/>
      <c r="I3" s="8" t="inlineStr">
        <is>
          <t>zemni_prace</t>
        </is>
      </c>
      <c r="J3" s="8" t="inlineStr">
        <is>
          <t>URS-prop 132201101</t>
        </is>
      </c>
    </row>
    <row r="4">
      <c r="A4" s="20" t="n">
        <v>3</v>
      </c>
      <c r="B4" s="20" t="inlineStr">
        <is>
          <t>260219_dum</t>
        </is>
      </c>
      <c r="C4" s="8" t="inlineStr">
        <is>
          <t>HSV-1 Zemní práce</t>
        </is>
      </c>
      <c r="D4" s="8" t="inlineStr">
        <is>
          <t>Hloubení figury anglický dvorek — Hloubení jam nezapažených pro anglický dvorek a nový vstup do 1.PP ze zahrady, hornina tř. 3 (F4-CS)</t>
        </is>
      </c>
      <c r="E4" s="20" t="inlineStr">
        <is>
          <t>m³</t>
        </is>
      </c>
      <c r="F4" s="22" t="n">
        <v>6</v>
      </c>
      <c r="G4" s="10" t="n"/>
      <c r="H4" s="10" t="n"/>
      <c r="I4" s="8" t="inlineStr">
        <is>
          <t>zemni_prace</t>
        </is>
      </c>
      <c r="J4" s="8" t="inlineStr">
        <is>
          <t>URS-prop 131201101</t>
        </is>
      </c>
    </row>
    <row r="5">
      <c r="A5" s="20" t="n">
        <v>4</v>
      </c>
      <c r="B5" s="20" t="inlineStr">
        <is>
          <t>260219_dum</t>
        </is>
      </c>
      <c r="C5" s="8" t="inlineStr">
        <is>
          <t>HSV-1 Zemní práce</t>
        </is>
      </c>
      <c r="D5" s="8" t="inlineStr">
        <is>
          <t>Anglický dvorek — skladba dlažby — Anglický dvorek: betonová dlažba 50 mm + kladecí vrstva kamenná drť 4-8 mm tl. 40 mm + podkladní nosná vrstva kamenná drť 4-8 mm tl. 150 mm na zhutněnou zemní pláň (30 MPa)</t>
        </is>
      </c>
      <c r="E5" s="20" t="inlineStr">
        <is>
          <t>m²</t>
        </is>
      </c>
      <c r="F5" s="22" t="n">
        <v>30</v>
      </c>
      <c r="G5" s="10" t="n"/>
      <c r="H5" s="10" t="n"/>
      <c r="I5" s="8" t="inlineStr">
        <is>
          <t>podlahar</t>
        </is>
      </c>
      <c r="J5" s="8" t="inlineStr">
        <is>
          <t>URS-prop 564831111</t>
        </is>
      </c>
    </row>
    <row r="6">
      <c r="A6" s="20" t="n">
        <v>5</v>
      </c>
      <c r="B6" s="20" t="inlineStr">
        <is>
          <t>260219_dum</t>
        </is>
      </c>
      <c r="C6" s="8" t="inlineStr">
        <is>
          <t>HSV-1 Zemní práce</t>
        </is>
      </c>
      <c r="D6" s="8" t="inlineStr">
        <is>
          <t>Terasa garapa — podkladní rošt — Terasa za opěrnou stěnou: rektifikovatelné terče 50 mm + betonové dlaždice 50 mm + štěrkový podsyp 16/32 mm tl. 100 mm + hrubý podsyp 4/8 mm tl. 150 mm + geotextilie</t>
        </is>
      </c>
      <c r="E6" s="20" t="inlineStr">
        <is>
          <t>m²</t>
        </is>
      </c>
      <c r="F6" s="22" t="n">
        <v>30</v>
      </c>
      <c r="G6" s="10" t="n"/>
      <c r="H6" s="10" t="n"/>
      <c r="I6" s="8" t="inlineStr">
        <is>
          <t>podlahar</t>
        </is>
      </c>
      <c r="J6" s="8" t="inlineStr">
        <is>
          <t>URS-prop 564831111</t>
        </is>
      </c>
    </row>
    <row r="7">
      <c r="A7" s="20" t="n">
        <v>6</v>
      </c>
      <c r="B7" s="20" t="inlineStr">
        <is>
          <t>260219_dum</t>
        </is>
      </c>
      <c r="C7" s="8" t="inlineStr">
        <is>
          <t>HSV-1 Zemní práce</t>
        </is>
      </c>
      <c r="D7" s="8" t="inlineStr">
        <is>
          <t>Pažení rýh — Pažení a rozepření dočasných výkopů příložné, hl. do 2 m, v zemině třídy 3</t>
        </is>
      </c>
      <c r="E7" s="20" t="inlineStr">
        <is>
          <t>m²</t>
        </is>
      </c>
      <c r="F7" s="22" t="n">
        <v>36</v>
      </c>
      <c r="G7" s="10" t="n"/>
      <c r="H7" s="10" t="n"/>
      <c r="I7" s="8" t="inlineStr">
        <is>
          <t>zemni_prace</t>
        </is>
      </c>
      <c r="J7" s="8" t="inlineStr">
        <is>
          <t>URS-prop 151101101</t>
        </is>
      </c>
    </row>
    <row r="8">
      <c r="A8" s="20" t="n">
        <v>7</v>
      </c>
      <c r="B8" s="20" t="inlineStr">
        <is>
          <t>260219_dum</t>
        </is>
      </c>
      <c r="C8" s="8" t="inlineStr">
        <is>
          <t>HSV-1 Zemní práce</t>
        </is>
      </c>
      <c r="D8" s="8" t="inlineStr">
        <is>
          <t>Odvoz výkopu — Vodorovné přemístění výkopku — odvoz na deponii do 8 km vč. skládkovného (zemina F4)</t>
        </is>
      </c>
      <c r="E8" s="20" t="inlineStr">
        <is>
          <t>m³</t>
        </is>
      </c>
      <c r="F8" s="22" t="n">
        <v>18.6</v>
      </c>
      <c r="G8" s="10" t="n"/>
      <c r="H8" s="10" t="n"/>
      <c r="I8" s="8" t="inlineStr">
        <is>
          <t>zemni_prace</t>
        </is>
      </c>
      <c r="J8" s="8" t="inlineStr">
        <is>
          <t>URS-prop 162701??? ?</t>
        </is>
      </c>
    </row>
    <row r="9">
      <c r="A9" s="20" t="n">
        <v>8</v>
      </c>
      <c r="B9" s="20" t="inlineStr">
        <is>
          <t>260219_dum</t>
        </is>
      </c>
      <c r="C9" s="8" t="inlineStr">
        <is>
          <t>HSV-1 Zemní práce</t>
        </is>
      </c>
      <c r="D9" s="8" t="inlineStr">
        <is>
          <t>Zhutněný štěrkový zásyp pod desku 1.NP — Zhutněný štěrkopískový zásyp + lože pod ŽB deskou 1.NP, Edef2 ≥ 30 MPa na pláni / 45 MPa na štěrku</t>
        </is>
      </c>
      <c r="E9" s="20" t="inlineStr">
        <is>
          <t>m³</t>
        </is>
      </c>
      <c r="F9" s="22" t="n">
        <v>12.5</v>
      </c>
      <c r="G9" s="10" t="n"/>
      <c r="H9" s="10" t="n"/>
      <c r="I9" s="8" t="inlineStr">
        <is>
          <t>zemni_prace</t>
        </is>
      </c>
      <c r="J9" s="8" t="inlineStr">
        <is>
          <t>URS-prop 174101101</t>
        </is>
      </c>
    </row>
    <row r="10">
      <c r="A10" s="20" t="n">
        <v>9</v>
      </c>
      <c r="B10" s="20" t="inlineStr">
        <is>
          <t>260217_sklad</t>
        </is>
      </c>
      <c r="C10" s="8" t="inlineStr">
        <is>
          <t>HSV-1 Zemní práce</t>
        </is>
      </c>
      <c r="D10" s="8" t="inlineStr">
        <is>
          <t>Sejmutí stávající zídky + schodiště — Sejmutí ornice a demolice stávajících kamenných zídek a schodiště v místě nového skladu+parkingu</t>
        </is>
      </c>
      <c r="E10" s="20" t="inlineStr">
        <is>
          <t>m³</t>
        </is>
      </c>
      <c r="F10" s="22" t="n">
        <v>8</v>
      </c>
      <c r="G10" s="10" t="n"/>
      <c r="H10" s="10" t="n"/>
      <c r="I10" s="8" t="inlineStr">
        <is>
          <t>bourani_demolice</t>
        </is>
      </c>
      <c r="J10" s="8" t="inlineStr">
        <is>
          <t>URS-prop 962031132</t>
        </is>
      </c>
    </row>
    <row r="11">
      <c r="A11" s="20" t="n">
        <v>10</v>
      </c>
      <c r="B11" s="20" t="inlineStr">
        <is>
          <t>260217_sklad</t>
        </is>
      </c>
      <c r="C11" s="8" t="inlineStr">
        <is>
          <t>HSV-1 Zemní práce</t>
        </is>
      </c>
      <c r="D11" s="8" t="inlineStr">
        <is>
          <t>Hloubení figury skladu — Hloubení jam nezapažených pro objekt skladu v lichoběžníku 6,35 × 3,34 m, hl. do 1,2 m, hornina tř. 3</t>
        </is>
      </c>
      <c r="E11" s="20" t="inlineStr">
        <is>
          <t>m³</t>
        </is>
      </c>
      <c r="F11" s="22" t="n">
        <v>25.5</v>
      </c>
      <c r="G11" s="10" t="n"/>
      <c r="H11" s="10" t="n"/>
      <c r="I11" s="8" t="inlineStr">
        <is>
          <t>zemni_prace</t>
        </is>
      </c>
      <c r="J11" s="8" t="inlineStr">
        <is>
          <t>URS-prop 131201101</t>
        </is>
      </c>
    </row>
    <row r="12">
      <c r="A12" s="20" t="n">
        <v>11</v>
      </c>
      <c r="B12" s="20" t="inlineStr">
        <is>
          <t>260217_sklad</t>
        </is>
      </c>
      <c r="C12" s="8" t="inlineStr">
        <is>
          <t>HSV-1 Zemní práce</t>
        </is>
      </c>
      <c r="D12" s="8" t="inlineStr">
        <is>
          <t>Hloubení rýh pro pasy — Hloubení rýh pro betonové základové pasy 500×500 mm po obvodu skladu (nezámrzná hl. 1.0 m)</t>
        </is>
      </c>
      <c r="E12" s="20" t="inlineStr">
        <is>
          <t>m³</t>
        </is>
      </c>
      <c r="F12" s="22" t="n">
        <v>4.85</v>
      </c>
      <c r="G12" s="10" t="n"/>
      <c r="H12" s="10" t="n"/>
      <c r="I12" s="8" t="inlineStr">
        <is>
          <t>zemni_prace</t>
        </is>
      </c>
      <c r="J12" s="8" t="inlineStr">
        <is>
          <t>URS-prop 132201101</t>
        </is>
      </c>
    </row>
    <row r="13">
      <c r="A13" s="20" t="n">
        <v>12</v>
      </c>
      <c r="B13" s="20" t="inlineStr">
        <is>
          <t>260217_sklad</t>
        </is>
      </c>
      <c r="C13" s="8" t="inlineStr">
        <is>
          <t>HSV-1 Zemní práce</t>
        </is>
      </c>
      <c r="D13" s="8" t="inlineStr">
        <is>
          <t>Hloubení parkingových patek — Hloubení patek pro stojky IPE180 zastřešení parkingu, 500×500 mm × 1.0 m hl. × 7 ks</t>
        </is>
      </c>
      <c r="E13" s="20" t="inlineStr">
        <is>
          <t>m³</t>
        </is>
      </c>
      <c r="F13" s="22" t="n">
        <v>1.75</v>
      </c>
      <c r="G13" s="10" t="n"/>
      <c r="H13" s="10" t="n"/>
      <c r="I13" s="8" t="inlineStr">
        <is>
          <t>zemni_prace</t>
        </is>
      </c>
      <c r="J13" s="8" t="inlineStr">
        <is>
          <t>URS-prop 132211101</t>
        </is>
      </c>
    </row>
    <row r="14">
      <c r="A14" s="20" t="n">
        <v>13</v>
      </c>
      <c r="B14" s="20" t="inlineStr">
        <is>
          <t>260217_sklad</t>
        </is>
      </c>
      <c r="C14" s="8" t="inlineStr">
        <is>
          <t>HSV-1 Zemní práce</t>
        </is>
      </c>
      <c r="D14" s="8" t="inlineStr">
        <is>
          <t>Štěrkový násyp pod desku skladu — Zhutněný štěrkopískový násyp pod podlahu skladu + štěrkopísek pro IPE patky</t>
        </is>
      </c>
      <c r="E14" s="20" t="inlineStr">
        <is>
          <t>m³</t>
        </is>
      </c>
      <c r="F14" s="22" t="n">
        <v>3.2</v>
      </c>
      <c r="G14" s="10" t="n"/>
      <c r="H14" s="10" t="n"/>
      <c r="I14" s="8" t="inlineStr">
        <is>
          <t>zemni_prace</t>
        </is>
      </c>
      <c r="J14" s="8" t="inlineStr">
        <is>
          <t>URS-prop 174101101</t>
        </is>
      </c>
    </row>
    <row r="15">
      <c r="A15" s="20" t="n">
        <v>14</v>
      </c>
      <c r="B15" s="20" t="inlineStr">
        <is>
          <t>260217_sklad</t>
        </is>
      </c>
      <c r="C15" s="8" t="inlineStr">
        <is>
          <t>HSV-1 Zemní práce</t>
        </is>
      </c>
      <c r="D15" s="8" t="inlineStr">
        <is>
          <t>Odvoz výkopu sklad — Odvoz výkopku z hloubení skladu + figur + patek na deponii do 8 km</t>
        </is>
      </c>
      <c r="E15" s="20" t="inlineStr">
        <is>
          <t>m³</t>
        </is>
      </c>
      <c r="F15" s="22" t="n">
        <v>32.1</v>
      </c>
      <c r="G15" s="10" t="n"/>
      <c r="H15" s="10" t="n"/>
      <c r="I15" s="8" t="inlineStr">
        <is>
          <t>zemni_prace</t>
        </is>
      </c>
      <c r="J15" s="8" t="inlineStr">
        <is>
          <t>URS-prop 162701??? ?</t>
        </is>
      </c>
    </row>
    <row r="16">
      <c r="A16" s="20" t="n">
        <v>15</v>
      </c>
      <c r="B16" s="20" t="inlineStr">
        <is>
          <t>260219_dum</t>
        </is>
      </c>
      <c r="C16" s="8" t="inlineStr">
        <is>
          <t>HSV-2 Základové a ŽB</t>
        </is>
      </c>
      <c r="D16" s="8" t="inlineStr">
        <is>
          <t>Bílá vana — pata — Bílá vana ČBS 02 — pata úhlové opěrné stěny 250×1200 mm × L=10 m, C25/30 XC3 XF1 XA1 CL0.4 Dmax22 S3</t>
        </is>
      </c>
      <c r="E16" s="20" t="inlineStr">
        <is>
          <t>m³</t>
        </is>
      </c>
      <c r="F16" s="22" t="n">
        <v>3</v>
      </c>
      <c r="G16" s="10" t="n"/>
      <c r="H16" s="10" t="n"/>
      <c r="I16" s="8" t="inlineStr">
        <is>
          <t>bila_vana_csb02</t>
        </is>
      </c>
      <c r="J16" s="8" t="inlineStr">
        <is>
          <t>URS-prop 274321321</t>
        </is>
      </c>
    </row>
    <row r="17">
      <c r="A17" s="20" t="n">
        <v>16</v>
      </c>
      <c r="B17" s="20" t="inlineStr">
        <is>
          <t>260219_dum</t>
        </is>
      </c>
      <c r="C17" s="8" t="inlineStr">
        <is>
          <t>HSV-2 Základové a ŽB</t>
        </is>
      </c>
      <c r="D17" s="8" t="inlineStr">
        <is>
          <t>Bílá vana — stěna — Bílá vana ČBS 02 — stěna úhlová tl. 250 mm × výška 2050 mm × L=10 m, beton C25/30 XC3 XF1 XA1 (trhliny max 0.20 mm)</t>
        </is>
      </c>
      <c r="E17" s="20" t="inlineStr">
        <is>
          <t>m³</t>
        </is>
      </c>
      <c r="F17" s="22" t="n">
        <v>5.12</v>
      </c>
      <c r="G17" s="10" t="n"/>
      <c r="H17" s="10" t="n"/>
      <c r="I17" s="8" t="inlineStr">
        <is>
          <t>bila_vana_csb02</t>
        </is>
      </c>
      <c r="J17" s="8" t="inlineStr">
        <is>
          <t>URS-prop 274321321</t>
        </is>
      </c>
    </row>
    <row r="18">
      <c r="A18" s="20" t="n">
        <v>17</v>
      </c>
      <c r="B18" s="20" t="inlineStr">
        <is>
          <t>260219_dum</t>
        </is>
      </c>
      <c r="C18" s="8" t="inlineStr">
        <is>
          <t>HSV-2 Základové a ŽB</t>
        </is>
      </c>
      <c r="D18" s="8" t="inlineStr">
        <is>
          <t>Bílá vana — bednění systémové — Systémové oboustranné bednění bílé vany — DOKA Framax / PERI MAXIMO, vč. těsnění pracovních spár bobtnavý pásek bentonit (TZ §5.5)</t>
        </is>
      </c>
      <c r="E18" s="20" t="inlineStr">
        <is>
          <t>m²</t>
        </is>
      </c>
      <c r="F18" s="22" t="n">
        <v>65</v>
      </c>
      <c r="G18" s="10" t="n"/>
      <c r="H18" s="10" t="n"/>
      <c r="I18" s="8" t="inlineStr">
        <is>
          <t>bila_vana_csb02</t>
        </is>
      </c>
      <c r="J18" s="8" t="inlineStr">
        <is>
          <t>URS-prop 631311115</t>
        </is>
      </c>
    </row>
    <row r="19">
      <c r="A19" s="20" t="n">
        <v>18</v>
      </c>
      <c r="B19" s="20" t="inlineStr">
        <is>
          <t>260219_dum</t>
        </is>
      </c>
      <c r="C19" s="8" t="inlineStr">
        <is>
          <t>HSV-2 Základové a ŽB</t>
        </is>
      </c>
      <c r="D19" s="8" t="inlineStr">
        <is>
          <t>Bílá vana — výztuž B500B — Výztuž bílé vany B500B 120 kg/m³ (empirická sazba Methvin pro úhlové opěrné stěny W0)</t>
        </is>
      </c>
      <c r="E19" s="20" t="inlineStr">
        <is>
          <t>kg</t>
        </is>
      </c>
      <c r="F19" s="22" t="n">
        <v>975</v>
      </c>
      <c r="G19" s="10" t="n"/>
      <c r="H19" s="10" t="n"/>
      <c r="I19" s="8" t="inlineStr">
        <is>
          <t>zelezobetonarsky_specialny</t>
        </is>
      </c>
      <c r="J19" s="8" t="inlineStr">
        <is>
          <t>URS-prop 273361821</t>
        </is>
      </c>
    </row>
    <row r="20">
      <c r="A20" s="20" t="n">
        <v>19</v>
      </c>
      <c r="B20" s="20" t="inlineStr">
        <is>
          <t>260219_dum</t>
        </is>
      </c>
      <c r="C20" s="8" t="inlineStr">
        <is>
          <t>HSV-2 Základové a ŽB</t>
        </is>
      </c>
      <c r="D20" s="8" t="inlineStr">
        <is>
          <t>Bílá vana — separační fólie — Separační PE fólie pod základovou patou bílé vany (povinná dle ČBS 02)</t>
        </is>
      </c>
      <c r="E20" s="20" t="inlineStr">
        <is>
          <t>m²</t>
        </is>
      </c>
      <c r="F20" s="22" t="n">
        <v>13.2</v>
      </c>
      <c r="G20" s="10" t="n"/>
      <c r="H20" s="10" t="n"/>
      <c r="I20" s="8" t="inlineStr">
        <is>
          <t>izolater_HI</t>
        </is>
      </c>
      <c r="J20" s="8" t="inlineStr">
        <is>
          <t>URS-prop 711141??? ?</t>
        </is>
      </c>
    </row>
    <row r="21">
      <c r="A21" s="20" t="n">
        <v>20</v>
      </c>
      <c r="B21" s="20" t="inlineStr">
        <is>
          <t>260219_dum</t>
        </is>
      </c>
      <c r="C21" s="8" t="inlineStr">
        <is>
          <t>HSV-2 Základové a ŽB</t>
        </is>
      </c>
      <c r="D21" s="8" t="inlineStr">
        <is>
          <t>Bílá vana — ošetřování — Mokré ošetřování betonu bílé vany min. 7 dní dle ČSN EN 13670 + ČBS 02 (kontrola trhlin max 0.20 mm)</t>
        </is>
      </c>
      <c r="E21" s="20" t="inlineStr">
        <is>
          <t>m²</t>
        </is>
      </c>
      <c r="F21" s="22" t="n">
        <v>53</v>
      </c>
      <c r="G21" s="10" t="n"/>
      <c r="H21" s="10" t="n"/>
      <c r="I21" s="8" t="inlineStr">
        <is>
          <t>bila_vana_csb02</t>
        </is>
      </c>
      <c r="J21" s="8" t="inlineStr">
        <is>
          <t>URS-prop 279351102</t>
        </is>
      </c>
    </row>
    <row r="22">
      <c r="A22" s="20" t="n">
        <v>21</v>
      </c>
      <c r="B22" s="20" t="inlineStr">
        <is>
          <t>260219_dum</t>
        </is>
      </c>
      <c r="C22" s="8" t="inlineStr">
        <is>
          <t>HSV-2 Základové a ŽB</t>
        </is>
      </c>
      <c r="D22" s="8" t="inlineStr">
        <is>
          <t>Pozední věnec 3.NP — ŽB pozední věnec 300×250 mm po obvodu nadezdívky 3.NP, beton C25/30 XC1 + výztuž 100 kg/m³</t>
        </is>
      </c>
      <c r="E22" s="20" t="inlineStr">
        <is>
          <t>m³</t>
        </is>
      </c>
      <c r="F22" s="22" t="n">
        <v>2.9</v>
      </c>
      <c r="G22" s="10" t="n"/>
      <c r="H22" s="10" t="n"/>
      <c r="I22" s="8" t="inlineStr">
        <is>
          <t>zelezobetonarsky_specialny</t>
        </is>
      </c>
      <c r="J22" s="8" t="inlineStr">
        <is>
          <t>URS-prop 274321311</t>
        </is>
      </c>
    </row>
    <row r="23">
      <c r="A23" s="20" t="n">
        <v>22</v>
      </c>
      <c r="B23" s="20" t="inlineStr">
        <is>
          <t>260219_dum</t>
        </is>
      </c>
      <c r="C23" s="8" t="inlineStr">
        <is>
          <t>HSV-2 Základové a ŽB</t>
        </is>
      </c>
      <c r="D23" s="8" t="inlineStr">
        <is>
          <t>Pozední věnec — bednění — Bednění pozedního věnce systémové oboustranné</t>
        </is>
      </c>
      <c r="E23" s="20" t="inlineStr">
        <is>
          <t>m²</t>
        </is>
      </c>
      <c r="F23" s="22" t="n">
        <v>19.4</v>
      </c>
      <c r="G23" s="10" t="n"/>
      <c r="H23" s="10" t="n"/>
      <c r="I23" s="8" t="inlineStr">
        <is>
          <t>bednici_tesar</t>
        </is>
      </c>
      <c r="J23" s="8" t="inlineStr">
        <is>
          <t>URS-prop 631311115</t>
        </is>
      </c>
    </row>
    <row r="24">
      <c r="A24" s="20" t="n">
        <v>23</v>
      </c>
      <c r="B24" s="20" t="inlineStr">
        <is>
          <t>260219_dum</t>
        </is>
      </c>
      <c r="C24" s="8" t="inlineStr">
        <is>
          <t>HSV-2 Základové a ŽB</t>
        </is>
      </c>
      <c r="D24" s="8" t="inlineStr">
        <is>
          <t>Pozední věnec — výztuž — Výztuž B500B věnce 100 kg/m³ (Methvin sazba pro pozední věnce)</t>
        </is>
      </c>
      <c r="E24" s="20" t="inlineStr">
        <is>
          <t>kg</t>
        </is>
      </c>
      <c r="F24" s="22" t="n">
        <v>310</v>
      </c>
      <c r="G24" s="10" t="n"/>
      <c r="H24" s="10" t="n"/>
      <c r="I24" s="8" t="inlineStr">
        <is>
          <t>zelezobetonarsky_specialny</t>
        </is>
      </c>
      <c r="J24" s="8" t="inlineStr">
        <is>
          <t>URS-prop 273361821</t>
        </is>
      </c>
    </row>
    <row r="25">
      <c r="A25" s="20" t="n">
        <v>24</v>
      </c>
      <c r="B25" s="20" t="inlineStr">
        <is>
          <t>260219_dum</t>
        </is>
      </c>
      <c r="C25" s="8" t="inlineStr">
        <is>
          <t>HSV-2 Základové a ŽB</t>
        </is>
      </c>
      <c r="D25" s="8" t="inlineStr">
        <is>
          <t>Nabetonávka stropu 2.NP/3.NP — Nabetonávka stropu 2.NP/3.NP — beton C25/30 XC1 tl. 60 mm nad vlnu trapézového plechu 40S/160</t>
        </is>
      </c>
      <c r="E25" s="20" t="inlineStr">
        <is>
          <t>m³</t>
        </is>
      </c>
      <c r="F25" s="22" t="n">
        <v>6.26</v>
      </c>
      <c r="G25" s="10" t="n"/>
      <c r="H25" s="10" t="n"/>
      <c r="I25" s="8" t="inlineStr">
        <is>
          <t>ocelobeton_strop_IPE_trapez</t>
        </is>
      </c>
      <c r="J25" s="8" t="inlineStr">
        <is>
          <t>URS-prop 274321111</t>
        </is>
      </c>
    </row>
    <row r="26">
      <c r="A26" s="20" t="n">
        <v>25</v>
      </c>
      <c r="B26" s="20" t="inlineStr">
        <is>
          <t>260219_dum</t>
        </is>
      </c>
      <c r="C26" s="8" t="inlineStr">
        <is>
          <t>HSV-2 Základové a ŽB</t>
        </is>
      </c>
      <c r="D26" s="8" t="inlineStr">
        <is>
          <t>Nabetonávka — výztuž kari síť — Výztuž nabetonávky kari síť 5/100/100 (cca 4.4 kg/m²)</t>
        </is>
      </c>
      <c r="E26" s="20" t="inlineStr">
        <is>
          <t>kg</t>
        </is>
      </c>
      <c r="F26" s="22" t="n">
        <v>459</v>
      </c>
      <c r="G26" s="10" t="n"/>
      <c r="H26" s="10" t="n"/>
      <c r="I26" s="8" t="inlineStr">
        <is>
          <t>ocelobeton_strop_IPE_trapez</t>
        </is>
      </c>
      <c r="J26" s="8" t="inlineStr">
        <is>
          <t>URS-prop 273362441</t>
        </is>
      </c>
    </row>
    <row r="27">
      <c r="A27" s="20" t="n">
        <v>26</v>
      </c>
      <c r="B27" s="20" t="inlineStr">
        <is>
          <t>260219_dum</t>
        </is>
      </c>
      <c r="C27" s="8" t="inlineStr">
        <is>
          <t>HSV-2 Základové a ŽB</t>
        </is>
      </c>
      <c r="D27" s="8" t="inlineStr">
        <is>
          <t>Deska 1.NP na terénu — ŽB deska podlahy 1.NP na terénu tl. 150 mm, C25/30 XC2 + vyztužení kari 6/150/150 + okrajové pruty</t>
        </is>
      </c>
      <c r="E27" s="20" t="inlineStr">
        <is>
          <t>m³</t>
        </is>
      </c>
      <c r="F27" s="22" t="n">
        <v>10.96</v>
      </c>
      <c r="G27" s="10" t="n"/>
      <c r="H27" s="10" t="n"/>
      <c r="I27" s="8" t="inlineStr">
        <is>
          <t>zelezobetonarsky_specialny</t>
        </is>
      </c>
      <c r="J27" s="8" t="inlineStr">
        <is>
          <t>URS-prop 273321311</t>
        </is>
      </c>
    </row>
    <row r="28">
      <c r="A28" s="20" t="n">
        <v>27</v>
      </c>
      <c r="B28" s="20" t="inlineStr">
        <is>
          <t>260219_dum</t>
        </is>
      </c>
      <c r="C28" s="8" t="inlineStr">
        <is>
          <t>HSV-2 Základové a ŽB</t>
        </is>
      </c>
      <c r="D28" s="8" t="inlineStr">
        <is>
          <t>Deska 1.NP — výztuž — Výztuž ŽB desky 1.NP — kari 6/150/150 + B500B okrajové pruty (~75 kg/m³ Methvin)</t>
        </is>
      </c>
      <c r="E28" s="20" t="inlineStr">
        <is>
          <t>kg</t>
        </is>
      </c>
      <c r="F28" s="22" t="n">
        <v>825</v>
      </c>
      <c r="G28" s="10" t="n"/>
      <c r="H28" s="10" t="n"/>
      <c r="I28" s="8" t="inlineStr">
        <is>
          <t>zelezobetonarsky_specialny</t>
        </is>
      </c>
      <c r="J28" s="8" t="inlineStr">
        <is>
          <t>URS-prop 273361821</t>
        </is>
      </c>
    </row>
    <row r="29">
      <c r="A29" s="20" t="n">
        <v>28</v>
      </c>
      <c r="B29" s="20" t="inlineStr">
        <is>
          <t>260217_sklad</t>
        </is>
      </c>
      <c r="C29" s="8" t="inlineStr">
        <is>
          <t>HSV-2 Základové a ŽB</t>
        </is>
      </c>
      <c r="D29" s="8" t="inlineStr">
        <is>
          <t>Základové pasy sklad — Základové pasy z prostého betonu C16/20 XC0, 500×500 mm po obvodu skladu (nezámrzná hl.)</t>
        </is>
      </c>
      <c r="E29" s="20" t="inlineStr">
        <is>
          <t>m³</t>
        </is>
      </c>
      <c r="F29" s="22" t="n">
        <v>4.84</v>
      </c>
      <c r="G29" s="10" t="n"/>
      <c r="H29" s="10" t="n"/>
      <c r="I29" s="8" t="inlineStr">
        <is>
          <t>zelezobetonarsky_specialny</t>
        </is>
      </c>
      <c r="J29" s="8" t="inlineStr">
        <is>
          <t>URS-prop 271313??? ?</t>
        </is>
      </c>
    </row>
    <row r="30">
      <c r="A30" s="20" t="n">
        <v>29</v>
      </c>
      <c r="B30" s="20" t="inlineStr">
        <is>
          <t>260217_sklad</t>
        </is>
      </c>
      <c r="C30" s="8" t="inlineStr">
        <is>
          <t>HSV-2 Základové a ŽB</t>
        </is>
      </c>
      <c r="D30" s="8" t="inlineStr">
        <is>
          <t>Patky parking — spodní — Dvoustupňové patky pro IPE180 zastřešení parkingu — spodní část prostý beton C16/20 500×500×500 mm × 7 ks</t>
        </is>
      </c>
      <c r="E30" s="20" t="inlineStr">
        <is>
          <t>ks</t>
        </is>
      </c>
      <c r="F30" s="23" t="n">
        <v>7</v>
      </c>
      <c r="G30" s="10" t="n"/>
      <c r="H30" s="10" t="n"/>
      <c r="I30" s="8" t="inlineStr">
        <is>
          <t>zelezobetonarsky_specialny</t>
        </is>
      </c>
      <c r="J30" s="8" t="inlineStr">
        <is>
          <t>URS-prop 273313811</t>
        </is>
      </c>
    </row>
    <row r="31">
      <c r="A31" s="20" t="n">
        <v>30</v>
      </c>
      <c r="B31" s="20" t="inlineStr">
        <is>
          <t>260217_sklad</t>
        </is>
      </c>
      <c r="C31" s="8" t="inlineStr">
        <is>
          <t>HSV-2 Základové a ŽB</t>
        </is>
      </c>
      <c r="D31" s="8" t="inlineStr">
        <is>
          <t>Patky parking — horní — Dvoustupňové patky pro IPE180 — horní část z tvarovek ztraceného bednění 300×300 mm × 7 ks</t>
        </is>
      </c>
      <c r="E31" s="20" t="inlineStr">
        <is>
          <t>ks</t>
        </is>
      </c>
      <c r="F31" s="23" t="n">
        <v>7</v>
      </c>
      <c r="G31" s="10" t="n"/>
      <c r="H31" s="10" t="n"/>
      <c r="I31" s="8" t="inlineStr">
        <is>
          <t>zelezobetonarsky_specialny</t>
        </is>
      </c>
      <c r="J31" s="8" t="inlineStr">
        <is>
          <t>URS-prop 311233812</t>
        </is>
      </c>
    </row>
    <row r="32">
      <c r="A32" s="20" t="n">
        <v>31</v>
      </c>
      <c r="B32" s="20" t="inlineStr">
        <is>
          <t>260217_sklad</t>
        </is>
      </c>
      <c r="C32" s="8" t="inlineStr">
        <is>
          <t>HSV-2 Základové a ŽB</t>
        </is>
      </c>
      <c r="D32" s="8" t="inlineStr">
        <is>
          <t>Beton patek + zídek — zalití — Beton C25/30 XC3 XF1 XA1 pro zalití tvarovek ZB patek + lemujících zídek parkingu</t>
        </is>
      </c>
      <c r="E32" s="20" t="inlineStr">
        <is>
          <t>m³</t>
        </is>
      </c>
      <c r="F32" s="22" t="n">
        <v>1.8</v>
      </c>
      <c r="G32" s="10" t="n"/>
      <c r="H32" s="10" t="n"/>
      <c r="I32" s="8" t="inlineStr">
        <is>
          <t>zelezobetonarsky_specialny</t>
        </is>
      </c>
      <c r="J32" s="8" t="inlineStr">
        <is>
          <t>URS-prop 273321321</t>
        </is>
      </c>
    </row>
    <row r="33">
      <c r="A33" s="20" t="n">
        <v>32</v>
      </c>
      <c r="B33" s="20" t="inlineStr">
        <is>
          <t>260217_sklad</t>
        </is>
      </c>
      <c r="C33" s="8" t="inlineStr">
        <is>
          <t>HSV-2 Základové a ŽB</t>
        </is>
      </c>
      <c r="D33" s="8" t="inlineStr">
        <is>
          <t>Štěrkopískové lože — Štěrkopískové lože pod podlahu skladu + pod schodišťovou desku</t>
        </is>
      </c>
      <c r="E33" s="20" t="inlineStr">
        <is>
          <t>m³</t>
        </is>
      </c>
      <c r="F33" s="22" t="n">
        <v>2.12</v>
      </c>
      <c r="G33" s="10" t="n"/>
      <c r="H33" s="10" t="n"/>
      <c r="I33" s="8" t="inlineStr">
        <is>
          <t>zemni_prace</t>
        </is>
      </c>
      <c r="J33" s="8" t="inlineStr">
        <is>
          <t>URS-prop 174101101</t>
        </is>
      </c>
    </row>
    <row r="34">
      <c r="A34" s="20" t="n">
        <v>33</v>
      </c>
      <c r="B34" s="20" t="inlineStr">
        <is>
          <t>260217_sklad</t>
        </is>
      </c>
      <c r="C34" s="8" t="inlineStr">
        <is>
          <t>HSV-2 Základové a ŽB</t>
        </is>
      </c>
      <c r="D34" s="8" t="inlineStr">
        <is>
          <t>Schodišťová deska + pas — ŽB schodišťová deska ve sklonu + základový pas — beton C25/30 XC3 (terén ke skladu)</t>
        </is>
      </c>
      <c r="E34" s="20" t="inlineStr">
        <is>
          <t>m³</t>
        </is>
      </c>
      <c r="F34" s="22" t="n">
        <v>0.8</v>
      </c>
      <c r="G34" s="10" t="n"/>
      <c r="H34" s="10" t="n"/>
      <c r="I34" s="8" t="inlineStr">
        <is>
          <t>zelezobetonarsky_specialny</t>
        </is>
      </c>
      <c r="J34" s="8" t="inlineStr">
        <is>
          <t>URS-prop 273361821</t>
        </is>
      </c>
    </row>
    <row r="35">
      <c r="A35" s="20" t="n">
        <v>34</v>
      </c>
      <c r="B35" s="20" t="inlineStr">
        <is>
          <t>260219_dum</t>
        </is>
      </c>
      <c r="C35" s="8" t="inlineStr">
        <is>
          <t>HSV-3 Svislé konstrukce</t>
        </is>
      </c>
      <c r="D35" s="8" t="inlineStr">
        <is>
          <t>Dozdívky cihla pálená — Lokální dozdívky a přizdívky z cihel plných pálených P10 na MVC M10 (uvedeno v TZ statika §4)</t>
        </is>
      </c>
      <c r="E35" s="20" t="inlineStr">
        <is>
          <t>m³</t>
        </is>
      </c>
      <c r="F35" s="22" t="n">
        <v>4</v>
      </c>
      <c r="G35" s="10" t="n"/>
      <c r="H35" s="10" t="n"/>
      <c r="I35" s="8" t="inlineStr">
        <is>
          <t>zednik</t>
        </is>
      </c>
      <c r="J35" s="8" t="inlineStr">
        <is>
          <t>URS-prop 311232511</t>
        </is>
      </c>
    </row>
    <row r="36">
      <c r="A36" s="20" t="n">
        <v>35</v>
      </c>
      <c r="B36" s="20" t="inlineStr">
        <is>
          <t>260219_dum</t>
        </is>
      </c>
      <c r="C36" s="8" t="inlineStr">
        <is>
          <t>HSV-3 Svislé konstrukce</t>
        </is>
      </c>
      <c r="D36" s="8" t="inlineStr">
        <is>
          <t>Nadezdívka 3.NP Porotherm — Nadezdívka 3.NP a čela vikýřů — Porotherm 30 Profi P10 na maltu pro tenké spáry, výška 2.65 m</t>
        </is>
      </c>
      <c r="E36" s="20" t="inlineStr">
        <is>
          <t>m²</t>
        </is>
      </c>
      <c r="F36" s="22" t="n">
        <v>71.8</v>
      </c>
      <c r="G36" s="10" t="n"/>
      <c r="H36" s="10" t="n"/>
      <c r="I36" s="8" t="inlineStr">
        <is>
          <t>zednik</t>
        </is>
      </c>
      <c r="J36" s="8" t="inlineStr">
        <is>
          <t>URS-prop 311321411</t>
        </is>
      </c>
    </row>
    <row r="37">
      <c r="A37" s="20" t="n">
        <v>36</v>
      </c>
      <c r="B37" s="20" t="inlineStr">
        <is>
          <t>260219_dum</t>
        </is>
      </c>
      <c r="C37" s="8" t="inlineStr">
        <is>
          <t>HSV-3 Svislé konstrukce</t>
        </is>
      </c>
      <c r="D37" s="8" t="inlineStr">
        <is>
          <t>Překlady IPN160 ve dvojici — Ocelové překlady IPN160 ve dvojici nad otvory pro nové dveře/okna v 1.NP a 2.NP (8 otvorů odhad)</t>
        </is>
      </c>
      <c r="E37" s="20" t="inlineStr">
        <is>
          <t>ks</t>
        </is>
      </c>
      <c r="F37" s="23" t="n">
        <v>8</v>
      </c>
      <c r="G37" s="10" t="n"/>
      <c r="H37" s="10" t="n"/>
      <c r="I37" s="8" t="inlineStr">
        <is>
          <t>ocel_zamecnik_konstrukce</t>
        </is>
      </c>
      <c r="J37" s="8" t="inlineStr">
        <is>
          <t>URS-prop 317143112</t>
        </is>
      </c>
    </row>
    <row r="38">
      <c r="A38" s="20" t="n">
        <v>37</v>
      </c>
      <c r="B38" s="20" t="inlineStr">
        <is>
          <t>260219_dum</t>
        </is>
      </c>
      <c r="C38" s="8" t="inlineStr">
        <is>
          <t>HSV-3 Svislé konstrukce</t>
        </is>
      </c>
      <c r="D38" s="8" t="inlineStr">
        <is>
          <t>Překlady — uložení malta + kari — Maltové uložení překladů IPN160 — MC25 tl. 50 mm + kari 5/100/100 (po obou stranách otvoru)</t>
        </is>
      </c>
      <c r="E38" s="20" t="inlineStr">
        <is>
          <t>kpl</t>
        </is>
      </c>
      <c r="F38" s="23" t="n">
        <v>16</v>
      </c>
      <c r="G38" s="10" t="n"/>
      <c r="H38" s="10" t="n"/>
      <c r="I38" s="8" t="inlineStr">
        <is>
          <t>zednik</t>
        </is>
      </c>
      <c r="J38" s="8" t="inlineStr">
        <is>
          <t>URS-prop 317242421</t>
        </is>
      </c>
    </row>
    <row r="39">
      <c r="A39" s="20" t="n">
        <v>38</v>
      </c>
      <c r="B39" s="20" t="inlineStr">
        <is>
          <t>260219_dum</t>
        </is>
      </c>
      <c r="C39" s="8" t="inlineStr">
        <is>
          <t>HSV-3 Svislé konstrukce</t>
        </is>
      </c>
      <c r="D39" s="8" t="inlineStr">
        <is>
          <t>Zesílení ostění L100/10 u komínu — Zesílení ostění úhelníky L100/10 dvojicí u otvoru u komínového tělesa (statická limitace)</t>
        </is>
      </c>
      <c r="E39" s="20" t="inlineStr">
        <is>
          <t>ks</t>
        </is>
      </c>
      <c r="F39" s="23" t="n">
        <v>4</v>
      </c>
      <c r="G39" s="10" t="n"/>
      <c r="H39" s="10" t="n"/>
      <c r="I39" s="8" t="inlineStr">
        <is>
          <t>ocel_zamecnik_konstrukce</t>
        </is>
      </c>
      <c r="J39" s="8" t="inlineStr">
        <is>
          <t>URS-prop 767131120</t>
        </is>
      </c>
    </row>
    <row r="40">
      <c r="A40" s="20" t="n">
        <v>39</v>
      </c>
      <c r="B40" s="20" t="inlineStr">
        <is>
          <t>260219_dum</t>
        </is>
      </c>
      <c r="C40" s="8" t="inlineStr">
        <is>
          <t>HSV-3 Svislé konstrukce</t>
        </is>
      </c>
      <c r="D40" s="8" t="inlineStr">
        <is>
          <t>Podstojkování přiléhajících stropů — Dočasné podstojkování stávajících přiléhajících stropů při osazování IPN překladů (8 otvorů)</t>
        </is>
      </c>
      <c r="E40" s="20" t="inlineStr">
        <is>
          <t>kpl</t>
        </is>
      </c>
      <c r="F40" s="23" t="n">
        <v>8</v>
      </c>
      <c r="G40" s="10" t="n"/>
      <c r="H40" s="10" t="n"/>
      <c r="I40" s="8" t="inlineStr">
        <is>
          <t>zelezobetonarsky_specialny</t>
        </is>
      </c>
      <c r="J40" s="8" t="inlineStr">
        <is>
          <t>URS-prop 962081120</t>
        </is>
      </c>
    </row>
    <row r="41">
      <c r="A41" s="20" t="n">
        <v>40</v>
      </c>
      <c r="B41" s="20" t="inlineStr">
        <is>
          <t>260219_dum</t>
        </is>
      </c>
      <c r="C41" s="8" t="inlineStr">
        <is>
          <t>HSV-3 Svislé konstrukce</t>
        </is>
      </c>
      <c r="D41" s="8" t="inlineStr">
        <is>
          <t>Příčky nové porobeton — Nové příčky z pórobetonových tvárnic 150 mm na lepidlo + dilatovány od stropu</t>
        </is>
      </c>
      <c r="E41" s="20" t="inlineStr">
        <is>
          <t>m²</t>
        </is>
      </c>
      <c r="F41" s="22" t="n">
        <v>87.7</v>
      </c>
      <c r="G41" s="10" t="n"/>
      <c r="H41" s="10" t="n"/>
      <c r="I41" s="8" t="inlineStr">
        <is>
          <t>zednik</t>
        </is>
      </c>
      <c r="J41" s="8" t="inlineStr">
        <is>
          <t>URS-prop 342241211</t>
        </is>
      </c>
    </row>
    <row r="42">
      <c r="A42" s="20" t="n">
        <v>41</v>
      </c>
      <c r="B42" s="20" t="inlineStr">
        <is>
          <t>260217_sklad</t>
        </is>
      </c>
      <c r="C42" s="8" t="inlineStr">
        <is>
          <t>HSV-3 Svislé konstrukce</t>
        </is>
      </c>
      <c r="D42" s="8" t="inlineStr">
        <is>
          <t>H-BLOK opěrná stěna — Zadní opěrná stěna — prefabrikované betonové bloky Herkul H-BLOK Standard, vazba běhounová s posunem 0.5</t>
        </is>
      </c>
      <c r="E42" s="20" t="inlineStr">
        <is>
          <t>ks</t>
        </is>
      </c>
      <c r="F42" s="23" t="n">
        <v>60</v>
      </c>
      <c r="G42" s="10" t="n"/>
      <c r="H42" s="10" t="n"/>
      <c r="I42" s="8" t="inlineStr">
        <is>
          <t>prefa_bloky_specialista</t>
        </is>
      </c>
      <c r="J42" s="8" t="inlineStr">
        <is>
          <t>URS-prop 311233815</t>
        </is>
      </c>
    </row>
    <row r="43">
      <c r="A43" s="20" t="n">
        <v>42</v>
      </c>
      <c r="B43" s="20" t="inlineStr">
        <is>
          <t>260217_sklad</t>
        </is>
      </c>
      <c r="C43" s="8" t="inlineStr">
        <is>
          <t>HSV-3 Svislé konstrukce</t>
        </is>
      </c>
      <c r="D43" s="8" t="inlineStr">
        <is>
          <t>Tvarovky ZB obvod skladu — Obvodové stěny skladu — tvarovky ztraceného bednění tl. 250 mm × výška 2.4 m + zalití C25/30</t>
        </is>
      </c>
      <c r="E43" s="20" t="inlineStr">
        <is>
          <t>m²</t>
        </is>
      </c>
      <c r="F43" s="22" t="n">
        <v>46.5</v>
      </c>
      <c r="G43" s="10" t="n"/>
      <c r="H43" s="10" t="n"/>
      <c r="I43" s="8" t="inlineStr">
        <is>
          <t>zednik</t>
        </is>
      </c>
      <c r="J43" s="8" t="inlineStr">
        <is>
          <t>URS-prop 311233811</t>
        </is>
      </c>
    </row>
    <row r="44">
      <c r="A44" s="20" t="n">
        <v>43</v>
      </c>
      <c r="B44" s="20" t="inlineStr">
        <is>
          <t>260217_sklad</t>
        </is>
      </c>
      <c r="C44" s="8" t="inlineStr">
        <is>
          <t>HSV-3 Svislé konstrukce</t>
        </is>
      </c>
      <c r="D44" s="8" t="inlineStr">
        <is>
          <t>Výztuž ZB tvarovek — Výztuž B500B do tvarovek ztraceného bednění (~30 kg/m² stěny při zalití C25/30)</t>
        </is>
      </c>
      <c r="E44" s="20" t="inlineStr">
        <is>
          <t>kg</t>
        </is>
      </c>
      <c r="F44" s="22" t="n">
        <v>1398</v>
      </c>
      <c r="G44" s="10" t="n"/>
      <c r="H44" s="10" t="n"/>
      <c r="I44" s="8" t="inlineStr">
        <is>
          <t>zelezobetonarsky_specialny</t>
        </is>
      </c>
      <c r="J44" s="8" t="inlineStr">
        <is>
          <t>URS-prop 273361821</t>
        </is>
      </c>
    </row>
    <row r="45">
      <c r="A45" s="20" t="n">
        <v>44</v>
      </c>
      <c r="B45" s="20" t="inlineStr">
        <is>
          <t>260219_dum</t>
        </is>
      </c>
      <c r="C45" s="8" t="inlineStr">
        <is>
          <t>HSV-4 Vodorovné</t>
        </is>
      </c>
      <c r="D45" s="8" t="inlineStr">
        <is>
          <t>IPE180 stropnice 1.NP — Ocelová stropnice IPE180 1.NP v pozici nové příčky 2.NP — dodávka + montáž (1 ks × ~5 m)</t>
        </is>
      </c>
      <c r="E45" s="20" t="inlineStr">
        <is>
          <t>kg</t>
        </is>
      </c>
      <c r="F45" s="22" t="n">
        <v>94</v>
      </c>
      <c r="G45" s="10" t="n"/>
      <c r="H45" s="10" t="n"/>
      <c r="I45" s="8" t="inlineStr">
        <is>
          <t>ocel_zamecnik_konstrukce</t>
        </is>
      </c>
      <c r="J45" s="8" t="inlineStr">
        <is>
          <t>URS-prop 411321414</t>
        </is>
      </c>
    </row>
    <row r="46">
      <c r="A46" s="20" t="n">
        <v>45</v>
      </c>
      <c r="B46" s="20" t="inlineStr">
        <is>
          <t>260219_dum</t>
        </is>
      </c>
      <c r="C46" s="8" t="inlineStr">
        <is>
          <t>HSV-4 Vodorovné</t>
        </is>
      </c>
      <c r="D46" s="8" t="inlineStr">
        <is>
          <t>Ocelobeton — IPE180 stropnice 2.NP/3.NP — Ocelobetonový strop 2.NP/3.NP — stropnice IPE180 á 1000 mm × rozpon ~8 m × ~8 ks</t>
        </is>
      </c>
      <c r="E46" s="20" t="inlineStr">
        <is>
          <t>kg</t>
        </is>
      </c>
      <c r="F46" s="22" t="n">
        <v>1203</v>
      </c>
      <c r="G46" s="10" t="n"/>
      <c r="H46" s="10" t="n"/>
      <c r="I46" s="8" t="inlineStr">
        <is>
          <t>ocelobeton_strop_IPE_trapez</t>
        </is>
      </c>
      <c r="J46" s="8" t="inlineStr">
        <is>
          <t>URS-prop 411321414</t>
        </is>
      </c>
    </row>
    <row r="47">
      <c r="A47" s="20" t="n">
        <v>46</v>
      </c>
      <c r="B47" s="20" t="inlineStr">
        <is>
          <t>260219_dum</t>
        </is>
      </c>
      <c r="C47" s="8" t="inlineStr">
        <is>
          <t>HSV-4 Vodorovné</t>
        </is>
      </c>
      <c r="D47" s="8" t="inlineStr">
        <is>
          <t>Ocelobeton — HEA180 výztuha trakt ulice — Ocelobetonový strop — výztuha 2×HEA180 trakt do ulice (Fibichova), dl. ~10 m</t>
        </is>
      </c>
      <c r="E47" s="20" t="inlineStr">
        <is>
          <t>kg</t>
        </is>
      </c>
      <c r="F47" s="22" t="n">
        <v>710</v>
      </c>
      <c r="G47" s="10" t="n"/>
      <c r="H47" s="10" t="n"/>
      <c r="I47" s="8" t="inlineStr">
        <is>
          <t>ocelobeton_strop_IPE_trapez</t>
        </is>
      </c>
      <c r="J47" s="8" t="inlineStr">
        <is>
          <t>URS-prop 411321414</t>
        </is>
      </c>
    </row>
    <row r="48">
      <c r="A48" s="20" t="n">
        <v>47</v>
      </c>
      <c r="B48" s="20" t="inlineStr">
        <is>
          <t>260219_dum</t>
        </is>
      </c>
      <c r="C48" s="8" t="inlineStr">
        <is>
          <t>HSV-4 Vodorovné</t>
        </is>
      </c>
      <c r="D48" s="8" t="inlineStr">
        <is>
          <t>Ocelobeton — HEA200 výztuha dvorní — Ocelobetonový strop — výztuha HEA200 dvorní trakt, dl. ~10 m</t>
        </is>
      </c>
      <c r="E48" s="20" t="inlineStr">
        <is>
          <t>kg</t>
        </is>
      </c>
      <c r="F48" s="22" t="n">
        <v>423</v>
      </c>
      <c r="G48" s="10" t="n"/>
      <c r="H48" s="10" t="n"/>
      <c r="I48" s="8" t="inlineStr">
        <is>
          <t>ocelobeton_strop_IPE_trapez</t>
        </is>
      </c>
      <c r="J48" s="8" t="inlineStr">
        <is>
          <t>URS-prop 411321414</t>
        </is>
      </c>
    </row>
    <row r="49">
      <c r="A49" s="20" t="n">
        <v>48</v>
      </c>
      <c r="B49" s="20" t="inlineStr">
        <is>
          <t>260219_dum</t>
        </is>
      </c>
      <c r="C49" s="8" t="inlineStr">
        <is>
          <t>HSV-4 Vodorovné</t>
        </is>
      </c>
      <c r="D49" s="8" t="inlineStr">
        <is>
          <t>Trapéz 40S/160 dodávka — Trapézový plech 40S/160 tl. 0.75 mm — dodávka + montáž na stropnice IPE180</t>
        </is>
      </c>
      <c r="E49" s="20" t="inlineStr">
        <is>
          <t>m²</t>
        </is>
      </c>
      <c r="F49" s="22" t="n">
        <v>104.4</v>
      </c>
      <c r="G49" s="10" t="n"/>
      <c r="H49" s="10" t="n"/>
      <c r="I49" s="8" t="inlineStr">
        <is>
          <t>ocelobeton_strop_IPE_trapez</t>
        </is>
      </c>
      <c r="J49" s="8" t="inlineStr">
        <is>
          <t>URS-prop 411321414</t>
        </is>
      </c>
    </row>
    <row r="50">
      <c r="A50" s="20" t="n">
        <v>49</v>
      </c>
      <c r="B50" s="20" t="inlineStr">
        <is>
          <t>260219_dum</t>
        </is>
      </c>
      <c r="C50" s="8" t="inlineStr">
        <is>
          <t>HSV-4 Vodorovné</t>
        </is>
      </c>
      <c r="D50" s="8" t="inlineStr">
        <is>
          <t>Protipožární SDK podhled trapéz — Protipožární SDK podhled pod trapézovým plechem (EI 30 dle PBŘ — ocelobeton + SDK)</t>
        </is>
      </c>
      <c r="E50" s="20" t="inlineStr">
        <is>
          <t>m²</t>
        </is>
      </c>
      <c r="F50" s="22" t="n">
        <v>104.4</v>
      </c>
      <c r="G50" s="10" t="n"/>
      <c r="H50" s="10" t="n"/>
      <c r="I50" s="8" t="inlineStr">
        <is>
          <t>sadrokartonar</t>
        </is>
      </c>
      <c r="J50" s="8" t="inlineStr">
        <is>
          <t>URS-prop 342213131</t>
        </is>
      </c>
    </row>
    <row r="51">
      <c r="A51" s="20" t="n">
        <v>50</v>
      </c>
      <c r="B51" s="20" t="inlineStr">
        <is>
          <t>260219_dum</t>
        </is>
      </c>
      <c r="C51" s="8" t="inlineStr">
        <is>
          <t>HSV-4 Vodorovné</t>
        </is>
      </c>
      <c r="D51" s="8" t="inlineStr">
        <is>
          <t>Klenba 1.PP/1.NP — vyvezení zásypu — Vyvezení původního zásypu z cihelné klenby 1.PP/1.NP — manuálně + odvoz</t>
        </is>
      </c>
      <c r="E51" s="20" t="inlineStr">
        <is>
          <t>m³</t>
        </is>
      </c>
      <c r="F51" s="22" t="n">
        <v>8</v>
      </c>
      <c r="G51" s="10" t="n"/>
      <c r="H51" s="10" t="n"/>
      <c r="I51" s="8" t="inlineStr">
        <is>
          <t>bourani_demolice</t>
        </is>
      </c>
      <c r="J51" s="8" t="inlineStr">
        <is>
          <t>URS-prop 974031150</t>
        </is>
      </c>
    </row>
    <row r="52">
      <c r="A52" s="20" t="n">
        <v>51</v>
      </c>
      <c r="B52" s="20" t="inlineStr">
        <is>
          <t>260219_dum</t>
        </is>
      </c>
      <c r="C52" s="8" t="inlineStr">
        <is>
          <t>HSV-4 Vodorovné</t>
        </is>
      </c>
      <c r="D52" s="8" t="inlineStr">
        <is>
          <t>Klenba — nový zásyp perlitbeton — Nový zásyp klenby 1.PP/1.NP — perlitbeton (lehký zásyp) tl. 100 mm</t>
        </is>
      </c>
      <c r="E52" s="20" t="inlineStr">
        <is>
          <t>m³</t>
        </is>
      </c>
      <c r="F52" s="22" t="n">
        <v>5</v>
      </c>
      <c r="G52" s="10" t="n"/>
      <c r="H52" s="10" t="n"/>
      <c r="I52" s="8" t="inlineStr">
        <is>
          <t>zednik</t>
        </is>
      </c>
      <c r="J52" s="8" t="inlineStr">
        <is>
          <t>URS-prop 271223111</t>
        </is>
      </c>
    </row>
    <row r="53">
      <c r="A53" s="20" t="n">
        <v>52</v>
      </c>
      <c r="B53" s="20" t="inlineStr">
        <is>
          <t>260219_dum</t>
        </is>
      </c>
      <c r="C53" s="8" t="inlineStr">
        <is>
          <t>HSV-4 Vodorovné</t>
        </is>
      </c>
      <c r="D53" s="8" t="inlineStr">
        <is>
          <t>Klenba — plastická perlitbeton roznášecí — Plastická perlitbetonová roznášecí vrstva tl. 50 mm nad zásypem klenby</t>
        </is>
      </c>
      <c r="E53" s="20" t="inlineStr">
        <is>
          <t>m²</t>
        </is>
      </c>
      <c r="F53" s="22" t="n">
        <v>50</v>
      </c>
      <c r="G53" s="10" t="n"/>
      <c r="H53" s="10" t="n"/>
      <c r="I53" s="8" t="inlineStr">
        <is>
          <t>podlahar</t>
        </is>
      </c>
      <c r="J53" s="8" t="inlineStr">
        <is>
          <t>URS-prop 631321311</t>
        </is>
      </c>
    </row>
    <row r="54">
      <c r="A54" s="20" t="n">
        <v>53</v>
      </c>
      <c r="B54" s="20" t="inlineStr">
        <is>
          <t>260219_dum</t>
        </is>
      </c>
      <c r="C54" s="8" t="inlineStr">
        <is>
          <t>HSV-4 Vodorovné</t>
        </is>
      </c>
      <c r="D54" s="8" t="inlineStr">
        <is>
          <t>Strop 1.NP/2.NP — odstranění shora — Strop trámový 1.NP/2.NP — sejmutí podlah, demontáž záklopu a zásypu shora (zachovat prkenný záklop na trámech)</t>
        </is>
      </c>
      <c r="E54" s="20" t="inlineStr">
        <is>
          <t>m²</t>
        </is>
      </c>
      <c r="F54" s="22" t="n">
        <v>100</v>
      </c>
      <c r="G54" s="10" t="n"/>
      <c r="H54" s="10" t="n"/>
      <c r="I54" s="8" t="inlineStr">
        <is>
          <t>bourani_demolice</t>
        </is>
      </c>
      <c r="J54" s="8" t="inlineStr">
        <is>
          <t>URS-prop 974041141</t>
        </is>
      </c>
    </row>
    <row r="55">
      <c r="A55" s="20" t="n">
        <v>54</v>
      </c>
      <c r="B55" s="20" t="inlineStr">
        <is>
          <t>260219_dum</t>
        </is>
      </c>
      <c r="C55" s="8" t="inlineStr">
        <is>
          <t>HSV-4 Vodorovné</t>
        </is>
      </c>
      <c r="D55" s="8" t="inlineStr">
        <is>
          <t>Strop 1.NP/2.NP — minerální vata mezi trámy — Tepelná izolace minerální vata mezi trámy stropu 1.NP/2.NP, tl. 180 mm (= trám 60/180)</t>
        </is>
      </c>
      <c r="E55" s="20" t="inlineStr">
        <is>
          <t>m²</t>
        </is>
      </c>
      <c r="F55" s="22" t="n">
        <v>100</v>
      </c>
      <c r="G55" s="10" t="n"/>
      <c r="H55" s="10" t="n"/>
      <c r="I55" s="8" t="inlineStr">
        <is>
          <t>izolater_TI</t>
        </is>
      </c>
      <c r="J55" s="8" t="inlineStr">
        <is>
          <t>URS-prop 713121121</t>
        </is>
      </c>
    </row>
    <row r="56">
      <c r="A56" s="20" t="n">
        <v>55</v>
      </c>
      <c r="B56" s="20" t="inlineStr">
        <is>
          <t>260219_dum</t>
        </is>
      </c>
      <c r="C56" s="8" t="inlineStr">
        <is>
          <t>HSV-4 Vodorovné</t>
        </is>
      </c>
      <c r="D56" s="8" t="inlineStr">
        <is>
          <t>Strop 1.NP/2.NP — protipož. SDK zespodu — Protipožární SDK podhled zespodu trámového stropu (EI 30 dle PBŘ)</t>
        </is>
      </c>
      <c r="E56" s="20" t="inlineStr">
        <is>
          <t>m²</t>
        </is>
      </c>
      <c r="F56" s="22" t="n">
        <v>100</v>
      </c>
      <c r="G56" s="10" t="n"/>
      <c r="H56" s="10" t="n"/>
      <c r="I56" s="8" t="inlineStr">
        <is>
          <t>sadrokartonar</t>
        </is>
      </c>
      <c r="J56" s="8" t="inlineStr">
        <is>
          <t>URS-prop 342213131</t>
        </is>
      </c>
    </row>
    <row r="57">
      <c r="A57" s="20" t="n">
        <v>56</v>
      </c>
      <c r="B57" s="20" t="inlineStr">
        <is>
          <t>260219_dum</t>
        </is>
      </c>
      <c r="C57" s="8" t="inlineStr">
        <is>
          <t>HSV-4 Vodorovné</t>
        </is>
      </c>
      <c r="D57" s="8" t="inlineStr">
        <is>
          <t>Suchá podlaha 1.NP/2.NP — zásyp liapor — Suchá podlahová skladba 1.NP/2.NP — zásyp Liapor pro vyrovnání tl. 50 mm</t>
        </is>
      </c>
      <c r="E57" s="20" t="inlineStr">
        <is>
          <t>m³</t>
        </is>
      </c>
      <c r="F57" s="22" t="n">
        <v>5</v>
      </c>
      <c r="G57" s="10" t="n"/>
      <c r="H57" s="10" t="n"/>
      <c r="I57" s="8" t="inlineStr">
        <is>
          <t>podlahar</t>
        </is>
      </c>
      <c r="J57" s="8" t="inlineStr">
        <is>
          <t>URS-prop 631311114</t>
        </is>
      </c>
    </row>
    <row r="58">
      <c r="A58" s="20" t="n">
        <v>57</v>
      </c>
      <c r="B58" s="20" t="inlineStr">
        <is>
          <t>260219_dum</t>
        </is>
      </c>
      <c r="C58" s="8" t="inlineStr">
        <is>
          <t>HSV-4 Vodorovné</t>
        </is>
      </c>
      <c r="D58" s="8" t="inlineStr">
        <is>
          <t>Suchá podlaha — Fermacell desky — Suchá podlahová skladba — sádrovláknité dílce Fermacell tl. 25 mm (dva 12.5 mm vrstvy)</t>
        </is>
      </c>
      <c r="E58" s="20" t="inlineStr">
        <is>
          <t>m²</t>
        </is>
      </c>
      <c r="F58" s="22" t="n">
        <v>100</v>
      </c>
      <c r="G58" s="10" t="n"/>
      <c r="H58" s="10" t="n"/>
      <c r="I58" s="8" t="inlineStr">
        <is>
          <t>podlahar</t>
        </is>
      </c>
      <c r="J58" s="8" t="inlineStr">
        <is>
          <t>URS-prop 771421111</t>
        </is>
      </c>
    </row>
    <row r="59">
      <c r="A59" s="20" t="n">
        <v>58</v>
      </c>
      <c r="B59" s="20" t="inlineStr">
        <is>
          <t>260217_sklad</t>
        </is>
      </c>
      <c r="C59" s="8" t="inlineStr">
        <is>
          <t>HSV-4 Vodorovné</t>
        </is>
      </c>
      <c r="D59" s="8" t="inlineStr">
        <is>
          <t>Dřevěné stropnice skladu — Dřevěné stropnice 100/160 mm á 625 mm primární zastřešení skladu — rezivo C24 fungicidní</t>
        </is>
      </c>
      <c r="E59" s="20" t="inlineStr">
        <is>
          <t>bm</t>
        </is>
      </c>
      <c r="F59" s="22" t="n">
        <v>33.9</v>
      </c>
      <c r="G59" s="10" t="n"/>
      <c r="H59" s="10" t="n"/>
      <c r="I59" s="8" t="inlineStr">
        <is>
          <t>krov_tesarsky_kompletni</t>
        </is>
      </c>
      <c r="J59" s="8" t="inlineStr">
        <is>
          <t>URS-prop 762341110</t>
        </is>
      </c>
    </row>
    <row r="60">
      <c r="A60" s="20" t="n">
        <v>59</v>
      </c>
      <c r="B60" s="20" t="inlineStr">
        <is>
          <t>260217_sklad</t>
        </is>
      </c>
      <c r="C60" s="8" t="inlineStr">
        <is>
          <t>HSV-4 Vodorovné</t>
        </is>
      </c>
      <c r="D60" s="8" t="inlineStr">
        <is>
          <t>Prkenný záklop stropu skladu — Prkenný záklop stropnic skladu tl. 20 mm + impregnace</t>
        </is>
      </c>
      <c r="E60" s="20" t="inlineStr">
        <is>
          <t>m²</t>
        </is>
      </c>
      <c r="F60" s="22" t="n">
        <v>21.209</v>
      </c>
      <c r="G60" s="10" t="n"/>
      <c r="H60" s="10" t="n"/>
      <c r="I60" s="8" t="inlineStr">
        <is>
          <t>krov_tesarsky_kompletni</t>
        </is>
      </c>
      <c r="J60" s="8" t="inlineStr">
        <is>
          <t>URS-prop 762331110</t>
        </is>
      </c>
    </row>
    <row r="61">
      <c r="A61" s="20" t="n">
        <v>60</v>
      </c>
      <c r="B61" s="20" t="inlineStr">
        <is>
          <t>260217_sklad</t>
        </is>
      </c>
      <c r="C61" s="8" t="inlineStr">
        <is>
          <t>HSV-4 Vodorovné</t>
        </is>
      </c>
      <c r="D61" s="8" t="inlineStr">
        <is>
          <t>Hydroizolační střešní souvrství skladu — Hydroizolační střešní souvrství skladu (modifikovaný asfaltový pás SBS + ochranná vrstva)</t>
        </is>
      </c>
      <c r="E61" s="20" t="inlineStr">
        <is>
          <t>m²</t>
        </is>
      </c>
      <c r="F61" s="22" t="n">
        <v>22.26945</v>
      </c>
      <c r="G61" s="10" t="n"/>
      <c r="H61" s="10" t="n"/>
      <c r="I61" s="8" t="inlineStr">
        <is>
          <t>izolater_HI</t>
        </is>
      </c>
      <c r="J61" s="8" t="inlineStr">
        <is>
          <t>URS-prop 712331101</t>
        </is>
      </c>
    </row>
    <row r="62">
      <c r="A62" s="20" t="n">
        <v>61</v>
      </c>
      <c r="B62" s="20" t="inlineStr">
        <is>
          <t>260217_sklad</t>
        </is>
      </c>
      <c r="C62" s="8" t="inlineStr">
        <is>
          <t>HSV-4 Vodorovné</t>
        </is>
      </c>
      <c r="D62" s="8" t="inlineStr">
        <is>
          <t>IPE180 parking — sekundární — Sekundární zastřešení parkingu — IPE180 v rozteči 1000 mm × délka 7 m × 7 ks</t>
        </is>
      </c>
      <c r="E62" s="20" t="inlineStr">
        <is>
          <t>kg</t>
        </is>
      </c>
      <c r="F62" s="22" t="n">
        <v>921</v>
      </c>
      <c r="G62" s="10" t="n"/>
      <c r="H62" s="10" t="n"/>
      <c r="I62" s="8" t="inlineStr">
        <is>
          <t>ocel_zamecnik_konstrukce</t>
        </is>
      </c>
      <c r="J62" s="8" t="inlineStr">
        <is>
          <t>URS-prop 411321414</t>
        </is>
      </c>
    </row>
    <row r="63">
      <c r="A63" s="20" t="n">
        <v>62</v>
      </c>
      <c r="B63" s="20" t="inlineStr">
        <is>
          <t>260217_sklad</t>
        </is>
      </c>
      <c r="C63" s="8" t="inlineStr">
        <is>
          <t>HSV-4 Vodorovné</t>
        </is>
      </c>
      <c r="D63" s="8" t="inlineStr">
        <is>
          <t>Pojezdové ocelové pororošty — Pojezdové ocelové pororošty demontovatelné — povrch parkingu (žárově zinkováno)</t>
        </is>
      </c>
      <c r="E63" s="20" t="inlineStr">
        <is>
          <t>m²</t>
        </is>
      </c>
      <c r="F63" s="22" t="n">
        <v>44.6</v>
      </c>
      <c r="G63" s="10" t="n"/>
      <c r="H63" s="10" t="n"/>
      <c r="I63" s="8" t="inlineStr">
        <is>
          <t>ocel_zamecnik_konstrukce</t>
        </is>
      </c>
      <c r="J63" s="8" t="inlineStr">
        <is>
          <t>URS-prop 411321515</t>
        </is>
      </c>
    </row>
    <row r="64">
      <c r="A64" s="20" t="n">
        <v>63</v>
      </c>
      <c r="B64" s="20" t="inlineStr">
        <is>
          <t>260217_sklad</t>
        </is>
      </c>
      <c r="C64" s="8" t="inlineStr">
        <is>
          <t>HSV-4 Vodorovné</t>
        </is>
      </c>
      <c r="D64" s="8" t="inlineStr">
        <is>
          <t>Žárový zinek IPE + pororošty — Žárově zinková povrchová úprava IPE180 + pororoštů dle ČSN EN ISO 12944 (C3 prostředí)</t>
        </is>
      </c>
      <c r="E64" s="20" t="inlineStr">
        <is>
          <t>kg</t>
        </is>
      </c>
      <c r="F64" s="22" t="n">
        <v>1551</v>
      </c>
      <c r="G64" s="10" t="n"/>
      <c r="H64" s="10" t="n"/>
      <c r="I64" s="8" t="inlineStr">
        <is>
          <t>ocel_zamecnik_konstrukce</t>
        </is>
      </c>
      <c r="J64" s="8" t="inlineStr">
        <is>
          <t>URS-prop 783201001</t>
        </is>
      </c>
    </row>
    <row r="65">
      <c r="A65" s="20" t="n">
        <v>64</v>
      </c>
      <c r="B65" s="20" t="inlineStr">
        <is>
          <t>260219_dum</t>
        </is>
      </c>
      <c r="C65" s="8" t="inlineStr">
        <is>
          <t>HSV-5 Krov + střecha</t>
        </is>
      </c>
      <c r="D65" s="8" t="inlineStr">
        <is>
          <t>Krokve 100/180 á 800 mm — Tesařský krov — krokve 100/180 mm á 800 mm, rezivo C24 fungicidní + protihmyzí (cca 2×12 krokví × ~6.5 m)</t>
        </is>
      </c>
      <c r="E65" s="20" t="inlineStr">
        <is>
          <t>bm</t>
        </is>
      </c>
      <c r="F65" s="22" t="n">
        <v>156</v>
      </c>
      <c r="G65" s="10" t="n"/>
      <c r="H65" s="10" t="n"/>
      <c r="I65" s="8" t="inlineStr">
        <is>
          <t>krov_tesarsky_kompletni</t>
        </is>
      </c>
      <c r="J65" s="8" t="inlineStr">
        <is>
          <t>URS-prop 762331911</t>
        </is>
      </c>
    </row>
    <row r="66">
      <c r="A66" s="20" t="n">
        <v>65</v>
      </c>
      <c r="B66" s="20" t="inlineStr">
        <is>
          <t>260219_dum</t>
        </is>
      </c>
      <c r="C66" s="8" t="inlineStr">
        <is>
          <t>HSV-5 Krov + střecha</t>
        </is>
      </c>
      <c r="D66" s="8" t="inlineStr">
        <is>
          <t>Kleštiny 2×60/180 — Tesařský krov — kleštiny dvojfošny 60/180 mm probíhající v oblasti spací části</t>
        </is>
      </c>
      <c r="E66" s="20" t="inlineStr">
        <is>
          <t>bm</t>
        </is>
      </c>
      <c r="F66" s="22" t="n">
        <v>110</v>
      </c>
      <c r="G66" s="10" t="n"/>
      <c r="H66" s="10" t="n"/>
      <c r="I66" s="8" t="inlineStr">
        <is>
          <t>krov_tesarsky_kompletni</t>
        </is>
      </c>
      <c r="J66" s="8" t="inlineStr">
        <is>
          <t>URS-prop 762331912</t>
        </is>
      </c>
    </row>
    <row r="67">
      <c r="A67" s="20" t="n">
        <v>66</v>
      </c>
      <c r="B67" s="20" t="inlineStr">
        <is>
          <t>260219_dum</t>
        </is>
      </c>
      <c r="C67" s="8" t="inlineStr">
        <is>
          <t>HSV-5 Krov + střecha</t>
        </is>
      </c>
      <c r="D67" s="8" t="inlineStr">
        <is>
          <t>Pozednice 140/160 — Tesařský krov — pozednice 140/160 mm kotvená do ŽB věnce 3.NP</t>
        </is>
      </c>
      <c r="E67" s="20" t="inlineStr">
        <is>
          <t>bm</t>
        </is>
      </c>
      <c r="F67" s="22" t="n">
        <v>19.4</v>
      </c>
      <c r="G67" s="10" t="n"/>
      <c r="H67" s="10" t="n"/>
      <c r="I67" s="8" t="inlineStr">
        <is>
          <t>krov_tesarsky_kompletni</t>
        </is>
      </c>
      <c r="J67" s="8" t="inlineStr">
        <is>
          <t>URS-prop 762331923</t>
        </is>
      </c>
    </row>
    <row r="68">
      <c r="A68" s="20" t="n">
        <v>67</v>
      </c>
      <c r="B68" s="20" t="inlineStr">
        <is>
          <t>260219_dum</t>
        </is>
      </c>
      <c r="C68" s="8" t="inlineStr">
        <is>
          <t>HSV-5 Krov + střecha</t>
        </is>
      </c>
      <c r="D68" s="8" t="inlineStr">
        <is>
          <t>Námětky pro přesah — Tesařský krov — námětky 60/100 v dolní koncové části pro přesah střechy ~500 mm</t>
        </is>
      </c>
      <c r="E68" s="20" t="inlineStr">
        <is>
          <t>bm</t>
        </is>
      </c>
      <c r="F68" s="22" t="n">
        <v>19.2</v>
      </c>
      <c r="G68" s="10" t="n"/>
      <c r="H68" s="10" t="n"/>
      <c r="I68" s="8" t="inlineStr">
        <is>
          <t>krov_tesarsky_kompletni</t>
        </is>
      </c>
      <c r="J68" s="8" t="inlineStr">
        <is>
          <t>URS-prop 762331911</t>
        </is>
      </c>
    </row>
    <row r="69">
      <c r="A69" s="20" t="n">
        <v>68</v>
      </c>
      <c r="B69" s="20" t="inlineStr">
        <is>
          <t>260219_dum</t>
        </is>
      </c>
      <c r="C69" s="8" t="inlineStr">
        <is>
          <t>HSV-5 Krov + střecha</t>
        </is>
      </c>
      <c r="D69" s="8" t="inlineStr">
        <is>
          <t>Středová vaznice HEA160 — Ocelová středová vaznice HEA160 — 2 ks × cca 10 m délka</t>
        </is>
      </c>
      <c r="E69" s="20" t="inlineStr">
        <is>
          <t>kg</t>
        </is>
      </c>
      <c r="F69" s="22" t="n">
        <v>608</v>
      </c>
      <c r="G69" s="10" t="n"/>
      <c r="H69" s="10" t="n"/>
      <c r="I69" s="8" t="inlineStr">
        <is>
          <t>ocel_zamecnik_konstrukce</t>
        </is>
      </c>
      <c r="J69" s="8" t="inlineStr">
        <is>
          <t>URS-prop 411321414</t>
        </is>
      </c>
    </row>
    <row r="70">
      <c r="A70" s="20" t="n">
        <v>69</v>
      </c>
      <c r="B70" s="20" t="inlineStr">
        <is>
          <t>260219_dum</t>
        </is>
      </c>
      <c r="C70" s="8" t="inlineStr">
        <is>
          <t>HSV-5 Krov + střecha</t>
        </is>
      </c>
      <c r="D70" s="8" t="inlineStr">
        <is>
          <t>Sloupky pod vaznice — jekl 100/4 — Ocelové sloupky uzavřený profil 100×100×4 mm pod vaznice HEA160 (~6 ks × ~2.5 m výška)</t>
        </is>
      </c>
      <c r="E70" s="20" t="inlineStr">
        <is>
          <t>kg</t>
        </is>
      </c>
      <c r="F70" s="22" t="n">
        <v>176</v>
      </c>
      <c r="G70" s="10" t="n"/>
      <c r="H70" s="10" t="n"/>
      <c r="I70" s="8" t="inlineStr">
        <is>
          <t>ocel_zamecnik_konstrukce</t>
        </is>
      </c>
      <c r="J70" s="8" t="inlineStr">
        <is>
          <t>URS-prop 411321414</t>
        </is>
      </c>
    </row>
    <row r="71">
      <c r="A71" s="20" t="n">
        <v>70</v>
      </c>
      <c r="B71" s="20" t="inlineStr">
        <is>
          <t>260219_dum</t>
        </is>
      </c>
      <c r="C71" s="8" t="inlineStr">
        <is>
          <t>HSV-5 Krov + střecha</t>
        </is>
      </c>
      <c r="D71" s="8" t="inlineStr">
        <is>
          <t>Bednění z prken pod nadkrokevní izolaci — Bednění z prken tl. 20 mm pod nadkrokevní PIR (biodeska/palubka)</t>
        </is>
      </c>
      <c r="E71" s="20" t="inlineStr">
        <is>
          <t>m²</t>
        </is>
      </c>
      <c r="F71" s="22" t="n">
        <v>140.94</v>
      </c>
      <c r="G71" s="10" t="n"/>
      <c r="H71" s="10" t="n"/>
      <c r="I71" s="8" t="inlineStr">
        <is>
          <t>krov_tesarsky_kompletni</t>
        </is>
      </c>
      <c r="J71" s="8" t="inlineStr">
        <is>
          <t>URS-prop 762341711</t>
        </is>
      </c>
    </row>
    <row r="72">
      <c r="A72" s="20" t="n">
        <v>71</v>
      </c>
      <c r="B72" s="20" t="inlineStr">
        <is>
          <t>260219_dum</t>
        </is>
      </c>
      <c r="C72" s="8" t="inlineStr">
        <is>
          <t>HSV-5 Krov + střecha</t>
        </is>
      </c>
      <c r="D72" s="8" t="inlineStr">
        <is>
          <t>Parotěsná vrstva — Parotěsná folie nad bedněním pod nadkrokevní PIR (např. Isover Vario nebo Tyvek Air guard)</t>
        </is>
      </c>
      <c r="E72" s="20" t="inlineStr">
        <is>
          <t>m²</t>
        </is>
      </c>
      <c r="F72" s="22" t="n">
        <v>155.034</v>
      </c>
      <c r="G72" s="10" t="n"/>
      <c r="H72" s="10" t="n"/>
      <c r="I72" s="8" t="inlineStr">
        <is>
          <t>izolater_HI</t>
        </is>
      </c>
      <c r="J72" s="8" t="inlineStr">
        <is>
          <t>URS-prop 712311101</t>
        </is>
      </c>
    </row>
    <row r="73">
      <c r="A73" s="20" t="n">
        <v>72</v>
      </c>
      <c r="B73" s="20" t="inlineStr">
        <is>
          <t>260219_dum</t>
        </is>
      </c>
      <c r="C73" s="8" t="inlineStr">
        <is>
          <t>HSV-5 Krov + střecha</t>
        </is>
      </c>
      <c r="D73" s="8" t="inlineStr">
        <is>
          <t>Nadkrokevní PIR izolace — Nadkrokevní tepelná izolace PIR (polyisokyanurát) tl. 160 mm (λ=0,022 W/mK) — řez A-A S10 explicit</t>
        </is>
      </c>
      <c r="E73" s="20" t="inlineStr">
        <is>
          <t>m²</t>
        </is>
      </c>
      <c r="F73" s="22" t="n">
        <v>140.94</v>
      </c>
      <c r="G73" s="10" t="n"/>
      <c r="H73" s="10" t="n"/>
      <c r="I73" s="8" t="inlineStr">
        <is>
          <t>izolater_TI</t>
        </is>
      </c>
      <c r="J73" s="8" t="inlineStr">
        <is>
          <t>URS-prop 713131811</t>
        </is>
      </c>
    </row>
    <row r="74">
      <c r="A74" s="20" t="n">
        <v>73</v>
      </c>
      <c r="B74" s="20" t="inlineStr">
        <is>
          <t>260219_dum</t>
        </is>
      </c>
      <c r="C74" s="8" t="inlineStr">
        <is>
          <t>HSV-5 Krov + střecha</t>
        </is>
      </c>
      <c r="D74" s="8" t="inlineStr">
        <is>
          <t>Doplňková HI pod kontralatě — Doplňková hydroizolační difuzně otevřená folie nad PIR pod kontralatě</t>
        </is>
      </c>
      <c r="E74" s="20" t="inlineStr">
        <is>
          <t>m²</t>
        </is>
      </c>
      <c r="F74" s="22" t="n">
        <v>155.034</v>
      </c>
      <c r="G74" s="10" t="n"/>
      <c r="H74" s="10" t="n"/>
      <c r="I74" s="8" t="inlineStr">
        <is>
          <t>izolater_HI</t>
        </is>
      </c>
      <c r="J74" s="8" t="inlineStr">
        <is>
          <t>URS-prop 712311111</t>
        </is>
      </c>
    </row>
    <row r="75">
      <c r="A75" s="20" t="n">
        <v>74</v>
      </c>
      <c r="B75" s="20" t="inlineStr">
        <is>
          <t>260219_dum</t>
        </is>
      </c>
      <c r="C75" s="8" t="inlineStr">
        <is>
          <t>HSV-5 Krov + střecha</t>
        </is>
      </c>
      <c r="D75" s="8" t="inlineStr">
        <is>
          <t>Kontralatě + vzduchová mezera — Distanční kontralatě 40×60 mm pro vzduchovou mezeru nad PIR</t>
        </is>
      </c>
      <c r="E75" s="20" t="inlineStr">
        <is>
          <t>m²</t>
        </is>
      </c>
      <c r="F75" s="22" t="n">
        <v>140.94</v>
      </c>
      <c r="G75" s="10" t="n"/>
      <c r="H75" s="10" t="n"/>
      <c r="I75" s="8" t="inlineStr">
        <is>
          <t>krov_tesarsky_kompletni</t>
        </is>
      </c>
      <c r="J75" s="8" t="inlineStr">
        <is>
          <t>URS-prop 762331923</t>
        </is>
      </c>
    </row>
    <row r="76">
      <c r="A76" s="20" t="n">
        <v>75</v>
      </c>
      <c r="B76" s="20" t="inlineStr">
        <is>
          <t>260219_dum</t>
        </is>
      </c>
      <c r="C76" s="8" t="inlineStr">
        <is>
          <t>HSV-5 Krov + střecha</t>
        </is>
      </c>
      <c r="D76" s="8" t="inlineStr">
        <is>
          <t>Bednění prken pod hliníkovou krytinu — Bednění z prken tl. 25 mm pod plechovou hliníkovou krytinu (rozsah dle technologie krytiny)</t>
        </is>
      </c>
      <c r="E76" s="20" t="inlineStr">
        <is>
          <t>m²</t>
        </is>
      </c>
      <c r="F76" s="22" t="n">
        <v>140.94</v>
      </c>
      <c r="G76" s="10" t="n"/>
      <c r="H76" s="10" t="n"/>
      <c r="I76" s="8" t="inlineStr">
        <is>
          <t>krov_tesarsky_kompletni</t>
        </is>
      </c>
      <c r="J76" s="8" t="inlineStr">
        <is>
          <t>URS-prop 762341711</t>
        </is>
      </c>
    </row>
    <row r="77">
      <c r="A77" s="20" t="n">
        <v>76</v>
      </c>
      <c r="B77" s="20" t="inlineStr">
        <is>
          <t>260219_dum</t>
        </is>
      </c>
      <c r="C77" s="8" t="inlineStr">
        <is>
          <t>HSV-5 Krov + střecha</t>
        </is>
      </c>
      <c r="D77" s="8" t="inlineStr">
        <is>
          <t>Plechová falcovaná Al krytina — Plechová falcovaná HLINÍKOVÁ krytina (např. PREFA, Rheinzink, Lindab) + tlumící podložka</t>
        </is>
      </c>
      <c r="E77" s="20" t="inlineStr">
        <is>
          <t>m²</t>
        </is>
      </c>
      <c r="F77" s="22" t="n">
        <v>140.94</v>
      </c>
      <c r="G77" s="10" t="n"/>
      <c r="H77" s="10" t="n"/>
      <c r="I77" s="8" t="inlineStr">
        <is>
          <t>plech_falcovany_hlinik</t>
        </is>
      </c>
      <c r="J77" s="8" t="inlineStr">
        <is>
          <t>URS-prop 765791121</t>
        </is>
      </c>
    </row>
    <row r="78">
      <c r="A78" s="20" t="n">
        <v>77</v>
      </c>
      <c r="B78" s="20" t="inlineStr">
        <is>
          <t>260219_dum</t>
        </is>
      </c>
      <c r="C78" s="8" t="inlineStr">
        <is>
          <t>HSV-5 Krov + střecha</t>
        </is>
      </c>
      <c r="D78" s="8" t="inlineStr">
        <is>
          <t>Patro pro přespání z biodesky — Patro pro přespání v krovu — biodeska / OSB desky tl. 22 mm nad kleštinami</t>
        </is>
      </c>
      <c r="E78" s="20" t="inlineStr">
        <is>
          <t>m²</t>
        </is>
      </c>
      <c r="F78" s="22" t="n">
        <v>25</v>
      </c>
      <c r="G78" s="10" t="n"/>
      <c r="H78" s="10" t="n"/>
      <c r="I78" s="8" t="inlineStr">
        <is>
          <t>krov_tesarsky_kompletni</t>
        </is>
      </c>
      <c r="J78" s="8" t="inlineStr">
        <is>
          <t>URS-prop 762341711</t>
        </is>
      </c>
    </row>
    <row r="79">
      <c r="A79" s="20" t="n">
        <v>78</v>
      </c>
      <c r="B79" s="20" t="inlineStr">
        <is>
          <t>260219_dum</t>
        </is>
      </c>
      <c r="C79" s="8" t="inlineStr">
        <is>
          <t>HSV-5 Krov + střecha</t>
        </is>
      </c>
      <c r="D79" s="8" t="inlineStr">
        <is>
          <t>Vikýře — zděná čela — Vikýře — zděná čela z Porotherm 30 (odhad 4 ks × ~3 m² stěna)</t>
        </is>
      </c>
      <c r="E79" s="20" t="inlineStr">
        <is>
          <t>m²</t>
        </is>
      </c>
      <c r="F79" s="22" t="n">
        <v>12</v>
      </c>
      <c r="G79" s="10" t="n"/>
      <c r="H79" s="10" t="n"/>
      <c r="I79" s="8" t="inlineStr">
        <is>
          <t>zednik</t>
        </is>
      </c>
      <c r="J79" s="8" t="inlineStr">
        <is>
          <t>URS-prop 311321411</t>
        </is>
      </c>
    </row>
    <row r="80">
      <c r="A80" s="20" t="n">
        <v>79</v>
      </c>
      <c r="B80" s="20" t="inlineStr">
        <is>
          <t>260219_dum</t>
        </is>
      </c>
      <c r="C80" s="8" t="inlineStr">
        <is>
          <t>HSV-5 Krov + střecha</t>
        </is>
      </c>
      <c r="D80" s="8" t="inlineStr">
        <is>
          <t>Vikýře — provětrávaná fasáda + plech — Vikýře — provětrávaná fasáda min. vata + plech falcovaný hliník (4 vikýře × ~6 m² fasády)</t>
        </is>
      </c>
      <c r="E80" s="20" t="inlineStr">
        <is>
          <t>m²</t>
        </is>
      </c>
      <c r="F80" s="22" t="n">
        <v>24</v>
      </c>
      <c r="G80" s="10" t="n"/>
      <c r="H80" s="10" t="n"/>
      <c r="I80" s="8" t="inlineStr">
        <is>
          <t>plech_falcovany_hlinik</t>
        </is>
      </c>
      <c r="J80" s="8" t="inlineStr">
        <is>
          <t>URS-prop 765791121</t>
        </is>
      </c>
    </row>
    <row r="81">
      <c r="A81" s="20" t="n">
        <v>80</v>
      </c>
      <c r="B81" s="20" t="inlineStr">
        <is>
          <t>260219_dum</t>
        </is>
      </c>
      <c r="C81" s="8" t="inlineStr">
        <is>
          <t>HSV-6 Bourací práce</t>
        </is>
      </c>
      <c r="D81" s="8" t="inlineStr">
        <is>
          <t>Bourání kompletního stávajícího krovu — Bourání kompletního stávajícího krovu vč. vikýřů — vaznicový s ležatou stolicí — manuálně, odvoz</t>
        </is>
      </c>
      <c r="E81" s="20" t="inlineStr">
        <is>
          <t>m³</t>
        </is>
      </c>
      <c r="F81" s="22" t="n">
        <v>12</v>
      </c>
      <c r="G81" s="10" t="n"/>
      <c r="H81" s="10" t="n"/>
      <c r="I81" s="8" t="inlineStr">
        <is>
          <t>bourani_demolice</t>
        </is>
      </c>
      <c r="J81" s="8" t="inlineStr">
        <is>
          <t>URS-prop 962041141</t>
        </is>
      </c>
    </row>
    <row r="82">
      <c r="A82" s="20" t="n">
        <v>81</v>
      </c>
      <c r="B82" s="20" t="inlineStr">
        <is>
          <t>260219_dum</t>
        </is>
      </c>
      <c r="C82" s="8" t="inlineStr">
        <is>
          <t>HSV-6 Bourací práce</t>
        </is>
      </c>
      <c r="D82" s="8" t="inlineStr">
        <is>
          <t>Bourání plechové střešní krytiny — Bourání stávající plechové krytiny (manuálně, recyklace plechu)</t>
        </is>
      </c>
      <c r="E82" s="20" t="inlineStr">
        <is>
          <t>m²</t>
        </is>
      </c>
      <c r="F82" s="22" t="n">
        <v>140.9</v>
      </c>
      <c r="G82" s="10" t="n"/>
      <c r="H82" s="10" t="n"/>
      <c r="I82" s="8" t="inlineStr">
        <is>
          <t>bourani_demolice</t>
        </is>
      </c>
      <c r="J82" s="8" t="inlineStr">
        <is>
          <t>URS-prop 762??? ?</t>
        </is>
      </c>
    </row>
    <row r="83">
      <c r="A83" s="20" t="n">
        <v>82</v>
      </c>
      <c r="B83" s="20" t="inlineStr">
        <is>
          <t>260219_dum</t>
        </is>
      </c>
      <c r="C83" s="8" t="inlineStr">
        <is>
          <t>HSV-6 Bourací práce</t>
        </is>
      </c>
      <c r="D83" s="8" t="inlineStr">
        <is>
          <t>Bourání nadezdívek nad stropem 2.NP — Bourání zděných nadezdívek nad stropem 2.NP (mimo štítových stěn) — cihla pálená</t>
        </is>
      </c>
      <c r="E83" s="20" t="inlineStr">
        <is>
          <t>m³</t>
        </is>
      </c>
      <c r="F83" s="22" t="n">
        <v>6</v>
      </c>
      <c r="G83" s="10" t="n"/>
      <c r="H83" s="10" t="n"/>
      <c r="I83" s="8" t="inlineStr">
        <is>
          <t>bourani_demolice</t>
        </is>
      </c>
      <c r="J83" s="8" t="inlineStr">
        <is>
          <t>URS-prop 962031132</t>
        </is>
      </c>
    </row>
    <row r="84">
      <c r="A84" s="20" t="n">
        <v>83</v>
      </c>
      <c r="B84" s="20" t="inlineStr">
        <is>
          <t>260219_dum</t>
        </is>
      </c>
      <c r="C84" s="8" t="inlineStr">
        <is>
          <t>HSV-6 Bourací práce</t>
        </is>
      </c>
      <c r="D84" s="8" t="inlineStr">
        <is>
          <t>Bourání trámového stropu 2.NP/podkroví — Bourání trámového stropu 2.NP/podkroví — kompletně (vč. zajištění schodiště)</t>
        </is>
      </c>
      <c r="E84" s="20" t="inlineStr">
        <is>
          <t>m²</t>
        </is>
      </c>
      <c r="F84" s="22" t="n">
        <v>104.4</v>
      </c>
      <c r="G84" s="10" t="n"/>
      <c r="H84" s="10" t="n"/>
      <c r="I84" s="8" t="inlineStr">
        <is>
          <t>bourani_demolice</t>
        </is>
      </c>
      <c r="J84" s="8" t="inlineStr">
        <is>
          <t>URS-prop 962041141</t>
        </is>
      </c>
    </row>
    <row r="85">
      <c r="A85" s="20" t="n">
        <v>84</v>
      </c>
      <c r="B85" s="20" t="inlineStr">
        <is>
          <t>260219_dum</t>
        </is>
      </c>
      <c r="C85" s="8" t="inlineStr">
        <is>
          <t>HSV-6 Bourací práce</t>
        </is>
      </c>
      <c r="D85" s="8" t="inlineStr">
        <is>
          <t>Bourání lehkých příček — Bourání stávajících lehkých příček (cihla, sádrokarton, dřevo)</t>
        </is>
      </c>
      <c r="E85" s="20" t="inlineStr">
        <is>
          <t>m²</t>
        </is>
      </c>
      <c r="F85" s="22" t="n">
        <v>80</v>
      </c>
      <c r="G85" s="10" t="n"/>
      <c r="H85" s="10" t="n"/>
      <c r="I85" s="8" t="inlineStr">
        <is>
          <t>bourani_demolice</t>
        </is>
      </c>
      <c r="J85" s="8" t="inlineStr">
        <is>
          <t>URS-prop 962031132</t>
        </is>
      </c>
    </row>
    <row r="86">
      <c r="A86" s="20" t="n">
        <v>85</v>
      </c>
      <c r="B86" s="20" t="inlineStr">
        <is>
          <t>260219_dum</t>
        </is>
      </c>
      <c r="C86" s="8" t="inlineStr">
        <is>
          <t>HSV-6 Bourací práce</t>
        </is>
      </c>
      <c r="D86" s="8" t="inlineStr">
        <is>
          <t>Bourání otvorů pro nové dveře/okna — Bourání 8 nových otvorů v nosných cihelných zdech pro dveře/okna (~1.0 × 2.1 m)</t>
        </is>
      </c>
      <c r="E86" s="20" t="inlineStr">
        <is>
          <t>ks</t>
        </is>
      </c>
      <c r="F86" s="23" t="n">
        <v>8</v>
      </c>
      <c r="G86" s="10" t="n"/>
      <c r="H86" s="10" t="n"/>
      <c r="I86" s="8" t="inlineStr">
        <is>
          <t>bourani_demolice</t>
        </is>
      </c>
      <c r="J86" s="8" t="inlineStr">
        <is>
          <t>URS-prop 962031132</t>
        </is>
      </c>
    </row>
    <row r="87">
      <c r="A87" s="20" t="n">
        <v>86</v>
      </c>
      <c r="B87" s="20" t="inlineStr">
        <is>
          <t>260219_dum</t>
        </is>
      </c>
      <c r="C87" s="8" t="inlineStr">
        <is>
          <t>HSV-6 Bourací práce</t>
        </is>
      </c>
      <c r="D87" s="8" t="inlineStr">
        <is>
          <t>Bourání obkladů v koupelnách — Bourání keramických obkladů a zařizovacích předmětů v koupelnách 1.NP + 2.NP</t>
        </is>
      </c>
      <c r="E87" s="20" t="inlineStr">
        <is>
          <t>m²</t>
        </is>
      </c>
      <c r="F87" s="22" t="n">
        <v>60</v>
      </c>
      <c r="G87" s="10" t="n"/>
      <c r="H87" s="10" t="n"/>
      <c r="I87" s="8" t="inlineStr">
        <is>
          <t>bourani_demolice</t>
        </is>
      </c>
      <c r="J87" s="8" t="inlineStr">
        <is>
          <t>URS-prop 781473810</t>
        </is>
      </c>
    </row>
    <row r="88">
      <c r="A88" s="20" t="n">
        <v>87</v>
      </c>
      <c r="B88" s="20" t="inlineStr">
        <is>
          <t>260219_dum</t>
        </is>
      </c>
      <c r="C88" s="8" t="inlineStr">
        <is>
          <t>HSV-6 Bourací práce</t>
        </is>
      </c>
      <c r="D88" s="8" t="inlineStr">
        <is>
          <t>Bourání podlah 1.NP + 2.NP — Sejmutí podlah 1.NP a 2.NP — vč. nášlapů, podkladních vrstev</t>
        </is>
      </c>
      <c r="E88" s="20" t="inlineStr">
        <is>
          <t>m²</t>
        </is>
      </c>
      <c r="F88" s="22" t="n">
        <v>153.51</v>
      </c>
      <c r="G88" s="10" t="n"/>
      <c r="H88" s="10" t="n"/>
      <c r="I88" s="8" t="inlineStr">
        <is>
          <t>bourani_demolice</t>
        </is>
      </c>
      <c r="J88" s="8" t="inlineStr">
        <is>
          <t>URS-prop 974031132</t>
        </is>
      </c>
    </row>
    <row r="89">
      <c r="A89" s="20" t="n">
        <v>88</v>
      </c>
      <c r="B89" s="20" t="inlineStr">
        <is>
          <t>260219_dum</t>
        </is>
      </c>
      <c r="C89" s="8" t="inlineStr">
        <is>
          <t>HSV-6 Bourací práce</t>
        </is>
      </c>
      <c r="D89" s="8" t="inlineStr">
        <is>
          <t>Záklop + zásyp — demontáž — Demontáž záklopu a zásypů stropu 1.NP (prkenný záklop na trámech zachován)</t>
        </is>
      </c>
      <c r="E89" s="20" t="inlineStr">
        <is>
          <t>m³</t>
        </is>
      </c>
      <c r="F89" s="22" t="n">
        <v>5</v>
      </c>
      <c r="G89" s="10" t="n"/>
      <c r="H89" s="10" t="n"/>
      <c r="I89" s="8" t="inlineStr">
        <is>
          <t>bourani_demolice</t>
        </is>
      </c>
      <c r="J89" s="8" t="inlineStr">
        <is>
          <t>URS-prop 974041151</t>
        </is>
      </c>
    </row>
    <row r="90">
      <c r="A90" s="20" t="n">
        <v>89</v>
      </c>
      <c r="B90" s="20" t="inlineStr">
        <is>
          <t>260219_dum</t>
        </is>
      </c>
      <c r="C90" s="8" t="inlineStr">
        <is>
          <t>HSV-6 Bourací práce</t>
        </is>
      </c>
      <c r="D90" s="8" t="inlineStr">
        <is>
          <t>Demontáž oken a dveří — Demontáž všech oken a dveří stávajících (recyklace)</t>
        </is>
      </c>
      <c r="E90" s="20" t="inlineStr">
        <is>
          <t>ks</t>
        </is>
      </c>
      <c r="F90" s="23" t="n">
        <v>25</v>
      </c>
      <c r="G90" s="10" t="n"/>
      <c r="H90" s="10" t="n"/>
      <c r="I90" s="8" t="inlineStr">
        <is>
          <t>bourani_demolice</t>
        </is>
      </c>
      <c r="J90" s="8" t="inlineStr">
        <is>
          <t>URS-prop 968071120</t>
        </is>
      </c>
    </row>
    <row r="91">
      <c r="A91" s="20" t="n">
        <v>90</v>
      </c>
      <c r="B91" s="20" t="inlineStr">
        <is>
          <t>260219_dum</t>
        </is>
      </c>
      <c r="C91" s="8" t="inlineStr">
        <is>
          <t>HSV-6 Bourací práce</t>
        </is>
      </c>
      <c r="D91" s="8" t="inlineStr">
        <is>
          <t>Demontáž zařizovacích předmětů — Demontáž všech sanitárních zařizovacích předmětů (WC, umyvadla, baterie, sprcha)</t>
        </is>
      </c>
      <c r="E91" s="20" t="inlineStr">
        <is>
          <t>ks</t>
        </is>
      </c>
      <c r="F91" s="23" t="n">
        <v>12</v>
      </c>
      <c r="G91" s="10" t="n"/>
      <c r="H91" s="10" t="n"/>
      <c r="I91" s="8" t="inlineStr">
        <is>
          <t>bourani_demolice</t>
        </is>
      </c>
      <c r="J91" s="8" t="inlineStr">
        <is>
          <t>URS-prop 725900001</t>
        </is>
      </c>
    </row>
    <row r="92">
      <c r="A92" s="20" t="n">
        <v>91</v>
      </c>
      <c r="B92" s="20" t="inlineStr">
        <is>
          <t>260219_dum</t>
        </is>
      </c>
      <c r="C92" s="8" t="inlineStr">
        <is>
          <t>HSV-6 Bourací práce</t>
        </is>
      </c>
      <c r="D92" s="8" t="inlineStr">
        <is>
          <t>Odvoz suti a likvidace — Odvoz a likvidace stavební suti dle vyhl. 8/2021 Sb. — celková tonáž odpadů</t>
        </is>
      </c>
      <c r="E92" s="20" t="inlineStr">
        <is>
          <t>t</t>
        </is>
      </c>
      <c r="F92" s="22" t="n">
        <v>56.5</v>
      </c>
      <c r="G92" s="10" t="n"/>
      <c r="H92" s="10" t="n"/>
      <c r="I92" s="8" t="inlineStr">
        <is>
          <t>bourani_demolice</t>
        </is>
      </c>
      <c r="J92" s="8" t="inlineStr">
        <is>
          <t>URS-prop 997013501</t>
        </is>
      </c>
    </row>
    <row r="93">
      <c r="A93" s="20" t="n">
        <v>92</v>
      </c>
      <c r="B93" s="20" t="inlineStr">
        <is>
          <t>260219_dum</t>
        </is>
      </c>
      <c r="C93" s="8" t="inlineStr">
        <is>
          <t>HSV-7 Fasáda ETICS</t>
        </is>
      </c>
      <c r="D93" s="8" t="inlineStr">
        <is>
          <t>Příprava podkladu — Příprava fasádního podkladu — očištění tlakovou vodou, vyspravení omítek, fungicidní nátěr</t>
        </is>
      </c>
      <c r="E93" s="20" t="inlineStr">
        <is>
          <t>m²</t>
        </is>
      </c>
      <c r="F93" s="22" t="n">
        <v>276.7</v>
      </c>
      <c r="G93" s="10" t="n"/>
      <c r="H93" s="10" t="n"/>
      <c r="I93" s="8" t="inlineStr">
        <is>
          <t>fasadnik_etics</t>
        </is>
      </c>
      <c r="J93" s="8" t="inlineStr">
        <is>
          <t>URS-prop 622401110</t>
        </is>
      </c>
    </row>
    <row r="94">
      <c r="A94" s="20" t="n">
        <v>93</v>
      </c>
      <c r="B94" s="20" t="inlineStr">
        <is>
          <t>260219_dum</t>
        </is>
      </c>
      <c r="C94" s="8" t="inlineStr">
        <is>
          <t>HSV-7 Fasáda ETICS</t>
        </is>
      </c>
      <c r="D94" s="8" t="inlineStr">
        <is>
          <t>ETICS EPS 70F grey 160 mm — ETICS kontaktní zateplení — EPS 70F grey λ=0.032 tl. 160 mm + síťka + lepidlo + zatírací stěrka (řez S01+S12a explicit, ne 200 mm fallback)</t>
        </is>
      </c>
      <c r="E94" s="20" t="inlineStr">
        <is>
          <t>m²</t>
        </is>
      </c>
      <c r="F94" s="22" t="n">
        <v>276.7</v>
      </c>
      <c r="G94" s="10" t="n"/>
      <c r="H94" s="10" t="n"/>
      <c r="I94" s="8" t="inlineStr">
        <is>
          <t>fasadnik_etics</t>
        </is>
      </c>
      <c r="J94" s="8" t="inlineStr">
        <is>
          <t>URS-prop 622221121</t>
        </is>
      </c>
    </row>
    <row r="95">
      <c r="A95" s="20" t="n">
        <v>94</v>
      </c>
      <c r="B95" s="20" t="inlineStr">
        <is>
          <t>260219_dum</t>
        </is>
      </c>
      <c r="C95" s="8" t="inlineStr">
        <is>
          <t>HSV-7 Fasáda ETICS</t>
        </is>
      </c>
      <c r="D95" s="8" t="inlineStr">
        <is>
          <t>ETICS sokl XPS — ETICS sokl — XPS λ=0.034 tl. 120 mm + soklový profil + cihelný obklad spárovaný</t>
        </is>
      </c>
      <c r="E95" s="20" t="inlineStr">
        <is>
          <t>m²</t>
        </is>
      </c>
      <c r="F95" s="22" t="n">
        <v>13.5</v>
      </c>
      <c r="G95" s="10" t="n"/>
      <c r="H95" s="10" t="n"/>
      <c r="I95" s="8" t="inlineStr">
        <is>
          <t>fasadnik_etics</t>
        </is>
      </c>
      <c r="J95" s="8" t="inlineStr">
        <is>
          <t>URS-prop 622223111</t>
        </is>
      </c>
    </row>
    <row r="96">
      <c r="A96" s="20" t="n">
        <v>95</v>
      </c>
      <c r="B96" s="20" t="inlineStr">
        <is>
          <t>260219_dum</t>
        </is>
      </c>
      <c r="C96" s="8" t="inlineStr">
        <is>
          <t>HSV-7 Fasáda ETICS</t>
        </is>
      </c>
      <c r="D96" s="8" t="inlineStr">
        <is>
          <t>Špalety EPS — Špalety oken — EPS přesah 35-40 mm + síťka + omítka</t>
        </is>
      </c>
      <c r="E96" s="20" t="inlineStr">
        <is>
          <t>bm</t>
        </is>
      </c>
      <c r="F96" s="22" t="n">
        <v>82.2</v>
      </c>
      <c r="G96" s="10" t="n"/>
      <c r="H96" s="10" t="n"/>
      <c r="I96" s="8" t="inlineStr">
        <is>
          <t>fasadnik_etics</t>
        </is>
      </c>
      <c r="J96" s="8" t="inlineStr">
        <is>
          <t>URS-prop 622221221</t>
        </is>
      </c>
    </row>
    <row r="97">
      <c r="A97" s="20" t="n">
        <v>96</v>
      </c>
      <c r="B97" s="20" t="inlineStr">
        <is>
          <t>260219_dum</t>
        </is>
      </c>
      <c r="C97" s="8" t="inlineStr">
        <is>
          <t>HSV-7 Fasáda ETICS</t>
        </is>
      </c>
      <c r="D97" s="8" t="inlineStr">
        <is>
          <t>Profilace fasády — Profilace fasády — různé tloušťky EPS (kordony, šambrány, rámování oken) — paušál podle pohledů</t>
        </is>
      </c>
      <c r="E97" s="20" t="inlineStr">
        <is>
          <t>soubor</t>
        </is>
      </c>
      <c r="F97" s="23" t="n">
        <v>1</v>
      </c>
      <c r="G97" s="10" t="n"/>
      <c r="H97" s="10" t="n"/>
      <c r="I97" s="8" t="inlineStr">
        <is>
          <t>fasadnik_etics</t>
        </is>
      </c>
      <c r="J97" s="8" t="inlineStr">
        <is>
          <t>URS-prop 622221221</t>
        </is>
      </c>
    </row>
    <row r="98">
      <c r="A98" s="20" t="n">
        <v>97</v>
      </c>
      <c r="B98" s="20" t="inlineStr">
        <is>
          <t>260219_dum</t>
        </is>
      </c>
      <c r="C98" s="8" t="inlineStr">
        <is>
          <t>HSV-7 Fasáda ETICS</t>
        </is>
      </c>
      <c r="D98" s="8" t="inlineStr">
        <is>
          <t>Tenkovrstvá omítka pastovitá — Tenkovrstvá pastovitá probarvená omítka, lomená bílá NCS NZÚ — finální vrstva ETICS</t>
        </is>
      </c>
      <c r="E98" s="20" t="inlineStr">
        <is>
          <t>m²</t>
        </is>
      </c>
      <c r="F98" s="22" t="n">
        <v>290.2</v>
      </c>
      <c r="G98" s="10" t="n"/>
      <c r="H98" s="10" t="n"/>
      <c r="I98" s="8" t="inlineStr">
        <is>
          <t>fasadnik_etics</t>
        </is>
      </c>
      <c r="J98" s="8" t="inlineStr">
        <is>
          <t>URS-prop 622521111</t>
        </is>
      </c>
    </row>
    <row r="99">
      <c r="A99" s="20" t="n">
        <v>98</v>
      </c>
      <c r="B99" s="20" t="inlineStr">
        <is>
          <t>260219_dum</t>
        </is>
      </c>
      <c r="C99" s="8" t="inlineStr">
        <is>
          <t>HSV-6 Bourací práce</t>
        </is>
      </c>
      <c r="D99" s="8" t="inlineStr">
        <is>
          <t>Demontáž oken — Demontáž stávajících dřevěných oken vč. rámů a parapetů — 16 ks (návrh všechna okna nová plastová trojsklem)</t>
        </is>
      </c>
      <c r="E99" s="20" t="inlineStr">
        <is>
          <t>ks</t>
        </is>
      </c>
      <c r="F99" s="23" t="n">
        <v>16</v>
      </c>
      <c r="G99" s="10" t="n"/>
      <c r="H99" s="10" t="n"/>
      <c r="I99" s="8" t="inlineStr">
        <is>
          <t>bourani_demolice</t>
        </is>
      </c>
      <c r="J99" s="8" t="inlineStr">
        <is>
          <t>URS-prop 978013181</t>
        </is>
      </c>
    </row>
    <row r="100">
      <c r="A100" s="20" t="n">
        <v>99</v>
      </c>
      <c r="B100" s="20" t="inlineStr">
        <is>
          <t>260219_dum</t>
        </is>
      </c>
      <c r="C100" s="8" t="inlineStr">
        <is>
          <t>HSV-6 Bourací práce</t>
        </is>
      </c>
      <c r="D100" s="8" t="inlineStr">
        <is>
          <t>Demontáž vstupních dveří venkovních — Demontáž stávajících vstupních dveří + rámů — 2 ks (1× ulice Fibichova + 1× zahrada; návrh nové plastové vstupní dveře)</t>
        </is>
      </c>
      <c r="E100" s="20" t="inlineStr">
        <is>
          <t>ks</t>
        </is>
      </c>
      <c r="F100" s="23" t="n">
        <v>2</v>
      </c>
      <c r="G100" s="10" t="n"/>
      <c r="H100" s="10" t="n"/>
      <c r="I100" s="8" t="inlineStr">
        <is>
          <t>bourani_demolice</t>
        </is>
      </c>
      <c r="J100" s="8" t="inlineStr">
        <is>
          <t>URS-prop 978013181</t>
        </is>
      </c>
    </row>
    <row r="101">
      <c r="A101" s="20" t="n">
        <v>100</v>
      </c>
      <c r="B101" s="20" t="inlineStr">
        <is>
          <t>260219_dum</t>
        </is>
      </c>
      <c r="C101" s="8" t="inlineStr">
        <is>
          <t>HSV-6 Bourací práce</t>
        </is>
      </c>
      <c r="D101" s="8" t="inlineStr">
        <is>
          <t>Demontáž vnitřních dveří vč. zárubní — Demontáž stávajících vnitřních dveří vč. ocelových/dřevěných zárubní — odhad 15 ks (3 patra × ~5 dveří/patro per DXF SM__dveře layer)</t>
        </is>
      </c>
      <c r="E101" s="20" t="inlineStr">
        <is>
          <t>ks</t>
        </is>
      </c>
      <c r="F101" s="23" t="n">
        <v>15</v>
      </c>
      <c r="G101" s="10" t="n"/>
      <c r="H101" s="10" t="n"/>
      <c r="I101" s="8" t="inlineStr">
        <is>
          <t>bourani_demolice</t>
        </is>
      </c>
      <c r="J101" s="8" t="inlineStr">
        <is>
          <t>URS-prop 968072456</t>
        </is>
      </c>
    </row>
    <row r="102">
      <c r="A102" s="20" t="n">
        <v>101</v>
      </c>
      <c r="B102" s="20" t="inlineStr">
        <is>
          <t>260219_dum</t>
        </is>
      </c>
      <c r="C102" s="8" t="inlineStr">
        <is>
          <t>HSV-6 Bourací práce</t>
        </is>
      </c>
      <c r="D102" s="8" t="inlineStr">
        <is>
          <t>Bourání zdiva komínu — Bourání vrchní části stávajícího komínu v posledním podlaží (cihelné zdivo, ručně), vč. likvidace cihelné suti</t>
        </is>
      </c>
      <c r="E102" s="20" t="inlineStr">
        <is>
          <t>m³</t>
        </is>
      </c>
      <c r="F102" s="22" t="n">
        <v>6</v>
      </c>
      <c r="G102" s="10" t="n"/>
      <c r="H102" s="10" t="n"/>
      <c r="I102" s="8" t="inlineStr">
        <is>
          <t>bourani_demolice</t>
        </is>
      </c>
      <c r="J102" s="8" t="inlineStr">
        <is>
          <t>URS-prop 962024141</t>
        </is>
      </c>
    </row>
    <row r="103">
      <c r="A103" s="20" t="n">
        <v>102</v>
      </c>
      <c r="B103" s="20" t="inlineStr">
        <is>
          <t>260219_dum</t>
        </is>
      </c>
      <c r="C103" s="8" t="inlineStr">
        <is>
          <t>HSV-6 Bourací práce</t>
        </is>
      </c>
      <c r="D103" s="8" t="inlineStr">
        <is>
          <t>Bourání venkovních konstrukcí — Bourání stávajících opěrných zídek a venkovního schodiště v zahradě/dvoře — částečné, dle vyznačení v půdorysech bourání</t>
        </is>
      </c>
      <c r="E103" s="20" t="inlineStr">
        <is>
          <t>m³</t>
        </is>
      </c>
      <c r="F103" s="22" t="n">
        <v>8</v>
      </c>
      <c r="G103" s="10" t="n"/>
      <c r="H103" s="10" t="n"/>
      <c r="I103" s="8" t="inlineStr">
        <is>
          <t>bourani_demolice</t>
        </is>
      </c>
      <c r="J103" s="8" t="inlineStr">
        <is>
          <t>URS-prop 961044111</t>
        </is>
      </c>
    </row>
    <row r="104">
      <c r="A104" s="20" t="n">
        <v>103</v>
      </c>
      <c r="B104" s="20" t="inlineStr">
        <is>
          <t>260219_dum</t>
        </is>
      </c>
      <c r="C104" s="8" t="inlineStr">
        <is>
          <t>HSV-1 Zemní práce</t>
        </is>
      </c>
      <c r="D104" s="8" t="inlineStr">
        <is>
          <t>Drenáž za bílou vanou — Drenáž za opěrnou stěnou (bílou vanou) — drenážní trubka DN100 vlnitá perforovaná + štěrkový obsyp 16/32 + geotextilie + napojení do dešťové kanalizace, L po obvodu BV</t>
        </is>
      </c>
      <c r="E104" s="20" t="inlineStr">
        <is>
          <t>m</t>
        </is>
      </c>
      <c r="F104" s="22" t="n">
        <v>12</v>
      </c>
      <c r="G104" s="10" t="n"/>
      <c r="H104" s="10" t="n"/>
      <c r="I104" s="8" t="inlineStr">
        <is>
          <t>izolater_HI</t>
        </is>
      </c>
      <c r="J104" s="8" t="inlineStr">
        <is>
          <t>URS-prop 877315111</t>
        </is>
      </c>
    </row>
    <row r="105">
      <c r="A105" s="20" t="n">
        <v>104</v>
      </c>
      <c r="B105" s="20" t="inlineStr">
        <is>
          <t>260217_sklad</t>
        </is>
      </c>
      <c r="C105" s="8" t="inlineStr">
        <is>
          <t>HSV-5 Komunikace + schodiště</t>
        </is>
      </c>
      <c r="D105" s="8" t="inlineStr">
        <is>
          <t>Sklad mezipodesta schodiště prefa — Sklad mezipodesta schodiště — prefa betonové stupně (9 ks × 179.5×250 mm) + kladecí vrstva zavlhlého betonu nad ŽB podkladní deskou (S05 sklad skladba)</t>
        </is>
      </c>
      <c r="E105" s="20" t="inlineStr">
        <is>
          <t>m²</t>
        </is>
      </c>
      <c r="F105" s="22" t="n">
        <v>5.5</v>
      </c>
      <c r="G105" s="10" t="n"/>
      <c r="H105" s="10" t="n"/>
      <c r="I105" s="8" t="inlineStr">
        <is>
          <t>betonar</t>
        </is>
      </c>
      <c r="J105" s="8" t="inlineStr">
        <is>
          <t>URS-prop 121301101</t>
        </is>
      </c>
    </row>
    <row r="106">
      <c r="A106" s="20" t="n">
        <v>105</v>
      </c>
      <c r="B106" s="20" t="inlineStr">
        <is>
          <t>260217_sklad</t>
        </is>
      </c>
      <c r="C106" s="21" t="inlineStr">
        <is>
          <t>PSV-76 — Výplně otvorů + klempířina + zámečnictví + truhlář</t>
        </is>
      </c>
      <c r="D106" s="8" t="inlineStr">
        <is>
          <t>[agregát] 1 položek: Bezpečnostní dveře RC3 sklad</t>
        </is>
      </c>
      <c r="E106" s="20" t="inlineStr">
        <is>
          <t>kpl</t>
        </is>
      </c>
      <c r="F106" s="9" t="n">
        <v>1</v>
      </c>
      <c r="G106" s="10" t="n"/>
      <c r="H106" s="10" t="n"/>
      <c r="I106" s="8" t="inlineStr">
        <is>
          <t>—</t>
        </is>
      </c>
      <c r="J106" s="8" t="inlineStr">
        <is>
          <t>agregát</t>
        </is>
      </c>
    </row>
    <row r="107">
      <c r="A107" s="20" t="n">
        <v>106</v>
      </c>
      <c r="B107" s="20" t="inlineStr">
        <is>
          <t>260217_sklad</t>
        </is>
      </c>
      <c r="C107" s="21" t="inlineStr">
        <is>
          <t>PSV-77 — Podlahy</t>
        </is>
      </c>
      <c r="D107" s="8" t="inlineStr">
        <is>
          <t>[agregát] 1 položek: Betonová dlažba sklad</t>
        </is>
      </c>
      <c r="E107" s="20" t="inlineStr">
        <is>
          <t>kpl</t>
        </is>
      </c>
      <c r="F107" s="9" t="n">
        <v>1</v>
      </c>
      <c r="G107" s="10" t="n"/>
      <c r="H107" s="10" t="n"/>
      <c r="I107" s="8" t="inlineStr">
        <is>
          <t>—</t>
        </is>
      </c>
      <c r="J107" s="8" t="inlineStr">
        <is>
          <t>agregát</t>
        </is>
      </c>
    </row>
    <row r="108">
      <c r="A108" s="20" t="n">
        <v>107</v>
      </c>
      <c r="B108" s="20" t="inlineStr">
        <is>
          <t>260217_sklad</t>
        </is>
      </c>
      <c r="C108" s="21" t="inlineStr">
        <is>
          <t>VRN — Vedlejší rozpočtové náklady</t>
        </is>
      </c>
      <c r="D108" s="8" t="inlineStr">
        <is>
          <t>[agregát] 4 položek: Doprava prefa H-BLOK auto s hyd. rukou; Likvidace odpadu sklad; Geodetické vytýčení sklad; … (+1 dalších)</t>
        </is>
      </c>
      <c r="E108" s="20" t="inlineStr">
        <is>
          <t>kpl</t>
        </is>
      </c>
      <c r="F108" s="9" t="n">
        <v>1</v>
      </c>
      <c r="G108" s="10" t="n"/>
      <c r="H108" s="10" t="n"/>
      <c r="I108" s="8" t="inlineStr">
        <is>
          <t>—</t>
        </is>
      </c>
      <c r="J108" s="8" t="inlineStr">
        <is>
          <t>agregát</t>
        </is>
      </c>
    </row>
    <row r="109">
      <c r="A109" s="20" t="n">
        <v>108</v>
      </c>
      <c r="B109" s="20" t="inlineStr">
        <is>
          <t>260219_dum</t>
        </is>
      </c>
      <c r="C109" s="21" t="inlineStr">
        <is>
          <t>M-21 — Elektroinstalace silnoproudá</t>
        </is>
      </c>
      <c r="D109" s="8" t="inlineStr">
        <is>
          <t>[agregát] 7 položek: Demontáž stávající ELI; Pojistková skříň + 3× podružný rozvaděč; Rozvody silnoproud; … (+4 dalších)</t>
        </is>
      </c>
      <c r="E109" s="20" t="inlineStr">
        <is>
          <t>kpl</t>
        </is>
      </c>
      <c r="F109" s="9" t="n">
        <v>1</v>
      </c>
      <c r="G109" s="10" t="n"/>
      <c r="H109" s="10" t="n"/>
      <c r="I109" s="8" t="inlineStr">
        <is>
          <t>—</t>
        </is>
      </c>
      <c r="J109" s="8" t="inlineStr">
        <is>
          <t>agregát</t>
        </is>
      </c>
    </row>
    <row r="110">
      <c r="A110" s="20" t="n">
        <v>109</v>
      </c>
      <c r="B110" s="20" t="inlineStr">
        <is>
          <t>260219_dum</t>
        </is>
      </c>
      <c r="C110" s="21" t="inlineStr">
        <is>
          <t>PSV-71 — Izolace HI + TI</t>
        </is>
      </c>
      <c r="D110" s="8" t="inlineStr">
        <is>
          <t>[agregát] 5 položek: HI pod ŽB deskou 1.NP; Odvětrání radonu z podloží; HI koupelny 1.NP + 2.NP + 3.NP; … (+2 dalších)</t>
        </is>
      </c>
      <c r="E110" s="20" t="inlineStr">
        <is>
          <t>kpl</t>
        </is>
      </c>
      <c r="F110" s="9" t="n">
        <v>1</v>
      </c>
      <c r="G110" s="10" t="n"/>
      <c r="H110" s="10" t="n"/>
      <c r="I110" s="8" t="inlineStr">
        <is>
          <t>—</t>
        </is>
      </c>
      <c r="J110" s="8" t="inlineStr">
        <is>
          <t>agregát</t>
        </is>
      </c>
    </row>
    <row r="111">
      <c r="A111" s="20" t="n">
        <v>110</v>
      </c>
      <c r="B111" s="20" t="inlineStr">
        <is>
          <t>260219_dum</t>
        </is>
      </c>
      <c r="C111" s="21" t="inlineStr">
        <is>
          <t>PSV-72 — ZTI (vodovod + kanalizace + sanita)</t>
        </is>
      </c>
      <c r="D111" s="8" t="inlineStr">
        <is>
          <t>[agregát] 19 položek: Revize stávajících přípojek; Nové rozvody vody do 3.NP; Nové odpadní rozvody; … (+16 dalších)</t>
        </is>
      </c>
      <c r="E111" s="20" t="inlineStr">
        <is>
          <t>kpl</t>
        </is>
      </c>
      <c r="F111" s="9" t="n">
        <v>1</v>
      </c>
      <c r="G111" s="10" t="n"/>
      <c r="H111" s="10" t="n"/>
      <c r="I111" s="8" t="inlineStr">
        <is>
          <t>—</t>
        </is>
      </c>
      <c r="J111" s="8" t="inlineStr">
        <is>
          <t>agregát</t>
        </is>
      </c>
    </row>
    <row r="112">
      <c r="A112" s="20" t="n">
        <v>111</v>
      </c>
      <c r="B112" s="20" t="inlineStr">
        <is>
          <t>260219_dum</t>
        </is>
      </c>
      <c r="C112" s="21" t="inlineStr">
        <is>
          <t>PSV-73 — Vytápění + komín</t>
        </is>
      </c>
      <c r="D112" s="8" t="inlineStr">
        <is>
          <t>[agregát] 8 položek: Sporáková kamna na tuhá paliva; Sporáková kamna — montáž; Elektrokotel 3.NP; … (+5 dalších)</t>
        </is>
      </c>
      <c r="E112" s="20" t="inlineStr">
        <is>
          <t>kpl</t>
        </is>
      </c>
      <c r="F112" s="9" t="n">
        <v>1</v>
      </c>
      <c r="G112" s="10" t="n"/>
      <c r="H112" s="10" t="n"/>
      <c r="I112" s="8" t="inlineStr">
        <is>
          <t>—</t>
        </is>
      </c>
      <c r="J112" s="8" t="inlineStr">
        <is>
          <t>agregát</t>
        </is>
      </c>
    </row>
    <row r="113">
      <c r="A113" s="20" t="n">
        <v>112</v>
      </c>
      <c r="B113" s="20" t="inlineStr">
        <is>
          <t>260219_dum</t>
        </is>
      </c>
      <c r="C113" s="21" t="inlineStr">
        <is>
          <t>PSV-76 — Výplně otvorů + klempířina + zámečnictví + truhlář</t>
        </is>
      </c>
      <c r="D113" s="8" t="inlineStr">
        <is>
          <t>[agregát] 22 položek: Plastové okno trojsklo — 'okno 1.NP' (ulice); Plastové okno trojsklo — 'okno 1.NP vzadu' (zahrada); Plastové okno trojsklo — 'okno 2.NP' (ulice); … (+19 dalších)</t>
        </is>
      </c>
      <c r="E113" s="20" t="inlineStr">
        <is>
          <t>kpl</t>
        </is>
      </c>
      <c r="F113" s="9" t="n">
        <v>1</v>
      </c>
      <c r="G113" s="10" t="n"/>
      <c r="H113" s="10" t="n"/>
      <c r="I113" s="8" t="inlineStr">
        <is>
          <t>—</t>
        </is>
      </c>
      <c r="J113" s="8" t="inlineStr">
        <is>
          <t>agregát</t>
        </is>
      </c>
    </row>
    <row r="114">
      <c r="A114" s="20" t="n">
        <v>113</v>
      </c>
      <c r="B114" s="20" t="inlineStr">
        <is>
          <t>260219_dum</t>
        </is>
      </c>
      <c r="C114" s="21" t="inlineStr">
        <is>
          <t>PSV-77 — Podlahy</t>
        </is>
      </c>
      <c r="D114" s="8" t="inlineStr">
        <is>
          <t>[agregát] 7 položek: Nášlap vinyl obytné místnosti; Nášlap keramická dlažba — mokré zóny; Nášlap keramická dlažba — 1.PP sklep; … (+4 dalších)</t>
        </is>
      </c>
      <c r="E114" s="20" t="inlineStr">
        <is>
          <t>kpl</t>
        </is>
      </c>
      <c r="F114" s="9" t="n">
        <v>1</v>
      </c>
      <c r="G114" s="10" t="n"/>
      <c r="H114" s="10" t="n"/>
      <c r="I114" s="8" t="inlineStr">
        <is>
          <t>—</t>
        </is>
      </c>
      <c r="J114" s="8" t="inlineStr">
        <is>
          <t>agregát</t>
        </is>
      </c>
    </row>
    <row r="115">
      <c r="A115" s="20" t="n">
        <v>114</v>
      </c>
      <c r="B115" s="20" t="inlineStr">
        <is>
          <t>260219_dum</t>
        </is>
      </c>
      <c r="C115" s="21" t="inlineStr">
        <is>
          <t>PSV-78 — Povrchové úpravy</t>
        </is>
      </c>
      <c r="D115" s="8" t="inlineStr">
        <is>
          <t>[agregát] 16 položek: Omítka jádrová + štuk 1.PP; Omítka jádrová + štuk 1.NP; Omítka jádrová + štuk 2.NP; … (+13 dalších)</t>
        </is>
      </c>
      <c r="E115" s="20" t="inlineStr">
        <is>
          <t>kpl</t>
        </is>
      </c>
      <c r="F115" s="9" t="n">
        <v>1</v>
      </c>
      <c r="G115" s="10" t="n"/>
      <c r="H115" s="10" t="n"/>
      <c r="I115" s="8" t="inlineStr">
        <is>
          <t>—</t>
        </is>
      </c>
      <c r="J115" s="8" t="inlineStr">
        <is>
          <t>agregát</t>
        </is>
      </c>
    </row>
    <row r="116">
      <c r="A116" s="20" t="n">
        <v>115</v>
      </c>
      <c r="B116" s="20" t="inlineStr">
        <is>
          <t>260219_dum</t>
        </is>
      </c>
      <c r="C116" s="21" t="inlineStr">
        <is>
          <t>PSV-95 — Detekce požární</t>
        </is>
      </c>
      <c r="D116" s="8" t="inlineStr">
        <is>
          <t>[agregát] 2 položek: Autonomní hlásič kouře; Přenosný hasicí přístroj 34A</t>
        </is>
      </c>
      <c r="E116" s="20" t="inlineStr">
        <is>
          <t>kpl</t>
        </is>
      </c>
      <c r="F116" s="9" t="n">
        <v>1</v>
      </c>
      <c r="G116" s="10" t="n"/>
      <c r="H116" s="10" t="n"/>
      <c r="I116" s="8" t="inlineStr">
        <is>
          <t>—</t>
        </is>
      </c>
      <c r="J116" s="8" t="inlineStr">
        <is>
          <t>agregát</t>
        </is>
      </c>
    </row>
    <row r="117">
      <c r="A117" s="20" t="n">
        <v>116</v>
      </c>
      <c r="B117" s="20" t="inlineStr">
        <is>
          <t>260219_dum</t>
        </is>
      </c>
      <c r="C117" s="21" t="inlineStr">
        <is>
          <t>VRN — Vedlejší rozpočtové náklady</t>
        </is>
      </c>
      <c r="D117" s="8" t="inlineStr">
        <is>
          <t>[agregát] 16 položek: Buňky kancelář + sociální; Mobilní WC; El. odběr + vodovodní odběr stavby; … (+13 dalších)</t>
        </is>
      </c>
      <c r="E117" s="20" t="inlineStr">
        <is>
          <t>kpl</t>
        </is>
      </c>
      <c r="F117" s="9" t="n">
        <v>1</v>
      </c>
      <c r="G117" s="10" t="n"/>
      <c r="H117" s="10" t="n"/>
      <c r="I117" s="8" t="inlineStr">
        <is>
          <t>—</t>
        </is>
      </c>
      <c r="J117" s="8" t="inlineStr">
        <is>
          <t>agregát</t>
        </is>
      </c>
    </row>
  </sheetData>
  <autoFilter ref="A1:J1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7" customWidth="1" min="2" max="2"/>
    <col width="55" customWidth="1" min="3" max="3"/>
    <col width="18" customWidth="1" min="4" max="4"/>
    <col width="55" customWidth="1" min="5" max="5"/>
    <col width="9" customWidth="1" min="6" max="6"/>
    <col width="20" customWidth="1" min="7" max="7"/>
    <col width="14" customWidth="1" min="8" max="8"/>
    <col width="18" customWidth="1" min="9" max="9"/>
    <col width="36" customWidth="1" min="10" max="10"/>
    <col width="16" customWidth="1" min="11" max="11"/>
    <col width="34" customWidth="1" min="12" max="12"/>
    <col width="55" customWidth="1" min="13" max="13"/>
    <col width="16" customWidth="1" min="14" max="14"/>
    <col width="32" customWidth="1" min="15" max="15"/>
  </cols>
  <sheetData>
    <row r="1" ht="32" customHeight="1">
      <c r="A1" s="6" t="inlineStr">
        <is>
          <t>Poř.</t>
        </is>
      </c>
      <c r="B1" s="6" t="inlineStr">
        <is>
          <t>Kapitola</t>
        </is>
      </c>
      <c r="C1" s="6" t="inlineStr">
        <is>
          <t>Subkapitola</t>
        </is>
      </c>
      <c r="D1" s="6" t="inlineStr">
        <is>
          <t>URS kód (navrž.)</t>
        </is>
      </c>
      <c r="E1" s="6" t="inlineStr">
        <is>
          <t>Popis</t>
        </is>
      </c>
      <c r="F1" s="6" t="inlineStr">
        <is>
          <t>MJ</t>
        </is>
      </c>
      <c r="G1" s="6" t="inlineStr">
        <is>
          <t>Množství</t>
        </is>
      </c>
      <c r="H1" s="6" t="inlineStr">
        <is>
          <t>J. cena (Kč)</t>
        </is>
      </c>
      <c r="I1" s="6" t="inlineStr">
        <is>
          <t>Cena celkem (Kč)</t>
        </is>
      </c>
      <c r="J1" s="6" t="inlineStr">
        <is>
          <t>Subdodavatel</t>
        </is>
      </c>
      <c r="K1" s="6" t="inlineStr">
        <is>
          <t>_mnozstvi_conf</t>
        </is>
      </c>
      <c r="L1" s="6" t="inlineStr">
        <is>
          <t>_urs_status</t>
        </is>
      </c>
      <c r="M1" s="6" t="inlineStr">
        <is>
          <t>Source</t>
        </is>
      </c>
      <c r="N1" s="6" t="inlineStr">
        <is>
          <t>_vyjasneni_ref</t>
        </is>
      </c>
      <c r="O1" s="6" t="inlineStr">
        <is>
          <t>_NUTNO_OVERIT_URS</t>
        </is>
      </c>
    </row>
    <row r="2">
      <c r="A2" s="20" t="n">
        <v>1</v>
      </c>
      <c r="B2" s="8" t="inlineStr">
        <is>
          <t>HSV-1 Zemní práce</t>
        </is>
      </c>
      <c r="C2" s="8" t="inlineStr">
        <is>
          <t>Sejmutí ornice</t>
        </is>
      </c>
      <c r="D2" s="20" t="inlineStr">
        <is>
          <t>121101101</t>
        </is>
      </c>
      <c r="E2" s="8" t="inlineStr">
        <is>
          <t>Sejmutí ornice tl. 100 mm na ploše budoucí opěrné stěny a anglického dvorku</t>
        </is>
      </c>
      <c r="F2" s="20" t="inlineStr">
        <is>
          <t>m²</t>
        </is>
      </c>
      <c r="G2" s="22" t="n">
        <v>35</v>
      </c>
      <c r="H2" s="10" t="n"/>
      <c r="I2" s="10" t="n"/>
      <c r="J2" s="8" t="inlineStr">
        <is>
          <t>zemni_prace</t>
        </is>
      </c>
      <c r="K2" s="24" t="n">
        <v>0.75</v>
      </c>
      <c r="L2" s="20" t="inlineStr">
        <is>
          <t>matched_websearch_verified</t>
        </is>
      </c>
      <c r="M2" s="8" t="inlineStr">
        <is>
          <t>TZ statika §3 + ARS dispozice zahrada</t>
        </is>
      </c>
      <c r="N2" s="20" t="inlineStr">
        <is>
          <t>#3</t>
        </is>
      </c>
      <c r="O2" s="25" t="inlineStr">
        <is>
          <t>OVĚŘENO ✓</t>
        </is>
      </c>
    </row>
    <row r="3">
      <c r="A3" s="20" t="n">
        <v>2</v>
      </c>
      <c r="B3" s="8" t="inlineStr">
        <is>
          <t>HSV-1 Zemní práce</t>
        </is>
      </c>
      <c r="C3" s="8" t="inlineStr">
        <is>
          <t>Hloubení rýh BV</t>
        </is>
      </c>
      <c r="D3" s="20" t="inlineStr">
        <is>
          <t>132201101</t>
        </is>
      </c>
      <c r="E3" s="8" t="inlineStr">
        <is>
          <t>Hloubení rýh š. do 60 cm pro pas opěrné stěny bílé vany v zemině třídy 3 (F4-CS)</t>
        </is>
      </c>
      <c r="F3" s="20" t="inlineStr">
        <is>
          <t>m³</t>
        </is>
      </c>
      <c r="G3" s="22" t="n">
        <v>12.6</v>
      </c>
      <c r="H3" s="10" t="n"/>
      <c r="I3" s="10" t="n"/>
      <c r="J3" s="8" t="inlineStr">
        <is>
          <t>zemni_prace</t>
        </is>
      </c>
      <c r="K3" s="24" t="n">
        <v>0.75</v>
      </c>
      <c r="L3" s="20" t="inlineStr">
        <is>
          <t>matched_websearch_verified</t>
        </is>
      </c>
      <c r="M3" s="8" t="inlineStr">
        <is>
          <t>TZ statika dům §5.5 + geologie F4-CS Rdt 350 kPa</t>
        </is>
      </c>
      <c r="N3" s="20" t="inlineStr">
        <is>
          <t>#3, #8</t>
        </is>
      </c>
      <c r="O3" s="25" t="inlineStr">
        <is>
          <t>OVĚŘENO ✓</t>
        </is>
      </c>
    </row>
    <row r="4">
      <c r="A4" s="20" t="n">
        <v>3</v>
      </c>
      <c r="B4" s="8" t="inlineStr">
        <is>
          <t>HSV-1 Zemní práce</t>
        </is>
      </c>
      <c r="C4" s="8" t="inlineStr">
        <is>
          <t>Hloubení figury anglický dvorek</t>
        </is>
      </c>
      <c r="D4" s="20" t="inlineStr">
        <is>
          <t>131201101</t>
        </is>
      </c>
      <c r="E4" s="8" t="inlineStr">
        <is>
          <t>Hloubení jam nezapažených pro anglický dvorek a nový vstup do 1.PP ze zahrady, hornina tř. 3 (F4-CS)</t>
        </is>
      </c>
      <c r="F4" s="20" t="inlineStr">
        <is>
          <t>m³</t>
        </is>
      </c>
      <c r="G4" s="22" t="n">
        <v>6</v>
      </c>
      <c r="H4" s="10" t="n"/>
      <c r="I4" s="10" t="n"/>
      <c r="J4" s="8" t="inlineStr">
        <is>
          <t>zemni_prace</t>
        </is>
      </c>
      <c r="K4" s="24" t="n">
        <v>0.75</v>
      </c>
      <c r="L4" s="20" t="inlineStr">
        <is>
          <t>matched_websearch_verified</t>
        </is>
      </c>
      <c r="M4" s="8" t="inlineStr">
        <is>
          <t>TZ ARS dům §6.2 zahrada — nový vstup do 1.PP</t>
        </is>
      </c>
      <c r="N4" s="20" t="inlineStr">
        <is>
          <t>#3</t>
        </is>
      </c>
      <c r="O4" s="25" t="inlineStr">
        <is>
          <t>OVĚŘENO ✓</t>
        </is>
      </c>
    </row>
    <row r="5">
      <c r="A5" s="20" t="n">
        <v>4</v>
      </c>
      <c r="B5" s="8" t="inlineStr">
        <is>
          <t>HSV-1 Zemní práce</t>
        </is>
      </c>
      <c r="C5" s="8" t="inlineStr">
        <is>
          <t>Anglický dvorek — skladba dlažby</t>
        </is>
      </c>
      <c r="D5" s="20" t="inlineStr">
        <is>
          <t>564831111</t>
        </is>
      </c>
      <c r="E5" s="8" t="inlineStr">
        <is>
          <t>Anglický dvorek: betonová dlažba 50 mm + kladecí vrstva kamenná drť 4-8 mm tl. 40 mm + podkladní nosná vrstva kamenná drť 4-8 mm tl. 150 mm na zhutněnou zemní pláň (30 MPa)</t>
        </is>
      </c>
      <c r="F5" s="20" t="inlineStr">
        <is>
          <t>m²</t>
        </is>
      </c>
      <c r="G5" s="22" t="n">
        <v>30</v>
      </c>
      <c r="H5" s="10" t="n"/>
      <c r="I5" s="10" t="n"/>
      <c r="J5" s="8" t="inlineStr">
        <is>
          <t>podlahar</t>
        </is>
      </c>
      <c r="K5" s="24" t="n">
        <v>0.85</v>
      </c>
      <c r="L5" s="20" t="inlineStr">
        <is>
          <t>needs_production_lookup</t>
        </is>
      </c>
      <c r="M5" s="8" t="inlineStr">
        <is>
          <t>PDF řez D.1.1.2.2.21 řez C-C explicit composition — 4-vrstvý dlažební systém (Path C Tier 3 embedded tables)</t>
        </is>
      </c>
      <c r="N5" s="20" t="inlineStr">
        <is>
          <t>—</t>
        </is>
      </c>
      <c r="O5" s="26" t="inlineStr">
        <is>
          <t>ANO</t>
        </is>
      </c>
    </row>
    <row r="6">
      <c r="A6" s="20" t="n">
        <v>5</v>
      </c>
      <c r="B6" s="8" t="inlineStr">
        <is>
          <t>HSV-1 Zemní práce</t>
        </is>
      </c>
      <c r="C6" s="8" t="inlineStr">
        <is>
          <t>Terasa garapa — podkladní rošt</t>
        </is>
      </c>
      <c r="D6" s="20" t="inlineStr">
        <is>
          <t>564831111</t>
        </is>
      </c>
      <c r="E6" s="8" t="inlineStr">
        <is>
          <t>Terasa za opěrnou stěnou: rektifikovatelné terče 50 mm + betonové dlaždice 50 mm + štěrkový podsyp 16/32 mm tl. 100 mm + hrubý podsyp 4/8 mm tl. 150 mm + geotextilie</t>
        </is>
      </c>
      <c r="F6" s="20" t="inlineStr">
        <is>
          <t>m²</t>
        </is>
      </c>
      <c r="G6" s="22" t="n">
        <v>30</v>
      </c>
      <c r="H6" s="10" t="n"/>
      <c r="I6" s="10" t="n"/>
      <c r="J6" s="8" t="inlineStr">
        <is>
          <t>podlahar</t>
        </is>
      </c>
      <c r="K6" s="24" t="n">
        <v>0.85</v>
      </c>
      <c r="L6" s="20" t="inlineStr">
        <is>
          <t>needs_production_lookup</t>
        </is>
      </c>
      <c r="M6" s="8" t="inlineStr">
        <is>
          <t>PDF řez D.1.1.2.2.21 řez C-C explicit composition — 5-vrstvý podkladní systém terasa (Path C Tier 3 embedded tables); dřevěná prkna garapa same item v PSV-76 Truhlář</t>
        </is>
      </c>
      <c r="N6" s="20" t="inlineStr">
        <is>
          <t>—</t>
        </is>
      </c>
      <c r="O6" s="26" t="inlineStr">
        <is>
          <t>ANO</t>
        </is>
      </c>
    </row>
    <row r="7">
      <c r="A7" s="20" t="n">
        <v>6</v>
      </c>
      <c r="B7" s="8" t="inlineStr">
        <is>
          <t>HSV-1 Zemní práce</t>
        </is>
      </c>
      <c r="C7" s="8" t="inlineStr">
        <is>
          <t>Pažení rýh</t>
        </is>
      </c>
      <c r="D7" s="20" t="inlineStr">
        <is>
          <t>151101101</t>
        </is>
      </c>
      <c r="E7" s="8" t="inlineStr">
        <is>
          <t>Pažení a rozepření dočasných výkopů příložné, hl. do 2 m, v zemině třídy 3</t>
        </is>
      </c>
      <c r="F7" s="20" t="inlineStr">
        <is>
          <t>m²</t>
        </is>
      </c>
      <c r="G7" s="22" t="n">
        <v>36</v>
      </c>
      <c r="H7" s="10" t="n"/>
      <c r="I7" s="10" t="n"/>
      <c r="J7" s="8" t="inlineStr">
        <is>
          <t>zemni_prace</t>
        </is>
      </c>
      <c r="K7" s="24" t="n">
        <v>0.75</v>
      </c>
      <c r="L7" s="20" t="inlineStr">
        <is>
          <t>needs_production_lookup</t>
        </is>
      </c>
      <c r="M7" s="8" t="inlineStr">
        <is>
          <t>TZ statika §5.3 'pažovat dle BOZP, sklon dočasných výkopů 1:0,5'</t>
        </is>
      </c>
      <c r="N7" s="20" t="inlineStr">
        <is>
          <t>—</t>
        </is>
      </c>
      <c r="O7" s="26" t="inlineStr">
        <is>
          <t>ANO</t>
        </is>
      </c>
    </row>
    <row r="8">
      <c r="A8" s="20" t="n">
        <v>7</v>
      </c>
      <c r="B8" s="8" t="inlineStr">
        <is>
          <t>HSV-1 Zemní práce</t>
        </is>
      </c>
      <c r="C8" s="8" t="inlineStr">
        <is>
          <t>Odvoz výkopu</t>
        </is>
      </c>
      <c r="D8" s="27" t="inlineStr">
        <is>
          <t>162701??? ?</t>
        </is>
      </c>
      <c r="E8" s="8" t="inlineStr">
        <is>
          <t>Vodorovné přemístění výkopku — odvoz na deponii do 8 km vč. skládkovného (zemina F4)</t>
        </is>
      </c>
      <c r="F8" s="20" t="inlineStr">
        <is>
          <t>m³</t>
        </is>
      </c>
      <c r="G8" s="22" t="n">
        <v>18.6</v>
      </c>
      <c r="H8" s="10" t="n"/>
      <c r="I8" s="10" t="n"/>
      <c r="J8" s="8" t="inlineStr">
        <is>
          <t>zemni_prace</t>
        </is>
      </c>
      <c r="K8" s="24" t="n">
        <v>0.75</v>
      </c>
      <c r="L8" s="20" t="inlineStr">
        <is>
          <t>wrong_leaf_disambiguation_needed</t>
        </is>
      </c>
      <c r="M8" s="8">
        <f> součet HSV-1 hloubení dům</f>
        <v/>
      </c>
      <c r="N8" s="20" t="inlineStr">
        <is>
          <t>#10</t>
        </is>
      </c>
      <c r="O8" s="28" t="inlineStr">
        <is>
          <t>LEAF CHYBNÝ — viz alternatives</t>
        </is>
      </c>
    </row>
    <row r="9">
      <c r="A9" s="20" t="n">
        <v>8</v>
      </c>
      <c r="B9" s="8" t="inlineStr">
        <is>
          <t>HSV-1 Zemní práce</t>
        </is>
      </c>
      <c r="C9" s="8" t="inlineStr">
        <is>
          <t>Zhutněný štěrkový zásyp pod desku 1.NP</t>
        </is>
      </c>
      <c r="D9" s="20" t="inlineStr">
        <is>
          <t>174101101</t>
        </is>
      </c>
      <c r="E9" s="8" t="inlineStr">
        <is>
          <t>Zhutněný štěrkopískový zásyp + lože pod ŽB deskou 1.NP, Edef2 ≥ 30 MPa na pláni / 45 MPa na štěrku</t>
        </is>
      </c>
      <c r="F9" s="20" t="inlineStr">
        <is>
          <t>m³</t>
        </is>
      </c>
      <c r="G9" s="22" t="n">
        <v>12.5</v>
      </c>
      <c r="H9" s="10" t="n"/>
      <c r="I9" s="10" t="n"/>
      <c r="J9" s="8" t="inlineStr">
        <is>
          <t>zemni_prace</t>
        </is>
      </c>
      <c r="K9" s="24" t="n">
        <v>0.75</v>
      </c>
      <c r="L9" s="20" t="inlineStr">
        <is>
          <t>needs_production_lookup</t>
        </is>
      </c>
      <c r="M9" s="8" t="inlineStr">
        <is>
          <t>TZ statika dům §5.3 — Edef2 limity + zásyp pod deska 1.NP</t>
        </is>
      </c>
      <c r="N9" s="20" t="inlineStr">
        <is>
          <t>#3</t>
        </is>
      </c>
      <c r="O9" s="26" t="inlineStr">
        <is>
          <t>ANO</t>
        </is>
      </c>
    </row>
    <row r="10">
      <c r="A10" s="20" t="n">
        <v>9</v>
      </c>
      <c r="B10" s="8" t="inlineStr">
        <is>
          <t>HSV-1 Zemní práce</t>
        </is>
      </c>
      <c r="C10" s="8" t="inlineStr">
        <is>
          <t>Drenáž za bílou vanou</t>
        </is>
      </c>
      <c r="D10" s="20" t="inlineStr">
        <is>
          <t>877315111</t>
        </is>
      </c>
      <c r="E10" s="8" t="inlineStr">
        <is>
          <t>Drenáž za opěrnou stěnou (bílou vanou) — drenážní trubka DN100 vlnitá perforovaná + štěrkový obsyp 16/32 + geotextilie + napojení do dešťové kanalizace, L po obvodu BV</t>
        </is>
      </c>
      <c r="F10" s="20" t="inlineStr">
        <is>
          <t>m</t>
        </is>
      </c>
      <c r="G10" s="22" t="n">
        <v>12</v>
      </c>
      <c r="H10" s="10" t="n"/>
      <c r="I10" s="10" t="n"/>
      <c r="J10" s="8" t="inlineStr">
        <is>
          <t>izolater_HI</t>
        </is>
      </c>
      <c r="K10" s="24" t="n">
        <v>0.8</v>
      </c>
      <c r="L10" s="20" t="inlineStr">
        <is>
          <t>needs_production_lookup</t>
        </is>
      </c>
      <c r="M10" s="8" t="inlineStr">
        <is>
          <t>TZ ARS dům §3.2 (drenáž za opěrnou stěnou) + POZN.2.02 z půdorysů návrh + řez A-A návrh</t>
        </is>
      </c>
      <c r="N10" s="20" t="inlineStr">
        <is>
          <t>#8</t>
        </is>
      </c>
      <c r="O10" s="26" t="inlineStr">
        <is>
          <t>ANO</t>
        </is>
      </c>
    </row>
    <row r="11">
      <c r="A11" s="20" t="n">
        <v>10</v>
      </c>
      <c r="B11" s="8" t="inlineStr">
        <is>
          <t>HSV-2 Základové a ŽB</t>
        </is>
      </c>
      <c r="C11" s="8" t="inlineStr">
        <is>
          <t>Bílá vana — pata</t>
        </is>
      </c>
      <c r="D11" s="20" t="inlineStr">
        <is>
          <t>274321321</t>
        </is>
      </c>
      <c r="E11" s="8" t="inlineStr">
        <is>
          <t>Bílá vana ČBS 02 — pata úhlové opěrné stěny 250×1200 mm × L=10 m, C25/30 XC3 XF1 XA1 CL0.4 Dmax22 S3</t>
        </is>
      </c>
      <c r="F11" s="20" t="inlineStr">
        <is>
          <t>m³</t>
        </is>
      </c>
      <c r="G11" s="22" t="n">
        <v>3</v>
      </c>
      <c r="H11" s="10" t="n"/>
      <c r="I11" s="10" t="n"/>
      <c r="J11" s="8" t="inlineStr">
        <is>
          <t>bila_vana_csb02</t>
        </is>
      </c>
      <c r="K11" s="24" t="n">
        <v>0.85</v>
      </c>
      <c r="L11" s="20" t="inlineStr">
        <is>
          <t>needs_production_lookup</t>
        </is>
      </c>
      <c r="M11" s="8" t="inlineStr">
        <is>
          <t>TZ statika §4 + §5.5 (bílá vana, ČBS 02 metodika)</t>
        </is>
      </c>
      <c r="N11" s="20" t="inlineStr">
        <is>
          <t>#3, #8</t>
        </is>
      </c>
      <c r="O11" s="26" t="inlineStr">
        <is>
          <t>ANO</t>
        </is>
      </c>
    </row>
    <row r="12">
      <c r="A12" s="20" t="n">
        <v>11</v>
      </c>
      <c r="B12" s="8" t="inlineStr">
        <is>
          <t>HSV-2 Základové a ŽB</t>
        </is>
      </c>
      <c r="C12" s="8" t="inlineStr">
        <is>
          <t>Bílá vana — stěna</t>
        </is>
      </c>
      <c r="D12" s="20" t="inlineStr">
        <is>
          <t>274321321</t>
        </is>
      </c>
      <c r="E12" s="8" t="inlineStr">
        <is>
          <t>Bílá vana ČBS 02 — stěna úhlová tl. 250 mm × výška 2050 mm × L=10 m, beton C25/30 XC3 XF1 XA1 (trhliny max 0.20 mm)</t>
        </is>
      </c>
      <c r="F12" s="20" t="inlineStr">
        <is>
          <t>m³</t>
        </is>
      </c>
      <c r="G12" s="22" t="n">
        <v>5.12</v>
      </c>
      <c r="H12" s="10" t="n"/>
      <c r="I12" s="10" t="n"/>
      <c r="J12" s="8" t="inlineStr">
        <is>
          <t>bila_vana_csb02</t>
        </is>
      </c>
      <c r="K12" s="24" t="n">
        <v>0.85</v>
      </c>
      <c r="L12" s="20" t="inlineStr">
        <is>
          <t>needs_production_lookup</t>
        </is>
      </c>
      <c r="M12" s="8" t="inlineStr">
        <is>
          <t>TZ statika §5.5 — bílá vana A1 W0 Kon 1</t>
        </is>
      </c>
      <c r="N12" s="20" t="inlineStr">
        <is>
          <t>#3, #8</t>
        </is>
      </c>
      <c r="O12" s="26" t="inlineStr">
        <is>
          <t>ANO</t>
        </is>
      </c>
    </row>
    <row r="13">
      <c r="A13" s="20" t="n">
        <v>12</v>
      </c>
      <c r="B13" s="8" t="inlineStr">
        <is>
          <t>HSV-2 Základové a ŽB</t>
        </is>
      </c>
      <c r="C13" s="8" t="inlineStr">
        <is>
          <t>Bílá vana — bednění systémové</t>
        </is>
      </c>
      <c r="D13" s="20" t="inlineStr">
        <is>
          <t>631311115</t>
        </is>
      </c>
      <c r="E13" s="8" t="inlineStr">
        <is>
          <t>Systémové oboustranné bednění bílé vany — DOKA Framax / PERI MAXIMO, vč. těsnění pracovních spár bobtnavý pásek bentonit (TZ §5.5)</t>
        </is>
      </c>
      <c r="F13" s="20" t="inlineStr">
        <is>
          <t>m²</t>
        </is>
      </c>
      <c r="G13" s="22" t="n">
        <v>65</v>
      </c>
      <c r="H13" s="10" t="n"/>
      <c r="I13" s="10" t="n"/>
      <c r="J13" s="8" t="inlineStr">
        <is>
          <t>bila_vana_csb02</t>
        </is>
      </c>
      <c r="K13" s="24" t="n">
        <v>0.85</v>
      </c>
      <c r="L13" s="20" t="inlineStr">
        <is>
          <t>needs_production_lookup</t>
        </is>
      </c>
      <c r="M13" s="8" t="inlineStr">
        <is>
          <t>TZ statika §5.5 + ČBS 02 — bobtnavý pásek + těsnící plech pracovní spáry</t>
        </is>
      </c>
      <c r="N13" s="20" t="inlineStr">
        <is>
          <t>#3</t>
        </is>
      </c>
      <c r="O13" s="26" t="inlineStr">
        <is>
          <t>ANO</t>
        </is>
      </c>
    </row>
    <row r="14">
      <c r="A14" s="20" t="n">
        <v>13</v>
      </c>
      <c r="B14" s="8" t="inlineStr">
        <is>
          <t>HSV-2 Základové a ŽB</t>
        </is>
      </c>
      <c r="C14" s="8" t="inlineStr">
        <is>
          <t>Bílá vana — výztuž B500B</t>
        </is>
      </c>
      <c r="D14" s="20" t="inlineStr">
        <is>
          <t>273361821</t>
        </is>
      </c>
      <c r="E14" s="8" t="inlineStr">
        <is>
          <t>Výztuž bílé vany B500B 120 kg/m³ (empirická sazba Methvin pro úhlové opěrné stěny W0)</t>
        </is>
      </c>
      <c r="F14" s="20" t="inlineStr">
        <is>
          <t>kg</t>
        </is>
      </c>
      <c r="G14" s="22" t="n">
        <v>975</v>
      </c>
      <c r="H14" s="10" t="n"/>
      <c r="I14" s="10" t="n"/>
      <c r="J14" s="8" t="inlineStr">
        <is>
          <t>zelezobetonarsky_specialny</t>
        </is>
      </c>
      <c r="K14" s="24" t="n">
        <v>0.8</v>
      </c>
      <c r="L14" s="20" t="inlineStr">
        <is>
          <t>needs_production_lookup</t>
        </is>
      </c>
      <c r="M14" s="8" t="inlineStr">
        <is>
          <t>TZ statika §5.5 + B4_productivity Methvin sazba 120 kg/m³ pro BV W0</t>
        </is>
      </c>
      <c r="N14" s="20" t="inlineStr">
        <is>
          <t>#8</t>
        </is>
      </c>
      <c r="O14" s="26" t="inlineStr">
        <is>
          <t>ANO</t>
        </is>
      </c>
    </row>
    <row r="15">
      <c r="A15" s="20" t="n">
        <v>14</v>
      </c>
      <c r="B15" s="8" t="inlineStr">
        <is>
          <t>HSV-2 Základové a ŽB</t>
        </is>
      </c>
      <c r="C15" s="8" t="inlineStr">
        <is>
          <t>Bílá vana — separační fólie</t>
        </is>
      </c>
      <c r="D15" s="27" t="inlineStr">
        <is>
          <t>711141??? ?</t>
        </is>
      </c>
      <c r="E15" s="8" t="inlineStr">
        <is>
          <t>Separační PE fólie pod základovou patou bílé vany (povinná dle ČBS 02)</t>
        </is>
      </c>
      <c r="F15" s="20" t="inlineStr">
        <is>
          <t>m²</t>
        </is>
      </c>
      <c r="G15" s="22" t="n">
        <v>13.2</v>
      </c>
      <c r="H15" s="10" t="n"/>
      <c r="I15" s="10" t="n"/>
      <c r="J15" s="8" t="inlineStr">
        <is>
          <t>izolater_HI</t>
        </is>
      </c>
      <c r="K15" s="24" t="n">
        <v>0.85</v>
      </c>
      <c r="L15" s="20" t="inlineStr">
        <is>
          <t>wrong_leaf_disambiguation_needed</t>
        </is>
      </c>
      <c r="M15" s="8" t="inlineStr">
        <is>
          <t>TZ statika §5.5 — separační fólie povinné pod základ BV</t>
        </is>
      </c>
      <c r="N15" s="20" t="inlineStr">
        <is>
          <t>—</t>
        </is>
      </c>
      <c r="O15" s="28" t="inlineStr">
        <is>
          <t>LEAF CHYBNÝ — viz alternatives</t>
        </is>
      </c>
    </row>
    <row r="16">
      <c r="A16" s="20" t="n">
        <v>15</v>
      </c>
      <c r="B16" s="8" t="inlineStr">
        <is>
          <t>HSV-2 Základové a ŽB</t>
        </is>
      </c>
      <c r="C16" s="8" t="inlineStr">
        <is>
          <t>Bílá vana — ošetřování</t>
        </is>
      </c>
      <c r="D16" s="20" t="inlineStr">
        <is>
          <t>279351102</t>
        </is>
      </c>
      <c r="E16" s="8" t="inlineStr">
        <is>
          <t>Mokré ošetřování betonu bílé vany min. 7 dní dle ČSN EN 13670 + ČBS 02 (kontrola trhlin max 0.20 mm)</t>
        </is>
      </c>
      <c r="F16" s="20" t="inlineStr">
        <is>
          <t>m²</t>
        </is>
      </c>
      <c r="G16" s="22" t="n">
        <v>53</v>
      </c>
      <c r="H16" s="10" t="n"/>
      <c r="I16" s="10" t="n"/>
      <c r="J16" s="8" t="inlineStr">
        <is>
          <t>bila_vana_csb02</t>
        </is>
      </c>
      <c r="K16" s="24" t="n">
        <v>0.99</v>
      </c>
      <c r="L16" s="20" t="inlineStr">
        <is>
          <t>needs_production_lookup</t>
        </is>
      </c>
      <c r="M16" s="8" t="inlineStr">
        <is>
          <t>ČSN EN 13670 + TZ §5.5 — trhliny max 0.20 mm</t>
        </is>
      </c>
      <c r="N16" s="20" t="inlineStr">
        <is>
          <t>—</t>
        </is>
      </c>
      <c r="O16" s="26" t="inlineStr">
        <is>
          <t>ANO</t>
        </is>
      </c>
    </row>
    <row r="17">
      <c r="A17" s="20" t="n">
        <v>16</v>
      </c>
      <c r="B17" s="8" t="inlineStr">
        <is>
          <t>HSV-2 Základové a ŽB</t>
        </is>
      </c>
      <c r="C17" s="8" t="inlineStr">
        <is>
          <t>Pozední věnec 3.NP</t>
        </is>
      </c>
      <c r="D17" s="20" t="inlineStr">
        <is>
          <t>274321311</t>
        </is>
      </c>
      <c r="E17" s="8" t="inlineStr">
        <is>
          <t>ŽB pozední věnec 300×250 mm po obvodu nadezdívky 3.NP, beton C25/30 XC1 + výztuž 100 kg/m³</t>
        </is>
      </c>
      <c r="F17" s="20" t="inlineStr">
        <is>
          <t>m³</t>
        </is>
      </c>
      <c r="G17" s="22" t="n">
        <v>2.9</v>
      </c>
      <c r="H17" s="10" t="n"/>
      <c r="I17" s="10" t="n"/>
      <c r="J17" s="8" t="inlineStr">
        <is>
          <t>zelezobetonarsky_specialny</t>
        </is>
      </c>
      <c r="K17" s="24" t="n">
        <v>0.9</v>
      </c>
      <c r="L17" s="20" t="inlineStr">
        <is>
          <t>needs_production_lookup</t>
        </is>
      </c>
      <c r="M17" s="8" t="inlineStr">
        <is>
          <t>TZ statika dům §4 + ARS pozední věnec po obvodu nadezdívky 3.NP + DXF external perimeter 38.70 m</t>
        </is>
      </c>
      <c r="N17" s="20" t="inlineStr">
        <is>
          <t>#3, #8</t>
        </is>
      </c>
      <c r="O17" s="26" t="inlineStr">
        <is>
          <t>ANO</t>
        </is>
      </c>
    </row>
    <row r="18">
      <c r="A18" s="20" t="n">
        <v>17</v>
      </c>
      <c r="B18" s="8" t="inlineStr">
        <is>
          <t>HSV-2 Základové a ŽB</t>
        </is>
      </c>
      <c r="C18" s="8" t="inlineStr">
        <is>
          <t>Pozední věnec — bednění</t>
        </is>
      </c>
      <c r="D18" s="20" t="inlineStr">
        <is>
          <t>631311115</t>
        </is>
      </c>
      <c r="E18" s="8" t="inlineStr">
        <is>
          <t>Bednění pozedního věnce systémové oboustranné</t>
        </is>
      </c>
      <c r="F18" s="20" t="inlineStr">
        <is>
          <t>m²</t>
        </is>
      </c>
      <c r="G18" s="22" t="n">
        <v>19.4</v>
      </c>
      <c r="H18" s="10" t="n"/>
      <c r="I18" s="10" t="n"/>
      <c r="J18" s="8" t="inlineStr">
        <is>
          <t>bednici_tesar</t>
        </is>
      </c>
      <c r="K18" s="24" t="n">
        <v>0.9</v>
      </c>
      <c r="L18" s="20" t="inlineStr">
        <is>
          <t>needs_production_lookup</t>
        </is>
      </c>
      <c r="M18" s="8" t="inlineStr">
        <is>
          <t>TZ statika dům §4 + DXF external perimeter</t>
        </is>
      </c>
      <c r="N18" s="20" t="inlineStr">
        <is>
          <t>#3</t>
        </is>
      </c>
      <c r="O18" s="26" t="inlineStr">
        <is>
          <t>ANO</t>
        </is>
      </c>
    </row>
    <row r="19">
      <c r="A19" s="20" t="n">
        <v>18</v>
      </c>
      <c r="B19" s="8" t="inlineStr">
        <is>
          <t>HSV-2 Základové a ŽB</t>
        </is>
      </c>
      <c r="C19" s="8" t="inlineStr">
        <is>
          <t>Pozední věnec — výztuž</t>
        </is>
      </c>
      <c r="D19" s="20" t="inlineStr">
        <is>
          <t>273361821</t>
        </is>
      </c>
      <c r="E19" s="8" t="inlineStr">
        <is>
          <t>Výztuž B500B věnce 100 kg/m³ (Methvin sazba pro pozední věnce)</t>
        </is>
      </c>
      <c r="F19" s="20" t="inlineStr">
        <is>
          <t>kg</t>
        </is>
      </c>
      <c r="G19" s="22" t="n">
        <v>310</v>
      </c>
      <c r="H19" s="10" t="n"/>
      <c r="I19" s="10" t="n"/>
      <c r="J19" s="8" t="inlineStr">
        <is>
          <t>zelezobetonarsky_specialny</t>
        </is>
      </c>
      <c r="K19" s="24" t="n">
        <v>0.8</v>
      </c>
      <c r="L19" s="20" t="inlineStr">
        <is>
          <t>needs_production_lookup</t>
        </is>
      </c>
      <c r="M19" s="8" t="inlineStr">
        <is>
          <t>B4_productivity Methvin pozední věnec ~100 kg/m³</t>
        </is>
      </c>
      <c r="N19" s="20" t="inlineStr">
        <is>
          <t>#8</t>
        </is>
      </c>
      <c r="O19" s="26" t="inlineStr">
        <is>
          <t>ANO</t>
        </is>
      </c>
    </row>
    <row r="20">
      <c r="A20" s="20" t="n">
        <v>19</v>
      </c>
      <c r="B20" s="8" t="inlineStr">
        <is>
          <t>HSV-2 Základové a ŽB</t>
        </is>
      </c>
      <c r="C20" s="8" t="inlineStr">
        <is>
          <t>Nabetonávka stropu 2.NP/3.NP</t>
        </is>
      </c>
      <c r="D20" s="20" t="inlineStr">
        <is>
          <t>274321111</t>
        </is>
      </c>
      <c r="E20" s="8" t="inlineStr">
        <is>
          <t>Nabetonávka stropu 2.NP/3.NP — beton C25/30 XC1 tl. 60 mm nad vlnu trapézového plechu 40S/160</t>
        </is>
      </c>
      <c r="F20" s="20" t="inlineStr">
        <is>
          <t>m³</t>
        </is>
      </c>
      <c r="G20" s="22" t="n">
        <v>6.26</v>
      </c>
      <c r="H20" s="10" t="n"/>
      <c r="I20" s="10" t="n"/>
      <c r="J20" s="8" t="inlineStr">
        <is>
          <t>ocelobeton_strop_IPE_trapez</t>
        </is>
      </c>
      <c r="K20" s="24" t="n">
        <v>0.85</v>
      </c>
      <c r="L20" s="20" t="inlineStr">
        <is>
          <t>needs_production_lookup</t>
        </is>
      </c>
      <c r="M20" s="8" t="inlineStr">
        <is>
          <t>TZ statika §4 — ocelobetonový strop, nabetonávka 60 mm C25/30 XC1</t>
        </is>
      </c>
      <c r="N20" s="20" t="inlineStr">
        <is>
          <t>—</t>
        </is>
      </c>
      <c r="O20" s="26" t="inlineStr">
        <is>
          <t>ANO</t>
        </is>
      </c>
    </row>
    <row r="21">
      <c r="A21" s="20" t="n">
        <v>20</v>
      </c>
      <c r="B21" s="8" t="inlineStr">
        <is>
          <t>HSV-2 Základové a ŽB</t>
        </is>
      </c>
      <c r="C21" s="8" t="inlineStr">
        <is>
          <t>Nabetonávka — výztuž kari síť</t>
        </is>
      </c>
      <c r="D21" s="20" t="inlineStr">
        <is>
          <t>273362441</t>
        </is>
      </c>
      <c r="E21" s="8" t="inlineStr">
        <is>
          <t>Výztuž nabetonávky kari síť 5/100/100 (cca 4.4 kg/m²)</t>
        </is>
      </c>
      <c r="F21" s="20" t="inlineStr">
        <is>
          <t>kg</t>
        </is>
      </c>
      <c r="G21" s="22" t="n">
        <v>459</v>
      </c>
      <c r="H21" s="10" t="n"/>
      <c r="I21" s="10" t="n"/>
      <c r="J21" s="8" t="inlineStr">
        <is>
          <t>ocelobeton_strop_IPE_trapez</t>
        </is>
      </c>
      <c r="K21" s="24" t="n">
        <v>0.8</v>
      </c>
      <c r="L21" s="20" t="inlineStr">
        <is>
          <t>needs_production_lookup</t>
        </is>
      </c>
      <c r="M21" s="8" t="inlineStr">
        <is>
          <t>ČSN EN 1992-1 + B4_productivity kari pro nabetonávku 60 mm</t>
        </is>
      </c>
      <c r="N21" s="20" t="inlineStr">
        <is>
          <t>—</t>
        </is>
      </c>
      <c r="O21" s="26" t="inlineStr">
        <is>
          <t>ANO</t>
        </is>
      </c>
    </row>
    <row r="22">
      <c r="A22" s="20" t="n">
        <v>21</v>
      </c>
      <c r="B22" s="8" t="inlineStr">
        <is>
          <t>HSV-2 Základové a ŽB</t>
        </is>
      </c>
      <c r="C22" s="8" t="inlineStr">
        <is>
          <t>Deska 1.NP na terénu</t>
        </is>
      </c>
      <c r="D22" s="20" t="inlineStr">
        <is>
          <t>273321311</t>
        </is>
      </c>
      <c r="E22" s="8" t="inlineStr">
        <is>
          <t>ŽB deska podlahy 1.NP na terénu tl. 150 mm, C25/30 XC2 + vyztužení kari 6/150/150 + okrajové pruty</t>
        </is>
      </c>
      <c r="F22" s="20" t="inlineStr">
        <is>
          <t>m³</t>
        </is>
      </c>
      <c r="G22" s="22" t="n">
        <v>10.96</v>
      </c>
      <c r="H22" s="10" t="n"/>
      <c r="I22" s="10" t="n"/>
      <c r="J22" s="8" t="inlineStr">
        <is>
          <t>zelezobetonarsky_specialny</t>
        </is>
      </c>
      <c r="K22" s="24" t="n">
        <v>0.75</v>
      </c>
      <c r="L22" s="20" t="inlineStr">
        <is>
          <t>needs_production_lookup</t>
        </is>
      </c>
      <c r="M22" s="8" t="inlineStr">
        <is>
          <t>TZ statika dům §4 + ARS § podlaha 1.NP zhutněné lože + ŽB deska + EPS 150 + potěr</t>
        </is>
      </c>
      <c r="N22" s="20" t="inlineStr">
        <is>
          <t>#3</t>
        </is>
      </c>
      <c r="O22" s="26" t="inlineStr">
        <is>
          <t>ANO</t>
        </is>
      </c>
    </row>
    <row r="23">
      <c r="A23" s="20" t="n">
        <v>22</v>
      </c>
      <c r="B23" s="8" t="inlineStr">
        <is>
          <t>HSV-2 Základové a ŽB</t>
        </is>
      </c>
      <c r="C23" s="8" t="inlineStr">
        <is>
          <t>Deska 1.NP — výztuž</t>
        </is>
      </c>
      <c r="D23" s="20" t="inlineStr">
        <is>
          <t>273361821</t>
        </is>
      </c>
      <c r="E23" s="8" t="inlineStr">
        <is>
          <t>Výztuž ŽB desky 1.NP — kari 6/150/150 + B500B okrajové pruty (~75 kg/m³ Methvin)</t>
        </is>
      </c>
      <c r="F23" s="20" t="inlineStr">
        <is>
          <t>kg</t>
        </is>
      </c>
      <c r="G23" s="22" t="n">
        <v>825</v>
      </c>
      <c r="H23" s="10" t="n"/>
      <c r="I23" s="10" t="n"/>
      <c r="J23" s="8" t="inlineStr">
        <is>
          <t>zelezobetonarsky_specialny</t>
        </is>
      </c>
      <c r="K23" s="24" t="n">
        <v>0.8</v>
      </c>
      <c r="L23" s="20" t="inlineStr">
        <is>
          <t>needs_production_lookup</t>
        </is>
      </c>
      <c r="M23" s="8" t="inlineStr">
        <is>
          <t>B4_productivity Methvin deska na terénu ~75 kg/m³</t>
        </is>
      </c>
      <c r="N23" s="20" t="inlineStr">
        <is>
          <t>#8</t>
        </is>
      </c>
      <c r="O23" s="26" t="inlineStr">
        <is>
          <t>ANO</t>
        </is>
      </c>
    </row>
    <row r="24">
      <c r="A24" s="20" t="n">
        <v>23</v>
      </c>
      <c r="B24" s="8" t="inlineStr">
        <is>
          <t>HSV-3 Svislé konstrukce</t>
        </is>
      </c>
      <c r="C24" s="8" t="inlineStr">
        <is>
          <t>Dozdívky cihla pálená</t>
        </is>
      </c>
      <c r="D24" s="20" t="inlineStr">
        <is>
          <t>311232511</t>
        </is>
      </c>
      <c r="E24" s="8" t="inlineStr">
        <is>
          <t>Lokální dozdívky a přizdívky z cihel plných pálených P10 na MVC M10 (uvedeno v TZ statika §4)</t>
        </is>
      </c>
      <c r="F24" s="20" t="inlineStr">
        <is>
          <t>m³</t>
        </is>
      </c>
      <c r="G24" s="22" t="n">
        <v>4</v>
      </c>
      <c r="H24" s="10" t="n"/>
      <c r="I24" s="10" t="n"/>
      <c r="J24" s="8" t="inlineStr">
        <is>
          <t>zednik</t>
        </is>
      </c>
      <c r="K24" s="24" t="n">
        <v>0.75</v>
      </c>
      <c r="L24" s="20" t="inlineStr">
        <is>
          <t>needs_production_lookup</t>
        </is>
      </c>
      <c r="M24" s="8" t="inlineStr">
        <is>
          <t>TZ statika dům §4 — P10 na MVC M10 dozdívky</t>
        </is>
      </c>
      <c r="N24" s="20" t="inlineStr">
        <is>
          <t>#3</t>
        </is>
      </c>
      <c r="O24" s="26" t="inlineStr">
        <is>
          <t>ANO</t>
        </is>
      </c>
    </row>
    <row r="25">
      <c r="A25" s="20" t="n">
        <v>24</v>
      </c>
      <c r="B25" s="8" t="inlineStr">
        <is>
          <t>HSV-3 Svislé konstrukce</t>
        </is>
      </c>
      <c r="C25" s="8" t="inlineStr">
        <is>
          <t>Nadezdívka 3.NP Porotherm</t>
        </is>
      </c>
      <c r="D25" s="20" t="inlineStr">
        <is>
          <t>311321411</t>
        </is>
      </c>
      <c r="E25" s="8" t="inlineStr">
        <is>
          <t>Nadezdívka 3.NP a čela vikýřů — Porotherm 30 Profi P10 na maltu pro tenké spáry, výška 2.65 m</t>
        </is>
      </c>
      <c r="F25" s="20" t="inlineStr">
        <is>
          <t>m²</t>
        </is>
      </c>
      <c r="G25" s="22" t="n">
        <v>71.8</v>
      </c>
      <c r="H25" s="10" t="n"/>
      <c r="I25" s="10" t="n"/>
      <c r="J25" s="8" t="inlineStr">
        <is>
          <t>zednik</t>
        </is>
      </c>
      <c r="K25" s="24" t="n">
        <v>0.9</v>
      </c>
      <c r="L25" s="20" t="inlineStr">
        <is>
          <t>needs_production_lookup</t>
        </is>
      </c>
      <c r="M25" s="8" t="inlineStr">
        <is>
          <t>TZ statika dům §4 + ARS — nástavba 3.NP + DXF external perimeter 38.70 m</t>
        </is>
      </c>
      <c r="N25" s="20" t="inlineStr">
        <is>
          <t>#3</t>
        </is>
      </c>
      <c r="O25" s="26" t="inlineStr">
        <is>
          <t>ANO</t>
        </is>
      </c>
    </row>
    <row r="26">
      <c r="A26" s="20" t="n">
        <v>25</v>
      </c>
      <c r="B26" s="8" t="inlineStr">
        <is>
          <t>HSV-3 Svislé konstrukce</t>
        </is>
      </c>
      <c r="C26" s="8" t="inlineStr">
        <is>
          <t>Překlady IPN160 ve dvojici</t>
        </is>
      </c>
      <c r="D26" s="20" t="inlineStr">
        <is>
          <t>317143112</t>
        </is>
      </c>
      <c r="E26" s="8" t="inlineStr">
        <is>
          <t>Ocelové překlady IPN160 ve dvojici nad otvory pro nové dveře/okna v 1.NP a 2.NP (8 otvorů odhad)</t>
        </is>
      </c>
      <c r="F26" s="20" t="inlineStr">
        <is>
          <t>ks</t>
        </is>
      </c>
      <c r="G26" s="23" t="n">
        <v>8</v>
      </c>
      <c r="H26" s="10" t="n"/>
      <c r="I26" s="10" t="n"/>
      <c r="J26" s="8" t="inlineStr">
        <is>
          <t>ocel_zamecnik_konstrukce</t>
        </is>
      </c>
      <c r="K26" s="24" t="n">
        <v>0.75</v>
      </c>
      <c r="L26" s="20" t="inlineStr">
        <is>
          <t>needs_production_lookup</t>
        </is>
      </c>
      <c r="M26" s="8" t="inlineStr">
        <is>
          <t>TZ statika dům §4 — IPN160 dvojice s uložením 200 mm do maltového lože 50 mm s kari 5/100/100</t>
        </is>
      </c>
      <c r="N26" s="20" t="inlineStr">
        <is>
          <t>#3</t>
        </is>
      </c>
      <c r="O26" s="26" t="inlineStr">
        <is>
          <t>ANO</t>
        </is>
      </c>
    </row>
    <row r="27">
      <c r="A27" s="20" t="n">
        <v>26</v>
      </c>
      <c r="B27" s="8" t="inlineStr">
        <is>
          <t>HSV-3 Svislé konstrukce</t>
        </is>
      </c>
      <c r="C27" s="8" t="inlineStr">
        <is>
          <t>Překlady — uložení malta + kari</t>
        </is>
      </c>
      <c r="D27" s="20" t="inlineStr">
        <is>
          <t>317242421</t>
        </is>
      </c>
      <c r="E27" s="8" t="inlineStr">
        <is>
          <t>Maltové uložení překladů IPN160 — MC25 tl. 50 mm + kari 5/100/100 (po obou stranách otvoru)</t>
        </is>
      </c>
      <c r="F27" s="20" t="inlineStr">
        <is>
          <t>kpl</t>
        </is>
      </c>
      <c r="G27" s="23" t="n">
        <v>16</v>
      </c>
      <c r="H27" s="10" t="n"/>
      <c r="I27" s="10" t="n"/>
      <c r="J27" s="8" t="inlineStr">
        <is>
          <t>zednik</t>
        </is>
      </c>
      <c r="K27" s="24" t="n">
        <v>0.75</v>
      </c>
      <c r="L27" s="20" t="inlineStr">
        <is>
          <t>needs_production_lookup</t>
        </is>
      </c>
      <c r="M27" s="8" t="inlineStr">
        <is>
          <t>TZ statika dům §4 — detail uložení IPN160</t>
        </is>
      </c>
      <c r="N27" s="20" t="inlineStr">
        <is>
          <t>—</t>
        </is>
      </c>
      <c r="O27" s="26" t="inlineStr">
        <is>
          <t>ANO</t>
        </is>
      </c>
    </row>
    <row r="28">
      <c r="A28" s="20" t="n">
        <v>27</v>
      </c>
      <c r="B28" s="8" t="inlineStr">
        <is>
          <t>HSV-3 Svislé konstrukce</t>
        </is>
      </c>
      <c r="C28" s="8" t="inlineStr">
        <is>
          <t>Zesílení ostění L100/10 u komínu</t>
        </is>
      </c>
      <c r="D28" s="20" t="inlineStr">
        <is>
          <t>767131120</t>
        </is>
      </c>
      <c r="E28" s="8" t="inlineStr">
        <is>
          <t>Zesílení ostění úhelníky L100/10 dvojicí u otvoru u komínového tělesa (statická limitace)</t>
        </is>
      </c>
      <c r="F28" s="20" t="inlineStr">
        <is>
          <t>ks</t>
        </is>
      </c>
      <c r="G28" s="23" t="n">
        <v>4</v>
      </c>
      <c r="H28" s="10" t="n"/>
      <c r="I28" s="10" t="n"/>
      <c r="J28" s="8" t="inlineStr">
        <is>
          <t>ocel_zamecnik_konstrukce</t>
        </is>
      </c>
      <c r="K28" s="24" t="n">
        <v>0.85</v>
      </c>
      <c r="L28" s="20" t="inlineStr">
        <is>
          <t>needs_production_lookup</t>
        </is>
      </c>
      <c r="M28" s="8" t="inlineStr">
        <is>
          <t>TZ statika dům §4 — zesílení ostění u komínu</t>
        </is>
      </c>
      <c r="N28" s="20" t="inlineStr">
        <is>
          <t>—</t>
        </is>
      </c>
      <c r="O28" s="26" t="inlineStr">
        <is>
          <t>ANO</t>
        </is>
      </c>
    </row>
    <row r="29">
      <c r="A29" s="20" t="n">
        <v>28</v>
      </c>
      <c r="B29" s="8" t="inlineStr">
        <is>
          <t>HSV-3 Svislé konstrukce</t>
        </is>
      </c>
      <c r="C29" s="8" t="inlineStr">
        <is>
          <t>Podstojkování přiléhajících stropů</t>
        </is>
      </c>
      <c r="D29" s="20" t="inlineStr">
        <is>
          <t>962081120</t>
        </is>
      </c>
      <c r="E29" s="8" t="inlineStr">
        <is>
          <t>Dočasné podstojkování stávajících přiléhajících stropů při osazování IPN překladů (8 otvorů)</t>
        </is>
      </c>
      <c r="F29" s="20" t="inlineStr">
        <is>
          <t>kpl</t>
        </is>
      </c>
      <c r="G29" s="23" t="n">
        <v>8</v>
      </c>
      <c r="H29" s="10" t="n"/>
      <c r="I29" s="10" t="n"/>
      <c r="J29" s="8" t="inlineStr">
        <is>
          <t>zelezobetonarsky_specialny</t>
        </is>
      </c>
      <c r="K29" s="24" t="n">
        <v>0.75</v>
      </c>
      <c r="L29" s="20" t="inlineStr">
        <is>
          <t>needs_production_lookup</t>
        </is>
      </c>
      <c r="M29" s="8" t="inlineStr">
        <is>
          <t>BOZP + technologický postup výměny překladů ve zděné stavbě</t>
        </is>
      </c>
      <c r="N29" s="20" t="inlineStr">
        <is>
          <t>—</t>
        </is>
      </c>
      <c r="O29" s="26" t="inlineStr">
        <is>
          <t>ANO</t>
        </is>
      </c>
    </row>
    <row r="30">
      <c r="A30" s="20" t="n">
        <v>29</v>
      </c>
      <c r="B30" s="8" t="inlineStr">
        <is>
          <t>HSV-3 Svislé konstrukce</t>
        </is>
      </c>
      <c r="C30" s="8" t="inlineStr">
        <is>
          <t>Příčky nové porobeton</t>
        </is>
      </c>
      <c r="D30" s="20" t="inlineStr">
        <is>
          <t>342241211</t>
        </is>
      </c>
      <c r="E30" s="8" t="inlineStr">
        <is>
          <t>Nové příčky z pórobetonových tvárnic 150 mm na lepidlo + dilatovány od stropu</t>
        </is>
      </c>
      <c r="F30" s="20" t="inlineStr">
        <is>
          <t>m²</t>
        </is>
      </c>
      <c r="G30" s="22" t="n">
        <v>87.7</v>
      </c>
      <c r="H30" s="10" t="n"/>
      <c r="I30" s="10" t="n"/>
      <c r="J30" s="8" t="inlineStr">
        <is>
          <t>zednik</t>
        </is>
      </c>
      <c r="K30" s="24" t="n">
        <v>0.75</v>
      </c>
      <c r="L30" s="20" t="inlineStr">
        <is>
          <t>needs_production_lookup</t>
        </is>
      </c>
      <c r="M30" s="8" t="inlineStr">
        <is>
          <t>TZ ARS — příčky pórobetonové dilatované od stropu</t>
        </is>
      </c>
      <c r="N30" s="20" t="inlineStr">
        <is>
          <t>#3, #5</t>
        </is>
      </c>
      <c r="O30" s="26" t="inlineStr">
        <is>
          <t>ANO</t>
        </is>
      </c>
    </row>
    <row r="31">
      <c r="A31" s="20" t="n">
        <v>30</v>
      </c>
      <c r="B31" s="8" t="inlineStr">
        <is>
          <t>HSV-4 Vodorovné</t>
        </is>
      </c>
      <c r="C31" s="8" t="inlineStr">
        <is>
          <t>IPE180 stropnice 1.NP</t>
        </is>
      </c>
      <c r="D31" s="20" t="inlineStr">
        <is>
          <t>411321414</t>
        </is>
      </c>
      <c r="E31" s="8" t="inlineStr">
        <is>
          <t>Ocelová stropnice IPE180 1.NP v pozici nové příčky 2.NP — dodávka + montáž (1 ks × ~5 m)</t>
        </is>
      </c>
      <c r="F31" s="20" t="inlineStr">
        <is>
          <t>kg</t>
        </is>
      </c>
      <c r="G31" s="22" t="n">
        <v>94</v>
      </c>
      <c r="H31" s="10" t="n"/>
      <c r="I31" s="10" t="n"/>
      <c r="J31" s="8" t="inlineStr">
        <is>
          <t>ocel_zamecnik_konstrukce</t>
        </is>
      </c>
      <c r="K31" s="24" t="n">
        <v>0.85</v>
      </c>
      <c r="L31" s="20" t="inlineStr">
        <is>
          <t>needs_production_lookup</t>
        </is>
      </c>
      <c r="M31" s="8" t="inlineStr">
        <is>
          <t>TZ statika dům §4 — IPE180 v 1.NP pod novou příčkou 2.NP</t>
        </is>
      </c>
      <c r="N31" s="20" t="inlineStr">
        <is>
          <t>—</t>
        </is>
      </c>
      <c r="O31" s="26" t="inlineStr">
        <is>
          <t>ANO</t>
        </is>
      </c>
    </row>
    <row r="32">
      <c r="A32" s="20" t="n">
        <v>31</v>
      </c>
      <c r="B32" s="8" t="inlineStr">
        <is>
          <t>HSV-4 Vodorovné</t>
        </is>
      </c>
      <c r="C32" s="8" t="inlineStr">
        <is>
          <t>Ocelobeton — IPE180 stropnice 2.NP/3.NP</t>
        </is>
      </c>
      <c r="D32" s="20" t="inlineStr">
        <is>
          <t>411321414</t>
        </is>
      </c>
      <c r="E32" s="8" t="inlineStr">
        <is>
          <t>Ocelobetonový strop 2.NP/3.NP — stropnice IPE180 á 1000 mm × rozpon ~8 m × ~8 ks</t>
        </is>
      </c>
      <c r="F32" s="20" t="inlineStr">
        <is>
          <t>kg</t>
        </is>
      </c>
      <c r="G32" s="22" t="n">
        <v>1203</v>
      </c>
      <c r="H32" s="10" t="n"/>
      <c r="I32" s="10" t="n"/>
      <c r="J32" s="8" t="inlineStr">
        <is>
          <t>ocelobeton_strop_IPE_trapez</t>
        </is>
      </c>
      <c r="K32" s="24" t="n">
        <v>0.75</v>
      </c>
      <c r="L32" s="20" t="inlineStr">
        <is>
          <t>needs_production_lookup</t>
        </is>
      </c>
      <c r="M32" s="8" t="inlineStr">
        <is>
          <t>TZ statika §4 — IPE180 stropnice á 1000 mm + zastavěna 104.4 m² → ~8 stropnic</t>
        </is>
      </c>
      <c r="N32" s="20" t="inlineStr">
        <is>
          <t>—</t>
        </is>
      </c>
      <c r="O32" s="26" t="inlineStr">
        <is>
          <t>ANO</t>
        </is>
      </c>
    </row>
    <row r="33">
      <c r="A33" s="20" t="n">
        <v>32</v>
      </c>
      <c r="B33" s="8" t="inlineStr">
        <is>
          <t>HSV-4 Vodorovné</t>
        </is>
      </c>
      <c r="C33" s="8" t="inlineStr">
        <is>
          <t>Ocelobeton — HEA180 výztuha trakt ulice</t>
        </is>
      </c>
      <c r="D33" s="20" t="inlineStr">
        <is>
          <t>411321414</t>
        </is>
      </c>
      <c r="E33" s="8" t="inlineStr">
        <is>
          <t>Ocelobetonový strop — výztuha 2×HEA180 trakt do ulice (Fibichova), dl. ~10 m</t>
        </is>
      </c>
      <c r="F33" s="20" t="inlineStr">
        <is>
          <t>kg</t>
        </is>
      </c>
      <c r="G33" s="22" t="n">
        <v>710</v>
      </c>
      <c r="H33" s="10" t="n"/>
      <c r="I33" s="10" t="n"/>
      <c r="J33" s="8" t="inlineStr">
        <is>
          <t>ocelobeton_strop_IPE_trapez</t>
        </is>
      </c>
      <c r="K33" s="24" t="n">
        <v>0.85</v>
      </c>
      <c r="L33" s="20" t="inlineStr">
        <is>
          <t>needs_production_lookup</t>
        </is>
      </c>
      <c r="M33" s="8" t="inlineStr">
        <is>
          <t>TZ statika dům §4 — 2×HEA180 trakt ulice</t>
        </is>
      </c>
      <c r="N33" s="20" t="inlineStr">
        <is>
          <t>—</t>
        </is>
      </c>
      <c r="O33" s="26" t="inlineStr">
        <is>
          <t>ANO</t>
        </is>
      </c>
    </row>
    <row r="34">
      <c r="A34" s="20" t="n">
        <v>33</v>
      </c>
      <c r="B34" s="8" t="inlineStr">
        <is>
          <t>HSV-4 Vodorovné</t>
        </is>
      </c>
      <c r="C34" s="8" t="inlineStr">
        <is>
          <t>Ocelobeton — HEA200 výztuha dvorní</t>
        </is>
      </c>
      <c r="D34" s="20" t="inlineStr">
        <is>
          <t>411321414</t>
        </is>
      </c>
      <c r="E34" s="8" t="inlineStr">
        <is>
          <t>Ocelobetonový strop — výztuha HEA200 dvorní trakt, dl. ~10 m</t>
        </is>
      </c>
      <c r="F34" s="20" t="inlineStr">
        <is>
          <t>kg</t>
        </is>
      </c>
      <c r="G34" s="22" t="n">
        <v>423</v>
      </c>
      <c r="H34" s="10" t="n"/>
      <c r="I34" s="10" t="n"/>
      <c r="J34" s="8" t="inlineStr">
        <is>
          <t>ocelobeton_strop_IPE_trapez</t>
        </is>
      </c>
      <c r="K34" s="24" t="n">
        <v>0.85</v>
      </c>
      <c r="L34" s="20" t="inlineStr">
        <is>
          <t>needs_production_lookup</t>
        </is>
      </c>
      <c r="M34" s="8" t="inlineStr">
        <is>
          <t>TZ statika dům §4 — HEA200 dvorní trakt</t>
        </is>
      </c>
      <c r="N34" s="20" t="inlineStr">
        <is>
          <t>—</t>
        </is>
      </c>
      <c r="O34" s="26" t="inlineStr">
        <is>
          <t>ANO</t>
        </is>
      </c>
    </row>
    <row r="35">
      <c r="A35" s="20" t="n">
        <v>34</v>
      </c>
      <c r="B35" s="8" t="inlineStr">
        <is>
          <t>HSV-4 Vodorovné</t>
        </is>
      </c>
      <c r="C35" s="8" t="inlineStr">
        <is>
          <t>Trapéz 40S/160 dodávka</t>
        </is>
      </c>
      <c r="D35" s="20" t="inlineStr">
        <is>
          <t>411321414</t>
        </is>
      </c>
      <c r="E35" s="8" t="inlineStr">
        <is>
          <t>Trapézový plech 40S/160 tl. 0.75 mm — dodávka + montáž na stropnice IPE180</t>
        </is>
      </c>
      <c r="F35" s="20" t="inlineStr">
        <is>
          <t>m²</t>
        </is>
      </c>
      <c r="G35" s="22" t="n">
        <v>104.4</v>
      </c>
      <c r="H35" s="10" t="n"/>
      <c r="I35" s="10" t="n"/>
      <c r="J35" s="8" t="inlineStr">
        <is>
          <t>ocelobeton_strop_IPE_trapez</t>
        </is>
      </c>
      <c r="K35" s="24" t="n">
        <v>0.85</v>
      </c>
      <c r="L35" s="20" t="inlineStr">
        <is>
          <t>needs_production_lookup</t>
        </is>
      </c>
      <c r="M35" s="8" t="inlineStr">
        <is>
          <t>TZ statika dům §4 — trapéz 40S/160 nad IPE180</t>
        </is>
      </c>
      <c r="N35" s="20" t="inlineStr">
        <is>
          <t>—</t>
        </is>
      </c>
      <c r="O35" s="26" t="inlineStr">
        <is>
          <t>ANO</t>
        </is>
      </c>
    </row>
    <row r="36">
      <c r="A36" s="20" t="n">
        <v>35</v>
      </c>
      <c r="B36" s="8" t="inlineStr">
        <is>
          <t>HSV-4 Vodorovné</t>
        </is>
      </c>
      <c r="C36" s="8" t="inlineStr">
        <is>
          <t>Protipožární SDK podhled trapéz</t>
        </is>
      </c>
      <c r="D36" s="20" t="inlineStr">
        <is>
          <t>342213131</t>
        </is>
      </c>
      <c r="E36" s="8" t="inlineStr">
        <is>
          <t>Protipožární SDK podhled pod trapézovým plechem (EI 30 dle PBŘ — ocelobeton + SDK)</t>
        </is>
      </c>
      <c r="F36" s="20" t="inlineStr">
        <is>
          <t>m²</t>
        </is>
      </c>
      <c r="G36" s="22" t="n">
        <v>104.4</v>
      </c>
      <c r="H36" s="10" t="n"/>
      <c r="I36" s="10" t="n"/>
      <c r="J36" s="8" t="inlineStr">
        <is>
          <t>sadrokartonar</t>
        </is>
      </c>
      <c r="K36" s="24" t="n">
        <v>0.85</v>
      </c>
      <c r="L36" s="20" t="inlineStr">
        <is>
          <t>needs_production_lookup</t>
        </is>
      </c>
      <c r="M36" s="8" t="inlineStr">
        <is>
          <t>TZ PBŘ + statika §4 — ochrana ocelobetonu</t>
        </is>
      </c>
      <c r="N36" s="20" t="inlineStr">
        <is>
          <t>—</t>
        </is>
      </c>
      <c r="O36" s="26" t="inlineStr">
        <is>
          <t>ANO</t>
        </is>
      </c>
    </row>
    <row r="37">
      <c r="A37" s="20" t="n">
        <v>36</v>
      </c>
      <c r="B37" s="8" t="inlineStr">
        <is>
          <t>HSV-4 Vodorovné</t>
        </is>
      </c>
      <c r="C37" s="8" t="inlineStr">
        <is>
          <t>Klenba 1.PP/1.NP — vyvezení zásypu</t>
        </is>
      </c>
      <c r="D37" s="20" t="inlineStr">
        <is>
          <t>974031150</t>
        </is>
      </c>
      <c r="E37" s="8" t="inlineStr">
        <is>
          <t>Vyvezení původního zásypu z cihelné klenby 1.PP/1.NP — manuálně + odvoz</t>
        </is>
      </c>
      <c r="F37" s="20" t="inlineStr">
        <is>
          <t>m³</t>
        </is>
      </c>
      <c r="G37" s="22" t="n">
        <v>8</v>
      </c>
      <c r="H37" s="10" t="n"/>
      <c r="I37" s="10" t="n"/>
      <c r="J37" s="8" t="inlineStr">
        <is>
          <t>bourani_demolice</t>
        </is>
      </c>
      <c r="K37" s="24" t="n">
        <v>0.75</v>
      </c>
      <c r="L37" s="20" t="inlineStr">
        <is>
          <t>needs_production_lookup</t>
        </is>
      </c>
      <c r="M37" s="8" t="inlineStr">
        <is>
          <t>TZ ARS dům §4 — klenba zachována, zásyp vyměnit</t>
        </is>
      </c>
      <c r="N37" s="20" t="inlineStr">
        <is>
          <t>—</t>
        </is>
      </c>
      <c r="O37" s="26" t="inlineStr">
        <is>
          <t>ANO</t>
        </is>
      </c>
    </row>
    <row r="38">
      <c r="A38" s="20" t="n">
        <v>37</v>
      </c>
      <c r="B38" s="8" t="inlineStr">
        <is>
          <t>HSV-4 Vodorovné</t>
        </is>
      </c>
      <c r="C38" s="8" t="inlineStr">
        <is>
          <t>Klenba — nový zásyp perlitbeton</t>
        </is>
      </c>
      <c r="D38" s="20" t="inlineStr">
        <is>
          <t>271223111</t>
        </is>
      </c>
      <c r="E38" s="8" t="inlineStr">
        <is>
          <t>Nový zásyp klenby 1.PP/1.NP — perlitbeton (lehký zásyp) tl. 100 mm</t>
        </is>
      </c>
      <c r="F38" s="20" t="inlineStr">
        <is>
          <t>m³</t>
        </is>
      </c>
      <c r="G38" s="22" t="n">
        <v>5</v>
      </c>
      <c r="H38" s="10" t="n"/>
      <c r="I38" s="10" t="n"/>
      <c r="J38" s="8" t="inlineStr">
        <is>
          <t>zednik</t>
        </is>
      </c>
      <c r="K38" s="24" t="n">
        <v>0.75</v>
      </c>
      <c r="L38" s="20" t="inlineStr">
        <is>
          <t>needs_production_lookup</t>
        </is>
      </c>
      <c r="M38" s="8" t="inlineStr">
        <is>
          <t>TZ ARS dům §4 — perlitbeton + plastická roznášecí vrstva</t>
        </is>
      </c>
      <c r="N38" s="20" t="inlineStr">
        <is>
          <t>—</t>
        </is>
      </c>
      <c r="O38" s="26" t="inlineStr">
        <is>
          <t>ANO</t>
        </is>
      </c>
    </row>
    <row r="39">
      <c r="A39" s="20" t="n">
        <v>38</v>
      </c>
      <c r="B39" s="8" t="inlineStr">
        <is>
          <t>HSV-4 Vodorovné</t>
        </is>
      </c>
      <c r="C39" s="8" t="inlineStr">
        <is>
          <t>Klenba — plastická perlitbeton roznášecí</t>
        </is>
      </c>
      <c r="D39" s="20" t="inlineStr">
        <is>
          <t>631321311</t>
        </is>
      </c>
      <c r="E39" s="8" t="inlineStr">
        <is>
          <t>Plastická perlitbetonová roznášecí vrstva tl. 50 mm nad zásypem klenby</t>
        </is>
      </c>
      <c r="F39" s="20" t="inlineStr">
        <is>
          <t>m²</t>
        </is>
      </c>
      <c r="G39" s="22" t="n">
        <v>50</v>
      </c>
      <c r="H39" s="10" t="n"/>
      <c r="I39" s="10" t="n"/>
      <c r="J39" s="8" t="inlineStr">
        <is>
          <t>podlahar</t>
        </is>
      </c>
      <c r="K39" s="24" t="n">
        <v>0.75</v>
      </c>
      <c r="L39" s="20" t="inlineStr">
        <is>
          <t>needs_production_lookup</t>
        </is>
      </c>
      <c r="M39" s="8" t="inlineStr">
        <is>
          <t>TZ ARS dům §4 — roznášecí vrstva pod podlahou 1.NP nad klenbou</t>
        </is>
      </c>
      <c r="N39" s="20" t="inlineStr">
        <is>
          <t>—</t>
        </is>
      </c>
      <c r="O39" s="26" t="inlineStr">
        <is>
          <t>ANO</t>
        </is>
      </c>
    </row>
    <row r="40">
      <c r="A40" s="20" t="n">
        <v>39</v>
      </c>
      <c r="B40" s="8" t="inlineStr">
        <is>
          <t>HSV-4 Vodorovné</t>
        </is>
      </c>
      <c r="C40" s="8" t="inlineStr">
        <is>
          <t>Strop 1.NP/2.NP — odstranění shora</t>
        </is>
      </c>
      <c r="D40" s="20" t="inlineStr">
        <is>
          <t>974041141</t>
        </is>
      </c>
      <c r="E40" s="8" t="inlineStr">
        <is>
          <t>Strop trámový 1.NP/2.NP — sejmutí podlah, demontáž záklopu a zásypu shora (zachovat prkenný záklop na trámech)</t>
        </is>
      </c>
      <c r="F40" s="20" t="inlineStr">
        <is>
          <t>m²</t>
        </is>
      </c>
      <c r="G40" s="22" t="n">
        <v>100</v>
      </c>
      <c r="H40" s="10" t="n"/>
      <c r="I40" s="10" t="n"/>
      <c r="J40" s="8" t="inlineStr">
        <is>
          <t>bourani_demolice</t>
        </is>
      </c>
      <c r="K40" s="24" t="n">
        <v>0.75</v>
      </c>
      <c r="L40" s="20" t="inlineStr">
        <is>
          <t>needs_production_lookup</t>
        </is>
      </c>
      <c r="M40" s="8" t="inlineStr">
        <is>
          <t>TZ ARS dům §4 — strop trámový zachován, vrstvy nahradit</t>
        </is>
      </c>
      <c r="N40" s="20" t="inlineStr">
        <is>
          <t>—</t>
        </is>
      </c>
      <c r="O40" s="26" t="inlineStr">
        <is>
          <t>ANO</t>
        </is>
      </c>
    </row>
    <row r="41">
      <c r="A41" s="20" t="n">
        <v>40</v>
      </c>
      <c r="B41" s="8" t="inlineStr">
        <is>
          <t>HSV-4 Vodorovné</t>
        </is>
      </c>
      <c r="C41" s="8" t="inlineStr">
        <is>
          <t>Strop 1.NP/2.NP — minerální vata mezi trámy</t>
        </is>
      </c>
      <c r="D41" s="20" t="inlineStr">
        <is>
          <t>713121121</t>
        </is>
      </c>
      <c r="E41" s="8" t="inlineStr">
        <is>
          <t>Tepelná izolace minerální vata mezi trámy stropu 1.NP/2.NP, tl. 180 mm (= trám 60/180)</t>
        </is>
      </c>
      <c r="F41" s="20" t="inlineStr">
        <is>
          <t>m²</t>
        </is>
      </c>
      <c r="G41" s="22" t="n">
        <v>100</v>
      </c>
      <c r="H41" s="10" t="n"/>
      <c r="I41" s="10" t="n"/>
      <c r="J41" s="8" t="inlineStr">
        <is>
          <t>izolater_TI</t>
        </is>
      </c>
      <c r="K41" s="24" t="n">
        <v>0.75</v>
      </c>
      <c r="L41" s="20" t="inlineStr">
        <is>
          <t>needs_production_lookup</t>
        </is>
      </c>
      <c r="M41" s="8" t="inlineStr">
        <is>
          <t>TZ ARS dům §4 — minerální vata mezi trámy + protipož. SDK zespodu</t>
        </is>
      </c>
      <c r="N41" s="20" t="inlineStr">
        <is>
          <t>#4</t>
        </is>
      </c>
      <c r="O41" s="26" t="inlineStr">
        <is>
          <t>ANO</t>
        </is>
      </c>
    </row>
    <row r="42">
      <c r="A42" s="20" t="n">
        <v>41</v>
      </c>
      <c r="B42" s="8" t="inlineStr">
        <is>
          <t>HSV-4 Vodorovné</t>
        </is>
      </c>
      <c r="C42" s="8" t="inlineStr">
        <is>
          <t>Strop 1.NP/2.NP — protipož. SDK zespodu</t>
        </is>
      </c>
      <c r="D42" s="20" t="inlineStr">
        <is>
          <t>342213131</t>
        </is>
      </c>
      <c r="E42" s="8" t="inlineStr">
        <is>
          <t>Protipožární SDK podhled zespodu trámového stropu (EI 30 dle PBŘ)</t>
        </is>
      </c>
      <c r="F42" s="20" t="inlineStr">
        <is>
          <t>m²</t>
        </is>
      </c>
      <c r="G42" s="22" t="n">
        <v>100</v>
      </c>
      <c r="H42" s="10" t="n"/>
      <c r="I42" s="10" t="n"/>
      <c r="J42" s="8" t="inlineStr">
        <is>
          <t>sadrokartonar</t>
        </is>
      </c>
      <c r="K42" s="24" t="n">
        <v>0.75</v>
      </c>
      <c r="L42" s="20" t="inlineStr">
        <is>
          <t>needs_production_lookup</t>
        </is>
      </c>
      <c r="M42" s="8" t="inlineStr">
        <is>
          <t>TZ ARS + PBŘ — SDK protipožární RF</t>
        </is>
      </c>
      <c r="N42" s="20" t="inlineStr">
        <is>
          <t>—</t>
        </is>
      </c>
      <c r="O42" s="26" t="inlineStr">
        <is>
          <t>ANO</t>
        </is>
      </c>
    </row>
    <row r="43">
      <c r="A43" s="20" t="n">
        <v>42</v>
      </c>
      <c r="B43" s="8" t="inlineStr">
        <is>
          <t>HSV-4 Vodorovné</t>
        </is>
      </c>
      <c r="C43" s="8" t="inlineStr">
        <is>
          <t>Suchá podlaha 1.NP/2.NP — zásyp liapor</t>
        </is>
      </c>
      <c r="D43" s="20" t="inlineStr">
        <is>
          <t>631311114</t>
        </is>
      </c>
      <c r="E43" s="8" t="inlineStr">
        <is>
          <t>Suchá podlahová skladba 1.NP/2.NP — zásyp Liapor pro vyrovnání tl. 50 mm</t>
        </is>
      </c>
      <c r="F43" s="20" t="inlineStr">
        <is>
          <t>m³</t>
        </is>
      </c>
      <c r="G43" s="22" t="n">
        <v>5</v>
      </c>
      <c r="H43" s="10" t="n"/>
      <c r="I43" s="10" t="n"/>
      <c r="J43" s="8" t="inlineStr">
        <is>
          <t>podlahar</t>
        </is>
      </c>
      <c r="K43" s="24" t="n">
        <v>0.75</v>
      </c>
      <c r="L43" s="20" t="inlineStr">
        <is>
          <t>needs_production_lookup</t>
        </is>
      </c>
      <c r="M43" s="8" t="inlineStr">
        <is>
          <t>TZ ARS dům §4 — suchá podlahová skladba shora</t>
        </is>
      </c>
      <c r="N43" s="20" t="inlineStr">
        <is>
          <t>#4</t>
        </is>
      </c>
      <c r="O43" s="26" t="inlineStr">
        <is>
          <t>ANO</t>
        </is>
      </c>
    </row>
    <row r="44">
      <c r="A44" s="20" t="n">
        <v>43</v>
      </c>
      <c r="B44" s="8" t="inlineStr">
        <is>
          <t>HSV-4 Vodorovné</t>
        </is>
      </c>
      <c r="C44" s="8" t="inlineStr">
        <is>
          <t>Suchá podlaha — Fermacell desky</t>
        </is>
      </c>
      <c r="D44" s="20" t="inlineStr">
        <is>
          <t>771421111</t>
        </is>
      </c>
      <c r="E44" s="8" t="inlineStr">
        <is>
          <t>Suchá podlahová skladba — sádrovláknité dílce Fermacell tl. 25 mm (dva 12.5 mm vrstvy)</t>
        </is>
      </c>
      <c r="F44" s="20" t="inlineStr">
        <is>
          <t>m²</t>
        </is>
      </c>
      <c r="G44" s="22" t="n">
        <v>100</v>
      </c>
      <c r="H44" s="10" t="n"/>
      <c r="I44" s="10" t="n"/>
      <c r="J44" s="8" t="inlineStr">
        <is>
          <t>podlahar</t>
        </is>
      </c>
      <c r="K44" s="24" t="n">
        <v>0.75</v>
      </c>
      <c r="L44" s="20" t="inlineStr">
        <is>
          <t>needs_production_lookup</t>
        </is>
      </c>
      <c r="M44" s="8" t="inlineStr">
        <is>
          <t>TZ ARS dům §4 — Fermacell / Rigistabil</t>
        </is>
      </c>
      <c r="N44" s="20" t="inlineStr">
        <is>
          <t>#4</t>
        </is>
      </c>
      <c r="O44" s="26" t="inlineStr">
        <is>
          <t>ANO</t>
        </is>
      </c>
    </row>
    <row r="45">
      <c r="A45" s="20" t="n">
        <v>44</v>
      </c>
      <c r="B45" s="8" t="inlineStr">
        <is>
          <t>HSV-5 Krov + střecha</t>
        </is>
      </c>
      <c r="C45" s="8" t="inlineStr">
        <is>
          <t>Krokve 100/180 á 800 mm</t>
        </is>
      </c>
      <c r="D45" s="20" t="inlineStr">
        <is>
          <t>762331911</t>
        </is>
      </c>
      <c r="E45" s="8" t="inlineStr">
        <is>
          <t>Tesařský krov — krokve 100/180 mm á 800 mm, rezivo C24 fungicidní + protihmyzí (cca 2×12 krokví × ~6.5 m)</t>
        </is>
      </c>
      <c r="F45" s="20" t="inlineStr">
        <is>
          <t>bm</t>
        </is>
      </c>
      <c r="G45" s="22" t="n">
        <v>156</v>
      </c>
      <c r="H45" s="10" t="n"/>
      <c r="I45" s="10" t="n"/>
      <c r="J45" s="8" t="inlineStr">
        <is>
          <t>krov_tesarsky_kompletni</t>
        </is>
      </c>
      <c r="K45" s="24" t="n">
        <v>0.75</v>
      </c>
      <c r="L45" s="20" t="inlineStr">
        <is>
          <t>needs_production_lookup</t>
        </is>
      </c>
      <c r="M45" s="8" t="inlineStr">
        <is>
          <t>TZ ARS dům §4 + statika §4 — krokve 100/180; DXF KR=111 INSERTs corroborates (krokve+sloupky+námětky combined)</t>
        </is>
      </c>
      <c r="N45" s="20" t="inlineStr">
        <is>
          <t>#3</t>
        </is>
      </c>
      <c r="O45" s="26" t="inlineStr">
        <is>
          <t>ANO</t>
        </is>
      </c>
    </row>
    <row r="46">
      <c r="A46" s="20" t="n">
        <v>45</v>
      </c>
      <c r="B46" s="8" t="inlineStr">
        <is>
          <t>HSV-5 Krov + střecha</t>
        </is>
      </c>
      <c r="C46" s="8" t="inlineStr">
        <is>
          <t>Kleštiny 2×60/180</t>
        </is>
      </c>
      <c r="D46" s="20" t="inlineStr">
        <is>
          <t>762331912</t>
        </is>
      </c>
      <c r="E46" s="8" t="inlineStr">
        <is>
          <t>Tesařský krov — kleštiny dvojfošny 60/180 mm probíhající v oblasti spací části</t>
        </is>
      </c>
      <c r="F46" s="20" t="inlineStr">
        <is>
          <t>bm</t>
        </is>
      </c>
      <c r="G46" s="22" t="n">
        <v>110</v>
      </c>
      <c r="H46" s="10" t="n"/>
      <c r="I46" s="10" t="n"/>
      <c r="J46" s="8" t="inlineStr">
        <is>
          <t>krov_tesarsky_kompletni</t>
        </is>
      </c>
      <c r="K46" s="24" t="n">
        <v>0.75</v>
      </c>
      <c r="L46" s="20" t="inlineStr">
        <is>
          <t>needs_production_lookup</t>
        </is>
      </c>
      <c r="M46" s="8" t="inlineStr">
        <is>
          <t>TZ statika dům §4 — 2× 60/180 kleštiny</t>
        </is>
      </c>
      <c r="N46" s="20" t="inlineStr">
        <is>
          <t>—</t>
        </is>
      </c>
      <c r="O46" s="26" t="inlineStr">
        <is>
          <t>ANO</t>
        </is>
      </c>
    </row>
    <row r="47">
      <c r="A47" s="20" t="n">
        <v>46</v>
      </c>
      <c r="B47" s="8" t="inlineStr">
        <is>
          <t>HSV-5 Krov + střecha</t>
        </is>
      </c>
      <c r="C47" s="8" t="inlineStr">
        <is>
          <t>Pozednice 140/160</t>
        </is>
      </c>
      <c r="D47" s="20" t="inlineStr">
        <is>
          <t>762331923</t>
        </is>
      </c>
      <c r="E47" s="8" t="inlineStr">
        <is>
          <t>Tesařský krov — pozednice 140/160 mm kotvená do ŽB věnce 3.NP</t>
        </is>
      </c>
      <c r="F47" s="20" t="inlineStr">
        <is>
          <t>bm</t>
        </is>
      </c>
      <c r="G47" s="22" t="n">
        <v>19.4</v>
      </c>
      <c r="H47" s="10" t="n"/>
      <c r="I47" s="10" t="n"/>
      <c r="J47" s="8" t="inlineStr">
        <is>
          <t>krov_tesarsky_kompletni</t>
        </is>
      </c>
      <c r="K47" s="24" t="n">
        <v>0.75</v>
      </c>
      <c r="L47" s="20" t="inlineStr">
        <is>
          <t>needs_production_lookup</t>
        </is>
      </c>
      <c r="M47" s="8" t="inlineStr">
        <is>
          <t>TZ ARS + statika — pozednice kotvené do věnce</t>
        </is>
      </c>
      <c r="N47" s="20" t="inlineStr">
        <is>
          <t>—</t>
        </is>
      </c>
      <c r="O47" s="26" t="inlineStr">
        <is>
          <t>ANO</t>
        </is>
      </c>
    </row>
    <row r="48">
      <c r="A48" s="20" t="n">
        <v>47</v>
      </c>
      <c r="B48" s="8" t="inlineStr">
        <is>
          <t>HSV-5 Krov + střecha</t>
        </is>
      </c>
      <c r="C48" s="8" t="inlineStr">
        <is>
          <t>Námětky pro přesah</t>
        </is>
      </c>
      <c r="D48" s="20" t="inlineStr">
        <is>
          <t>762331911</t>
        </is>
      </c>
      <c r="E48" s="8" t="inlineStr">
        <is>
          <t>Tesařský krov — námětky 60/100 v dolní koncové části pro přesah střechy ~500 mm</t>
        </is>
      </c>
      <c r="F48" s="20" t="inlineStr">
        <is>
          <t>bm</t>
        </is>
      </c>
      <c r="G48" s="22" t="n">
        <v>19.2</v>
      </c>
      <c r="H48" s="10" t="n"/>
      <c r="I48" s="10" t="n"/>
      <c r="J48" s="8" t="inlineStr">
        <is>
          <t>krov_tesarsky_kompletni</t>
        </is>
      </c>
      <c r="K48" s="24" t="n">
        <v>0.75</v>
      </c>
      <c r="L48" s="20" t="inlineStr">
        <is>
          <t>needs_production_lookup</t>
        </is>
      </c>
      <c r="M48" s="8" t="inlineStr">
        <is>
          <t>TZ ARS dům §4 — námětky v dolní části pro přesah</t>
        </is>
      </c>
      <c r="N48" s="20" t="inlineStr">
        <is>
          <t>—</t>
        </is>
      </c>
      <c r="O48" s="26" t="inlineStr">
        <is>
          <t>ANO</t>
        </is>
      </c>
    </row>
    <row r="49">
      <c r="A49" s="20" t="n">
        <v>48</v>
      </c>
      <c r="B49" s="8" t="inlineStr">
        <is>
          <t>HSV-5 Krov + střecha</t>
        </is>
      </c>
      <c r="C49" s="8" t="inlineStr">
        <is>
          <t>Středová vaznice HEA160</t>
        </is>
      </c>
      <c r="D49" s="20" t="inlineStr">
        <is>
          <t>411321414</t>
        </is>
      </c>
      <c r="E49" s="8" t="inlineStr">
        <is>
          <t>Ocelová středová vaznice HEA160 — 2 ks × cca 10 m délka</t>
        </is>
      </c>
      <c r="F49" s="20" t="inlineStr">
        <is>
          <t>kg</t>
        </is>
      </c>
      <c r="G49" s="22" t="n">
        <v>608</v>
      </c>
      <c r="H49" s="10" t="n"/>
      <c r="I49" s="10" t="n"/>
      <c r="J49" s="8" t="inlineStr">
        <is>
          <t>ocel_zamecnik_konstrukce</t>
        </is>
      </c>
      <c r="K49" s="24" t="n">
        <v>0.85</v>
      </c>
      <c r="L49" s="20" t="inlineStr">
        <is>
          <t>needs_production_lookup</t>
        </is>
      </c>
      <c r="M49" s="8" t="inlineStr">
        <is>
          <t>TZ statika dům §4 — HEA160 vaznice</t>
        </is>
      </c>
      <c r="N49" s="20" t="inlineStr">
        <is>
          <t>—</t>
        </is>
      </c>
      <c r="O49" s="26" t="inlineStr">
        <is>
          <t>ANO</t>
        </is>
      </c>
    </row>
    <row r="50">
      <c r="A50" s="20" t="n">
        <v>49</v>
      </c>
      <c r="B50" s="8" t="inlineStr">
        <is>
          <t>HSV-5 Krov + střecha</t>
        </is>
      </c>
      <c r="C50" s="8" t="inlineStr">
        <is>
          <t>Sloupky pod vaznice — jekl 100/4</t>
        </is>
      </c>
      <c r="D50" s="20" t="inlineStr">
        <is>
          <t>411321414</t>
        </is>
      </c>
      <c r="E50" s="8" t="inlineStr">
        <is>
          <t>Ocelové sloupky uzavřený profil 100×100×4 mm pod vaznice HEA160 (~6 ks × ~2.5 m výška)</t>
        </is>
      </c>
      <c r="F50" s="20" t="inlineStr">
        <is>
          <t>kg</t>
        </is>
      </c>
      <c r="G50" s="22" t="n">
        <v>176</v>
      </c>
      <c r="H50" s="10" t="n"/>
      <c r="I50" s="10" t="n"/>
      <c r="J50" s="8" t="inlineStr">
        <is>
          <t>ocel_zamecnik_konstrukce</t>
        </is>
      </c>
      <c r="K50" s="24" t="n">
        <v>0.85</v>
      </c>
      <c r="L50" s="20" t="inlineStr">
        <is>
          <t>needs_production_lookup</t>
        </is>
      </c>
      <c r="M50" s="8" t="inlineStr">
        <is>
          <t>TZ statika dům §4 — 'sloupky z jeklu 100/4'; korekce nomenklatury (vyjasnění #17)</t>
        </is>
      </c>
      <c r="N50" s="20" t="inlineStr">
        <is>
          <t>#17</t>
        </is>
      </c>
      <c r="O50" s="26" t="inlineStr">
        <is>
          <t>ANO</t>
        </is>
      </c>
    </row>
    <row r="51">
      <c r="A51" s="20" t="n">
        <v>50</v>
      </c>
      <c r="B51" s="8" t="inlineStr">
        <is>
          <t>HSV-5 Krov + střecha</t>
        </is>
      </c>
      <c r="C51" s="8" t="inlineStr">
        <is>
          <t>Bednění z prken pod nadkrokevní izolaci</t>
        </is>
      </c>
      <c r="D51" s="20" t="inlineStr">
        <is>
          <t>762341711</t>
        </is>
      </c>
      <c r="E51" s="8" t="inlineStr">
        <is>
          <t>Bednění z prken tl. 20 mm pod nadkrokevní PIR (biodeska/palubka)</t>
        </is>
      </c>
      <c r="F51" s="20" t="inlineStr">
        <is>
          <t>m²</t>
        </is>
      </c>
      <c r="G51" s="22" t="n">
        <v>140.94</v>
      </c>
      <c r="H51" s="10" t="n"/>
      <c r="I51" s="10" t="n"/>
      <c r="J51" s="8" t="inlineStr">
        <is>
          <t>krov_tesarsky_kompletni</t>
        </is>
      </c>
      <c r="K51" s="24" t="n">
        <v>0.75</v>
      </c>
      <c r="L51" s="20" t="inlineStr">
        <is>
          <t>needs_production_lookup</t>
        </is>
      </c>
      <c r="M51" s="8" t="inlineStr">
        <is>
          <t>TZ ARS dům §4 — biodeska/palubka tl.≥20 pod parotěs</t>
        </is>
      </c>
      <c r="N51" s="20" t="inlineStr">
        <is>
          <t>—</t>
        </is>
      </c>
      <c r="O51" s="26" t="inlineStr">
        <is>
          <t>ANO</t>
        </is>
      </c>
    </row>
    <row r="52">
      <c r="A52" s="20" t="n">
        <v>51</v>
      </c>
      <c r="B52" s="8" t="inlineStr">
        <is>
          <t>HSV-5 Krov + střecha</t>
        </is>
      </c>
      <c r="C52" s="8" t="inlineStr">
        <is>
          <t>Parotěsná vrstva</t>
        </is>
      </c>
      <c r="D52" s="20" t="inlineStr">
        <is>
          <t>712311101</t>
        </is>
      </c>
      <c r="E52" s="8" t="inlineStr">
        <is>
          <t>Parotěsná folie nad bedněním pod nadkrokevní PIR (např. Isover Vario nebo Tyvek Air guard)</t>
        </is>
      </c>
      <c r="F52" s="20" t="inlineStr">
        <is>
          <t>m²</t>
        </is>
      </c>
      <c r="G52" s="22" t="n">
        <v>155.034</v>
      </c>
      <c r="H52" s="10" t="n"/>
      <c r="I52" s="10" t="n"/>
      <c r="J52" s="8" t="inlineStr">
        <is>
          <t>izolater_HI</t>
        </is>
      </c>
      <c r="K52" s="24" t="n">
        <v>0.75</v>
      </c>
      <c r="L52" s="20" t="inlineStr">
        <is>
          <t>needs_production_lookup</t>
        </is>
      </c>
      <c r="M52" s="8" t="inlineStr">
        <is>
          <t>TZ ARS dům §4 — skladba nadkrokevní s parotěsem</t>
        </is>
      </c>
      <c r="N52" s="20" t="inlineStr">
        <is>
          <t>—</t>
        </is>
      </c>
      <c r="O52" s="26" t="inlineStr">
        <is>
          <t>ANO</t>
        </is>
      </c>
    </row>
    <row r="53">
      <c r="A53" s="20" t="n">
        <v>52</v>
      </c>
      <c r="B53" s="8" t="inlineStr">
        <is>
          <t>HSV-5 Krov + střecha</t>
        </is>
      </c>
      <c r="C53" s="8" t="inlineStr">
        <is>
          <t>Nadkrokevní PIR izolace</t>
        </is>
      </c>
      <c r="D53" s="20" t="inlineStr">
        <is>
          <t>713131811</t>
        </is>
      </c>
      <c r="E53" s="8" t="inlineStr">
        <is>
          <t>Nadkrokevní tepelná izolace PIR (polyisokyanurát) tl. 160 mm (λ=0,022 W/mK) — řez A-A S10 explicit</t>
        </is>
      </c>
      <c r="F53" s="20" t="inlineStr">
        <is>
          <t>m²</t>
        </is>
      </c>
      <c r="G53" s="22" t="n">
        <v>140.94</v>
      </c>
      <c r="H53" s="10" t="n"/>
      <c r="I53" s="10" t="n"/>
      <c r="J53" s="8" t="inlineStr">
        <is>
          <t>izolater_TI</t>
        </is>
      </c>
      <c r="K53" s="24" t="n">
        <v>0.9</v>
      </c>
      <c r="L53" s="20" t="inlineStr">
        <is>
          <t>needs_production_lookup</t>
        </is>
      </c>
      <c r="M53" s="8" t="inlineStr">
        <is>
          <t>PDF řez D.1.1.2.2.21 legenda S10 'tepelná izolace PIR 160 mm' EXPLICIT (Path C Tier 1 finding — was prior 180 mm odhad)</t>
        </is>
      </c>
      <c r="N53" s="20" t="inlineStr">
        <is>
          <t>—</t>
        </is>
      </c>
      <c r="O53" s="26" t="inlineStr">
        <is>
          <t>ANO</t>
        </is>
      </c>
    </row>
    <row r="54">
      <c r="A54" s="20" t="n">
        <v>53</v>
      </c>
      <c r="B54" s="8" t="inlineStr">
        <is>
          <t>HSV-5 Krov + střecha</t>
        </is>
      </c>
      <c r="C54" s="8" t="inlineStr">
        <is>
          <t>Doplňková HI pod kontralatě</t>
        </is>
      </c>
      <c r="D54" s="20" t="inlineStr">
        <is>
          <t>712311111</t>
        </is>
      </c>
      <c r="E54" s="8" t="inlineStr">
        <is>
          <t>Doplňková hydroizolační difuzně otevřená folie nad PIR pod kontralatě</t>
        </is>
      </c>
      <c r="F54" s="20" t="inlineStr">
        <is>
          <t>m²</t>
        </is>
      </c>
      <c r="G54" s="22" t="n">
        <v>155.034</v>
      </c>
      <c r="H54" s="10" t="n"/>
      <c r="I54" s="10" t="n"/>
      <c r="J54" s="8" t="inlineStr">
        <is>
          <t>izolater_HI</t>
        </is>
      </c>
      <c r="K54" s="24" t="n">
        <v>0.75</v>
      </c>
      <c r="L54" s="20" t="inlineStr">
        <is>
          <t>needs_production_lookup</t>
        </is>
      </c>
      <c r="M54" s="8" t="inlineStr">
        <is>
          <t>TZ ARS dům §4 — doplň. HI</t>
        </is>
      </c>
      <c r="N54" s="20" t="inlineStr">
        <is>
          <t>—</t>
        </is>
      </c>
      <c r="O54" s="26" t="inlineStr">
        <is>
          <t>ANO</t>
        </is>
      </c>
    </row>
    <row r="55">
      <c r="A55" s="20" t="n">
        <v>54</v>
      </c>
      <c r="B55" s="8" t="inlineStr">
        <is>
          <t>HSV-5 Krov + střecha</t>
        </is>
      </c>
      <c r="C55" s="8" t="inlineStr">
        <is>
          <t>Kontralatě + vzduchová mezera</t>
        </is>
      </c>
      <c r="D55" s="20" t="inlineStr">
        <is>
          <t>762331923</t>
        </is>
      </c>
      <c r="E55" s="8" t="inlineStr">
        <is>
          <t>Distanční kontralatě 40×60 mm pro vzduchovou mezeru nad PIR</t>
        </is>
      </c>
      <c r="F55" s="20" t="inlineStr">
        <is>
          <t>m²</t>
        </is>
      </c>
      <c r="G55" s="22" t="n">
        <v>140.94</v>
      </c>
      <c r="H55" s="10" t="n"/>
      <c r="I55" s="10" t="n"/>
      <c r="J55" s="8" t="inlineStr">
        <is>
          <t>krov_tesarsky_kompletni</t>
        </is>
      </c>
      <c r="K55" s="24" t="n">
        <v>0.75</v>
      </c>
      <c r="L55" s="20" t="inlineStr">
        <is>
          <t>needs_production_lookup</t>
        </is>
      </c>
      <c r="M55" s="8" t="inlineStr">
        <is>
          <t>TZ ARS dům §4 — kontralatě + vzduchová mezera</t>
        </is>
      </c>
      <c r="N55" s="20" t="inlineStr">
        <is>
          <t>—</t>
        </is>
      </c>
      <c r="O55" s="26" t="inlineStr">
        <is>
          <t>ANO</t>
        </is>
      </c>
    </row>
    <row r="56">
      <c r="A56" s="20" t="n">
        <v>55</v>
      </c>
      <c r="B56" s="8" t="inlineStr">
        <is>
          <t>HSV-5 Krov + střecha</t>
        </is>
      </c>
      <c r="C56" s="8" t="inlineStr">
        <is>
          <t>Bednění prken pod hliníkovou krytinu</t>
        </is>
      </c>
      <c r="D56" s="20" t="inlineStr">
        <is>
          <t>762341711</t>
        </is>
      </c>
      <c r="E56" s="8" t="inlineStr">
        <is>
          <t>Bednění z prken tl. 25 mm pod plechovou hliníkovou krytinu (rozsah dle technologie krytiny)</t>
        </is>
      </c>
      <c r="F56" s="20" t="inlineStr">
        <is>
          <t>m²</t>
        </is>
      </c>
      <c r="G56" s="22" t="n">
        <v>140.94</v>
      </c>
      <c r="H56" s="10" t="n"/>
      <c r="I56" s="10" t="n"/>
      <c r="J56" s="8" t="inlineStr">
        <is>
          <t>krov_tesarsky_kompletni</t>
        </is>
      </c>
      <c r="K56" s="24" t="n">
        <v>0.75</v>
      </c>
      <c r="L56" s="20" t="inlineStr">
        <is>
          <t>needs_production_lookup</t>
        </is>
      </c>
      <c r="M56" s="8" t="inlineStr">
        <is>
          <t>TZ ARS dům §4 — bednění pod krytinu</t>
        </is>
      </c>
      <c r="N56" s="20" t="inlineStr">
        <is>
          <t>—</t>
        </is>
      </c>
      <c r="O56" s="26" t="inlineStr">
        <is>
          <t>ANO</t>
        </is>
      </c>
    </row>
    <row r="57">
      <c r="A57" s="20" t="n">
        <v>56</v>
      </c>
      <c r="B57" s="8" t="inlineStr">
        <is>
          <t>HSV-5 Krov + střecha</t>
        </is>
      </c>
      <c r="C57" s="8" t="inlineStr">
        <is>
          <t>Plechová falcovaná Al krytina</t>
        </is>
      </c>
      <c r="D57" s="20" t="inlineStr">
        <is>
          <t>765791121</t>
        </is>
      </c>
      <c r="E57" s="8" t="inlineStr">
        <is>
          <t>Plechová falcovaná HLINÍKOVÁ krytina (např. PREFA, Rheinzink, Lindab) + tlumící podložka</t>
        </is>
      </c>
      <c r="F57" s="20" t="inlineStr">
        <is>
          <t>m²</t>
        </is>
      </c>
      <c r="G57" s="22" t="n">
        <v>140.94</v>
      </c>
      <c r="H57" s="10" t="n"/>
      <c r="I57" s="10" t="n"/>
      <c r="J57" s="8" t="inlineStr">
        <is>
          <t>plech_falcovany_hlinik</t>
        </is>
      </c>
      <c r="K57" s="24" t="n">
        <v>0.75</v>
      </c>
      <c r="L57" s="20" t="inlineStr">
        <is>
          <t>needs_production_lookup</t>
        </is>
      </c>
      <c r="M57" s="8" t="inlineStr">
        <is>
          <t>TZ ARS dům §4 — plechová falcovaná hliníková krytina</t>
        </is>
      </c>
      <c r="N57" s="20" t="inlineStr">
        <is>
          <t>#3</t>
        </is>
      </c>
      <c r="O57" s="26" t="inlineStr">
        <is>
          <t>ANO</t>
        </is>
      </c>
    </row>
    <row r="58">
      <c r="A58" s="20" t="n">
        <v>57</v>
      </c>
      <c r="B58" s="8" t="inlineStr">
        <is>
          <t>HSV-5 Krov + střecha</t>
        </is>
      </c>
      <c r="C58" s="8" t="inlineStr">
        <is>
          <t>Patro pro přespání z biodesky</t>
        </is>
      </c>
      <c r="D58" s="20" t="inlineStr">
        <is>
          <t>762341711</t>
        </is>
      </c>
      <c r="E58" s="8" t="inlineStr">
        <is>
          <t>Patro pro přespání v krovu — biodeska / OSB desky tl. 22 mm nad kleštinami</t>
        </is>
      </c>
      <c r="F58" s="20" t="inlineStr">
        <is>
          <t>m²</t>
        </is>
      </c>
      <c r="G58" s="22" t="n">
        <v>25</v>
      </c>
      <c r="H58" s="10" t="n"/>
      <c r="I58" s="10" t="n"/>
      <c r="J58" s="8" t="inlineStr">
        <is>
          <t>krov_tesarsky_kompletni</t>
        </is>
      </c>
      <c r="K58" s="24" t="n">
        <v>0.75</v>
      </c>
      <c r="L58" s="20" t="inlineStr">
        <is>
          <t>needs_production_lookup</t>
        </is>
      </c>
      <c r="M58" s="8" t="inlineStr">
        <is>
          <t>TZ ARS dům §4 — patro nad kleštinami z biodesky pro přespání</t>
        </is>
      </c>
      <c r="N58" s="20" t="inlineStr">
        <is>
          <t>—</t>
        </is>
      </c>
      <c r="O58" s="26" t="inlineStr">
        <is>
          <t>ANO</t>
        </is>
      </c>
    </row>
    <row r="59">
      <c r="A59" s="20" t="n">
        <v>58</v>
      </c>
      <c r="B59" s="8" t="inlineStr">
        <is>
          <t>HSV-5 Krov + střecha</t>
        </is>
      </c>
      <c r="C59" s="8" t="inlineStr">
        <is>
          <t>Vikýře — zděná čela</t>
        </is>
      </c>
      <c r="D59" s="20" t="inlineStr">
        <is>
          <t>311321411</t>
        </is>
      </c>
      <c r="E59" s="8" t="inlineStr">
        <is>
          <t>Vikýře — zděná čela z Porotherm 30 (odhad 4 ks × ~3 m² stěna)</t>
        </is>
      </c>
      <c r="F59" s="20" t="inlineStr">
        <is>
          <t>m²</t>
        </is>
      </c>
      <c r="G59" s="22" t="n">
        <v>12</v>
      </c>
      <c r="H59" s="10" t="n"/>
      <c r="I59" s="10" t="n"/>
      <c r="J59" s="8" t="inlineStr">
        <is>
          <t>zednik</t>
        </is>
      </c>
      <c r="K59" s="24" t="n">
        <v>0.75</v>
      </c>
      <c r="L59" s="20" t="inlineStr">
        <is>
          <t>needs_production_lookup</t>
        </is>
      </c>
      <c r="M59" s="8" t="inlineStr">
        <is>
          <t>TZ ARS dům §4 — vikýře vystupují ze střechy, čela zděná</t>
        </is>
      </c>
      <c r="N59" s="20" t="inlineStr">
        <is>
          <t>—</t>
        </is>
      </c>
      <c r="O59" s="26" t="inlineStr">
        <is>
          <t>ANO</t>
        </is>
      </c>
    </row>
    <row r="60">
      <c r="A60" s="20" t="n">
        <v>59</v>
      </c>
      <c r="B60" s="8" t="inlineStr">
        <is>
          <t>HSV-5 Krov + střecha</t>
        </is>
      </c>
      <c r="C60" s="8" t="inlineStr">
        <is>
          <t>Vikýře — provětrávaná fasáda + plech</t>
        </is>
      </c>
      <c r="D60" s="20" t="inlineStr">
        <is>
          <t>765791121</t>
        </is>
      </c>
      <c r="E60" s="8" t="inlineStr">
        <is>
          <t>Vikýře — provětrávaná fasáda min. vata + plech falcovaný hliník (4 vikýře × ~6 m² fasády)</t>
        </is>
      </c>
      <c r="F60" s="20" t="inlineStr">
        <is>
          <t>m²</t>
        </is>
      </c>
      <c r="G60" s="22" t="n">
        <v>24</v>
      </c>
      <c r="H60" s="10" t="n"/>
      <c r="I60" s="10" t="n"/>
      <c r="J60" s="8" t="inlineStr">
        <is>
          <t>plech_falcovany_hlinik</t>
        </is>
      </c>
      <c r="K60" s="24" t="n">
        <v>0.75</v>
      </c>
      <c r="L60" s="20" t="inlineStr">
        <is>
          <t>needs_production_lookup</t>
        </is>
      </c>
      <c r="M60" s="8" t="inlineStr">
        <is>
          <t>TZ ARS dům §4 — vikýře fasáda provětrávaná + min. vata + plech falc.</t>
        </is>
      </c>
      <c r="N60" s="20" t="inlineStr">
        <is>
          <t>—</t>
        </is>
      </c>
      <c r="O60" s="26" t="inlineStr">
        <is>
          <t>ANO</t>
        </is>
      </c>
    </row>
    <row r="61">
      <c r="A61" s="20" t="n">
        <v>60</v>
      </c>
      <c r="B61" s="8" t="inlineStr">
        <is>
          <t>HSV-6 Bourací práce</t>
        </is>
      </c>
      <c r="C61" s="8" t="inlineStr">
        <is>
          <t>Bourání kompletního stávajícího krovu</t>
        </is>
      </c>
      <c r="D61" s="20" t="inlineStr">
        <is>
          <t>962041141</t>
        </is>
      </c>
      <c r="E61" s="8" t="inlineStr">
        <is>
          <t>Bourání kompletního stávajícího krovu vč. vikýřů — vaznicový s ležatou stolicí — manuálně, odvoz</t>
        </is>
      </c>
      <c r="F61" s="20" t="inlineStr">
        <is>
          <t>m³</t>
        </is>
      </c>
      <c r="G61" s="22" t="n">
        <v>12</v>
      </c>
      <c r="H61" s="10" t="n"/>
      <c r="I61" s="10" t="n"/>
      <c r="J61" s="8" t="inlineStr">
        <is>
          <t>bourani_demolice</t>
        </is>
      </c>
      <c r="K61" s="24" t="n">
        <v>0.75</v>
      </c>
      <c r="L61" s="20" t="inlineStr">
        <is>
          <t>needs_production_lookup</t>
        </is>
      </c>
      <c r="M61" s="8" t="inlineStr">
        <is>
          <t>TZ B m.10.e — 9 t dřeva celkem; krov hlavní zdroj</t>
        </is>
      </c>
      <c r="N61" s="20" t="inlineStr">
        <is>
          <t>#9</t>
        </is>
      </c>
      <c r="O61" s="26" t="inlineStr">
        <is>
          <t>ANO</t>
        </is>
      </c>
    </row>
    <row r="62">
      <c r="A62" s="20" t="n">
        <v>61</v>
      </c>
      <c r="B62" s="8" t="inlineStr">
        <is>
          <t>HSV-6 Bourací práce</t>
        </is>
      </c>
      <c r="C62" s="8" t="inlineStr">
        <is>
          <t>Bourání plechové střešní krytiny</t>
        </is>
      </c>
      <c r="D62" s="27" t="inlineStr">
        <is>
          <t>762??? ?</t>
        </is>
      </c>
      <c r="E62" s="8" t="inlineStr">
        <is>
          <t>Bourání stávající plechové krytiny (manuálně, recyklace plechu)</t>
        </is>
      </c>
      <c r="F62" s="20" t="inlineStr">
        <is>
          <t>m²</t>
        </is>
      </c>
      <c r="G62" s="22" t="n">
        <v>140.9</v>
      </c>
      <c r="H62" s="10" t="n"/>
      <c r="I62" s="10" t="n"/>
      <c r="J62" s="8" t="inlineStr">
        <is>
          <t>bourani_demolice</t>
        </is>
      </c>
      <c r="K62" s="24" t="n">
        <v>0.75</v>
      </c>
      <c r="L62" s="20" t="inlineStr">
        <is>
          <t>wrong_leaf_disambiguation_needed</t>
        </is>
      </c>
      <c r="M62" s="8" t="inlineStr">
        <is>
          <t>TZ B m.10.e — 0.1 t kovů; stávající plech krytina</t>
        </is>
      </c>
      <c r="N62" s="20" t="inlineStr">
        <is>
          <t>#9</t>
        </is>
      </c>
      <c r="O62" s="28" t="inlineStr">
        <is>
          <t>LEAF CHYBNÝ — viz alternatives</t>
        </is>
      </c>
    </row>
    <row r="63">
      <c r="A63" s="20" t="n">
        <v>62</v>
      </c>
      <c r="B63" s="8" t="inlineStr">
        <is>
          <t>HSV-6 Bourací práce</t>
        </is>
      </c>
      <c r="C63" s="8" t="inlineStr">
        <is>
          <t>Bourání nadezdívek nad stropem 2.NP</t>
        </is>
      </c>
      <c r="D63" s="20" t="inlineStr">
        <is>
          <t>962031132</t>
        </is>
      </c>
      <c r="E63" s="8" t="inlineStr">
        <is>
          <t>Bourání zděných nadezdívek nad stropem 2.NP (mimo štítových stěn) — cihla pálená</t>
        </is>
      </c>
      <c r="F63" s="20" t="inlineStr">
        <is>
          <t>m³</t>
        </is>
      </c>
      <c r="G63" s="22" t="n">
        <v>6</v>
      </c>
      <c r="H63" s="10" t="n"/>
      <c r="I63" s="10" t="n"/>
      <c r="J63" s="8" t="inlineStr">
        <is>
          <t>bourani_demolice</t>
        </is>
      </c>
      <c r="K63" s="24" t="n">
        <v>0.75</v>
      </c>
      <c r="L63" s="20" t="inlineStr">
        <is>
          <t>needs_production_lookup</t>
        </is>
      </c>
      <c r="M63" s="8" t="inlineStr">
        <is>
          <t>TZ ARS dům §3 — bourání nadezdívek mimo štítů</t>
        </is>
      </c>
      <c r="N63" s="20" t="inlineStr">
        <is>
          <t>#9</t>
        </is>
      </c>
      <c r="O63" s="26" t="inlineStr">
        <is>
          <t>ANO</t>
        </is>
      </c>
    </row>
    <row r="64">
      <c r="A64" s="20" t="n">
        <v>63</v>
      </c>
      <c r="B64" s="8" t="inlineStr">
        <is>
          <t>HSV-6 Bourací práce</t>
        </is>
      </c>
      <c r="C64" s="8" t="inlineStr">
        <is>
          <t>Bourání trámového stropu 2.NP/podkroví</t>
        </is>
      </c>
      <c r="D64" s="20" t="inlineStr">
        <is>
          <t>962041141</t>
        </is>
      </c>
      <c r="E64" s="8" t="inlineStr">
        <is>
          <t>Bourání trámového stropu 2.NP/podkroví — kompletně (vč. zajištění schodiště)</t>
        </is>
      </c>
      <c r="F64" s="20" t="inlineStr">
        <is>
          <t>m²</t>
        </is>
      </c>
      <c r="G64" s="22" t="n">
        <v>104.4</v>
      </c>
      <c r="H64" s="10" t="n"/>
      <c r="I64" s="10" t="n"/>
      <c r="J64" s="8" t="inlineStr">
        <is>
          <t>bourani_demolice</t>
        </is>
      </c>
      <c r="K64" s="24" t="n">
        <v>0.75</v>
      </c>
      <c r="L64" s="20" t="inlineStr">
        <is>
          <t>needs_production_lookup</t>
        </is>
      </c>
      <c r="M64" s="8" t="inlineStr">
        <is>
          <t>TZ ARS dům §3 — strop 2.NP/3.NP KOMPLETNĚ bourán</t>
        </is>
      </c>
      <c r="N64" s="20" t="inlineStr">
        <is>
          <t>#9</t>
        </is>
      </c>
      <c r="O64" s="26" t="inlineStr">
        <is>
          <t>ANO</t>
        </is>
      </c>
    </row>
    <row r="65">
      <c r="A65" s="20" t="n">
        <v>64</v>
      </c>
      <c r="B65" s="8" t="inlineStr">
        <is>
          <t>HSV-6 Bourací práce</t>
        </is>
      </c>
      <c r="C65" s="8" t="inlineStr">
        <is>
          <t>Bourání lehkých příček</t>
        </is>
      </c>
      <c r="D65" s="20" t="inlineStr">
        <is>
          <t>962031132</t>
        </is>
      </c>
      <c r="E65" s="8" t="inlineStr">
        <is>
          <t>Bourání stávajících lehkých příček (cihla, sádrokarton, dřevo)</t>
        </is>
      </c>
      <c r="F65" s="20" t="inlineStr">
        <is>
          <t>m²</t>
        </is>
      </c>
      <c r="G65" s="22" t="n">
        <v>80</v>
      </c>
      <c r="H65" s="10" t="n"/>
      <c r="I65" s="10" t="n"/>
      <c r="J65" s="8" t="inlineStr">
        <is>
          <t>bourani_demolice</t>
        </is>
      </c>
      <c r="K65" s="24" t="n">
        <v>0.75</v>
      </c>
      <c r="L65" s="20" t="inlineStr">
        <is>
          <t>needs_production_lookup</t>
        </is>
      </c>
      <c r="M65" s="8" t="inlineStr">
        <is>
          <t>TZ ARS dům §3 — lehké příčky bourány</t>
        </is>
      </c>
      <c r="N65" s="20" t="inlineStr">
        <is>
          <t>#9</t>
        </is>
      </c>
      <c r="O65" s="26" t="inlineStr">
        <is>
          <t>ANO</t>
        </is>
      </c>
    </row>
    <row r="66">
      <c r="A66" s="20" t="n">
        <v>65</v>
      </c>
      <c r="B66" s="8" t="inlineStr">
        <is>
          <t>HSV-6 Bourací práce</t>
        </is>
      </c>
      <c r="C66" s="8" t="inlineStr">
        <is>
          <t>Bourání otvorů pro nové dveře/okna</t>
        </is>
      </c>
      <c r="D66" s="20" t="inlineStr">
        <is>
          <t>962031132</t>
        </is>
      </c>
      <c r="E66" s="8" t="inlineStr">
        <is>
          <t>Bourání 8 nových otvorů v nosných cihelných zdech pro dveře/okna (~1.0 × 2.1 m)</t>
        </is>
      </c>
      <c r="F66" s="20" t="inlineStr">
        <is>
          <t>ks</t>
        </is>
      </c>
      <c r="G66" s="23" t="n">
        <v>8</v>
      </c>
      <c r="H66" s="10" t="n"/>
      <c r="I66" s="10" t="n"/>
      <c r="J66" s="8" t="inlineStr">
        <is>
          <t>bourani_demolice</t>
        </is>
      </c>
      <c r="K66" s="24" t="n">
        <v>0.75</v>
      </c>
      <c r="L66" s="20" t="inlineStr">
        <is>
          <t>needs_production_lookup</t>
        </is>
      </c>
      <c r="M66" s="8" t="inlineStr">
        <is>
          <t>TZ ARS + statika — nové otvory s IPN160 překlady</t>
        </is>
      </c>
      <c r="N66" s="20" t="inlineStr">
        <is>
          <t>—</t>
        </is>
      </c>
      <c r="O66" s="26" t="inlineStr">
        <is>
          <t>ANO</t>
        </is>
      </c>
    </row>
    <row r="67">
      <c r="A67" s="20" t="n">
        <v>66</v>
      </c>
      <c r="B67" s="8" t="inlineStr">
        <is>
          <t>HSV-6 Bourací práce</t>
        </is>
      </c>
      <c r="C67" s="8" t="inlineStr">
        <is>
          <t>Bourání obkladů v koupelnách</t>
        </is>
      </c>
      <c r="D67" s="20" t="inlineStr">
        <is>
          <t>781473810</t>
        </is>
      </c>
      <c r="E67" s="8" t="inlineStr">
        <is>
          <t>Bourání keramických obkladů a zařizovacích předmětů v koupelnách 1.NP + 2.NP</t>
        </is>
      </c>
      <c r="F67" s="20" t="inlineStr">
        <is>
          <t>m²</t>
        </is>
      </c>
      <c r="G67" s="22" t="n">
        <v>60</v>
      </c>
      <c r="H67" s="10" t="n"/>
      <c r="I67" s="10" t="n"/>
      <c r="J67" s="8" t="inlineStr">
        <is>
          <t>bourani_demolice</t>
        </is>
      </c>
      <c r="K67" s="24" t="n">
        <v>0.75</v>
      </c>
      <c r="L67" s="20" t="inlineStr">
        <is>
          <t>matched_websearch_verified</t>
        </is>
      </c>
      <c r="M67" s="8" t="inlineStr">
        <is>
          <t>TZ ARS dům §3 — koupelny kompletně bourány</t>
        </is>
      </c>
      <c r="N67" s="20" t="inlineStr">
        <is>
          <t>#9</t>
        </is>
      </c>
      <c r="O67" s="25" t="inlineStr">
        <is>
          <t>OVĚŘENO ✓</t>
        </is>
      </c>
    </row>
    <row r="68">
      <c r="A68" s="20" t="n">
        <v>67</v>
      </c>
      <c r="B68" s="8" t="inlineStr">
        <is>
          <t>HSV-6 Bourací práce</t>
        </is>
      </c>
      <c r="C68" s="8" t="inlineStr">
        <is>
          <t>Bourání podlah 1.NP + 2.NP</t>
        </is>
      </c>
      <c r="D68" s="20" t="inlineStr">
        <is>
          <t>974031132</t>
        </is>
      </c>
      <c r="E68" s="8" t="inlineStr">
        <is>
          <t>Sejmutí podlah 1.NP a 2.NP — vč. nášlapů, podkladních vrstev</t>
        </is>
      </c>
      <c r="F68" s="20" t="inlineStr">
        <is>
          <t>m²</t>
        </is>
      </c>
      <c r="G68" s="22" t="n">
        <v>153.51</v>
      </c>
      <c r="H68" s="10" t="n"/>
      <c r="I68" s="10" t="n"/>
      <c r="J68" s="8" t="inlineStr">
        <is>
          <t>bourani_demolice</t>
        </is>
      </c>
      <c r="K68" s="24" t="n">
        <v>0.75</v>
      </c>
      <c r="L68" s="20" t="inlineStr">
        <is>
          <t>needs_production_lookup</t>
        </is>
      </c>
      <c r="M68" s="8" t="inlineStr">
        <is>
          <t>TZ ARS dům §3 — podlahy 1.NP+2.NP sejmuty</t>
        </is>
      </c>
      <c r="N68" s="20" t="inlineStr">
        <is>
          <t>#9</t>
        </is>
      </c>
      <c r="O68" s="26" t="inlineStr">
        <is>
          <t>ANO</t>
        </is>
      </c>
    </row>
    <row r="69">
      <c r="A69" s="20" t="n">
        <v>68</v>
      </c>
      <c r="B69" s="8" t="inlineStr">
        <is>
          <t>HSV-6 Bourací práce</t>
        </is>
      </c>
      <c r="C69" s="8" t="inlineStr">
        <is>
          <t>Záklop + zásyp — demontáž</t>
        </is>
      </c>
      <c r="D69" s="20" t="inlineStr">
        <is>
          <t>974041151</t>
        </is>
      </c>
      <c r="E69" s="8" t="inlineStr">
        <is>
          <t>Demontáž záklopu a zásypů stropu 1.NP (prkenný záklop na trámech zachován)</t>
        </is>
      </c>
      <c r="F69" s="20" t="inlineStr">
        <is>
          <t>m³</t>
        </is>
      </c>
      <c r="G69" s="22" t="n">
        <v>5</v>
      </c>
      <c r="H69" s="10" t="n"/>
      <c r="I69" s="10" t="n"/>
      <c r="J69" s="8" t="inlineStr">
        <is>
          <t>bourani_demolice</t>
        </is>
      </c>
      <c r="K69" s="24" t="n">
        <v>0.75</v>
      </c>
      <c r="L69" s="20" t="inlineStr">
        <is>
          <t>needs_production_lookup</t>
        </is>
      </c>
      <c r="M69" s="8" t="inlineStr">
        <is>
          <t>TZ ARS dům §3 — záklop+zásyp demontován; trámy zachovány</t>
        </is>
      </c>
      <c r="N69" s="20" t="inlineStr">
        <is>
          <t>#9</t>
        </is>
      </c>
      <c r="O69" s="26" t="inlineStr">
        <is>
          <t>ANO</t>
        </is>
      </c>
    </row>
    <row r="70">
      <c r="A70" s="20" t="n">
        <v>69</v>
      </c>
      <c r="B70" s="8" t="inlineStr">
        <is>
          <t>HSV-6 Bourací práce</t>
        </is>
      </c>
      <c r="C70" s="8" t="inlineStr">
        <is>
          <t>Demontáž oken a dveří</t>
        </is>
      </c>
      <c r="D70" s="20" t="inlineStr">
        <is>
          <t>968071120</t>
        </is>
      </c>
      <c r="E70" s="8" t="inlineStr">
        <is>
          <t>Demontáž všech oken a dveří stávajících (recyklace)</t>
        </is>
      </c>
      <c r="F70" s="20" t="inlineStr">
        <is>
          <t>ks</t>
        </is>
      </c>
      <c r="G70" s="23" t="n">
        <v>25</v>
      </c>
      <c r="H70" s="10" t="n"/>
      <c r="I70" s="10" t="n"/>
      <c r="J70" s="8" t="inlineStr">
        <is>
          <t>bourani_demolice</t>
        </is>
      </c>
      <c r="K70" s="24" t="n">
        <v>0.75</v>
      </c>
      <c r="L70" s="20" t="inlineStr">
        <is>
          <t>needs_production_lookup</t>
        </is>
      </c>
      <c r="M70" s="8" t="inlineStr">
        <is>
          <t>TZ ARS dům §3 — VŠECHNY okna a dveře demontovány</t>
        </is>
      </c>
      <c r="N70" s="20" t="inlineStr">
        <is>
          <t>#5</t>
        </is>
      </c>
      <c r="O70" s="26" t="inlineStr">
        <is>
          <t>ANO</t>
        </is>
      </c>
    </row>
    <row r="71">
      <c r="A71" s="20" t="n">
        <v>70</v>
      </c>
      <c r="B71" s="8" t="inlineStr">
        <is>
          <t>HSV-6 Bourací práce</t>
        </is>
      </c>
      <c r="C71" s="8" t="inlineStr">
        <is>
          <t>Demontáž zařizovacích předmětů</t>
        </is>
      </c>
      <c r="D71" s="20" t="inlineStr">
        <is>
          <t>725900001</t>
        </is>
      </c>
      <c r="E71" s="8" t="inlineStr">
        <is>
          <t>Demontáž všech sanitárních zařizovacích předmětů (WC, umyvadla, baterie, sprcha)</t>
        </is>
      </c>
      <c r="F71" s="20" t="inlineStr">
        <is>
          <t>ks</t>
        </is>
      </c>
      <c r="G71" s="23" t="n">
        <v>12</v>
      </c>
      <c r="H71" s="10" t="n"/>
      <c r="I71" s="10" t="n"/>
      <c r="J71" s="8" t="inlineStr">
        <is>
          <t>bourani_demolice</t>
        </is>
      </c>
      <c r="K71" s="24" t="n">
        <v>0.75</v>
      </c>
      <c r="L71" s="20" t="inlineStr">
        <is>
          <t>needs_production_lookup</t>
        </is>
      </c>
      <c r="M71" s="8" t="inlineStr">
        <is>
          <t>TZ ARS dům §3 — zařizovací předměty kompletně demontovány</t>
        </is>
      </c>
      <c r="N71" s="20" t="inlineStr">
        <is>
          <t>—</t>
        </is>
      </c>
      <c r="O71" s="26" t="inlineStr">
        <is>
          <t>ANO</t>
        </is>
      </c>
    </row>
    <row r="72">
      <c r="A72" s="20" t="n">
        <v>71</v>
      </c>
      <c r="B72" s="8" t="inlineStr">
        <is>
          <t>HSV-6 Bourací práce</t>
        </is>
      </c>
      <c r="C72" s="8" t="inlineStr">
        <is>
          <t>Odvoz suti a likvidace</t>
        </is>
      </c>
      <c r="D72" s="20" t="inlineStr">
        <is>
          <t>997013501</t>
        </is>
      </c>
      <c r="E72" s="8" t="inlineStr">
        <is>
          <t>Odvoz a likvidace stavební suti dle vyhl. 8/2021 Sb. — celková tonáž odpadů</t>
        </is>
      </c>
      <c r="F72" s="20" t="inlineStr">
        <is>
          <t>t</t>
        </is>
      </c>
      <c r="G72" s="22" t="n">
        <v>56.5</v>
      </c>
      <c r="H72" s="10" t="n"/>
      <c r="I72" s="10" t="n"/>
      <c r="J72" s="8" t="inlineStr">
        <is>
          <t>bourani_demolice</t>
        </is>
      </c>
      <c r="K72" s="24" t="n">
        <v>0.85</v>
      </c>
      <c r="L72" s="20" t="inlineStr">
        <is>
          <t>needs_production_lookup</t>
        </is>
      </c>
      <c r="M72" s="8" t="inlineStr">
        <is>
          <t>TZ B m.10.e bilance odpadů</t>
        </is>
      </c>
      <c r="N72" s="20" t="inlineStr">
        <is>
          <t>#9</t>
        </is>
      </c>
      <c r="O72" s="26" t="inlineStr">
        <is>
          <t>ANO</t>
        </is>
      </c>
    </row>
    <row r="73">
      <c r="A73" s="20" t="n">
        <v>72</v>
      </c>
      <c r="B73" s="8" t="inlineStr">
        <is>
          <t>HSV-6 Bourací práce</t>
        </is>
      </c>
      <c r="C73" s="8" t="inlineStr">
        <is>
          <t>Demontáž oken</t>
        </is>
      </c>
      <c r="D73" s="20" t="inlineStr">
        <is>
          <t>978013181</t>
        </is>
      </c>
      <c r="E73" s="8" t="inlineStr">
        <is>
          <t>Demontáž stávajících dřevěných oken vč. rámů a parapetů — 16 ks (návrh všechna okna nová plastová trojsklem)</t>
        </is>
      </c>
      <c r="F73" s="20" t="inlineStr">
        <is>
          <t>ks</t>
        </is>
      </c>
      <c r="G73" s="23" t="n">
        <v>16</v>
      </c>
      <c r="H73" s="10" t="n"/>
      <c r="I73" s="10" t="n"/>
      <c r="J73" s="8" t="inlineStr">
        <is>
          <t>bourani_demolice</t>
        </is>
      </c>
      <c r="K73" s="24" t="n">
        <v>0.95</v>
      </c>
      <c r="L73" s="20" t="inlineStr">
        <is>
          <t>matched_websearch_verified</t>
        </is>
      </c>
      <c r="M73" s="8" t="inlineStr">
        <is>
          <t>DXF blocks okno* (Path C Tier 4) + TZ ARS — všechna okna nová</t>
        </is>
      </c>
      <c r="N73" s="20" t="inlineStr">
        <is>
          <t>#3</t>
        </is>
      </c>
      <c r="O73" s="25" t="inlineStr">
        <is>
          <t>OVĚŘENO ✓</t>
        </is>
      </c>
    </row>
    <row r="74">
      <c r="A74" s="20" t="n">
        <v>73</v>
      </c>
      <c r="B74" s="8" t="inlineStr">
        <is>
          <t>HSV-6 Bourací práce</t>
        </is>
      </c>
      <c r="C74" s="8" t="inlineStr">
        <is>
          <t>Demontáž vstupních dveří venkovních</t>
        </is>
      </c>
      <c r="D74" s="20" t="inlineStr">
        <is>
          <t>978013181</t>
        </is>
      </c>
      <c r="E74" s="8" t="inlineStr">
        <is>
          <t>Demontáž stávajících vstupních dveří + rámů — 2 ks (1× ulice Fibichova + 1× zahrada; návrh nové plastové vstupní dveře)</t>
        </is>
      </c>
      <c r="F74" s="20" t="inlineStr">
        <is>
          <t>ks</t>
        </is>
      </c>
      <c r="G74" s="23" t="n">
        <v>2</v>
      </c>
      <c r="H74" s="10" t="n"/>
      <c r="I74" s="10" t="n"/>
      <c r="J74" s="8" t="inlineStr">
        <is>
          <t>bourani_demolice</t>
        </is>
      </c>
      <c r="K74" s="24" t="n">
        <v>0.95</v>
      </c>
      <c r="L74" s="20" t="inlineStr">
        <is>
          <t>matched_websearch_verified</t>
        </is>
      </c>
      <c r="M74" s="8" t="inlineStr">
        <is>
          <t>DXF blocks dveře (vstupní 2) + TZ ARS — 'plastové vstupní dveře' x 2</t>
        </is>
      </c>
      <c r="N74" s="20" t="inlineStr">
        <is>
          <t>#3</t>
        </is>
      </c>
      <c r="O74" s="25" t="inlineStr">
        <is>
          <t>OVĚŘENO ✓</t>
        </is>
      </c>
    </row>
    <row r="75">
      <c r="A75" s="20" t="n">
        <v>74</v>
      </c>
      <c r="B75" s="8" t="inlineStr">
        <is>
          <t>HSV-6 Bourací práce</t>
        </is>
      </c>
      <c r="C75" s="8" t="inlineStr">
        <is>
          <t>Demontáž vnitřních dveří vč. zárubní</t>
        </is>
      </c>
      <c r="D75" s="20" t="inlineStr">
        <is>
          <t>968072456</t>
        </is>
      </c>
      <c r="E75" s="8" t="inlineStr">
        <is>
          <t>Demontáž stávajících vnitřních dveří vč. ocelových/dřevěných zárubní — odhad 15 ks (3 patra × ~5 dveří/patro per DXF SM__dveře layer)</t>
        </is>
      </c>
      <c r="F75" s="20" t="inlineStr">
        <is>
          <t>ks</t>
        </is>
      </c>
      <c r="G75" s="23" t="n">
        <v>15</v>
      </c>
      <c r="H75" s="10" t="n"/>
      <c r="I75" s="10" t="n"/>
      <c r="J75" s="8" t="inlineStr">
        <is>
          <t>bourani_demolice</t>
        </is>
      </c>
      <c r="K75" s="24" t="n">
        <v>0.8</v>
      </c>
      <c r="L75" s="20" t="inlineStr">
        <is>
          <t>needs_production_lookup</t>
        </is>
      </c>
      <c r="M75" s="8" t="inlineStr">
        <is>
          <t>DXF SM__dveře polyline count → estimate (Path C Tier 4)</t>
        </is>
      </c>
      <c r="N75" s="20" t="inlineStr">
        <is>
          <t>#3</t>
        </is>
      </c>
      <c r="O75" s="26" t="inlineStr">
        <is>
          <t>ANO</t>
        </is>
      </c>
    </row>
    <row r="76">
      <c r="A76" s="20" t="n">
        <v>75</v>
      </c>
      <c r="B76" s="8" t="inlineStr">
        <is>
          <t>HSV-6 Bourací práce</t>
        </is>
      </c>
      <c r="C76" s="8" t="inlineStr">
        <is>
          <t>Bourání zdiva komínu</t>
        </is>
      </c>
      <c r="D76" s="20" t="inlineStr">
        <is>
          <t>962024141</t>
        </is>
      </c>
      <c r="E76" s="8" t="inlineStr">
        <is>
          <t>Bourání vrchní části stávajícího komínu v posledním podlaží (cihelné zdivo, ručně), vč. likvidace cihelné suti</t>
        </is>
      </c>
      <c r="F76" s="20" t="inlineStr">
        <is>
          <t>m³</t>
        </is>
      </c>
      <c r="G76" s="22" t="n">
        <v>6</v>
      </c>
      <c r="H76" s="10" t="n"/>
      <c r="I76" s="10" t="n"/>
      <c r="J76" s="8" t="inlineStr">
        <is>
          <t>bourani_demolice</t>
        </is>
      </c>
      <c r="K76" s="24" t="n">
        <v>0.75</v>
      </c>
      <c r="L76" s="20" t="inlineStr">
        <is>
          <t>needs_production_lookup</t>
        </is>
      </c>
      <c r="M76" s="8" t="inlineStr">
        <is>
          <t>DXF dum_DPZ řez A-A bourání + POZN.1.02 z půdorysů bourání</t>
        </is>
      </c>
      <c r="N76" s="20" t="inlineStr">
        <is>
          <t>#9</t>
        </is>
      </c>
      <c r="O76" s="26" t="inlineStr">
        <is>
          <t>ANO</t>
        </is>
      </c>
    </row>
    <row r="77">
      <c r="A77" s="20" t="n">
        <v>76</v>
      </c>
      <c r="B77" s="8" t="inlineStr">
        <is>
          <t>HSV-6 Bourací práce</t>
        </is>
      </c>
      <c r="C77" s="8" t="inlineStr">
        <is>
          <t>Bourání venkovních konstrukcí</t>
        </is>
      </c>
      <c r="D77" s="20" t="inlineStr">
        <is>
          <t>961044111</t>
        </is>
      </c>
      <c r="E77" s="8" t="inlineStr">
        <is>
          <t>Bourání stávajících opěrných zídek a venkovního schodiště v zahradě/dvoře — částečné, dle vyznačení v půdorysech bourání</t>
        </is>
      </c>
      <c r="F77" s="20" t="inlineStr">
        <is>
          <t>m³</t>
        </is>
      </c>
      <c r="G77" s="22" t="n">
        <v>8</v>
      </c>
      <c r="H77" s="10" t="n"/>
      <c r="I77" s="10" t="n"/>
      <c r="J77" s="8" t="inlineStr">
        <is>
          <t>bourani_demolice</t>
        </is>
      </c>
      <c r="K77" s="24" t="n">
        <v>0.7</v>
      </c>
      <c r="L77" s="20" t="inlineStr">
        <is>
          <t>needs_production_lookup</t>
        </is>
      </c>
      <c r="M77" s="8" t="inlineStr">
        <is>
          <t>DXF dum_DPZ řez A-A bourání + POZN.1.03 + půdorys bourání</t>
        </is>
      </c>
      <c r="N77" s="20" t="inlineStr">
        <is>
          <t>#9</t>
        </is>
      </c>
      <c r="O77" s="26" t="inlineStr">
        <is>
          <t>ANO</t>
        </is>
      </c>
    </row>
    <row r="78">
      <c r="A78" s="20" t="n">
        <v>77</v>
      </c>
      <c r="B78" s="8" t="inlineStr">
        <is>
          <t>HSV-7 Fasáda ETICS</t>
        </is>
      </c>
      <c r="C78" s="8" t="inlineStr">
        <is>
          <t>Příprava podkladu</t>
        </is>
      </c>
      <c r="D78" s="20" t="inlineStr">
        <is>
          <t>622401110</t>
        </is>
      </c>
      <c r="E78" s="8" t="inlineStr">
        <is>
          <t>Příprava fasádního podkladu — očištění tlakovou vodou, vyspravení omítek, fungicidní nátěr</t>
        </is>
      </c>
      <c r="F78" s="20" t="inlineStr">
        <is>
          <t>m²</t>
        </is>
      </c>
      <c r="G78" s="22" t="n">
        <v>276.7</v>
      </c>
      <c r="H78" s="10" t="n"/>
      <c r="I78" s="10" t="n"/>
      <c r="J78" s="8" t="inlineStr">
        <is>
          <t>fasadnik_etics</t>
        </is>
      </c>
      <c r="K78" s="24" t="n">
        <v>0.9</v>
      </c>
      <c r="L78" s="20" t="inlineStr">
        <is>
          <t>needs_production_lookup</t>
        </is>
      </c>
      <c r="M78" s="8" t="inlineStr">
        <is>
          <t>TZ ARS dům §3.2 — ETICS kontaktní, podklad existující omítka + DXF perimeter</t>
        </is>
      </c>
      <c r="N78" s="20" t="inlineStr">
        <is>
          <t>#3</t>
        </is>
      </c>
      <c r="O78" s="26" t="inlineStr">
        <is>
          <t>ANO</t>
        </is>
      </c>
    </row>
    <row r="79">
      <c r="A79" s="20" t="n">
        <v>78</v>
      </c>
      <c r="B79" s="8" t="inlineStr">
        <is>
          <t>HSV-7 Fasáda ETICS</t>
        </is>
      </c>
      <c r="C79" s="8" t="inlineStr">
        <is>
          <t>ETICS EPS 70F grey 160 mm</t>
        </is>
      </c>
      <c r="D79" s="20" t="inlineStr">
        <is>
          <t>622221121</t>
        </is>
      </c>
      <c r="E79" s="8" t="inlineStr">
        <is>
          <t>ETICS kontaktní zateplení — EPS 70F grey λ=0.032 tl. 160 mm + síťka + lepidlo + zatírací stěrka (řez S01+S12a explicit, ne 200 mm fallback)</t>
        </is>
      </c>
      <c r="F79" s="20" t="inlineStr">
        <is>
          <t>m²</t>
        </is>
      </c>
      <c r="G79" s="22" t="n">
        <v>276.7</v>
      </c>
      <c r="H79" s="10" t="n"/>
      <c r="I79" s="10" t="n"/>
      <c r="J79" s="8" t="inlineStr">
        <is>
          <t>fasadnik_etics</t>
        </is>
      </c>
      <c r="K79" s="24" t="n">
        <v>0.9</v>
      </c>
      <c r="L79" s="20" t="inlineStr">
        <is>
          <t>needs_production_lookup</t>
        </is>
      </c>
      <c r="M79" s="8" t="inlineStr">
        <is>
          <t>TZ ARS dům §3.2 EXPLICIT 'fasádní EPS 70f grey (λ=0,032 W/mK)' + PBŘ EXPLICIT 'EPS tl. max. 200 mm' + DXF perimeter</t>
        </is>
      </c>
      <c r="N79" s="20" t="inlineStr">
        <is>
          <t>#3</t>
        </is>
      </c>
      <c r="O79" s="26" t="inlineStr">
        <is>
          <t>ANO</t>
        </is>
      </c>
    </row>
    <row r="80">
      <c r="A80" s="20" t="n">
        <v>79</v>
      </c>
      <c r="B80" s="8" t="inlineStr">
        <is>
          <t>HSV-7 Fasáda ETICS</t>
        </is>
      </c>
      <c r="C80" s="8" t="inlineStr">
        <is>
          <t>ETICS sokl XPS</t>
        </is>
      </c>
      <c r="D80" s="20" t="inlineStr">
        <is>
          <t>622223111</t>
        </is>
      </c>
      <c r="E80" s="8" t="inlineStr">
        <is>
          <t>ETICS sokl — XPS λ=0.034 tl. 120 mm + soklový profil + cihelný obklad spárovaný</t>
        </is>
      </c>
      <c r="F80" s="20" t="inlineStr">
        <is>
          <t>m²</t>
        </is>
      </c>
      <c r="G80" s="22" t="n">
        <v>13.5</v>
      </c>
      <c r="H80" s="10" t="n"/>
      <c r="I80" s="10" t="n"/>
      <c r="J80" s="8" t="inlineStr">
        <is>
          <t>fasadnik_etics</t>
        </is>
      </c>
      <c r="K80" s="24" t="n">
        <v>0.9</v>
      </c>
      <c r="L80" s="20" t="inlineStr">
        <is>
          <t>needs_production_lookup</t>
        </is>
      </c>
      <c r="M80" s="8" t="inlineStr">
        <is>
          <t>TZ ARS dům §3.2 — sokl XPS + cihelný obklad + DXF perimeter</t>
        </is>
      </c>
      <c r="N80" s="20" t="inlineStr">
        <is>
          <t>—</t>
        </is>
      </c>
      <c r="O80" s="26" t="inlineStr">
        <is>
          <t>ANO</t>
        </is>
      </c>
    </row>
    <row r="81">
      <c r="A81" s="20" t="n">
        <v>80</v>
      </c>
      <c r="B81" s="8" t="inlineStr">
        <is>
          <t>HSV-7 Fasáda ETICS</t>
        </is>
      </c>
      <c r="C81" s="8" t="inlineStr">
        <is>
          <t>Špalety EPS</t>
        </is>
      </c>
      <c r="D81" s="20" t="inlineStr">
        <is>
          <t>622221221</t>
        </is>
      </c>
      <c r="E81" s="8" t="inlineStr">
        <is>
          <t>Špalety oken — EPS přesah 35-40 mm + síťka + omítka</t>
        </is>
      </c>
      <c r="F81" s="20" t="inlineStr">
        <is>
          <t>bm</t>
        </is>
      </c>
      <c r="G81" s="22" t="n">
        <v>82.2</v>
      </c>
      <c r="H81" s="10" t="n"/>
      <c r="I81" s="10" t="n"/>
      <c r="J81" s="8" t="inlineStr">
        <is>
          <t>fasadnik_etics</t>
        </is>
      </c>
      <c r="K81" s="24" t="n">
        <v>0.99</v>
      </c>
      <c r="L81" s="20" t="inlineStr">
        <is>
          <t>needs_production_lookup</t>
        </is>
      </c>
      <c r="M81" s="8" t="inlineStr">
        <is>
          <t>DXF okna per typ bbox + TZ ARS §3.2 EPS přesah na špaletách 35-40 mm</t>
        </is>
      </c>
      <c r="N81" s="20" t="inlineStr">
        <is>
          <t>#5</t>
        </is>
      </c>
      <c r="O81" s="26" t="inlineStr">
        <is>
          <t>ANO</t>
        </is>
      </c>
    </row>
    <row r="82">
      <c r="A82" s="20" t="n">
        <v>81</v>
      </c>
      <c r="B82" s="8" t="inlineStr">
        <is>
          <t>HSV-7 Fasáda ETICS</t>
        </is>
      </c>
      <c r="C82" s="8" t="inlineStr">
        <is>
          <t>Profilace fasády</t>
        </is>
      </c>
      <c r="D82" s="20" t="inlineStr">
        <is>
          <t>622221221</t>
        </is>
      </c>
      <c r="E82" s="8" t="inlineStr">
        <is>
          <t>Profilace fasády — různé tloušťky EPS (kordony, šambrány, rámování oken) — paušál podle pohledů</t>
        </is>
      </c>
      <c r="F82" s="20" t="inlineStr">
        <is>
          <t>soubor</t>
        </is>
      </c>
      <c r="G82" s="23" t="n">
        <v>1</v>
      </c>
      <c r="H82" s="10" t="n"/>
      <c r="I82" s="10" t="n"/>
      <c r="J82" s="8" t="inlineStr">
        <is>
          <t>fasadnik_etics</t>
        </is>
      </c>
      <c r="K82" s="24" t="n">
        <v>0.99</v>
      </c>
      <c r="L82" s="20" t="inlineStr">
        <is>
          <t>needs_production_lookup</t>
        </is>
      </c>
      <c r="M82" s="8" t="inlineStr">
        <is>
          <t>TZ ARS dům §3.2 — profilace různými tl. EPS</t>
        </is>
      </c>
      <c r="N82" s="20" t="inlineStr">
        <is>
          <t>—</t>
        </is>
      </c>
      <c r="O82" s="26" t="inlineStr">
        <is>
          <t>ANO</t>
        </is>
      </c>
    </row>
    <row r="83">
      <c r="A83" s="20" t="n">
        <v>82</v>
      </c>
      <c r="B83" s="8" t="inlineStr">
        <is>
          <t>HSV-7 Fasáda ETICS</t>
        </is>
      </c>
      <c r="C83" s="8" t="inlineStr">
        <is>
          <t>Tenkovrstvá omítka pastovitá</t>
        </is>
      </c>
      <c r="D83" s="20" t="inlineStr">
        <is>
          <t>622521111</t>
        </is>
      </c>
      <c r="E83" s="8" t="inlineStr">
        <is>
          <t>Tenkovrstvá pastovitá probarvená omítka, lomená bílá NCS NZÚ — finální vrstva ETICS</t>
        </is>
      </c>
      <c r="F83" s="20" t="inlineStr">
        <is>
          <t>m²</t>
        </is>
      </c>
      <c r="G83" s="22" t="n">
        <v>290.2</v>
      </c>
      <c r="H83" s="10" t="n"/>
      <c r="I83" s="10" t="n"/>
      <c r="J83" s="8" t="inlineStr">
        <is>
          <t>fasadnik_etics</t>
        </is>
      </c>
      <c r="K83" s="24" t="n">
        <v>0.9</v>
      </c>
      <c r="L83" s="20" t="inlineStr">
        <is>
          <t>needs_production_lookup</t>
        </is>
      </c>
      <c r="M83" s="8" t="inlineStr">
        <is>
          <t>TZ ARS dům §3.2 — pastovitá probarvená lomená bílá + DXF perimeter</t>
        </is>
      </c>
      <c r="N83" s="20" t="inlineStr">
        <is>
          <t>—</t>
        </is>
      </c>
      <c r="O83" s="26" t="inlineStr">
        <is>
          <t>ANO</t>
        </is>
      </c>
    </row>
    <row r="84">
      <c r="A84" s="20" t="n">
        <v>83</v>
      </c>
      <c r="B84" s="8" t="inlineStr">
        <is>
          <t>PSV-71 Izolace HI</t>
        </is>
      </c>
      <c r="C84" s="8" t="inlineStr">
        <is>
          <t>HI pod ŽB deskou 1.NP</t>
        </is>
      </c>
      <c r="D84" s="20" t="inlineStr">
        <is>
          <t>712311101</t>
        </is>
      </c>
      <c r="E84" s="8" t="inlineStr">
        <is>
          <t>Hydroizolace pod ŽB deskou 1.NP — modifikované asfaltové pásy SBS 2× (zároveň protiradonová bariéra)</t>
        </is>
      </c>
      <c r="F84" s="20" t="inlineStr">
        <is>
          <t>m²</t>
        </is>
      </c>
      <c r="G84" s="22" t="n">
        <v>80.40000000000001</v>
      </c>
      <c r="H84" s="10" t="n"/>
      <c r="I84" s="10" t="n"/>
      <c r="J84" s="8" t="inlineStr">
        <is>
          <t>izolater_HI</t>
        </is>
      </c>
      <c r="K84" s="24" t="n">
        <v>0.75</v>
      </c>
      <c r="L84" s="20" t="inlineStr">
        <is>
          <t>needs_production_lookup</t>
        </is>
      </c>
      <c r="M84" s="8" t="inlineStr">
        <is>
          <t>TZ ARS dům §4 + statika §5.5 — asfaltové pásy mod. proti radonu</t>
        </is>
      </c>
      <c r="N84" s="20" t="inlineStr">
        <is>
          <t>#3</t>
        </is>
      </c>
      <c r="O84" s="26" t="inlineStr">
        <is>
          <t>ANO</t>
        </is>
      </c>
    </row>
    <row r="85">
      <c r="A85" s="20" t="n">
        <v>84</v>
      </c>
      <c r="B85" s="8" t="inlineStr">
        <is>
          <t>PSV-71 Izolace HI</t>
        </is>
      </c>
      <c r="C85" s="8" t="inlineStr">
        <is>
          <t>Odvětrání radonu z podloží</t>
        </is>
      </c>
      <c r="D85" s="20" t="inlineStr">
        <is>
          <t>712381111</t>
        </is>
      </c>
      <c r="E85" s="8" t="inlineStr">
        <is>
          <t>Odvětrání radonu z podloží — perforované DN50 trubky v štěrkovém loži + výdech nad střechu</t>
        </is>
      </c>
      <c r="F85" s="20" t="inlineStr">
        <is>
          <t>bm</t>
        </is>
      </c>
      <c r="G85" s="22" t="n">
        <v>12</v>
      </c>
      <c r="H85" s="10" t="n"/>
      <c r="I85" s="10" t="n"/>
      <c r="J85" s="8" t="inlineStr">
        <is>
          <t>izolater_HI</t>
        </is>
      </c>
      <c r="K85" s="24" t="n">
        <v>0.75</v>
      </c>
      <c r="L85" s="20" t="inlineStr">
        <is>
          <t>needs_production_lookup</t>
        </is>
      </c>
      <c r="M85" s="8" t="inlineStr">
        <is>
          <t>TZ statika §5.5 'ochrana proti radonu — modifikované asf. pásy + odvětrání'</t>
        </is>
      </c>
      <c r="N85" s="20" t="inlineStr">
        <is>
          <t>—</t>
        </is>
      </c>
      <c r="O85" s="26" t="inlineStr">
        <is>
          <t>ANO</t>
        </is>
      </c>
    </row>
    <row r="86">
      <c r="A86" s="20" t="n">
        <v>85</v>
      </c>
      <c r="B86" s="8" t="inlineStr">
        <is>
          <t>PSV-71 Izolace HI</t>
        </is>
      </c>
      <c r="C86" s="8" t="inlineStr">
        <is>
          <t>HI koupelny 1.NP + 2.NP + 3.NP</t>
        </is>
      </c>
      <c r="D86" s="27" t="inlineStr">
        <is>
          <t>711??? ?</t>
        </is>
      </c>
      <c r="E86" s="8" t="inlineStr">
        <is>
          <t>Hydroizolační stěrka koupelen 3 ks — podlaha + sokl 200 mm + sprchový kout výška 2.0 m</t>
        </is>
      </c>
      <c r="F86" s="20" t="inlineStr">
        <is>
          <t>m²</t>
        </is>
      </c>
      <c r="G86" s="22" t="n">
        <v>40.5</v>
      </c>
      <c r="H86" s="10" t="n"/>
      <c r="I86" s="10" t="n"/>
      <c r="J86" s="8" t="inlineStr">
        <is>
          <t>izolater_HI</t>
        </is>
      </c>
      <c r="K86" s="24" t="n">
        <v>0.95</v>
      </c>
      <c r="L86" s="20" t="inlineStr">
        <is>
          <t>wrong_leaf_disambiguation_needed</t>
        </is>
      </c>
      <c r="M86" s="8" t="inlineStr">
        <is>
          <t>DXF dum_DPZ MTEXT labels: 3× koupelna; TZ ARS — HI vana koupelny</t>
        </is>
      </c>
      <c r="N86" s="20" t="inlineStr">
        <is>
          <t>#4</t>
        </is>
      </c>
      <c r="O86" s="28" t="inlineStr">
        <is>
          <t>LEAF CHYBNÝ — viz alternatives</t>
        </is>
      </c>
    </row>
    <row r="87">
      <c r="A87" s="20" t="n">
        <v>86</v>
      </c>
      <c r="B87" s="8" t="inlineStr">
        <is>
          <t>PSV-71 Izolace TI</t>
        </is>
      </c>
      <c r="C87" s="8" t="inlineStr">
        <is>
          <t>Podlahový EPS 150</t>
        </is>
      </c>
      <c r="D87" s="27" t="inlineStr">
        <is>
          <t>713121??? ?</t>
        </is>
      </c>
      <c r="E87" s="8" t="inlineStr">
        <is>
          <t>Podlahový EPS 150 λ=0.035 tl. 120 mm — pod betonový potěr 1.NP a 3.NP</t>
        </is>
      </c>
      <c r="F87" s="20" t="inlineStr">
        <is>
          <t>m²</t>
        </is>
      </c>
      <c r="G87" s="22" t="n">
        <v>177.5</v>
      </c>
      <c r="H87" s="10" t="n"/>
      <c r="I87" s="10" t="n"/>
      <c r="J87" s="8" t="inlineStr">
        <is>
          <t>izolater_TI</t>
        </is>
      </c>
      <c r="K87" s="24" t="n">
        <v>0.75</v>
      </c>
      <c r="L87" s="20" t="inlineStr">
        <is>
          <t>wrong_leaf_disambiguation_needed</t>
        </is>
      </c>
      <c r="M87" s="8" t="inlineStr">
        <is>
          <t>TZ ARS dům §4 — EPS 150 λ=0.035 tl. 120 mm</t>
        </is>
      </c>
      <c r="N87" s="20" t="inlineStr">
        <is>
          <t>#4</t>
        </is>
      </c>
      <c r="O87" s="28" t="inlineStr">
        <is>
          <t>LEAF CHYBNÝ — viz alternatives</t>
        </is>
      </c>
    </row>
    <row r="88">
      <c r="A88" s="20" t="n">
        <v>87</v>
      </c>
      <c r="B88" s="8" t="inlineStr">
        <is>
          <t>PSV-71 Izolace TI</t>
        </is>
      </c>
      <c r="C88" s="8" t="inlineStr">
        <is>
          <t>Kročejová EPS nad ocelobeton</t>
        </is>
      </c>
      <c r="D88" s="27" t="inlineStr">
        <is>
          <t>713121??? ?</t>
        </is>
      </c>
      <c r="E88" s="8" t="inlineStr">
        <is>
          <t>Kročejová EPS 150 / 30 dB tl. 30 mm nad ocelobetonovým stropem 2.NP/3.NP</t>
        </is>
      </c>
      <c r="F88" s="20" t="inlineStr">
        <is>
          <t>m²</t>
        </is>
      </c>
      <c r="G88" s="22" t="n">
        <v>104.4</v>
      </c>
      <c r="H88" s="10" t="n"/>
      <c r="I88" s="10" t="n"/>
      <c r="J88" s="8" t="inlineStr">
        <is>
          <t>izolater_TI</t>
        </is>
      </c>
      <c r="K88" s="24" t="n">
        <v>0.85</v>
      </c>
      <c r="L88" s="20" t="inlineStr">
        <is>
          <t>wrong_leaf_disambiguation_needed</t>
        </is>
      </c>
      <c r="M88" s="8" t="inlineStr">
        <is>
          <t>TZ ARS dům §4 — kročejová EPS shora ocelobeton</t>
        </is>
      </c>
      <c r="N88" s="20" t="inlineStr">
        <is>
          <t>—</t>
        </is>
      </c>
      <c r="O88" s="28" t="inlineStr">
        <is>
          <t>LEAF CHYBNÝ — viz alternatives</t>
        </is>
      </c>
    </row>
    <row r="89">
      <c r="A89" s="20" t="n">
        <v>88</v>
      </c>
      <c r="B89" s="8" t="inlineStr">
        <is>
          <t>PSV-76 Klempíř</t>
        </is>
      </c>
      <c r="C89" s="8" t="inlineStr">
        <is>
          <t>Oplechování krytiny</t>
        </is>
      </c>
      <c r="D89" s="20" t="inlineStr">
        <is>
          <t>764312235</t>
        </is>
      </c>
      <c r="E89" s="8" t="inlineStr">
        <is>
          <t>Klempířské oplechování krytiny — úžlabí, hřeben, štítové lemy (Al / Pzn lakovaný 0.55 mm)</t>
        </is>
      </c>
      <c r="F89" s="20" t="inlineStr">
        <is>
          <t>bm</t>
        </is>
      </c>
      <c r="G89" s="22" t="n">
        <v>69.5</v>
      </c>
      <c r="H89" s="10" t="n"/>
      <c r="I89" s="10" t="n"/>
      <c r="J89" s="8" t="inlineStr">
        <is>
          <t>klempir</t>
        </is>
      </c>
      <c r="K89" s="24" t="n">
        <v>0.9</v>
      </c>
      <c r="L89" s="20" t="inlineStr">
        <is>
          <t>needs_production_lookup</t>
        </is>
      </c>
      <c r="M89" s="8" t="inlineStr">
        <is>
          <t>DXF MA_klempíř (75.4 m) + SM__ klempířina (98.4 m) total = 173.8 m × 0.40 split heuristic — Path C Tier 3</t>
        </is>
      </c>
      <c r="N89" s="20" t="inlineStr">
        <is>
          <t>#5</t>
        </is>
      </c>
      <c r="O89" s="26" t="inlineStr">
        <is>
          <t>ANO</t>
        </is>
      </c>
    </row>
    <row r="90">
      <c r="A90" s="20" t="n">
        <v>89</v>
      </c>
      <c r="B90" s="8" t="inlineStr">
        <is>
          <t>PSV-76 Klempíř</t>
        </is>
      </c>
      <c r="C90" s="8" t="inlineStr">
        <is>
          <t>Venkovní parapety oken</t>
        </is>
      </c>
      <c r="D90" s="20" t="inlineStr">
        <is>
          <t>764218201</t>
        </is>
      </c>
      <c r="E90" s="8" t="inlineStr">
        <is>
          <t>Venkovní parapety oken — Pzn plech lakovaný 250 mm × tl. 0.55 mm × 16 ks oken</t>
        </is>
      </c>
      <c r="F90" s="20" t="inlineStr">
        <is>
          <t>bm</t>
        </is>
      </c>
      <c r="G90" s="22" t="n">
        <v>20.8</v>
      </c>
      <c r="H90" s="10" t="n"/>
      <c r="I90" s="10" t="n"/>
      <c r="J90" s="8" t="inlineStr">
        <is>
          <t>klempir</t>
        </is>
      </c>
      <c r="K90" s="24" t="n">
        <v>0.95</v>
      </c>
      <c r="L90" s="20" t="inlineStr">
        <is>
          <t>needs_production_lookup</t>
        </is>
      </c>
      <c r="M90" s="8" t="inlineStr">
        <is>
          <t>DXF okna 16 ks INSERT blocks + standard parapet width</t>
        </is>
      </c>
      <c r="N90" s="20" t="inlineStr">
        <is>
          <t>—</t>
        </is>
      </c>
      <c r="O90" s="26" t="inlineStr">
        <is>
          <t>ANO</t>
        </is>
      </c>
    </row>
    <row r="91">
      <c r="A91" s="20" t="n">
        <v>90</v>
      </c>
      <c r="B91" s="8" t="inlineStr">
        <is>
          <t>PSV-76 Klempíř</t>
        </is>
      </c>
      <c r="C91" s="8" t="inlineStr">
        <is>
          <t>Dešťové svody + žlaby</t>
        </is>
      </c>
      <c r="D91" s="20" t="inlineStr">
        <is>
          <t>764454802</t>
        </is>
      </c>
      <c r="E91" s="8" t="inlineStr">
        <is>
          <t>Dešťové svody Pzn 100 mm + žlaby — 4 svody × ~14 m + žlaby per obvod střechy</t>
        </is>
      </c>
      <c r="F91" s="20" t="inlineStr">
        <is>
          <t>bm</t>
        </is>
      </c>
      <c r="G91" s="22" t="n">
        <v>43.5</v>
      </c>
      <c r="H91" s="10" t="n"/>
      <c r="I91" s="10" t="n"/>
      <c r="J91" s="8" t="inlineStr">
        <is>
          <t>klempir</t>
        </is>
      </c>
      <c r="K91" s="24" t="n">
        <v>0.9</v>
      </c>
      <c r="L91" s="20" t="inlineStr">
        <is>
          <t>needs_production_lookup</t>
        </is>
      </c>
      <c r="M91" s="8" t="inlineStr">
        <is>
          <t>DXF klempířina lengths split + TZ ARS dešťové svody</t>
        </is>
      </c>
      <c r="N91" s="20" t="inlineStr">
        <is>
          <t>—</t>
        </is>
      </c>
      <c r="O91" s="26" t="inlineStr">
        <is>
          <t>ANO</t>
        </is>
      </c>
    </row>
    <row r="92">
      <c r="A92" s="20" t="n">
        <v>91</v>
      </c>
      <c r="B92" s="8" t="inlineStr">
        <is>
          <t>PSV-76 Klempíř</t>
        </is>
      </c>
      <c r="C92" s="8" t="inlineStr">
        <is>
          <t>Vikýře + atika + závětrné lemy</t>
        </is>
      </c>
      <c r="D92" s="20" t="inlineStr">
        <is>
          <t>764315235</t>
        </is>
      </c>
      <c r="E92" s="8" t="inlineStr">
        <is>
          <t>Klempířské doplňky vikýřů + atika + závětrné lemy (4 vikýře komplexní detail)</t>
        </is>
      </c>
      <c r="F92" s="20" t="inlineStr">
        <is>
          <t>bm</t>
        </is>
      </c>
      <c r="G92" s="22" t="n">
        <v>26.1</v>
      </c>
      <c r="H92" s="10" t="n"/>
      <c r="I92" s="10" t="n"/>
      <c r="J92" s="8" t="inlineStr">
        <is>
          <t>klempir</t>
        </is>
      </c>
      <c r="K92" s="24" t="n">
        <v>0.9</v>
      </c>
      <c r="L92" s="20" t="inlineStr">
        <is>
          <t>needs_production_lookup</t>
        </is>
      </c>
      <c r="M92" s="8" t="inlineStr">
        <is>
          <t>DXF klempířina geometry split + TZ ARS 4 vikýře</t>
        </is>
      </c>
      <c r="N92" s="20" t="inlineStr">
        <is>
          <t>—</t>
        </is>
      </c>
      <c r="O92" s="26" t="inlineStr">
        <is>
          <t>ANO</t>
        </is>
      </c>
    </row>
    <row r="93">
      <c r="A93" s="20" t="n">
        <v>92</v>
      </c>
      <c r="B93" s="8" t="inlineStr">
        <is>
          <t>PSV-76 Truhlář</t>
        </is>
      </c>
      <c r="C93" s="8" t="inlineStr">
        <is>
          <t>Dřevěné stupně schodišť</t>
        </is>
      </c>
      <c r="D93" s="20" t="inlineStr">
        <is>
          <t>766811111</t>
        </is>
      </c>
      <c r="E93" s="8" t="inlineStr">
        <is>
          <t>Dřevěné stupně ocelových schodišť (truhlářské, dub masiv tl. 40 mm)</t>
        </is>
      </c>
      <c r="F93" s="20" t="inlineStr">
        <is>
          <t>ks</t>
        </is>
      </c>
      <c r="G93" s="23" t="n">
        <v>16</v>
      </c>
      <c r="H93" s="10" t="n"/>
      <c r="I93" s="10" t="n"/>
      <c r="J93" s="8" t="inlineStr">
        <is>
          <t>truhlar</t>
        </is>
      </c>
      <c r="K93" s="24" t="n">
        <v>0.75</v>
      </c>
      <c r="L93" s="20" t="inlineStr">
        <is>
          <t>needs_production_lookup</t>
        </is>
      </c>
      <c r="M93" s="8" t="inlineStr">
        <is>
          <t>TZ ARS dům §4 — ocelové schodiště s dřevěnými stupni truhlářské</t>
        </is>
      </c>
      <c r="N93" s="20" t="inlineStr">
        <is>
          <t>—</t>
        </is>
      </c>
      <c r="O93" s="26" t="inlineStr">
        <is>
          <t>ANO</t>
        </is>
      </c>
    </row>
    <row r="94">
      <c r="A94" s="20" t="n">
        <v>93</v>
      </c>
      <c r="B94" s="8" t="inlineStr">
        <is>
          <t>PSV-76 Truhlář</t>
        </is>
      </c>
      <c r="C94" s="8" t="inlineStr">
        <is>
          <t>Terasa garapa za opěrnou stěnou</t>
        </is>
      </c>
      <c r="D94" s="20" t="inlineStr">
        <is>
          <t>771474112</t>
        </is>
      </c>
      <c r="E94" s="8" t="inlineStr">
        <is>
          <t>Dřevěná terasa za opěrnou stěnou — prkna garapa 145×25 mm na hliníkový rošt na rektifikovatelných terčích</t>
        </is>
      </c>
      <c r="F94" s="20" t="inlineStr">
        <is>
          <t>m²</t>
        </is>
      </c>
      <c r="G94" s="22" t="n">
        <v>30</v>
      </c>
      <c r="H94" s="10" t="n"/>
      <c r="I94" s="10" t="n"/>
      <c r="J94" s="8" t="inlineStr">
        <is>
          <t>truhlar</t>
        </is>
      </c>
      <c r="K94" s="24" t="n">
        <v>0.75</v>
      </c>
      <c r="L94" s="20" t="inlineStr">
        <is>
          <t>needs_production_lookup</t>
        </is>
      </c>
      <c r="M94" s="8" t="inlineStr">
        <is>
          <t>TZ ARS dům §4 + DXF dum_situace PLOT_DREVENY_04 (terasa, ne 3.NP)</t>
        </is>
      </c>
      <c r="N94" s="20" t="inlineStr">
        <is>
          <t>—</t>
        </is>
      </c>
      <c r="O94" s="26" t="inlineStr">
        <is>
          <t>ANO</t>
        </is>
      </c>
    </row>
    <row r="95">
      <c r="A95" s="20" t="n">
        <v>94</v>
      </c>
      <c r="B95" s="8" t="inlineStr">
        <is>
          <t>PSV-76 Výplně otvorů</t>
        </is>
      </c>
      <c r="C95" s="8" t="inlineStr">
        <is>
          <t>Plastové okno trojsklo — 'okno 1.NP' (ulice)</t>
        </is>
      </c>
      <c r="D95" s="20" t="inlineStr">
        <is>
          <t>766621011</t>
        </is>
      </c>
      <c r="E95" s="8" t="inlineStr">
        <is>
          <t>Plastové okno izolačním trojsklem Uw=0.85 W/m²K — typ 'okno 1.NP' velikost 1185×1600 mm × 2 ks (fasáda ulice)</t>
        </is>
      </c>
      <c r="F95" s="20" t="inlineStr">
        <is>
          <t>ks</t>
        </is>
      </c>
      <c r="G95" s="23" t="n">
        <v>2</v>
      </c>
      <c r="H95" s="10" t="n"/>
      <c r="I95" s="10" t="n"/>
      <c r="J95" s="8" t="inlineStr">
        <is>
          <t>okennar</t>
        </is>
      </c>
      <c r="K95" s="24" t="n">
        <v>0.99</v>
      </c>
      <c r="L95" s="20" t="inlineStr">
        <is>
          <t>needs_production_lookup</t>
        </is>
      </c>
      <c r="M95" s="8" t="inlineStr">
        <is>
          <t>DXF dum_DPZ INSERT block 'okno 1.NP' bbox z block definition + TZ ARS Uw=0.85 W/m²K</t>
        </is>
      </c>
      <c r="N95" s="20" t="inlineStr">
        <is>
          <t>#5</t>
        </is>
      </c>
      <c r="O95" s="26" t="inlineStr">
        <is>
          <t>ANO</t>
        </is>
      </c>
    </row>
    <row r="96">
      <c r="A96" s="20" t="n">
        <v>95</v>
      </c>
      <c r="B96" s="8" t="inlineStr">
        <is>
          <t>PSV-76 Výplně otvorů</t>
        </is>
      </c>
      <c r="C96" s="8" t="inlineStr">
        <is>
          <t>Plastové okno trojsklo — 'okno 1.NP vzadu' (zahrada)</t>
        </is>
      </c>
      <c r="D96" s="20" t="inlineStr">
        <is>
          <t>766621011</t>
        </is>
      </c>
      <c r="E96" s="8" t="inlineStr">
        <is>
          <t>Plastové okno izolačním trojsklem Uw=0.85 W/m²K — typ 'okno 1.NP vzadu' velikost 920×1600 mm × 3 ks (fasáda zahrada)</t>
        </is>
      </c>
      <c r="F96" s="20" t="inlineStr">
        <is>
          <t>ks</t>
        </is>
      </c>
      <c r="G96" s="23" t="n">
        <v>3</v>
      </c>
      <c r="H96" s="10" t="n"/>
      <c r="I96" s="10" t="n"/>
      <c r="J96" s="8" t="inlineStr">
        <is>
          <t>okennar</t>
        </is>
      </c>
      <c r="K96" s="24" t="n">
        <v>0.99</v>
      </c>
      <c r="L96" s="20" t="inlineStr">
        <is>
          <t>needs_production_lookup</t>
        </is>
      </c>
      <c r="M96" s="8" t="inlineStr">
        <is>
          <t>DXF dum_DPZ INSERT block 'okno 1.NP vzadu' bbox z block definition + TZ ARS Uw=0.85 W/m²K</t>
        </is>
      </c>
      <c r="N96" s="20" t="inlineStr">
        <is>
          <t>#5</t>
        </is>
      </c>
      <c r="O96" s="26" t="inlineStr">
        <is>
          <t>ANO</t>
        </is>
      </c>
    </row>
    <row r="97">
      <c r="A97" s="20" t="n">
        <v>96</v>
      </c>
      <c r="B97" s="8" t="inlineStr">
        <is>
          <t>PSV-76 Výplně otvorů</t>
        </is>
      </c>
      <c r="C97" s="8" t="inlineStr">
        <is>
          <t>Plastové okno trojsklo — 'okno 2.NP' (ulice)</t>
        </is>
      </c>
      <c r="D97" s="20" t="inlineStr">
        <is>
          <t>766621011</t>
        </is>
      </c>
      <c r="E97" s="8" t="inlineStr">
        <is>
          <t>Plastové okno izolačním trojsklem Uw=0.85 W/m²K — typ 'okno 2.NP' velikost 1160×1480 mm × 4 ks (fasáda ulice)</t>
        </is>
      </c>
      <c r="F97" s="20" t="inlineStr">
        <is>
          <t>ks</t>
        </is>
      </c>
      <c r="G97" s="23" t="n">
        <v>4</v>
      </c>
      <c r="H97" s="10" t="n"/>
      <c r="I97" s="10" t="n"/>
      <c r="J97" s="8" t="inlineStr">
        <is>
          <t>okennar</t>
        </is>
      </c>
      <c r="K97" s="24" t="n">
        <v>0.99</v>
      </c>
      <c r="L97" s="20" t="inlineStr">
        <is>
          <t>needs_production_lookup</t>
        </is>
      </c>
      <c r="M97" s="8" t="inlineStr">
        <is>
          <t>DXF dum_DPZ INSERT block 'okno 2.NP' bbox z block definition + TZ ARS Uw=0.85 W/m²K</t>
        </is>
      </c>
      <c r="N97" s="20" t="inlineStr">
        <is>
          <t>#5</t>
        </is>
      </c>
      <c r="O97" s="26" t="inlineStr">
        <is>
          <t>ANO</t>
        </is>
      </c>
    </row>
    <row r="98">
      <c r="A98" s="20" t="n">
        <v>97</v>
      </c>
      <c r="B98" s="8" t="inlineStr">
        <is>
          <t>PSV-76 Výplně otvorů</t>
        </is>
      </c>
      <c r="C98" s="8" t="inlineStr">
        <is>
          <t>Plastové okno trojsklo — 'okno 3.NP' (ulice)</t>
        </is>
      </c>
      <c r="D98" s="20" t="inlineStr">
        <is>
          <t>766621011</t>
        </is>
      </c>
      <c r="E98" s="8" t="inlineStr">
        <is>
          <t>Plastové okno izolačním trojsklem Uw=0.85 W/m²K — typ 'okno 3.NP' velikost 1785×1241 mm × 3 ks (fasáda ulice)</t>
        </is>
      </c>
      <c r="F98" s="20" t="inlineStr">
        <is>
          <t>ks</t>
        </is>
      </c>
      <c r="G98" s="23" t="n">
        <v>3</v>
      </c>
      <c r="H98" s="10" t="n"/>
      <c r="I98" s="10" t="n"/>
      <c r="J98" s="8" t="inlineStr">
        <is>
          <t>okennar</t>
        </is>
      </c>
      <c r="K98" s="24" t="n">
        <v>0.99</v>
      </c>
      <c r="L98" s="20" t="inlineStr">
        <is>
          <t>needs_production_lookup</t>
        </is>
      </c>
      <c r="M98" s="8" t="inlineStr">
        <is>
          <t>DXF dum_DPZ INSERT block 'okno 3.NP' bbox z block definition + TZ ARS Uw=0.85 W/m²K</t>
        </is>
      </c>
      <c r="N98" s="20" t="inlineStr">
        <is>
          <t>#5</t>
        </is>
      </c>
      <c r="O98" s="26" t="inlineStr">
        <is>
          <t>ANO</t>
        </is>
      </c>
    </row>
    <row r="99">
      <c r="A99" s="20" t="n">
        <v>98</v>
      </c>
      <c r="B99" s="8" t="inlineStr">
        <is>
          <t>PSV-76 Výplně otvorů</t>
        </is>
      </c>
      <c r="C99" s="8" t="inlineStr">
        <is>
          <t>Plastové okno trojsklo — 'okno 3.NP vzadu' (zahrada)</t>
        </is>
      </c>
      <c r="D99" s="20" t="inlineStr">
        <is>
          <t>766621011</t>
        </is>
      </c>
      <c r="E99" s="8" t="inlineStr">
        <is>
          <t>Plastové okno izolačním trojsklem Uw=0.85 W/m²K — typ 'okno 3.NP vzadu' velikost 2075×1241 mm × 1 ks (fasáda zahrada)</t>
        </is>
      </c>
      <c r="F99" s="20" t="inlineStr">
        <is>
          <t>ks</t>
        </is>
      </c>
      <c r="G99" s="23" t="n">
        <v>1</v>
      </c>
      <c r="H99" s="10" t="n"/>
      <c r="I99" s="10" t="n"/>
      <c r="J99" s="8" t="inlineStr">
        <is>
          <t>okennar</t>
        </is>
      </c>
      <c r="K99" s="24" t="n">
        <v>0.99</v>
      </c>
      <c r="L99" s="20" t="inlineStr">
        <is>
          <t>needs_production_lookup</t>
        </is>
      </c>
      <c r="M99" s="8" t="inlineStr">
        <is>
          <t>DXF dum_DPZ INSERT block 'okno 3.NP vzadu' bbox z block definition + TZ ARS Uw=0.85 W/m²K</t>
        </is>
      </c>
      <c r="N99" s="20" t="inlineStr">
        <is>
          <t>#5</t>
        </is>
      </c>
      <c r="O99" s="26" t="inlineStr">
        <is>
          <t>ANO</t>
        </is>
      </c>
    </row>
    <row r="100">
      <c r="A100" s="20" t="n">
        <v>99</v>
      </c>
      <c r="B100" s="8" t="inlineStr">
        <is>
          <t>PSV-76 Výplně otvorů</t>
        </is>
      </c>
      <c r="C100" s="8" t="inlineStr">
        <is>
          <t>Plastové okno trojsklo — 'okno male 3.NP vzadu' (zahrada)</t>
        </is>
      </c>
      <c r="D100" s="20" t="inlineStr">
        <is>
          <t>766621011</t>
        </is>
      </c>
      <c r="E100" s="8" t="inlineStr">
        <is>
          <t>Plastové okno izolačním trojsklem Uw=0.85 W/m²K — typ 'okno male 3.NP vzadu' velikost 800×1241 mm × 1 ks (fasáda zahrada)</t>
        </is>
      </c>
      <c r="F100" s="20" t="inlineStr">
        <is>
          <t>ks</t>
        </is>
      </c>
      <c r="G100" s="23" t="n">
        <v>1</v>
      </c>
      <c r="H100" s="10" t="n"/>
      <c r="I100" s="10" t="n"/>
      <c r="J100" s="8" t="inlineStr">
        <is>
          <t>okennar</t>
        </is>
      </c>
      <c r="K100" s="24" t="n">
        <v>0.99</v>
      </c>
      <c r="L100" s="20" t="inlineStr">
        <is>
          <t>needs_production_lookup</t>
        </is>
      </c>
      <c r="M100" s="8" t="inlineStr">
        <is>
          <t>DXF dum_DPZ INSERT block 'okno male 3.NP vzadu' bbox z block definition + TZ ARS Uw=0.85 W/m²K</t>
        </is>
      </c>
      <c r="N100" s="20" t="inlineStr">
        <is>
          <t>#5</t>
        </is>
      </c>
      <c r="O100" s="26" t="inlineStr">
        <is>
          <t>ANO</t>
        </is>
      </c>
    </row>
    <row r="101">
      <c r="A101" s="20" t="n">
        <v>100</v>
      </c>
      <c r="B101" s="8" t="inlineStr">
        <is>
          <t>PSV-76 Výplně otvorů</t>
        </is>
      </c>
      <c r="C101" s="8" t="inlineStr">
        <is>
          <t>Plastové okno trojsklo — 'okno malé vzadu' (zahrada)</t>
        </is>
      </c>
      <c r="D101" s="20" t="inlineStr">
        <is>
          <t>766621011</t>
        </is>
      </c>
      <c r="E101" s="8" t="inlineStr">
        <is>
          <t>Plastové okno izolačním trojsklem Uw=0.85 W/m²K — typ 'okno malé vzadu' velikost 700×800 mm × 2 ks (fasáda zahrada)</t>
        </is>
      </c>
      <c r="F101" s="20" t="inlineStr">
        <is>
          <t>ks</t>
        </is>
      </c>
      <c r="G101" s="23" t="n">
        <v>2</v>
      </c>
      <c r="H101" s="10" t="n"/>
      <c r="I101" s="10" t="n"/>
      <c r="J101" s="8" t="inlineStr">
        <is>
          <t>okennar</t>
        </is>
      </c>
      <c r="K101" s="24" t="n">
        <v>0.99</v>
      </c>
      <c r="L101" s="20" t="inlineStr">
        <is>
          <t>needs_production_lookup</t>
        </is>
      </c>
      <c r="M101" s="8" t="inlineStr">
        <is>
          <t>DXF dum_DPZ INSERT block 'okno malé vzadu' bbox z block definition + TZ ARS Uw=0.85 W/m²K</t>
        </is>
      </c>
      <c r="N101" s="20" t="inlineStr">
        <is>
          <t>#5</t>
        </is>
      </c>
      <c r="O101" s="26" t="inlineStr">
        <is>
          <t>ANO</t>
        </is>
      </c>
    </row>
    <row r="102">
      <c r="A102" s="20" t="n">
        <v>101</v>
      </c>
      <c r="B102" s="8" t="inlineStr">
        <is>
          <t>PSV-76 Výplně otvorů</t>
        </is>
      </c>
      <c r="C102" s="8" t="inlineStr">
        <is>
          <t>Žaluzie kastlík purenit</t>
        </is>
      </c>
      <c r="D102" s="20" t="inlineStr">
        <is>
          <t>766631211</t>
        </is>
      </c>
      <c r="E102" s="8" t="inlineStr">
        <is>
          <t>Integrované stínící venkovní žaluzie v kastlíku pod omítkou s purenitovou izolací — uliční fasáda Fibichova (9 ks)</t>
        </is>
      </c>
      <c r="F102" s="20" t="inlineStr">
        <is>
          <t>ks</t>
        </is>
      </c>
      <c r="G102" s="23" t="n">
        <v>9</v>
      </c>
      <c r="H102" s="10" t="n"/>
      <c r="I102" s="10" t="n"/>
      <c r="J102" s="8" t="inlineStr">
        <is>
          <t>okenni_zaluzie_kastlik_purenit</t>
        </is>
      </c>
      <c r="K102" s="24" t="n">
        <v>0.95</v>
      </c>
      <c r="L102" s="20" t="inlineStr">
        <is>
          <t>needs_production_lookup</t>
        </is>
      </c>
      <c r="M102" s="8" t="inlineStr">
        <is>
          <t>TZ ARS dům §3.2 — 'do ulice Fibichova s integrovanými stínícími žaluziemi v kastlíku pod omítkou s purenitovou izolací'</t>
        </is>
      </c>
      <c r="N102" s="20" t="inlineStr">
        <is>
          <t>#5</t>
        </is>
      </c>
      <c r="O102" s="26" t="inlineStr">
        <is>
          <t>ANO</t>
        </is>
      </c>
    </row>
    <row r="103">
      <c r="A103" s="20" t="n">
        <v>102</v>
      </c>
      <c r="B103" s="8" t="inlineStr">
        <is>
          <t>PSV-76 Výplně otvorů</t>
        </is>
      </c>
      <c r="C103" s="8" t="inlineStr">
        <is>
          <t>Vstupní plastové dveře</t>
        </is>
      </c>
      <c r="D103" s="20" t="inlineStr">
        <is>
          <t>766682111</t>
        </is>
      </c>
      <c r="E103" s="8" t="inlineStr">
        <is>
          <t>Plastové vstupní dveře (ulice + zahrada) — 2 ks</t>
        </is>
      </c>
      <c r="F103" s="20" t="inlineStr">
        <is>
          <t>ks</t>
        </is>
      </c>
      <c r="G103" s="23" t="n">
        <v>2</v>
      </c>
      <c r="H103" s="10" t="n"/>
      <c r="I103" s="10" t="n"/>
      <c r="J103" s="8" t="inlineStr">
        <is>
          <t>okennar</t>
        </is>
      </c>
      <c r="K103" s="24" t="n">
        <v>0.75</v>
      </c>
      <c r="L103" s="20" t="inlineStr">
        <is>
          <t>needs_production_lookup</t>
        </is>
      </c>
      <c r="M103" s="8" t="inlineStr">
        <is>
          <t>TZ ARS dům §4 — plastové vstupní dveře</t>
        </is>
      </c>
      <c r="N103" s="20" t="inlineStr">
        <is>
          <t>—</t>
        </is>
      </c>
      <c r="O103" s="26" t="inlineStr">
        <is>
          <t>ANO</t>
        </is>
      </c>
    </row>
    <row r="104">
      <c r="A104" s="20" t="n">
        <v>103</v>
      </c>
      <c r="B104" s="8" t="inlineStr">
        <is>
          <t>PSV-76 Výplně otvorů</t>
        </is>
      </c>
      <c r="C104" s="8" t="inlineStr">
        <is>
          <t>Vnitřní dveře DTD laminované</t>
        </is>
      </c>
      <c r="D104" s="20" t="inlineStr">
        <is>
          <t>766660035</t>
        </is>
      </c>
      <c r="E104" s="8" t="inlineStr">
        <is>
          <t>Vnitřní dveře DTD laminované s obložkovou zárubní — odhad 15 ks</t>
        </is>
      </c>
      <c r="F104" s="20" t="inlineStr">
        <is>
          <t>ks</t>
        </is>
      </c>
      <c r="G104" s="23" t="n">
        <v>15</v>
      </c>
      <c r="H104" s="10" t="n"/>
      <c r="I104" s="10" t="n"/>
      <c r="J104" s="8" t="inlineStr">
        <is>
          <t>truhlar</t>
        </is>
      </c>
      <c r="K104" s="24" t="n">
        <v>0.75</v>
      </c>
      <c r="L104" s="20" t="inlineStr">
        <is>
          <t>needs_production_lookup</t>
        </is>
      </c>
      <c r="M104" s="8" t="inlineStr">
        <is>
          <t>TZ ARS dům §4 + DXF MTEXT room labels</t>
        </is>
      </c>
      <c r="N104" s="20" t="inlineStr">
        <is>
          <t>#5</t>
        </is>
      </c>
      <c r="O104" s="26" t="inlineStr">
        <is>
          <t>ANO</t>
        </is>
      </c>
    </row>
    <row r="105">
      <c r="A105" s="20" t="n">
        <v>104</v>
      </c>
      <c r="B105" s="8" t="inlineStr">
        <is>
          <t>PSV-76 Výplně otvorů</t>
        </is>
      </c>
      <c r="C105" s="8" t="inlineStr">
        <is>
          <t>Požárně odolné dveře EI 30 DP3</t>
        </is>
      </c>
      <c r="D105" s="20" t="inlineStr">
        <is>
          <t>766694112</t>
        </is>
      </c>
      <c r="E105" s="8" t="inlineStr">
        <is>
          <t>Požárně odolné jednokřídlové dveře EI 30 DP3 na vrcholu schodiště mezi 1.PP a 1.NP — uzavírá otvor v REI 90 stropu klenby sklepa (per PBŘ TUSPO § 'Požární uzávěry otvorů v požárních stěnách a požárních stropech: podzemní 30 DP1')</t>
        </is>
      </c>
      <c r="F105" s="20" t="inlineStr">
        <is>
          <t>ks</t>
        </is>
      </c>
      <c r="G105" s="23" t="n">
        <v>1</v>
      </c>
      <c r="H105" s="10" t="n"/>
      <c r="I105" s="10" t="n"/>
      <c r="J105" s="8" t="inlineStr">
        <is>
          <t>specialista_RC3_dvere</t>
        </is>
      </c>
      <c r="K105" s="24" t="n">
        <v>0.9</v>
      </c>
      <c r="L105" s="20" t="inlineStr">
        <is>
          <t>needs_production_lookup</t>
        </is>
      </c>
      <c r="M105" s="8" t="inlineStr">
        <is>
          <t>PBŘ TUSPO § Požární uzávěry otvorů 'podzemní 30DP1'; DXF schodiště 1.PP→1.NP</t>
        </is>
      </c>
      <c r="N105" s="20" t="inlineStr">
        <is>
          <t>—</t>
        </is>
      </c>
      <c r="O105" s="26" t="inlineStr">
        <is>
          <t>ANO</t>
        </is>
      </c>
    </row>
    <row r="106">
      <c r="A106" s="20" t="n">
        <v>105</v>
      </c>
      <c r="B106" s="8" t="inlineStr">
        <is>
          <t>PSV-76 Výplně otvorů</t>
        </is>
      </c>
      <c r="C106" s="8" t="inlineStr">
        <is>
          <t>Oplechování venkovních parapetů Pzn — 16 ks</t>
        </is>
      </c>
      <c r="D106" s="20" t="inlineStr">
        <is>
          <t>764811112</t>
        </is>
      </c>
      <c r="E106" s="8" t="inlineStr">
        <is>
          <t>Oplechování venkovních parapetů Pzn plech lakovaný 250 mm × tl. 0.55 mm, vč. okapnice + boční zakončení — 16 ks (per DXF INSERT okno × 16)</t>
        </is>
      </c>
      <c r="F106" s="20" t="inlineStr">
        <is>
          <t>ks</t>
        </is>
      </c>
      <c r="G106" s="23" t="n">
        <v>16</v>
      </c>
      <c r="H106" s="10" t="n"/>
      <c r="I106" s="10" t="n"/>
      <c r="J106" s="8" t="inlineStr">
        <is>
          <t>klempir</t>
        </is>
      </c>
      <c r="K106" s="24" t="n">
        <v>0.95</v>
      </c>
      <c r="L106" s="20" t="inlineStr">
        <is>
          <t>needs_production_lookup</t>
        </is>
      </c>
      <c r="M106" s="8" t="inlineStr">
        <is>
          <t>DXF blocks okno* 16 ks + DXF klempir_parapet 16 ks (Path C Tier 4 INSERT discovery)</t>
        </is>
      </c>
      <c r="N106" s="20" t="inlineStr">
        <is>
          <t>—</t>
        </is>
      </c>
      <c r="O106" s="26" t="inlineStr">
        <is>
          <t>ANO</t>
        </is>
      </c>
    </row>
    <row r="107">
      <c r="A107" s="20" t="n">
        <v>106</v>
      </c>
      <c r="B107" s="8" t="inlineStr">
        <is>
          <t>PSV-76 Zámečnictví</t>
        </is>
      </c>
      <c r="C107" s="8" t="inlineStr">
        <is>
          <t>Ocelové schodiště UPE200 ze zahrady</t>
        </is>
      </c>
      <c r="D107" s="20" t="inlineStr">
        <is>
          <t>767531111</t>
        </is>
      </c>
      <c r="E107" s="8" t="inlineStr">
        <is>
          <t>Ocelové schodiště ze zahrady na mezipodestu — UPE200 schodnice + dřevěné nášlapy, kotvené do koruny opěrné stěny a zdiva (TZ statika §4)</t>
        </is>
      </c>
      <c r="F107" s="20" t="inlineStr">
        <is>
          <t>kpl</t>
        </is>
      </c>
      <c r="G107" s="23" t="n">
        <v>1</v>
      </c>
      <c r="H107" s="10" t="n"/>
      <c r="I107" s="10" t="n"/>
      <c r="J107" s="8" t="inlineStr">
        <is>
          <t>zamecnik_PSV</t>
        </is>
      </c>
      <c r="K107" s="24" t="n">
        <v>0.85</v>
      </c>
      <c r="L107" s="20" t="inlineStr">
        <is>
          <t>needs_production_lookup</t>
        </is>
      </c>
      <c r="M107" s="8" t="inlineStr">
        <is>
          <t>TZ statika dům §4 — schodiště UPE200 + UPE100 podružné prvky</t>
        </is>
      </c>
      <c r="N107" s="20" t="inlineStr">
        <is>
          <t>#5</t>
        </is>
      </c>
      <c r="O107" s="26" t="inlineStr">
        <is>
          <t>ANO</t>
        </is>
      </c>
    </row>
    <row r="108">
      <c r="A108" s="20" t="n">
        <v>107</v>
      </c>
      <c r="B108" s="8" t="inlineStr">
        <is>
          <t>PSV-76 Zámečnictví</t>
        </is>
      </c>
      <c r="C108" s="8" t="inlineStr">
        <is>
          <t>Ocelové schodiště do spacího patra 3.NP</t>
        </is>
      </c>
      <c r="D108" s="20" t="inlineStr">
        <is>
          <t>767531111</t>
        </is>
      </c>
      <c r="E108" s="8" t="inlineStr">
        <is>
          <t>Interní ocelové schodiště do spacího patra v 3.NP s dřevěnými stupni (truhlářské)</t>
        </is>
      </c>
      <c r="F108" s="20" t="inlineStr">
        <is>
          <t>kpl</t>
        </is>
      </c>
      <c r="G108" s="23" t="n">
        <v>1</v>
      </c>
      <c r="H108" s="10" t="n"/>
      <c r="I108" s="10" t="n"/>
      <c r="J108" s="8" t="inlineStr">
        <is>
          <t>zamecnik_PSV</t>
        </is>
      </c>
      <c r="K108" s="24" t="n">
        <v>0.85</v>
      </c>
      <c r="L108" s="20" t="inlineStr">
        <is>
          <t>needs_production_lookup</t>
        </is>
      </c>
      <c r="M108" s="8" t="inlineStr">
        <is>
          <t>TZ ARS dům §4 — ocelové schodiště s dřevěnými stupni</t>
        </is>
      </c>
      <c r="N108" s="20" t="inlineStr">
        <is>
          <t>—</t>
        </is>
      </c>
      <c r="O108" s="26" t="inlineStr">
        <is>
          <t>ANO</t>
        </is>
      </c>
    </row>
    <row r="109">
      <c r="A109" s="20" t="n">
        <v>108</v>
      </c>
      <c r="B109" s="8" t="inlineStr">
        <is>
          <t>PSV-76 Zámečnictví</t>
        </is>
      </c>
      <c r="C109" s="8" t="inlineStr">
        <is>
          <t>Stříšky nad vstupy</t>
        </is>
      </c>
      <c r="D109" s="20" t="inlineStr">
        <is>
          <t>767532111</t>
        </is>
      </c>
      <c r="E109" s="8" t="inlineStr">
        <is>
          <t>Stříšky nad vstupy z ocelové konstrukce + Cetris desky + falcovaná krytina — 2 ks (ulice + zahrada)</t>
        </is>
      </c>
      <c r="F109" s="20" t="inlineStr">
        <is>
          <t>ks</t>
        </is>
      </c>
      <c r="G109" s="23" t="n">
        <v>2</v>
      </c>
      <c r="H109" s="10" t="n"/>
      <c r="I109" s="10" t="n"/>
      <c r="J109" s="8" t="inlineStr">
        <is>
          <t>zamecnik_PSV</t>
        </is>
      </c>
      <c r="K109" s="24" t="n">
        <v>0.75</v>
      </c>
      <c r="L109" s="20" t="inlineStr">
        <is>
          <t>needs_production_lookup</t>
        </is>
      </c>
      <c r="M109" s="8" t="inlineStr">
        <is>
          <t>TZ ARS dům §4 — stříšky nad vstupy ocel+Cetris+plech</t>
        </is>
      </c>
      <c r="N109" s="20" t="inlineStr">
        <is>
          <t>—</t>
        </is>
      </c>
      <c r="O109" s="26" t="inlineStr">
        <is>
          <t>ANO</t>
        </is>
      </c>
    </row>
    <row r="110">
      <c r="A110" s="20" t="n">
        <v>109</v>
      </c>
      <c r="B110" s="8" t="inlineStr">
        <is>
          <t>PSV-76 Zámečnictví</t>
        </is>
      </c>
      <c r="C110" s="8" t="inlineStr">
        <is>
          <t>Zábradlí z jeklů + nerez výplň</t>
        </is>
      </c>
      <c r="D110" s="20" t="inlineStr">
        <is>
          <t>767163115</t>
        </is>
      </c>
      <c r="E110" s="8" t="inlineStr">
        <is>
          <t>Ocelové zábradlí svařované z jeklů + nerez výplň pZn antracit — schodiště interier + venkovní terasa</t>
        </is>
      </c>
      <c r="F110" s="20" t="inlineStr">
        <is>
          <t>bm</t>
        </is>
      </c>
      <c r="G110" s="22" t="n">
        <v>18</v>
      </c>
      <c r="H110" s="10" t="n"/>
      <c r="I110" s="10" t="n"/>
      <c r="J110" s="8" t="inlineStr">
        <is>
          <t>zamecnik_PSV</t>
        </is>
      </c>
      <c r="K110" s="24" t="n">
        <v>0.75</v>
      </c>
      <c r="L110" s="20" t="inlineStr">
        <is>
          <t>needs_production_lookup</t>
        </is>
      </c>
      <c r="M110" s="8" t="inlineStr">
        <is>
          <t>TZ ARS dům §4 — zábradlí svařované z jeklů + nerez výplň</t>
        </is>
      </c>
      <c r="N110" s="20" t="inlineStr">
        <is>
          <t>—</t>
        </is>
      </c>
      <c r="O110" s="26" t="inlineStr">
        <is>
          <t>ANO</t>
        </is>
      </c>
    </row>
    <row r="111">
      <c r="A111" s="20" t="n">
        <v>110</v>
      </c>
      <c r="B111" s="8" t="inlineStr">
        <is>
          <t>PSV-77 Podlahy</t>
        </is>
      </c>
      <c r="C111" s="8" t="inlineStr">
        <is>
          <t>Nášlap vinyl obytné místnosti</t>
        </is>
      </c>
      <c r="D111" s="20" t="inlineStr">
        <is>
          <t>776511820</t>
        </is>
      </c>
      <c r="E111" s="8" t="inlineStr">
        <is>
          <t>Nášlapná vrstva vinyl tl. 4 mm na suchou skladbu — obytné místnosti (ložnice, obývák, kuchyně, chodby)</t>
        </is>
      </c>
      <c r="F111" s="20" t="inlineStr">
        <is>
          <t>m²</t>
        </is>
      </c>
      <c r="G111" s="22" t="n">
        <v>171.5</v>
      </c>
      <c r="H111" s="10" t="n"/>
      <c r="I111" s="10" t="n"/>
      <c r="J111" s="8" t="inlineStr">
        <is>
          <t>podlahar</t>
        </is>
      </c>
      <c r="K111" s="24" t="n">
        <v>0.95</v>
      </c>
      <c r="L111" s="20" t="inlineStr">
        <is>
          <t>needs_production_lookup</t>
        </is>
      </c>
      <c r="M111" s="8" t="inlineStr">
        <is>
          <t>DXF km_tabulka místností MTEXT (návrh) — rooms classified per name (kuchyně/obytná/chodba = vinyl) + TZ ARS §3.2.4 nášlapná vrstva</t>
        </is>
      </c>
      <c r="N111" s="20" t="inlineStr">
        <is>
          <t>#4</t>
        </is>
      </c>
      <c r="O111" s="26" t="inlineStr">
        <is>
          <t>ANO</t>
        </is>
      </c>
    </row>
    <row r="112">
      <c r="A112" s="20" t="n">
        <v>111</v>
      </c>
      <c r="B112" s="8" t="inlineStr">
        <is>
          <t>PSV-77 Podlahy</t>
        </is>
      </c>
      <c r="C112" s="8" t="inlineStr">
        <is>
          <t>Nášlap keramická dlažba — mokré zóny</t>
        </is>
      </c>
      <c r="D112" s="20" t="inlineStr">
        <is>
          <t>771274102</t>
        </is>
      </c>
      <c r="E112" s="8" t="inlineStr">
        <is>
          <t>Nášlapná vrstva keramická dlažba lepená — koupelny + WC + spíž + komora (NÁDRŽ NP)</t>
        </is>
      </c>
      <c r="F112" s="20" t="inlineStr">
        <is>
          <t>m²</t>
        </is>
      </c>
      <c r="G112" s="22" t="n">
        <v>13.5</v>
      </c>
      <c r="H112" s="10" t="n"/>
      <c r="I112" s="10" t="n"/>
      <c r="J112" s="8" t="inlineStr">
        <is>
          <t>obkladac</t>
        </is>
      </c>
      <c r="K112" s="24" t="n">
        <v>0.95</v>
      </c>
      <c r="L112" s="20" t="inlineStr">
        <is>
          <t>needs_production_lookup</t>
        </is>
      </c>
      <c r="M112" s="8" t="inlineStr">
        <is>
          <t>DXF km_tabulka místností MTEXT (návrh) — rooms classified per name (koupelna/WC/spíž = dlažba mokré) + TZ ARS skladba mokrá</t>
        </is>
      </c>
      <c r="N112" s="20" t="inlineStr">
        <is>
          <t>#4</t>
        </is>
      </c>
      <c r="O112" s="26" t="inlineStr">
        <is>
          <t>ANO</t>
        </is>
      </c>
    </row>
    <row r="113">
      <c r="A113" s="20" t="n">
        <v>112</v>
      </c>
      <c r="B113" s="8" t="inlineStr">
        <is>
          <t>PSV-77 Podlahy</t>
        </is>
      </c>
      <c r="C113" s="8" t="inlineStr">
        <is>
          <t>Nášlap keramická dlažba — 1.PP sklep</t>
        </is>
      </c>
      <c r="D113" s="20" t="inlineStr">
        <is>
          <t>771274102</t>
        </is>
      </c>
      <c r="E113" s="8" t="inlineStr">
        <is>
          <t>Nášlapná vrstva keramická dlažba — 1.PP technické místnosti (sušárna + sklepy + schodiště + chodba)</t>
        </is>
      </c>
      <c r="F113" s="20" t="inlineStr">
        <is>
          <t>m²</t>
        </is>
      </c>
      <c r="G113" s="22" t="n">
        <v>32.4</v>
      </c>
      <c r="H113" s="10" t="n"/>
      <c r="I113" s="10" t="n"/>
      <c r="J113" s="8" t="inlineStr">
        <is>
          <t>obkladac</t>
        </is>
      </c>
      <c r="K113" s="24" t="n">
        <v>0.95</v>
      </c>
      <c r="L113" s="20" t="inlineStr">
        <is>
          <t>needs_production_lookup</t>
        </is>
      </c>
      <c r="M113" s="8" t="inlineStr">
        <is>
          <t>DXF km_tabulka místností MTEXT (návrh) — 1.PP all rooms = dlažba sklep zone</t>
        </is>
      </c>
      <c r="N113" s="20" t="inlineStr">
        <is>
          <t>#4</t>
        </is>
      </c>
      <c r="O113" s="26" t="inlineStr">
        <is>
          <t>ANO</t>
        </is>
      </c>
    </row>
    <row r="114">
      <c r="A114" s="20" t="n">
        <v>113</v>
      </c>
      <c r="B114" s="8" t="inlineStr">
        <is>
          <t>PSV-77 Podlahy</t>
        </is>
      </c>
      <c r="C114" s="8" t="inlineStr">
        <is>
          <t>Nášlap biodeska 3.NP spací patro</t>
        </is>
      </c>
      <c r="D114" s="20" t="inlineStr">
        <is>
          <t>766411111</t>
        </is>
      </c>
      <c r="E114" s="8" t="inlineStr">
        <is>
          <t>Nášlapná vrstva biodeska (smrk masiv) nebo OSB v 3.NP spací části nad krovem</t>
        </is>
      </c>
      <c r="F114" s="20" t="inlineStr">
        <is>
          <t>m²</t>
        </is>
      </c>
      <c r="G114" s="22" t="n">
        <v>25</v>
      </c>
      <c r="H114" s="10" t="n"/>
      <c r="I114" s="10" t="n"/>
      <c r="J114" s="8" t="inlineStr">
        <is>
          <t>biodeska_konstrukcni</t>
        </is>
      </c>
      <c r="K114" s="24" t="n">
        <v>0.75</v>
      </c>
      <c r="L114" s="20" t="inlineStr">
        <is>
          <t>needs_production_lookup</t>
        </is>
      </c>
      <c r="M114" s="8" t="inlineStr">
        <is>
          <t>TZ ARS dům §3.2.3 — biodeska patro pro přespání</t>
        </is>
      </c>
      <c r="N114" s="20" t="inlineStr">
        <is>
          <t>#3</t>
        </is>
      </c>
      <c r="O114" s="26" t="inlineStr">
        <is>
          <t>ANO</t>
        </is>
      </c>
    </row>
    <row r="115">
      <c r="A115" s="20" t="n">
        <v>114</v>
      </c>
      <c r="B115" s="8" t="inlineStr">
        <is>
          <t>PSV-77 Podlahy</t>
        </is>
      </c>
      <c r="C115" s="8" t="inlineStr">
        <is>
          <t>Betonový potěr s kari nad EPS</t>
        </is>
      </c>
      <c r="D115" s="20" t="inlineStr">
        <is>
          <t>631321311</t>
        </is>
      </c>
      <c r="E115" s="8" t="inlineStr">
        <is>
          <t>Mokrá podlahová skladba — betonový potěr s kari síťkou 4/100/100 tl. 50 mm + samonivelační stěrka</t>
        </is>
      </c>
      <c r="F115" s="20" t="inlineStr">
        <is>
          <t>m²</t>
        </is>
      </c>
      <c r="G115" s="22" t="n">
        <v>126.4</v>
      </c>
      <c r="H115" s="10" t="n"/>
      <c r="I115" s="10" t="n"/>
      <c r="J115" s="8" t="inlineStr">
        <is>
          <t>podlahar</t>
        </is>
      </c>
      <c r="K115" s="24" t="n">
        <v>0.95</v>
      </c>
      <c r="L115" s="20" t="inlineStr">
        <is>
          <t>needs_production_lookup</t>
        </is>
      </c>
      <c r="M115" s="8" t="inlineStr">
        <is>
          <t>TZ ARS dům §3.2.4 + §3.2.x — 'kročejová izolace + betonový potěr s kari sítí'; DXF rooms areas</t>
        </is>
      </c>
      <c r="N115" s="20" t="inlineStr">
        <is>
          <t>#4</t>
        </is>
      </c>
      <c r="O115" s="26" t="inlineStr">
        <is>
          <t>ANO</t>
        </is>
      </c>
    </row>
    <row r="116">
      <c r="A116" s="20" t="n">
        <v>115</v>
      </c>
      <c r="B116" s="8" t="inlineStr">
        <is>
          <t>PSV-77 Podlahy</t>
        </is>
      </c>
      <c r="C116" s="8" t="inlineStr">
        <is>
          <t>Soklíky vinyl</t>
        </is>
      </c>
      <c r="D116" s="20" t="inlineStr">
        <is>
          <t>776511831</t>
        </is>
      </c>
      <c r="E116" s="8" t="inlineStr">
        <is>
          <t>Soklíky podlahové laminátové (dub) v obytných místnostech s vinyl podlahou</t>
        </is>
      </c>
      <c r="F116" s="20" t="inlineStr">
        <is>
          <t>bm</t>
        </is>
      </c>
      <c r="G116" s="22" t="n">
        <v>72.03</v>
      </c>
      <c r="H116" s="10" t="n"/>
      <c r="I116" s="10" t="n"/>
      <c r="J116" s="8" t="inlineStr">
        <is>
          <t>podlahar</t>
        </is>
      </c>
      <c r="K116" s="24" t="n">
        <v>0.95</v>
      </c>
      <c r="L116" s="20" t="inlineStr">
        <is>
          <t>needs_production_lookup</t>
        </is>
      </c>
      <c r="M116" s="8" t="inlineStr">
        <is>
          <t>DXF rooms vinyl + standard ratio per RD geometry</t>
        </is>
      </c>
      <c r="N116" s="20" t="inlineStr">
        <is>
          <t>—</t>
        </is>
      </c>
      <c r="O116" s="26" t="inlineStr">
        <is>
          <t>ANO</t>
        </is>
      </c>
    </row>
    <row r="117">
      <c r="A117" s="20" t="n">
        <v>116</v>
      </c>
      <c r="B117" s="8" t="inlineStr">
        <is>
          <t>PSV-77 Podlahy</t>
        </is>
      </c>
      <c r="C117" s="8" t="inlineStr">
        <is>
          <t>Soklíky keramické</t>
        </is>
      </c>
      <c r="D117" s="20" t="inlineStr">
        <is>
          <t>771274107</t>
        </is>
      </c>
      <c r="E117" s="8" t="inlineStr">
        <is>
          <t>Soklíky keramické v místnostech s dlažbou (koupelny + WC + spíž + 1.PP)</t>
        </is>
      </c>
      <c r="F117" s="20" t="inlineStr">
        <is>
          <t>bm</t>
        </is>
      </c>
      <c r="G117" s="22" t="n">
        <v>19.28</v>
      </c>
      <c r="H117" s="10" t="n"/>
      <c r="I117" s="10" t="n"/>
      <c r="J117" s="8" t="inlineStr">
        <is>
          <t>obkladac</t>
        </is>
      </c>
      <c r="K117" s="24" t="n">
        <v>0.95</v>
      </c>
      <c r="L117" s="20" t="inlineStr">
        <is>
          <t>needs_production_lookup</t>
        </is>
      </c>
      <c r="M117" s="8" t="inlineStr">
        <is>
          <t>DXF rooms dlažba + standard ratio per RD geometry</t>
        </is>
      </c>
      <c r="N117" s="20" t="inlineStr">
        <is>
          <t>—</t>
        </is>
      </c>
      <c r="O117" s="26" t="inlineStr">
        <is>
          <t>ANO</t>
        </is>
      </c>
    </row>
    <row r="118">
      <c r="A118" s="20" t="n">
        <v>117</v>
      </c>
      <c r="B118" s="8" t="inlineStr">
        <is>
          <t>PSV-78 Povrchové úpravy</t>
        </is>
      </c>
      <c r="C118" s="8" t="inlineStr">
        <is>
          <t>Omítka jádrová + štuk 1.PP</t>
        </is>
      </c>
      <c r="D118" s="20" t="inlineStr">
        <is>
          <t>612311311</t>
        </is>
      </c>
      <c r="E118" s="8" t="inlineStr">
        <is>
          <t>Omítka jádrová vápenocementová tl. 15 mm + štuková povrchová úprava na stěnách 1.PP (stávající vyspravené + nové zděné)</t>
        </is>
      </c>
      <c r="F118" s="20" t="inlineStr">
        <is>
          <t>m²</t>
        </is>
      </c>
      <c r="G118" s="22" t="n">
        <v>78.2</v>
      </c>
      <c r="H118" s="10" t="n"/>
      <c r="I118" s="10" t="n"/>
      <c r="J118" s="8" t="inlineStr">
        <is>
          <t>zednik</t>
        </is>
      </c>
      <c r="K118" s="24" t="n">
        <v>0.9</v>
      </c>
      <c r="L118" s="20" t="inlineStr">
        <is>
          <t>needs_production_lookup</t>
        </is>
      </c>
      <c r="M118" s="8" t="inlineStr">
        <is>
          <t>DXF rooms 1.PP obvod + výška podlaží 2.1 m (DXF SM_kóty + řez A-A Path C Tier 1) − okenní plocha (DXF) − odpočet dveří 3%</t>
        </is>
      </c>
      <c r="N118" s="20" t="inlineStr">
        <is>
          <t>#3</t>
        </is>
      </c>
      <c r="O118" s="26" t="inlineStr">
        <is>
          <t>ANO</t>
        </is>
      </c>
    </row>
    <row r="119">
      <c r="A119" s="20" t="n">
        <v>118</v>
      </c>
      <c r="B119" s="8" t="inlineStr">
        <is>
          <t>PSV-78 Povrchové úpravy</t>
        </is>
      </c>
      <c r="C119" s="8" t="inlineStr">
        <is>
          <t>Omítka jádrová + štuk 1.NP</t>
        </is>
      </c>
      <c r="D119" s="20" t="inlineStr">
        <is>
          <t>612311311</t>
        </is>
      </c>
      <c r="E119" s="8" t="inlineStr">
        <is>
          <t>Omítka jádrová vápenocementová tl. 15 mm + štuková povrchová úprava na stěnách 1.NP (stávající vyspravené + nové zděné)</t>
        </is>
      </c>
      <c r="F119" s="20" t="inlineStr">
        <is>
          <t>m²</t>
        </is>
      </c>
      <c r="G119" s="22" t="n">
        <v>208.4</v>
      </c>
      <c r="H119" s="10" t="n"/>
      <c r="I119" s="10" t="n"/>
      <c r="J119" s="8" t="inlineStr">
        <is>
          <t>zednik</t>
        </is>
      </c>
      <c r="K119" s="24" t="n">
        <v>0.9</v>
      </c>
      <c r="L119" s="20" t="inlineStr">
        <is>
          <t>needs_production_lookup</t>
        </is>
      </c>
      <c r="M119" s="8" t="inlineStr">
        <is>
          <t>DXF rooms 1.NP obvod + výška podlaží 2.795 m (DXF SM_kóty + řez A-A Path C Tier 1) − okenní plocha (DXF) − odpočet dveří 3%</t>
        </is>
      </c>
      <c r="N119" s="20" t="inlineStr">
        <is>
          <t>#3</t>
        </is>
      </c>
      <c r="O119" s="26" t="inlineStr">
        <is>
          <t>ANO</t>
        </is>
      </c>
    </row>
    <row r="120">
      <c r="A120" s="20" t="n">
        <v>119</v>
      </c>
      <c r="B120" s="8" t="inlineStr">
        <is>
          <t>PSV-78 Povrchové úpravy</t>
        </is>
      </c>
      <c r="C120" s="8" t="inlineStr">
        <is>
          <t>Omítka jádrová + štuk 2.NP</t>
        </is>
      </c>
      <c r="D120" s="20" t="inlineStr">
        <is>
          <t>612311311</t>
        </is>
      </c>
      <c r="E120" s="8" t="inlineStr">
        <is>
          <t>Omítka jádrová vápenocementová tl. 15 mm + štuková povrchová úprava na stěnách 2.NP (stávající vyspravené + nové zděné)</t>
        </is>
      </c>
      <c r="F120" s="20" t="inlineStr">
        <is>
          <t>m²</t>
        </is>
      </c>
      <c r="G120" s="22" t="n">
        <v>201.6</v>
      </c>
      <c r="H120" s="10" t="n"/>
      <c r="I120" s="10" t="n"/>
      <c r="J120" s="8" t="inlineStr">
        <is>
          <t>zednik</t>
        </is>
      </c>
      <c r="K120" s="24" t="n">
        <v>0.9</v>
      </c>
      <c r="L120" s="20" t="inlineStr">
        <is>
          <t>needs_production_lookup</t>
        </is>
      </c>
      <c r="M120" s="8" t="inlineStr">
        <is>
          <t>DXF rooms 2.NP obvod + výška podlaží 2.865 m (DXF SM_kóty + řez A-A Path C Tier 1) − okenní plocha (DXF) − odpočet dveří 3%</t>
        </is>
      </c>
      <c r="N120" s="20" t="inlineStr">
        <is>
          <t>#3</t>
        </is>
      </c>
      <c r="O120" s="26" t="inlineStr">
        <is>
          <t>ANO</t>
        </is>
      </c>
    </row>
    <row r="121">
      <c r="A121" s="20" t="n">
        <v>120</v>
      </c>
      <c r="B121" s="8" t="inlineStr">
        <is>
          <t>PSV-78 Povrchové úpravy</t>
        </is>
      </c>
      <c r="C121" s="8" t="inlineStr">
        <is>
          <t>Omítka jádrová + štuk 3.NP</t>
        </is>
      </c>
      <c r="D121" s="20" t="inlineStr">
        <is>
          <t>612311311</t>
        </is>
      </c>
      <c r="E121" s="8" t="inlineStr">
        <is>
          <t>Omítka jádrová vápenocementová tl. 15 mm + štuková povrchová úprava na stěnách 3.NP (stávající vyspravené + nové zděné)</t>
        </is>
      </c>
      <c r="F121" s="20" t="inlineStr">
        <is>
          <t>m²</t>
        </is>
      </c>
      <c r="G121" s="22" t="n">
        <v>179.1</v>
      </c>
      <c r="H121" s="10" t="n"/>
      <c r="I121" s="10" t="n"/>
      <c r="J121" s="8" t="inlineStr">
        <is>
          <t>zednik</t>
        </is>
      </c>
      <c r="K121" s="24" t="n">
        <v>0.9</v>
      </c>
      <c r="L121" s="20" t="inlineStr">
        <is>
          <t>needs_production_lookup</t>
        </is>
      </c>
      <c r="M121" s="8" t="inlineStr">
        <is>
          <t>DXF rooms 3.NP obvod + výška podlaží 2.63 m (DXF SM_kóty + řez A-A Path C Tier 1) − okenní plocha (DXF) − odpočet dveří 3%</t>
        </is>
      </c>
      <c r="N121" s="20" t="inlineStr">
        <is>
          <t>#3</t>
        </is>
      </c>
      <c r="O121" s="26" t="inlineStr">
        <is>
          <t>ANO</t>
        </is>
      </c>
    </row>
    <row r="122">
      <c r="A122" s="20" t="n">
        <v>121</v>
      </c>
      <c r="B122" s="8" t="inlineStr">
        <is>
          <t>PSV-78 Povrchové úpravy</t>
        </is>
      </c>
      <c r="C122" s="8" t="inlineStr">
        <is>
          <t>SDK podhled — tmelení + úprava 1.NP</t>
        </is>
      </c>
      <c r="D122" s="20" t="inlineStr">
        <is>
          <t>612471141</t>
        </is>
      </c>
      <c r="E122" s="8" t="inlineStr">
        <is>
          <t>SDK podhled + případné předstěny — tmelení spojů Q3 + povrchová úprava před výmalbou (1.NP)</t>
        </is>
      </c>
      <c r="F122" s="20" t="inlineStr">
        <is>
          <t>m²</t>
        </is>
      </c>
      <c r="G122" s="22" t="n">
        <v>59.5</v>
      </c>
      <c r="H122" s="10" t="n"/>
      <c r="I122" s="10" t="n"/>
      <c r="J122" s="8" t="inlineStr">
        <is>
          <t>sadrokartonar</t>
        </is>
      </c>
      <c r="K122" s="24" t="n">
        <v>0.95</v>
      </c>
      <c r="L122" s="20" t="inlineStr">
        <is>
          <t>needs_production_lookup</t>
        </is>
      </c>
      <c r="M122" s="8" t="inlineStr">
        <is>
          <t>DXF km_tabulka místností MTEXT — plocha 1.NP = plocha podhledu (flat ceiling assumption)</t>
        </is>
      </c>
      <c r="N122" s="20" t="inlineStr">
        <is>
          <t>—</t>
        </is>
      </c>
      <c r="O122" s="26" t="inlineStr">
        <is>
          <t>ANO</t>
        </is>
      </c>
    </row>
    <row r="123">
      <c r="A123" s="20" t="n">
        <v>122</v>
      </c>
      <c r="B123" s="8" t="inlineStr">
        <is>
          <t>PSV-78 Povrchové úpravy</t>
        </is>
      </c>
      <c r="C123" s="8" t="inlineStr">
        <is>
          <t>SDK podhled — tmelení + úprava 2.NP</t>
        </is>
      </c>
      <c r="D123" s="20" t="inlineStr">
        <is>
          <t>612471141</t>
        </is>
      </c>
      <c r="E123" s="8" t="inlineStr">
        <is>
          <t>SDK podhled + případné předstěny — tmelení spojů Q3 + povrchová úprava před výmalbou (2.NP)</t>
        </is>
      </c>
      <c r="F123" s="20" t="inlineStr">
        <is>
          <t>m²</t>
        </is>
      </c>
      <c r="G123" s="22" t="n">
        <v>61.1</v>
      </c>
      <c r="H123" s="10" t="n"/>
      <c r="I123" s="10" t="n"/>
      <c r="J123" s="8" t="inlineStr">
        <is>
          <t>sadrokartonar</t>
        </is>
      </c>
      <c r="K123" s="24" t="n">
        <v>0.95</v>
      </c>
      <c r="L123" s="20" t="inlineStr">
        <is>
          <t>needs_production_lookup</t>
        </is>
      </c>
      <c r="M123" s="8" t="inlineStr">
        <is>
          <t>DXF km_tabulka místností MTEXT — plocha 2.NP = plocha podhledu (flat ceiling assumption)</t>
        </is>
      </c>
      <c r="N123" s="20" t="inlineStr">
        <is>
          <t>—</t>
        </is>
      </c>
      <c r="O123" s="26" t="inlineStr">
        <is>
          <t>ANO</t>
        </is>
      </c>
    </row>
    <row r="124">
      <c r="A124" s="20" t="n">
        <v>123</v>
      </c>
      <c r="B124" s="8" t="inlineStr">
        <is>
          <t>PSV-78 Povrchové úpravy</t>
        </is>
      </c>
      <c r="C124" s="8" t="inlineStr">
        <is>
          <t>SDK podhled — tmelení + úprava 3.NP</t>
        </is>
      </c>
      <c r="D124" s="20" t="inlineStr">
        <is>
          <t>612471141</t>
        </is>
      </c>
      <c r="E124" s="8" t="inlineStr">
        <is>
          <t>SDK podhled + případné předstěny — tmelení spojů Q3 + povrchová úprava před výmalbou (3.NP)</t>
        </is>
      </c>
      <c r="F124" s="20" t="inlineStr">
        <is>
          <t>m²</t>
        </is>
      </c>
      <c r="G124" s="22" t="n">
        <v>64.5</v>
      </c>
      <c r="H124" s="10" t="n"/>
      <c r="I124" s="10" t="n"/>
      <c r="J124" s="8" t="inlineStr">
        <is>
          <t>sadrokartonar</t>
        </is>
      </c>
      <c r="K124" s="24" t="n">
        <v>0.95</v>
      </c>
      <c r="L124" s="20" t="inlineStr">
        <is>
          <t>needs_production_lookup</t>
        </is>
      </c>
      <c r="M124" s="8" t="inlineStr">
        <is>
          <t>DXF km_tabulka místností MTEXT — plocha 3.NP = plocha podhledu (flat ceiling assumption)</t>
        </is>
      </c>
      <c r="N124" s="20" t="inlineStr">
        <is>
          <t>—</t>
        </is>
      </c>
      <c r="O124" s="26" t="inlineStr">
        <is>
          <t>ANO</t>
        </is>
      </c>
    </row>
    <row r="125">
      <c r="A125" s="20" t="n">
        <v>124</v>
      </c>
      <c r="B125" s="8" t="inlineStr">
        <is>
          <t>PSV-78 Povrchové úpravy</t>
        </is>
      </c>
      <c r="C125" s="8" t="inlineStr">
        <is>
          <t>Keramický obklad koupelna 1.05 (1.NP)</t>
        </is>
      </c>
      <c r="D125" s="20" t="inlineStr">
        <is>
          <t>781447001</t>
        </is>
      </c>
      <c r="E125" s="8" t="inlineStr">
        <is>
          <t>Keramický obklad stěn koupelny 1.05 1.NP — výška obkladu 1.6 m (z DXF km Obklady layer)</t>
        </is>
      </c>
      <c r="F125" s="20" t="inlineStr">
        <is>
          <t>m²</t>
        </is>
      </c>
      <c r="G125" s="22" t="n">
        <v>13.4</v>
      </c>
      <c r="H125" s="10" t="n"/>
      <c r="I125" s="10" t="n"/>
      <c r="J125" s="8" t="inlineStr">
        <is>
          <t>obkladac</t>
        </is>
      </c>
      <c r="K125" s="24" t="n">
        <v>0.9</v>
      </c>
      <c r="L125" s="20" t="inlineStr">
        <is>
          <t>needs_production_lookup</t>
        </is>
      </c>
      <c r="M125" s="8" t="inlineStr">
        <is>
          <t>DXF rooms PIP perimeter 1.05 + DXF km Obklady layer (11 LWPOLYLINE markers s bbox heights 1600/2450/2610-2715 mm) — Path C Tier 1</t>
        </is>
      </c>
      <c r="N125" s="20" t="inlineStr">
        <is>
          <t>—</t>
        </is>
      </c>
      <c r="O125" s="26" t="inlineStr">
        <is>
          <t>ANO</t>
        </is>
      </c>
    </row>
    <row r="126">
      <c r="A126" s="20" t="n">
        <v>125</v>
      </c>
      <c r="B126" s="8" t="inlineStr">
        <is>
          <t>PSV-78 Povrchové úpravy</t>
        </is>
      </c>
      <c r="C126" s="8" t="inlineStr">
        <is>
          <t>Keramický obklad koupelna 2.03 (2.NP)</t>
        </is>
      </c>
      <c r="D126" s="20" t="inlineStr">
        <is>
          <t>781447001</t>
        </is>
      </c>
      <c r="E126" s="8" t="inlineStr">
        <is>
          <t>Keramický obklad stěn koupelny 2.03 2.NP — výška obkladu 2.45 m (z DXF km Obklady layer)</t>
        </is>
      </c>
      <c r="F126" s="20" t="inlineStr">
        <is>
          <t>m²</t>
        </is>
      </c>
      <c r="G126" s="22" t="n">
        <v>15.2</v>
      </c>
      <c r="H126" s="10" t="n"/>
      <c r="I126" s="10" t="n"/>
      <c r="J126" s="8" t="inlineStr">
        <is>
          <t>obkladac</t>
        </is>
      </c>
      <c r="K126" s="24" t="n">
        <v>0.9</v>
      </c>
      <c r="L126" s="20" t="inlineStr">
        <is>
          <t>needs_production_lookup</t>
        </is>
      </c>
      <c r="M126" s="8" t="inlineStr">
        <is>
          <t>DXF rooms PIP perimeter 2.03 + DXF km Obklady layer (11 LWPOLYLINE markers s bbox heights 1600/2450/2610-2715 mm) — Path C Tier 1</t>
        </is>
      </c>
      <c r="N126" s="20" t="inlineStr">
        <is>
          <t>—</t>
        </is>
      </c>
      <c r="O126" s="26" t="inlineStr">
        <is>
          <t>ANO</t>
        </is>
      </c>
    </row>
    <row r="127">
      <c r="A127" s="20" t="n">
        <v>126</v>
      </c>
      <c r="B127" s="8" t="inlineStr">
        <is>
          <t>PSV-78 Povrchové úpravy</t>
        </is>
      </c>
      <c r="C127" s="8" t="inlineStr">
        <is>
          <t>Keramický obklad koupelna 3.04 (3.NP)</t>
        </is>
      </c>
      <c r="D127" s="20" t="inlineStr">
        <is>
          <t>781447001</t>
        </is>
      </c>
      <c r="E127" s="8" t="inlineStr">
        <is>
          <t>Keramický obklad stěn koupelny 3.04 3.NP — výška obkladu 2.7 m (z DXF km Obklady layer)</t>
        </is>
      </c>
      <c r="F127" s="20" t="inlineStr">
        <is>
          <t>m²</t>
        </is>
      </c>
      <c r="G127" s="22" t="n">
        <v>24.3</v>
      </c>
      <c r="H127" s="10" t="n"/>
      <c r="I127" s="10" t="n"/>
      <c r="J127" s="8" t="inlineStr">
        <is>
          <t>obkladac</t>
        </is>
      </c>
      <c r="K127" s="24" t="n">
        <v>0.9</v>
      </c>
      <c r="L127" s="20" t="inlineStr">
        <is>
          <t>needs_production_lookup</t>
        </is>
      </c>
      <c r="M127" s="8" t="inlineStr">
        <is>
          <t>DXF rooms PIP perimeter 3.04 + DXF km Obklady layer (11 LWPOLYLINE markers s bbox heights 1600/2450/2610-2715 mm) — Path C Tier 1</t>
        </is>
      </c>
      <c r="N127" s="20" t="inlineStr">
        <is>
          <t>—</t>
        </is>
      </c>
      <c r="O127" s="26" t="inlineStr">
        <is>
          <t>ANO</t>
        </is>
      </c>
    </row>
    <row r="128">
      <c r="A128" s="20" t="n">
        <v>127</v>
      </c>
      <c r="B128" s="8" t="inlineStr">
        <is>
          <t>PSV-78 Povrchové úpravy</t>
        </is>
      </c>
      <c r="C128" s="8" t="inlineStr">
        <is>
          <t>Obklad za kuchyňskou linkou</t>
        </is>
      </c>
      <c r="D128" s="20" t="inlineStr">
        <is>
          <t>781447001</t>
        </is>
      </c>
      <c r="E128" s="8" t="inlineStr">
        <is>
          <t>Keramický obklad za kuchyňskou linkou nad pracovní deskou — 2 kuchyně × ~5 m² (1.06 byt rodičů + 3.05 byt 3.NP)</t>
        </is>
      </c>
      <c r="F128" s="20" t="inlineStr">
        <is>
          <t>m²</t>
        </is>
      </c>
      <c r="G128" s="22" t="n">
        <v>10</v>
      </c>
      <c r="H128" s="10" t="n"/>
      <c r="I128" s="10" t="n"/>
      <c r="J128" s="8" t="inlineStr">
        <is>
          <t>obkladac</t>
        </is>
      </c>
      <c r="K128" s="24" t="n">
        <v>0.95</v>
      </c>
      <c r="L128" s="20" t="inlineStr">
        <is>
          <t>needs_production_lookup</t>
        </is>
      </c>
      <c r="M128" s="8" t="inlineStr">
        <is>
          <t>DXF dum_DPZ 2× kuchyně MTEXT + TZ ARS</t>
        </is>
      </c>
      <c r="N128" s="20" t="inlineStr">
        <is>
          <t>—</t>
        </is>
      </c>
      <c r="O128" s="26" t="inlineStr">
        <is>
          <t>ANO</t>
        </is>
      </c>
    </row>
    <row r="129">
      <c r="A129" s="20" t="n">
        <v>128</v>
      </c>
      <c r="B129" s="8" t="inlineStr">
        <is>
          <t>PSV-78 Povrchové úpravy</t>
        </is>
      </c>
      <c r="C129" s="8" t="inlineStr">
        <is>
          <t>Interiérová výmalba</t>
        </is>
      </c>
      <c r="D129" s="20" t="inlineStr">
        <is>
          <t>784121011</t>
        </is>
      </c>
      <c r="E129" s="8" t="inlineStr">
        <is>
          <t>Interiérová výmalba akrylátová bílá 2× — všechny stěny + podhledy mimo obklad</t>
        </is>
      </c>
      <c r="F129" s="20" t="inlineStr">
        <is>
          <t>m²</t>
        </is>
      </c>
      <c r="G129" s="22" t="n">
        <v>0</v>
      </c>
      <c r="H129" s="10" t="n"/>
      <c r="I129" s="10" t="n"/>
      <c r="J129" s="8" t="inlineStr">
        <is>
          <t>malir</t>
        </is>
      </c>
      <c r="K129" s="24" t="n">
        <v>0.75</v>
      </c>
      <c r="L129" s="20" t="inlineStr">
        <is>
          <t>needs_production_lookup</t>
        </is>
      </c>
      <c r="M129" s="8" t="inlineStr">
        <is>
          <t>TZ ARS — interiérová výmalba (aggregate, no TZ per-room directive)</t>
        </is>
      </c>
      <c r="N129" s="20" t="inlineStr">
        <is>
          <t>—</t>
        </is>
      </c>
      <c r="O129" s="26" t="inlineStr">
        <is>
          <t>ANO</t>
        </is>
      </c>
    </row>
    <row r="130">
      <c r="A130" s="20" t="n">
        <v>129</v>
      </c>
      <c r="B130" s="8" t="inlineStr">
        <is>
          <t>PSV-78 Povrchové úpravy</t>
        </is>
      </c>
      <c r="C130" s="8" t="inlineStr">
        <is>
          <t>Interiérová výmalba 1.NP</t>
        </is>
      </c>
      <c r="D130" s="20" t="inlineStr">
        <is>
          <t>784121011</t>
        </is>
      </c>
      <c r="E130" s="8" t="inlineStr">
        <is>
          <t>Interiérová výmalba 1.NP — stěny + SDK podhled − obklad koupelny 1.05 (1.6 m výška)</t>
        </is>
      </c>
      <c r="F130" s="20" t="inlineStr">
        <is>
          <t>m²</t>
        </is>
      </c>
      <c r="G130" s="22" t="n">
        <v>254.5</v>
      </c>
      <c r="H130" s="10" t="n"/>
      <c r="I130" s="10" t="n"/>
      <c r="J130" s="8" t="inlineStr">
        <is>
          <t>malir</t>
        </is>
      </c>
      <c r="K130" s="24" t="n">
        <v>0.85</v>
      </c>
      <c r="L130" s="20" t="inlineStr">
        <is>
          <t>needs_production_lookup</t>
        </is>
      </c>
      <c r="M130" s="8" t="inlineStr">
        <is>
          <t>Per-podlaží split z PSV78.012 (audit v2 GAP_007 fix); omítka PSV78.002 + SDK podhled PSV78.005</t>
        </is>
      </c>
      <c r="N130" s="20" t="inlineStr">
        <is>
          <t>—</t>
        </is>
      </c>
      <c r="O130" s="26" t="inlineStr">
        <is>
          <t>ANO</t>
        </is>
      </c>
    </row>
    <row r="131">
      <c r="A131" s="20" t="n">
        <v>130</v>
      </c>
      <c r="B131" s="8" t="inlineStr">
        <is>
          <t>PSV-78 Povrchové úpravy</t>
        </is>
      </c>
      <c r="C131" s="8" t="inlineStr">
        <is>
          <t>Interiérová výmalba 1.PP</t>
        </is>
      </c>
      <c r="D131" s="20" t="inlineStr">
        <is>
          <t>784121011</t>
        </is>
      </c>
      <c r="E131" s="8" t="inlineStr">
        <is>
          <t>Interiérová výmalba 1.PP — sklep stěny + klenba bílá vápenná 2×</t>
        </is>
      </c>
      <c r="F131" s="20" t="inlineStr">
        <is>
          <t>m²</t>
        </is>
      </c>
      <c r="G131" s="22" t="n">
        <v>78.2</v>
      </c>
      <c r="H131" s="10" t="n"/>
      <c r="I131" s="10" t="n"/>
      <c r="J131" s="8" t="inlineStr">
        <is>
          <t>malir</t>
        </is>
      </c>
      <c r="K131" s="24" t="n">
        <v>0.85</v>
      </c>
      <c r="L131" s="20" t="inlineStr">
        <is>
          <t>needs_production_lookup</t>
        </is>
      </c>
      <c r="M131" s="8" t="inlineStr">
        <is>
          <t>Per-podlaží split z PSV78.012 (audit v2 GAP_007 fix); omítka PSV78.001 + SDK podhled PSV78.—</t>
        </is>
      </c>
      <c r="N131" s="20" t="inlineStr">
        <is>
          <t>—</t>
        </is>
      </c>
      <c r="O131" s="26" t="inlineStr">
        <is>
          <t>ANO</t>
        </is>
      </c>
    </row>
    <row r="132">
      <c r="A132" s="20" t="n">
        <v>131</v>
      </c>
      <c r="B132" s="8" t="inlineStr">
        <is>
          <t>PSV-78 Povrchové úpravy</t>
        </is>
      </c>
      <c r="C132" s="8" t="inlineStr">
        <is>
          <t>Interiérová výmalba 2.NP</t>
        </is>
      </c>
      <c r="D132" s="20" t="inlineStr">
        <is>
          <t>784121011</t>
        </is>
      </c>
      <c r="E132" s="8" t="inlineStr">
        <is>
          <t>Interiérová výmalba 2.NP — stěny + SDK podhled − obklad koupelny 2.03 (2.45 m výška)</t>
        </is>
      </c>
      <c r="F132" s="20" t="inlineStr">
        <is>
          <t>m²</t>
        </is>
      </c>
      <c r="G132" s="22" t="n">
        <v>247.5</v>
      </c>
      <c r="H132" s="10" t="n"/>
      <c r="I132" s="10" t="n"/>
      <c r="J132" s="8" t="inlineStr">
        <is>
          <t>malir</t>
        </is>
      </c>
      <c r="K132" s="24" t="n">
        <v>0.85</v>
      </c>
      <c r="L132" s="20" t="inlineStr">
        <is>
          <t>needs_production_lookup</t>
        </is>
      </c>
      <c r="M132" s="8" t="inlineStr">
        <is>
          <t>Per-podlaží split z PSV78.012 (audit v2 GAP_007 fix); omítka PSV78.003 + SDK podhled PSV78.006</t>
        </is>
      </c>
      <c r="N132" s="20" t="inlineStr">
        <is>
          <t>—</t>
        </is>
      </c>
      <c r="O132" s="26" t="inlineStr">
        <is>
          <t>ANO</t>
        </is>
      </c>
    </row>
    <row r="133">
      <c r="A133" s="20" t="n">
        <v>132</v>
      </c>
      <c r="B133" s="8" t="inlineStr">
        <is>
          <t>PSV-78 Povrchové úpravy</t>
        </is>
      </c>
      <c r="C133" s="8" t="inlineStr">
        <is>
          <t>Interiérová výmalba 3.NP</t>
        </is>
      </c>
      <c r="D133" s="20" t="inlineStr">
        <is>
          <t>784121011</t>
        </is>
      </c>
      <c r="E133" s="8" t="inlineStr">
        <is>
          <t>Interiérová výmalba 3.NP — stěny + SDK podhled − obklad koupelny 3.04 (2.7 m výška)</t>
        </is>
      </c>
      <c r="F133" s="20" t="inlineStr">
        <is>
          <t>m²</t>
        </is>
      </c>
      <c r="G133" s="22" t="n">
        <v>219.3</v>
      </c>
      <c r="H133" s="10" t="n"/>
      <c r="I133" s="10" t="n"/>
      <c r="J133" s="8" t="inlineStr">
        <is>
          <t>malir</t>
        </is>
      </c>
      <c r="K133" s="24" t="n">
        <v>0.85</v>
      </c>
      <c r="L133" s="20" t="inlineStr">
        <is>
          <t>needs_production_lookup</t>
        </is>
      </c>
      <c r="M133" s="8" t="inlineStr">
        <is>
          <t>Per-podlaží split z PSV78.012 (audit v2 GAP_007 fix); omítka PSV78.004 + SDK podhled PSV78.007</t>
        </is>
      </c>
      <c r="N133" s="20" t="inlineStr">
        <is>
          <t>—</t>
        </is>
      </c>
      <c r="O133" s="26" t="inlineStr">
        <is>
          <t>ANO</t>
        </is>
      </c>
    </row>
    <row r="134">
      <c r="A134" s="20" t="n">
        <v>133</v>
      </c>
      <c r="B134" s="8" t="inlineStr">
        <is>
          <t>PSV-95 Detekce požární</t>
        </is>
      </c>
      <c r="C134" s="8" t="inlineStr">
        <is>
          <t>Autonomní hlásič kouře</t>
        </is>
      </c>
      <c r="D134" s="20" t="inlineStr">
        <is>
          <t>375211101</t>
        </is>
      </c>
      <c r="E134" s="8" t="inlineStr">
        <is>
          <t>Autonomní hlásič kouře dle ČSN EN 14604 — 4 ks v místnostech 1.01, 1.02, 2.04, 3.03 dle PBŘ</t>
        </is>
      </c>
      <c r="F134" s="20" t="inlineStr">
        <is>
          <t>ks</t>
        </is>
      </c>
      <c r="G134" s="23" t="n">
        <v>4</v>
      </c>
      <c r="H134" s="10" t="n"/>
      <c r="I134" s="10" t="n"/>
      <c r="J134" s="8" t="inlineStr">
        <is>
          <t>elektroinstalater</t>
        </is>
      </c>
      <c r="K134" s="24" t="n">
        <v>0.85</v>
      </c>
      <c r="L134" s="20" t="inlineStr">
        <is>
          <t>needs_production_lookup</t>
        </is>
      </c>
      <c r="M134" s="8" t="inlineStr">
        <is>
          <t>TZ PBŘ dům — ČSN EN 14604 autonomní hlásič kouře 4 ks</t>
        </is>
      </c>
      <c r="N134" s="20" t="inlineStr">
        <is>
          <t>—</t>
        </is>
      </c>
      <c r="O134" s="26" t="inlineStr">
        <is>
          <t>ANO</t>
        </is>
      </c>
    </row>
    <row r="135">
      <c r="A135" s="20" t="n">
        <v>134</v>
      </c>
      <c r="B135" s="8" t="inlineStr">
        <is>
          <t>PSV-95 Detekce požární</t>
        </is>
      </c>
      <c r="C135" s="8" t="inlineStr">
        <is>
          <t>Přenosný hasicí přístroj 34A</t>
        </is>
      </c>
      <c r="D135" s="20" t="inlineStr">
        <is>
          <t>966067121</t>
        </is>
      </c>
      <c r="E135" s="8" t="inlineStr">
        <is>
          <t>Přenosný hasicí přístroj 34A dle PBŘ — min. 1 ks na společné chodbě</t>
        </is>
      </c>
      <c r="F135" s="20" t="inlineStr">
        <is>
          <t>ks</t>
        </is>
      </c>
      <c r="G135" s="23" t="n">
        <v>1</v>
      </c>
      <c r="H135" s="10" t="n"/>
      <c r="I135" s="10" t="n"/>
      <c r="J135" s="8" t="inlineStr">
        <is>
          <t>VRN_management</t>
        </is>
      </c>
      <c r="K135" s="24" t="n">
        <v>0.85</v>
      </c>
      <c r="L135" s="20" t="inlineStr">
        <is>
          <t>needs_production_lookup</t>
        </is>
      </c>
      <c r="M135" s="8" t="inlineStr">
        <is>
          <t>TZ PBŘ dům — PHP 34A 1 ks minimum</t>
        </is>
      </c>
      <c r="N135" s="20" t="inlineStr">
        <is>
          <t>—</t>
        </is>
      </c>
      <c r="O135" s="26" t="inlineStr">
        <is>
          <t>ANO</t>
        </is>
      </c>
    </row>
    <row r="136">
      <c r="A136" s="20" t="n">
        <v>135</v>
      </c>
      <c r="B136" s="8" t="inlineStr">
        <is>
          <t>M-21 ELI silnoproud</t>
        </is>
      </c>
      <c r="C136" s="8" t="inlineStr">
        <is>
          <t>Demontáž stávající ELI</t>
        </is>
      </c>
      <c r="D136" s="20" t="inlineStr">
        <is>
          <t>210010011</t>
        </is>
      </c>
      <c r="E136" s="8" t="inlineStr">
        <is>
          <t>Demontáž stávající elektroinstalace v celém domě (vodiče, rozvaděč, zásuvky, svítidla) — recyklace mědi</t>
        </is>
      </c>
      <c r="F136" s="20" t="inlineStr">
        <is>
          <t>kpl</t>
        </is>
      </c>
      <c r="G136" s="23" t="n">
        <v>1</v>
      </c>
      <c r="H136" s="10" t="n"/>
      <c r="I136" s="10" t="n"/>
      <c r="J136" s="8" t="inlineStr">
        <is>
          <t>elektroinstalater</t>
        </is>
      </c>
      <c r="K136" s="24" t="n">
        <v>0.85</v>
      </c>
      <c r="L136" s="20" t="inlineStr">
        <is>
          <t>needs_production_lookup</t>
        </is>
      </c>
      <c r="M136" s="8" t="inlineStr">
        <is>
          <t>TZ ARS dům §4 — kompletně nová ELI</t>
        </is>
      </c>
      <c r="N136" s="20" t="inlineStr">
        <is>
          <t>#7</t>
        </is>
      </c>
      <c r="O136" s="26" t="inlineStr">
        <is>
          <t>ANO</t>
        </is>
      </c>
    </row>
    <row r="137">
      <c r="A137" s="20" t="n">
        <v>136</v>
      </c>
      <c r="B137" s="8" t="inlineStr">
        <is>
          <t>M-21 ELI silnoproud</t>
        </is>
      </c>
      <c r="C137" s="8" t="inlineStr">
        <is>
          <t>Pojistková skříň + 3× podružný rozvaděč</t>
        </is>
      </c>
      <c r="D137" s="20" t="inlineStr">
        <is>
          <t>210110023</t>
        </is>
      </c>
      <c r="E137" s="8" t="inlineStr">
        <is>
          <t>Nová pojistková skříň + 3× podružný rozvaděč pro každé patro (1.NP, 2.NP, 3.NP) s podružným měřením</t>
        </is>
      </c>
      <c r="F137" s="20" t="inlineStr">
        <is>
          <t>ks</t>
        </is>
      </c>
      <c r="G137" s="23" t="n">
        <v>4</v>
      </c>
      <c r="H137" s="10" t="n"/>
      <c r="I137" s="10" t="n"/>
      <c r="J137" s="8" t="inlineStr">
        <is>
          <t>elektroinstalater</t>
        </is>
      </c>
      <c r="K137" s="24" t="n">
        <v>0.85</v>
      </c>
      <c r="L137" s="20" t="inlineStr">
        <is>
          <t>needs_production_lookup</t>
        </is>
      </c>
      <c r="M137" s="8" t="inlineStr">
        <is>
          <t>TZ ARS dům §4 — 'nová pojistková skříň s podružným měřením pro každé patro'</t>
        </is>
      </c>
      <c r="N137" s="20" t="inlineStr">
        <is>
          <t>#7</t>
        </is>
      </c>
      <c r="O137" s="26" t="inlineStr">
        <is>
          <t>ANO</t>
        </is>
      </c>
    </row>
    <row r="138">
      <c r="A138" s="20" t="n">
        <v>137</v>
      </c>
      <c r="B138" s="8" t="inlineStr">
        <is>
          <t>M-21 ELI silnoproud</t>
        </is>
      </c>
      <c r="C138" s="8" t="inlineStr">
        <is>
          <t>Rozvody silnoproud</t>
        </is>
      </c>
      <c r="D138" s="20" t="inlineStr">
        <is>
          <t>210800012</t>
        </is>
      </c>
      <c r="E138" s="8" t="inlineStr">
        <is>
          <t>Nové silnoproudé rozvody — vodiče CYKY 3×1.5 / 3×2.5 / 5×2.5 / 5×6 + krabice + instalační trubky</t>
        </is>
      </c>
      <c r="F138" s="20" t="inlineStr">
        <is>
          <t>bm</t>
        </is>
      </c>
      <c r="G138" s="22" t="n">
        <v>700</v>
      </c>
      <c r="H138" s="10" t="n"/>
      <c r="I138" s="10" t="n"/>
      <c r="J138" s="8" t="inlineStr">
        <is>
          <t>elektroinstalater</t>
        </is>
      </c>
      <c r="K138" s="24" t="n">
        <v>0.8</v>
      </c>
      <c r="L138" s="20" t="inlineStr">
        <is>
          <t>needs_production_lookup</t>
        </is>
      </c>
      <c r="M138" s="8" t="inlineStr">
        <is>
          <t>TZ ARS + B4_productivity standard RD 3-byt. dispozice</t>
        </is>
      </c>
      <c r="N138" s="20" t="inlineStr">
        <is>
          <t>#7</t>
        </is>
      </c>
      <c r="O138" s="26" t="inlineStr">
        <is>
          <t>ANO</t>
        </is>
      </c>
    </row>
    <row r="139">
      <c r="A139" s="20" t="n">
        <v>138</v>
      </c>
      <c r="B139" s="8" t="inlineStr">
        <is>
          <t>M-21 ELI silnoproud</t>
        </is>
      </c>
      <c r="C139" s="8" t="inlineStr">
        <is>
          <t>Zásuvky a vypínače</t>
        </is>
      </c>
      <c r="D139" s="20" t="inlineStr">
        <is>
          <t>210810050</t>
        </is>
      </c>
      <c r="E139" s="8" t="inlineStr">
        <is>
          <t>Zásuvky a vypínače dodávka + montáž — ~70 ks (60-80 dle vyjasnění #7)</t>
        </is>
      </c>
      <c r="F139" s="20" t="inlineStr">
        <is>
          <t>ks</t>
        </is>
      </c>
      <c r="G139" s="23" t="n">
        <v>70</v>
      </c>
      <c r="H139" s="10" t="n"/>
      <c r="I139" s="10" t="n"/>
      <c r="J139" s="8" t="inlineStr">
        <is>
          <t>elektroinstalater</t>
        </is>
      </c>
      <c r="K139" s="24" t="n">
        <v>0.8</v>
      </c>
      <c r="L139" s="20" t="inlineStr">
        <is>
          <t>needs_production_lookup</t>
        </is>
      </c>
      <c r="M139" s="8" t="inlineStr">
        <is>
          <t>TZ ARS + B4_productivity standard RD 220 m² 3-byt.</t>
        </is>
      </c>
      <c r="N139" s="20" t="inlineStr">
        <is>
          <t>#7</t>
        </is>
      </c>
      <c r="O139" s="26" t="inlineStr">
        <is>
          <t>ANO</t>
        </is>
      </c>
    </row>
    <row r="140">
      <c r="A140" s="20" t="n">
        <v>139</v>
      </c>
      <c r="B140" s="8" t="inlineStr">
        <is>
          <t>M-21 ELI silnoproud</t>
        </is>
      </c>
      <c r="C140" s="8" t="inlineStr">
        <is>
          <t>Svítidla</t>
        </is>
      </c>
      <c r="D140" s="20" t="inlineStr">
        <is>
          <t>210820002</t>
        </is>
      </c>
      <c r="E140" s="8" t="inlineStr">
        <is>
          <t>Svítidla dodávka + montáž — ~35 ks (30-40 dle vyjasnění #7) interiér + venkovní u vstupů</t>
        </is>
      </c>
      <c r="F140" s="20" t="inlineStr">
        <is>
          <t>ks</t>
        </is>
      </c>
      <c r="G140" s="23" t="n">
        <v>35</v>
      </c>
      <c r="H140" s="10" t="n"/>
      <c r="I140" s="10" t="n"/>
      <c r="J140" s="8" t="inlineStr">
        <is>
          <t>elektroinstalater</t>
        </is>
      </c>
      <c r="K140" s="24" t="n">
        <v>0.8</v>
      </c>
      <c r="L140" s="20" t="inlineStr">
        <is>
          <t>needs_production_lookup</t>
        </is>
      </c>
      <c r="M140" s="8" t="inlineStr">
        <is>
          <t>TZ ARS + B4_productivity standard RD</t>
        </is>
      </c>
      <c r="N140" s="20" t="inlineStr">
        <is>
          <t>#7</t>
        </is>
      </c>
      <c r="O140" s="26" t="inlineStr">
        <is>
          <t>ANO</t>
        </is>
      </c>
    </row>
    <row r="141">
      <c r="A141" s="20" t="n">
        <v>140</v>
      </c>
      <c r="B141" s="8" t="inlineStr">
        <is>
          <t>M-21 ELI silnoproud</t>
        </is>
      </c>
      <c r="C141" s="8" t="inlineStr">
        <is>
          <t>Příprava FVE</t>
        </is>
      </c>
      <c r="D141" s="20" t="inlineStr">
        <is>
          <t>210800099</t>
        </is>
      </c>
      <c r="E141" s="8" t="inlineStr">
        <is>
          <t>Příprava na osazení FVE — rezerva v rozvaděči (jistič + zásuvka pro střídač) + trasy do střechy</t>
        </is>
      </c>
      <c r="F141" s="20" t="inlineStr">
        <is>
          <t>kpl</t>
        </is>
      </c>
      <c r="G141" s="23" t="n">
        <v>1</v>
      </c>
      <c r="H141" s="10" t="n"/>
      <c r="I141" s="10" t="n"/>
      <c r="J141" s="8" t="inlineStr">
        <is>
          <t>elektroinstalater</t>
        </is>
      </c>
      <c r="K141" s="24" t="n">
        <v>0.85</v>
      </c>
      <c r="L141" s="20" t="inlineStr">
        <is>
          <t>needs_production_lookup</t>
        </is>
      </c>
      <c r="M141" s="8" t="inlineStr">
        <is>
          <t>TZ ARS dům §4 — FVE příprava (bez panelů samotných)</t>
        </is>
      </c>
      <c r="N141" s="20" t="inlineStr">
        <is>
          <t>#7</t>
        </is>
      </c>
      <c r="O141" s="26" t="inlineStr">
        <is>
          <t>ANO</t>
        </is>
      </c>
    </row>
    <row r="142">
      <c r="A142" s="20" t="n">
        <v>141</v>
      </c>
      <c r="B142" s="8" t="inlineStr">
        <is>
          <t>M-21 ELI silnoproud</t>
        </is>
      </c>
      <c r="C142" s="8" t="inlineStr">
        <is>
          <t>Revize ELI při kolaudaci</t>
        </is>
      </c>
      <c r="D142" s="20" t="inlineStr">
        <is>
          <t>996019011</t>
        </is>
      </c>
      <c r="E142" s="8" t="inlineStr">
        <is>
          <t>Výchozí revize elektrické instalace dle ČSN 33 2000-6 + revizní zpráva pro kolaudaci</t>
        </is>
      </c>
      <c r="F142" s="20" t="inlineStr">
        <is>
          <t>kpl</t>
        </is>
      </c>
      <c r="G142" s="23" t="n">
        <v>1</v>
      </c>
      <c r="H142" s="10" t="n"/>
      <c r="I142" s="10" t="n"/>
      <c r="J142" s="8" t="inlineStr">
        <is>
          <t>revize_specialista</t>
        </is>
      </c>
      <c r="K142" s="24" t="n">
        <v>0.99</v>
      </c>
      <c r="L142" s="20" t="inlineStr">
        <is>
          <t>needs_production_lookup</t>
        </is>
      </c>
      <c r="M142" s="8" t="inlineStr">
        <is>
          <t>Povinná revize ELI dle ČSN 33 2000-6 + kolaudace</t>
        </is>
      </c>
      <c r="N142" s="20" t="inlineStr">
        <is>
          <t>—</t>
        </is>
      </c>
      <c r="O142" s="26" t="inlineStr">
        <is>
          <t>ANO</t>
        </is>
      </c>
    </row>
    <row r="143">
      <c r="A143" s="20" t="n">
        <v>142</v>
      </c>
      <c r="B143" s="8" t="inlineStr">
        <is>
          <t>PSV-72 ZTI</t>
        </is>
      </c>
      <c r="C143" s="8" t="inlineStr">
        <is>
          <t>Revize stávajících přípojek</t>
        </is>
      </c>
      <c r="D143" s="20" t="inlineStr">
        <is>
          <t>722290515</t>
        </is>
      </c>
      <c r="E143" s="8" t="inlineStr">
        <is>
          <t>Revize stávajícího napojení vodovodu + kanalizace na pozemku — kontrola stavu, čištění, tlaková zkouška</t>
        </is>
      </c>
      <c r="F143" s="20" t="inlineStr">
        <is>
          <t>kpl</t>
        </is>
      </c>
      <c r="G143" s="23" t="n">
        <v>1</v>
      </c>
      <c r="H143" s="10" t="n"/>
      <c r="I143" s="10" t="n"/>
      <c r="J143" s="8" t="inlineStr">
        <is>
          <t>vodar</t>
        </is>
      </c>
      <c r="K143" s="24" t="n">
        <v>0.85</v>
      </c>
      <c r="L143" s="20" t="inlineStr">
        <is>
          <t>needs_production_lookup</t>
        </is>
      </c>
      <c r="M143" s="8" t="inlineStr">
        <is>
          <t>TZ ARS dům §4 — vodovod + kanalizace stávající, bez změny</t>
        </is>
      </c>
      <c r="N143" s="20" t="inlineStr">
        <is>
          <t>#6</t>
        </is>
      </c>
      <c r="O143" s="26" t="inlineStr">
        <is>
          <t>ANO</t>
        </is>
      </c>
    </row>
    <row r="144">
      <c r="A144" s="20" t="n">
        <v>143</v>
      </c>
      <c r="B144" s="8" t="inlineStr">
        <is>
          <t>PSV-72 ZTI</t>
        </is>
      </c>
      <c r="C144" s="8" t="inlineStr">
        <is>
          <t>Nové rozvody vody do 3.NP</t>
        </is>
      </c>
      <c r="D144" s="20" t="inlineStr">
        <is>
          <t>722172011</t>
        </is>
      </c>
      <c r="E144" s="8" t="inlineStr">
        <is>
          <t>Nové rozvody studené + teplé vody do koupelen 1.NP + 2.NP + 3.NP a kuchyní (PEX/Cu, dimenze DN15-25)</t>
        </is>
      </c>
      <c r="F144" s="20" t="inlineStr">
        <is>
          <t>bm</t>
        </is>
      </c>
      <c r="G144" s="22" t="n">
        <v>80</v>
      </c>
      <c r="H144" s="10" t="n"/>
      <c r="I144" s="10" t="n"/>
      <c r="J144" s="8" t="inlineStr">
        <is>
          <t>vodar</t>
        </is>
      </c>
      <c r="K144" s="24" t="n">
        <v>0.75</v>
      </c>
      <c r="L144" s="20" t="inlineStr">
        <is>
          <t>needs_production_lookup</t>
        </is>
      </c>
      <c r="M144" s="8" t="inlineStr">
        <is>
          <t>TZ ARS dům §4 — nové koupelny + kuchyně, vyjasnění #6 working assumption</t>
        </is>
      </c>
      <c r="N144" s="20" t="inlineStr">
        <is>
          <t>#6</t>
        </is>
      </c>
      <c r="O144" s="26" t="inlineStr">
        <is>
          <t>ANO</t>
        </is>
      </c>
    </row>
    <row r="145">
      <c r="A145" s="20" t="n">
        <v>144</v>
      </c>
      <c r="B145" s="8" t="inlineStr">
        <is>
          <t>PSV-72 ZTI</t>
        </is>
      </c>
      <c r="C145" s="8" t="inlineStr">
        <is>
          <t>Nové odpadní rozvody</t>
        </is>
      </c>
      <c r="D145" s="20" t="inlineStr">
        <is>
          <t>721174021</t>
        </is>
      </c>
      <c r="E145" s="8" t="inlineStr">
        <is>
          <t>Nové odpadní rozvody PVC-HT DN40-DN110 ke koupelnám 1.NP, 2.NP, 3.NP a kuchyním + napojení na stávající</t>
        </is>
      </c>
      <c r="F145" s="20" t="inlineStr">
        <is>
          <t>bm</t>
        </is>
      </c>
      <c r="G145" s="22" t="n">
        <v>60</v>
      </c>
      <c r="H145" s="10" t="n"/>
      <c r="I145" s="10" t="n"/>
      <c r="J145" s="8" t="inlineStr">
        <is>
          <t>vodar</t>
        </is>
      </c>
      <c r="K145" s="24" t="n">
        <v>0.75</v>
      </c>
      <c r="L145" s="20" t="inlineStr">
        <is>
          <t>needs_production_lookup</t>
        </is>
      </c>
      <c r="M145" s="8" t="inlineStr">
        <is>
          <t>TZ ARS dům §4 — nové koupelny + kuchyně, odpad do stávající kanalizace</t>
        </is>
      </c>
      <c r="N145" s="20" t="inlineStr">
        <is>
          <t>#6</t>
        </is>
      </c>
      <c r="O145" s="26" t="inlineStr">
        <is>
          <t>ANO</t>
        </is>
      </c>
    </row>
    <row r="146">
      <c r="A146" s="20" t="n">
        <v>145</v>
      </c>
      <c r="B146" s="8" t="inlineStr">
        <is>
          <t>PSV-72 ZTI</t>
        </is>
      </c>
      <c r="C146" s="8" t="inlineStr">
        <is>
          <t>Sanitární keramika koupelna 1.05 (1.NP)</t>
        </is>
      </c>
      <c r="D146" s="20" t="inlineStr">
        <is>
          <t>725291131</t>
        </is>
      </c>
      <c r="E146" s="8" t="inlineStr">
        <is>
          <t>Sanitární keramika dodávka + montáž v koupelně 1.05 1.NP: 1× vana (DXF) + 1× umyvadlo (DXF) + 1× WC (TZ standard)</t>
        </is>
      </c>
      <c r="F146" s="20" t="inlineStr">
        <is>
          <t>set</t>
        </is>
      </c>
      <c r="G146" s="22" t="n">
        <v>0</v>
      </c>
      <c r="H146" s="10" t="n"/>
      <c r="I146" s="10" t="n"/>
      <c r="J146" s="8" t="inlineStr">
        <is>
          <t>vodar</t>
        </is>
      </c>
      <c r="K146" s="24" t="n">
        <v>0.75</v>
      </c>
      <c r="L146" s="20" t="inlineStr">
        <is>
          <t>needs_production_lookup</t>
        </is>
      </c>
      <c r="M146" s="8" t="inlineStr">
        <is>
          <t>DXF dum_DPZ INSERT positions PIP do room 1.05 polygon (partial — 4/13 fixtures matched celkem) + TZ ARS § koupelny standard pattern</t>
        </is>
      </c>
      <c r="N146" s="20" t="inlineStr">
        <is>
          <t>#6</t>
        </is>
      </c>
      <c r="O146" s="26" t="inlineStr">
        <is>
          <t>ANO</t>
        </is>
      </c>
    </row>
    <row r="147">
      <c r="A147" s="20" t="n">
        <v>146</v>
      </c>
      <c r="B147" s="8" t="inlineStr">
        <is>
          <t>PSV-72 ZTI</t>
        </is>
      </c>
      <c r="C147" s="8" t="inlineStr">
        <is>
          <t>Sanitární keramika koupelna 1.05 (1.NP) / fixture A</t>
        </is>
      </c>
      <c r="D147" s="20" t="inlineStr">
        <is>
          <t>725211101</t>
        </is>
      </c>
      <c r="E147" s="8" t="inlineStr">
        <is>
          <t>Vana koupelnová obdélníková 170×70 cm — koupelna 1.05 1.NP</t>
        </is>
      </c>
      <c r="F147" s="20" t="inlineStr">
        <is>
          <t>ks</t>
        </is>
      </c>
      <c r="G147" s="23" t="n">
        <v>1</v>
      </c>
      <c r="H147" s="10" t="n"/>
      <c r="I147" s="10" t="n"/>
      <c r="J147" s="8" t="inlineStr">
        <is>
          <t>vodar</t>
        </is>
      </c>
      <c r="K147" s="24" t="n">
        <v>0.9</v>
      </c>
      <c r="L147" s="20" t="inlineStr">
        <is>
          <t>needs_production_lookup</t>
        </is>
      </c>
      <c r="M147" s="8" t="inlineStr">
        <is>
          <t>DXF dum_DPZ MTEXT room 1.05 1.NP + TZ ARS koupelna kompletace</t>
        </is>
      </c>
      <c r="N147" s="20" t="inlineStr">
        <is>
          <t>—</t>
        </is>
      </c>
      <c r="O147" s="26" t="inlineStr">
        <is>
          <t>ANO</t>
        </is>
      </c>
    </row>
    <row r="148">
      <c r="A148" s="20" t="n">
        <v>147</v>
      </c>
      <c r="B148" s="8" t="inlineStr">
        <is>
          <t>PSV-72 ZTI</t>
        </is>
      </c>
      <c r="C148" s="8" t="inlineStr">
        <is>
          <t>Sanitární keramika koupelna 1.05 (1.NP) / fixture B</t>
        </is>
      </c>
      <c r="D148" s="20" t="inlineStr">
        <is>
          <t>725311111</t>
        </is>
      </c>
      <c r="E148" s="8" t="inlineStr">
        <is>
          <t>Umyvadlo bílé keramické se sloupcem 60 cm — koupelna 1.05 1.NP</t>
        </is>
      </c>
      <c r="F148" s="20" t="inlineStr">
        <is>
          <t>ks</t>
        </is>
      </c>
      <c r="G148" s="23" t="n">
        <v>1</v>
      </c>
      <c r="H148" s="10" t="n"/>
      <c r="I148" s="10" t="n"/>
      <c r="J148" s="8" t="inlineStr">
        <is>
          <t>vodar</t>
        </is>
      </c>
      <c r="K148" s="24" t="n">
        <v>0.9</v>
      </c>
      <c r="L148" s="20" t="inlineStr">
        <is>
          <t>needs_production_lookup</t>
        </is>
      </c>
      <c r="M148" s="8" t="inlineStr">
        <is>
          <t>DXF dum_DPZ MTEXT room 1.05 1.NP + TZ ARS koupelna kompletace</t>
        </is>
      </c>
      <c r="N148" s="20" t="inlineStr">
        <is>
          <t>—</t>
        </is>
      </c>
      <c r="O148" s="26" t="inlineStr">
        <is>
          <t>ANO</t>
        </is>
      </c>
    </row>
    <row r="149">
      <c r="A149" s="20" t="n">
        <v>148</v>
      </c>
      <c r="B149" s="8" t="inlineStr">
        <is>
          <t>PSV-72 ZTI</t>
        </is>
      </c>
      <c r="C149" s="8" t="inlineStr">
        <is>
          <t>Sanitární keramika koupelna 1.05 (1.NP) / fixture C</t>
        </is>
      </c>
      <c r="D149" s="20" t="inlineStr">
        <is>
          <t>725111101</t>
        </is>
      </c>
      <c r="E149" s="8" t="inlineStr">
        <is>
          <t>WC kombi keramické bílé — koupelna 1.05 1.NP</t>
        </is>
      </c>
      <c r="F149" s="20" t="inlineStr">
        <is>
          <t>ks</t>
        </is>
      </c>
      <c r="G149" s="23" t="n">
        <v>1</v>
      </c>
      <c r="H149" s="10" t="n"/>
      <c r="I149" s="10" t="n"/>
      <c r="J149" s="8" t="inlineStr">
        <is>
          <t>vodar</t>
        </is>
      </c>
      <c r="K149" s="24" t="n">
        <v>0.9</v>
      </c>
      <c r="L149" s="20" t="inlineStr">
        <is>
          <t>needs_production_lookup</t>
        </is>
      </c>
      <c r="M149" s="8" t="inlineStr">
        <is>
          <t>DXF dum_DPZ MTEXT room 1.05 1.NP + TZ ARS koupelna kompletace</t>
        </is>
      </c>
      <c r="N149" s="20" t="inlineStr">
        <is>
          <t>—</t>
        </is>
      </c>
      <c r="O149" s="26" t="inlineStr">
        <is>
          <t>ANO</t>
        </is>
      </c>
    </row>
    <row r="150">
      <c r="A150" s="20" t="n">
        <v>149</v>
      </c>
      <c r="B150" s="8" t="inlineStr">
        <is>
          <t>PSV-72 ZTI</t>
        </is>
      </c>
      <c r="C150" s="8" t="inlineStr">
        <is>
          <t>Sanitární keramika koupelna 2.03 (2.NP)</t>
        </is>
      </c>
      <c r="D150" s="20" t="inlineStr">
        <is>
          <t>725291131</t>
        </is>
      </c>
      <c r="E150" s="8" t="inlineStr">
        <is>
          <t>Sanitární keramika dodávka + montáž v koupelně 2.03 2.NP: 1× umyvadlo (DXF) + 1× WC (TZ standard) + 1× sprcha (TZ standard)</t>
        </is>
      </c>
      <c r="F150" s="20" t="inlineStr">
        <is>
          <t>set</t>
        </is>
      </c>
      <c r="G150" s="22" t="n">
        <v>0</v>
      </c>
      <c r="H150" s="10" t="n"/>
      <c r="I150" s="10" t="n"/>
      <c r="J150" s="8" t="inlineStr">
        <is>
          <t>vodar</t>
        </is>
      </c>
      <c r="K150" s="24" t="n">
        <v>0.75</v>
      </c>
      <c r="L150" s="20" t="inlineStr">
        <is>
          <t>needs_production_lookup</t>
        </is>
      </c>
      <c r="M150" s="8" t="inlineStr">
        <is>
          <t>DXF dum_DPZ INSERT positions PIP do room 2.03 polygon (partial — 4/13 fixtures matched celkem) + TZ ARS § koupelny standard pattern</t>
        </is>
      </c>
      <c r="N150" s="20" t="inlineStr">
        <is>
          <t>#6</t>
        </is>
      </c>
      <c r="O150" s="26" t="inlineStr">
        <is>
          <t>ANO</t>
        </is>
      </c>
    </row>
    <row r="151">
      <c r="A151" s="20" t="n">
        <v>150</v>
      </c>
      <c r="B151" s="8" t="inlineStr">
        <is>
          <t>PSV-72 ZTI</t>
        </is>
      </c>
      <c r="C151" s="8" t="inlineStr">
        <is>
          <t>Sanitární keramika koupelna 2.03 (2.NP) / fixture A</t>
        </is>
      </c>
      <c r="D151" s="20" t="inlineStr">
        <is>
          <t>725311111</t>
        </is>
      </c>
      <c r="E151" s="8" t="inlineStr">
        <is>
          <t>Umyvadlo bílé keramické se sloupcem 60 cm — koupelna 2.03 2.NP</t>
        </is>
      </c>
      <c r="F151" s="20" t="inlineStr">
        <is>
          <t>ks</t>
        </is>
      </c>
      <c r="G151" s="23" t="n">
        <v>1</v>
      </c>
      <c r="H151" s="10" t="n"/>
      <c r="I151" s="10" t="n"/>
      <c r="J151" s="8" t="inlineStr">
        <is>
          <t>vodar</t>
        </is>
      </c>
      <c r="K151" s="24" t="n">
        <v>0.9</v>
      </c>
      <c r="L151" s="20" t="inlineStr">
        <is>
          <t>needs_production_lookup</t>
        </is>
      </c>
      <c r="M151" s="8" t="inlineStr">
        <is>
          <t>DXF dum_DPZ MTEXT room 2.03 2.NP + TZ ARS koupelna kompletace</t>
        </is>
      </c>
      <c r="N151" s="20" t="inlineStr">
        <is>
          <t>—</t>
        </is>
      </c>
      <c r="O151" s="26" t="inlineStr">
        <is>
          <t>ANO</t>
        </is>
      </c>
    </row>
    <row r="152">
      <c r="A152" s="20" t="n">
        <v>151</v>
      </c>
      <c r="B152" s="8" t="inlineStr">
        <is>
          <t>PSV-72 ZTI</t>
        </is>
      </c>
      <c r="C152" s="8" t="inlineStr">
        <is>
          <t>Sanitární keramika koupelna 2.03 (2.NP) / fixture B</t>
        </is>
      </c>
      <c r="D152" s="20" t="inlineStr">
        <is>
          <t>725221201</t>
        </is>
      </c>
      <c r="E152" s="8" t="inlineStr">
        <is>
          <t>Sprchový kout 90×90 cm vč. vaničky + skleněných dveří — koupelna 2.03 2.NP</t>
        </is>
      </c>
      <c r="F152" s="20" t="inlineStr">
        <is>
          <t>ks</t>
        </is>
      </c>
      <c r="G152" s="23" t="n">
        <v>1</v>
      </c>
      <c r="H152" s="10" t="n"/>
      <c r="I152" s="10" t="n"/>
      <c r="J152" s="8" t="inlineStr">
        <is>
          <t>vodar</t>
        </is>
      </c>
      <c r="K152" s="24" t="n">
        <v>0.9</v>
      </c>
      <c r="L152" s="20" t="inlineStr">
        <is>
          <t>needs_production_lookup</t>
        </is>
      </c>
      <c r="M152" s="8" t="inlineStr">
        <is>
          <t>DXF dum_DPZ MTEXT room 2.03 2.NP + TZ ARS koupelna kompletace</t>
        </is>
      </c>
      <c r="N152" s="20" t="inlineStr">
        <is>
          <t>—</t>
        </is>
      </c>
      <c r="O152" s="26" t="inlineStr">
        <is>
          <t>ANO</t>
        </is>
      </c>
    </row>
    <row r="153">
      <c r="A153" s="20" t="n">
        <v>152</v>
      </c>
      <c r="B153" s="8" t="inlineStr">
        <is>
          <t>PSV-72 ZTI</t>
        </is>
      </c>
      <c r="C153" s="8" t="inlineStr">
        <is>
          <t>Sanitární keramika koupelna 2.03 (2.NP) / fixture C</t>
        </is>
      </c>
      <c r="D153" s="20" t="inlineStr">
        <is>
          <t>725111101</t>
        </is>
      </c>
      <c r="E153" s="8" t="inlineStr">
        <is>
          <t>WC kombi keramické bílé — koupelna 2.03 2.NP</t>
        </is>
      </c>
      <c r="F153" s="20" t="inlineStr">
        <is>
          <t>ks</t>
        </is>
      </c>
      <c r="G153" s="23" t="n">
        <v>1</v>
      </c>
      <c r="H153" s="10" t="n"/>
      <c r="I153" s="10" t="n"/>
      <c r="J153" s="8" t="inlineStr">
        <is>
          <t>vodar</t>
        </is>
      </c>
      <c r="K153" s="24" t="n">
        <v>0.9</v>
      </c>
      <c r="L153" s="20" t="inlineStr">
        <is>
          <t>needs_production_lookup</t>
        </is>
      </c>
      <c r="M153" s="8" t="inlineStr">
        <is>
          <t>DXF dum_DPZ MTEXT room 2.03 2.NP + TZ ARS koupelna kompletace</t>
        </is>
      </c>
      <c r="N153" s="20" t="inlineStr">
        <is>
          <t>—</t>
        </is>
      </c>
      <c r="O153" s="26" t="inlineStr">
        <is>
          <t>ANO</t>
        </is>
      </c>
    </row>
    <row r="154">
      <c r="A154" s="20" t="n">
        <v>153</v>
      </c>
      <c r="B154" s="8" t="inlineStr">
        <is>
          <t>PSV-72 ZTI</t>
        </is>
      </c>
      <c r="C154" s="8" t="inlineStr">
        <is>
          <t>Sanitární keramika koupelna 3.04 (3.NP)</t>
        </is>
      </c>
      <c r="D154" s="20" t="inlineStr">
        <is>
          <t>725291131</t>
        </is>
      </c>
      <c r="E154" s="8" t="inlineStr">
        <is>
          <t>Sanitární keramika dodávka + montáž v koupelně 3.04 3.NP: 1× WC (DXF) + 1× umyvadlo (TZ standard) + 1× sprcha (TZ standard)</t>
        </is>
      </c>
      <c r="F154" s="20" t="inlineStr">
        <is>
          <t>set</t>
        </is>
      </c>
      <c r="G154" s="22" t="n">
        <v>0</v>
      </c>
      <c r="H154" s="10" t="n"/>
      <c r="I154" s="10" t="n"/>
      <c r="J154" s="8" t="inlineStr">
        <is>
          <t>vodar</t>
        </is>
      </c>
      <c r="K154" s="24" t="n">
        <v>0.75</v>
      </c>
      <c r="L154" s="20" t="inlineStr">
        <is>
          <t>needs_production_lookup</t>
        </is>
      </c>
      <c r="M154" s="8" t="inlineStr">
        <is>
          <t>DXF dum_DPZ INSERT positions PIP do room 3.04 polygon (partial — 4/13 fixtures matched celkem) + TZ ARS § koupelny standard pattern</t>
        </is>
      </c>
      <c r="N154" s="20" t="inlineStr">
        <is>
          <t>#6</t>
        </is>
      </c>
      <c r="O154" s="26" t="inlineStr">
        <is>
          <t>ANO</t>
        </is>
      </c>
    </row>
    <row r="155">
      <c r="A155" s="20" t="n">
        <v>154</v>
      </c>
      <c r="B155" s="8" t="inlineStr">
        <is>
          <t>PSV-72 ZTI</t>
        </is>
      </c>
      <c r="C155" s="8" t="inlineStr">
        <is>
          <t>Sanitární keramika koupelna 3.04 (3.NP) / fixture A</t>
        </is>
      </c>
      <c r="D155" s="20" t="inlineStr">
        <is>
          <t>725111101</t>
        </is>
      </c>
      <c r="E155" s="8" t="inlineStr">
        <is>
          <t>WC kombi keramické bílé — koupelna 3.04 3.NP</t>
        </is>
      </c>
      <c r="F155" s="20" t="inlineStr">
        <is>
          <t>ks</t>
        </is>
      </c>
      <c r="G155" s="23" t="n">
        <v>1</v>
      </c>
      <c r="H155" s="10" t="n"/>
      <c r="I155" s="10" t="n"/>
      <c r="J155" s="8" t="inlineStr">
        <is>
          <t>vodar</t>
        </is>
      </c>
      <c r="K155" s="24" t="n">
        <v>0.9</v>
      </c>
      <c r="L155" s="20" t="inlineStr">
        <is>
          <t>needs_production_lookup</t>
        </is>
      </c>
      <c r="M155" s="8" t="inlineStr">
        <is>
          <t>DXF dum_DPZ MTEXT room 3.04 3.NP + TZ ARS koupelna kompletace</t>
        </is>
      </c>
      <c r="N155" s="20" t="inlineStr">
        <is>
          <t>—</t>
        </is>
      </c>
      <c r="O155" s="26" t="inlineStr">
        <is>
          <t>ANO</t>
        </is>
      </c>
    </row>
    <row r="156">
      <c r="A156" s="20" t="n">
        <v>155</v>
      </c>
      <c r="B156" s="8" t="inlineStr">
        <is>
          <t>PSV-72 ZTI</t>
        </is>
      </c>
      <c r="C156" s="8" t="inlineStr">
        <is>
          <t>Sanitární keramika koupelna 3.04 (3.NP) / fixture B</t>
        </is>
      </c>
      <c r="D156" s="20" t="inlineStr">
        <is>
          <t>725311111</t>
        </is>
      </c>
      <c r="E156" s="8" t="inlineStr">
        <is>
          <t>Umyvadlo bílé keramické se sloupcem 60 cm — koupelna 3.04 3.NP</t>
        </is>
      </c>
      <c r="F156" s="20" t="inlineStr">
        <is>
          <t>ks</t>
        </is>
      </c>
      <c r="G156" s="23" t="n">
        <v>1</v>
      </c>
      <c r="H156" s="10" t="n"/>
      <c r="I156" s="10" t="n"/>
      <c r="J156" s="8" t="inlineStr">
        <is>
          <t>vodar</t>
        </is>
      </c>
      <c r="K156" s="24" t="n">
        <v>0.9</v>
      </c>
      <c r="L156" s="20" t="inlineStr">
        <is>
          <t>needs_production_lookup</t>
        </is>
      </c>
      <c r="M156" s="8" t="inlineStr">
        <is>
          <t>DXF dum_DPZ MTEXT room 3.04 3.NP + TZ ARS koupelna kompletace</t>
        </is>
      </c>
      <c r="N156" s="20" t="inlineStr">
        <is>
          <t>—</t>
        </is>
      </c>
      <c r="O156" s="26" t="inlineStr">
        <is>
          <t>ANO</t>
        </is>
      </c>
    </row>
    <row r="157">
      <c r="A157" s="20" t="n">
        <v>156</v>
      </c>
      <c r="B157" s="8" t="inlineStr">
        <is>
          <t>PSV-72 ZTI</t>
        </is>
      </c>
      <c r="C157" s="8" t="inlineStr">
        <is>
          <t>Sanitární keramika koupelna 3.04 (3.NP) / fixture C</t>
        </is>
      </c>
      <c r="D157" s="20" t="inlineStr">
        <is>
          <t>725221201</t>
        </is>
      </c>
      <c r="E157" s="8" t="inlineStr">
        <is>
          <t>Sprchový kout 90×90 cm vč. vaničky + skleněných dveří — koupelna 3.04 3.NP</t>
        </is>
      </c>
      <c r="F157" s="20" t="inlineStr">
        <is>
          <t>ks</t>
        </is>
      </c>
      <c r="G157" s="23" t="n">
        <v>1</v>
      </c>
      <c r="H157" s="10" t="n"/>
      <c r="I157" s="10" t="n"/>
      <c r="J157" s="8" t="inlineStr">
        <is>
          <t>vodar</t>
        </is>
      </c>
      <c r="K157" s="24" t="n">
        <v>0.9</v>
      </c>
      <c r="L157" s="20" t="inlineStr">
        <is>
          <t>needs_production_lookup</t>
        </is>
      </c>
      <c r="M157" s="8" t="inlineStr">
        <is>
          <t>DXF dum_DPZ MTEXT room 3.04 3.NP + TZ ARS koupelna kompletace</t>
        </is>
      </c>
      <c r="N157" s="20" t="inlineStr">
        <is>
          <t>—</t>
        </is>
      </c>
      <c r="O157" s="26" t="inlineStr">
        <is>
          <t>ANO</t>
        </is>
      </c>
    </row>
    <row r="158">
      <c r="A158" s="20" t="n">
        <v>157</v>
      </c>
      <c r="B158" s="8" t="inlineStr">
        <is>
          <t>PSV-72 ZTI</t>
        </is>
      </c>
      <c r="C158" s="8" t="inlineStr">
        <is>
          <t>Kuchyňský dřez 2 ks (1.06 + 3.05)</t>
        </is>
      </c>
      <c r="D158" s="20" t="inlineStr">
        <is>
          <t>725840111</t>
        </is>
      </c>
      <c r="E158" s="8" t="inlineStr">
        <is>
          <t>Kuchyňský dřez nerez + montáž — 2 ks (kuchyně 1.06 byt rodičů + kuchyně 3.05 byt 3.NP)</t>
        </is>
      </c>
      <c r="F158" s="20" t="inlineStr">
        <is>
          <t>ks</t>
        </is>
      </c>
      <c r="G158" s="23" t="n">
        <v>2</v>
      </c>
      <c r="H158" s="10" t="n"/>
      <c r="I158" s="10" t="n"/>
      <c r="J158" s="8" t="inlineStr">
        <is>
          <t>vodar</t>
        </is>
      </c>
      <c r="K158" s="24" t="n">
        <v>0.95</v>
      </c>
      <c r="L158" s="20" t="inlineStr">
        <is>
          <t>needs_production_lookup</t>
        </is>
      </c>
      <c r="M158" s="8" t="inlineStr">
        <is>
          <t>DXF kuchyně MTEXT 2× + TZ ARS — dispozice byty</t>
        </is>
      </c>
      <c r="N158" s="20" t="inlineStr">
        <is>
          <t>#6</t>
        </is>
      </c>
      <c r="O158" s="26" t="inlineStr">
        <is>
          <t>ANO</t>
        </is>
      </c>
    </row>
    <row r="159">
      <c r="A159" s="20" t="n">
        <v>158</v>
      </c>
      <c r="B159" s="8" t="inlineStr">
        <is>
          <t>PSV-72 ZTI</t>
        </is>
      </c>
      <c r="C159" s="8" t="inlineStr">
        <is>
          <t>Vodovodní baterie + drobnosti</t>
        </is>
      </c>
      <c r="D159" s="20" t="inlineStr">
        <is>
          <t>725822611</t>
        </is>
      </c>
      <c r="E159" s="8" t="inlineStr">
        <is>
          <t>Vodovodní baterie (WC ventil + páková umyvadlová + sprchové + dřezové + termostat sprchové) — ~15 ks + drobné instalační materiály</t>
        </is>
      </c>
      <c r="F159" s="20" t="inlineStr">
        <is>
          <t>ks</t>
        </is>
      </c>
      <c r="G159" s="23" t="n">
        <v>15</v>
      </c>
      <c r="H159" s="10" t="n"/>
      <c r="I159" s="10" t="n"/>
      <c r="J159" s="8" t="inlineStr">
        <is>
          <t>vodar</t>
        </is>
      </c>
      <c r="K159" s="24" t="n">
        <v>0.75</v>
      </c>
      <c r="L159" s="20" t="inlineStr">
        <is>
          <t>needs_production_lookup</t>
        </is>
      </c>
      <c r="M159" s="8" t="inlineStr">
        <is>
          <t>TZ ARS — kompletní baterie nové</t>
        </is>
      </c>
      <c r="N159" s="20" t="inlineStr">
        <is>
          <t>#6</t>
        </is>
      </c>
      <c r="O159" s="26" t="inlineStr">
        <is>
          <t>ANO</t>
        </is>
      </c>
    </row>
    <row r="160">
      <c r="A160" s="20" t="n">
        <v>159</v>
      </c>
      <c r="B160" s="8" t="inlineStr">
        <is>
          <t>PSV-72 ZTI</t>
        </is>
      </c>
      <c r="C160" s="8" t="inlineStr">
        <is>
          <t>Akumulační zásobník TUV v suterénu</t>
        </is>
      </c>
      <c r="D160" s="20" t="inlineStr">
        <is>
          <t>732419411</t>
        </is>
      </c>
      <c r="E160" s="8" t="inlineStr">
        <is>
          <t>Akumulační zásobník TUV ~300 l v 1.PP napojený na topný systém (sporáková kamna + krb + elektrokotel) — nepřímotop</t>
        </is>
      </c>
      <c r="F160" s="20" t="inlineStr">
        <is>
          <t>ks</t>
        </is>
      </c>
      <c r="G160" s="23" t="n">
        <v>1</v>
      </c>
      <c r="H160" s="10" t="n"/>
      <c r="I160" s="10" t="n"/>
      <c r="J160" s="8" t="inlineStr">
        <is>
          <t>instalater_TUV_akumulacni_zasobnik</t>
        </is>
      </c>
      <c r="K160" s="24" t="n">
        <v>0.85</v>
      </c>
      <c r="L160" s="20" t="inlineStr">
        <is>
          <t>needs_production_lookup</t>
        </is>
      </c>
      <c r="M160" s="8" t="inlineStr">
        <is>
          <t>TZ ARS dům §4 — kombi akumulační zásobník napojený na multivariantní topný systém</t>
        </is>
      </c>
      <c r="N160" s="20" t="inlineStr">
        <is>
          <t>#6</t>
        </is>
      </c>
      <c r="O160" s="26" t="inlineStr">
        <is>
          <t>ANO</t>
        </is>
      </c>
    </row>
    <row r="161">
      <c r="A161" s="20" t="n">
        <v>160</v>
      </c>
      <c r="B161" s="8" t="inlineStr">
        <is>
          <t>PSV-72 ZTI</t>
        </is>
      </c>
      <c r="C161" s="8" t="inlineStr">
        <is>
          <t>Elektrický bojler 3.NP</t>
        </is>
      </c>
      <c r="D161" s="20" t="inlineStr">
        <is>
          <t>732429211</t>
        </is>
      </c>
      <c r="E161" s="8" t="inlineStr">
        <is>
          <t>Elektrický bojler ~80 l v koupelně 3.NP (nezávislý zdroj pro samostatný byt)</t>
        </is>
      </c>
      <c r="F161" s="20" t="inlineStr">
        <is>
          <t>ks</t>
        </is>
      </c>
      <c r="G161" s="23" t="n">
        <v>1</v>
      </c>
      <c r="H161" s="10" t="n"/>
      <c r="I161" s="10" t="n"/>
      <c r="J161" s="8" t="inlineStr">
        <is>
          <t>vodar</t>
        </is>
      </c>
      <c r="K161" s="24" t="n">
        <v>0.85</v>
      </c>
      <c r="L161" s="20" t="inlineStr">
        <is>
          <t>needs_production_lookup</t>
        </is>
      </c>
      <c r="M161" s="8" t="inlineStr">
        <is>
          <t>TZ ARS dům §4 — elektrický bojler v 3.NP koupelně, vyjasnění #6 odhad 80 l</t>
        </is>
      </c>
      <c r="N161" s="20" t="inlineStr">
        <is>
          <t>#6</t>
        </is>
      </c>
      <c r="O161" s="26" t="inlineStr">
        <is>
          <t>ANO</t>
        </is>
      </c>
    </row>
    <row r="162">
      <c r="A162" s="20" t="n">
        <v>161</v>
      </c>
      <c r="B162" s="8" t="inlineStr">
        <is>
          <t>PSV-73 Vytápění</t>
        </is>
      </c>
      <c r="C162" s="8" t="inlineStr">
        <is>
          <t>Sporáková kamna na tuhá paliva</t>
        </is>
      </c>
      <c r="D162" s="20" t="inlineStr">
        <is>
          <t>733241011</t>
        </is>
      </c>
      <c r="E162" s="8" t="inlineStr">
        <is>
          <t>Sporáková kamna na tuhá paliva ~10 kW s akumulačním zásobníkem TUV — dodávka</t>
        </is>
      </c>
      <c r="F162" s="20" t="inlineStr">
        <is>
          <t>ks</t>
        </is>
      </c>
      <c r="G162" s="23" t="n">
        <v>1</v>
      </c>
      <c r="H162" s="10" t="n"/>
      <c r="I162" s="10" t="n"/>
      <c r="J162" s="8" t="inlineStr">
        <is>
          <t>topenar</t>
        </is>
      </c>
      <c r="K162" s="24" t="n">
        <v>0.85</v>
      </c>
      <c r="L162" s="20" t="inlineStr">
        <is>
          <t>needs_production_lookup</t>
        </is>
      </c>
      <c r="M162" s="8" t="inlineStr">
        <is>
          <t>TZ ARS dům §4 — primární zdroj 1.NP/2.NP, ~10 kW odhad standard RD</t>
        </is>
      </c>
      <c r="N162" s="20" t="inlineStr">
        <is>
          <t>#6</t>
        </is>
      </c>
      <c r="O162" s="26" t="inlineStr">
        <is>
          <t>ANO</t>
        </is>
      </c>
    </row>
    <row r="163">
      <c r="A163" s="20" t="n">
        <v>162</v>
      </c>
      <c r="B163" s="8" t="inlineStr">
        <is>
          <t>PSV-73 Vytápění</t>
        </is>
      </c>
      <c r="C163" s="8" t="inlineStr">
        <is>
          <t>Sporáková kamna — montáž</t>
        </is>
      </c>
      <c r="D163" s="20" t="inlineStr">
        <is>
          <t>733281011</t>
        </is>
      </c>
      <c r="E163" s="8" t="inlineStr">
        <is>
          <t>Sporáková kamna — montáž vč. napojení na komín + akumulační zásobník (cca 8 Nh)</t>
        </is>
      </c>
      <c r="F163" s="20" t="inlineStr">
        <is>
          <t>kpl</t>
        </is>
      </c>
      <c r="G163" s="23" t="n">
        <v>1</v>
      </c>
      <c r="H163" s="10" t="n"/>
      <c r="I163" s="10" t="n"/>
      <c r="J163" s="8" t="inlineStr">
        <is>
          <t>topenar</t>
        </is>
      </c>
      <c r="K163" s="24" t="n">
        <v>0.75</v>
      </c>
      <c r="L163" s="20" t="inlineStr">
        <is>
          <t>needs_production_lookup</t>
        </is>
      </c>
      <c r="M163" s="8" t="inlineStr">
        <is>
          <t>Standard montáž kamen s napojením na zásobník</t>
        </is>
      </c>
      <c r="N163" s="20" t="inlineStr">
        <is>
          <t>—</t>
        </is>
      </c>
      <c r="O163" s="26" t="inlineStr">
        <is>
          <t>ANO</t>
        </is>
      </c>
    </row>
    <row r="164">
      <c r="A164" s="20" t="n">
        <v>163</v>
      </c>
      <c r="B164" s="8" t="inlineStr">
        <is>
          <t>PSV-73 Vytápění</t>
        </is>
      </c>
      <c r="C164" s="8" t="inlineStr">
        <is>
          <t>Elektrokotel 3.NP</t>
        </is>
      </c>
      <c r="D164" s="20" t="inlineStr">
        <is>
          <t>733131221</t>
        </is>
      </c>
      <c r="E164" s="8" t="inlineStr">
        <is>
          <t>Elektrokotel ~8 kW pro 3.NP samostatný byt — dodávka + montáž + napojení</t>
        </is>
      </c>
      <c r="F164" s="20" t="inlineStr">
        <is>
          <t>ks</t>
        </is>
      </c>
      <c r="G164" s="23" t="n">
        <v>1</v>
      </c>
      <c r="H164" s="10" t="n"/>
      <c r="I164" s="10" t="n"/>
      <c r="J164" s="8" t="inlineStr">
        <is>
          <t>topenar</t>
        </is>
      </c>
      <c r="K164" s="24" t="n">
        <v>0.85</v>
      </c>
      <c r="L164" s="20" t="inlineStr">
        <is>
          <t>needs_production_lookup</t>
        </is>
      </c>
      <c r="M164" s="8" t="inlineStr">
        <is>
          <t>TZ ARS dům §4 — 'Nově navržené 3.NP bude vytápěno elektrokotlem'; ~8 kW odhad</t>
        </is>
      </c>
      <c r="N164" s="20" t="inlineStr">
        <is>
          <t>#6</t>
        </is>
      </c>
      <c r="O164" s="26" t="inlineStr">
        <is>
          <t>ANO</t>
        </is>
      </c>
    </row>
    <row r="165">
      <c r="A165" s="20" t="n">
        <v>164</v>
      </c>
      <c r="B165" s="8" t="inlineStr">
        <is>
          <t>PSV-73 Vytápění</t>
        </is>
      </c>
      <c r="C165" s="8" t="inlineStr">
        <is>
          <t>Krb na tuhá paliva 3.NP</t>
        </is>
      </c>
      <c r="D165" s="20" t="inlineStr">
        <is>
          <t>733241011</t>
        </is>
      </c>
      <c r="E165" s="8" t="inlineStr">
        <is>
          <t>Krb na tuhá paliva v 3.NP ~6 kW — dodávka + montáž s napojením na samostatný komín</t>
        </is>
      </c>
      <c r="F165" s="20" t="inlineStr">
        <is>
          <t>ks</t>
        </is>
      </c>
      <c r="G165" s="23" t="n">
        <v>1</v>
      </c>
      <c r="H165" s="10" t="n"/>
      <c r="I165" s="10" t="n"/>
      <c r="J165" s="8" t="inlineStr">
        <is>
          <t>topenar</t>
        </is>
      </c>
      <c r="K165" s="24" t="n">
        <v>0.85</v>
      </c>
      <c r="L165" s="20" t="inlineStr">
        <is>
          <t>needs_production_lookup</t>
        </is>
      </c>
      <c r="M165" s="8" t="inlineStr">
        <is>
          <t>TZ ARS dům §4 — krb v 3.NP, ~6 kW odhad</t>
        </is>
      </c>
      <c r="N165" s="20" t="inlineStr">
        <is>
          <t>#6</t>
        </is>
      </c>
      <c r="O165" s="26" t="inlineStr">
        <is>
          <t>ANO</t>
        </is>
      </c>
    </row>
    <row r="166">
      <c r="A166" s="20" t="n">
        <v>165</v>
      </c>
      <c r="B166" s="8" t="inlineStr">
        <is>
          <t>PSV-73 Vytápění</t>
        </is>
      </c>
      <c r="C166" s="8" t="inlineStr">
        <is>
          <t>Multisplit TČ — venkovní jednotka</t>
        </is>
      </c>
      <c r="D166" s="20" t="inlineStr">
        <is>
          <t>733425211</t>
        </is>
      </c>
      <c r="E166" s="8" t="inlineStr">
        <is>
          <t>Multisplit tepelné čerpadlo vzduch-vzduch — 1× venkovní jednotka ~10 kW (silent mode hl. tlaku ≤49 dBA)</t>
        </is>
      </c>
      <c r="F166" s="20" t="inlineStr">
        <is>
          <t>ks</t>
        </is>
      </c>
      <c r="G166" s="23" t="n">
        <v>1</v>
      </c>
      <c r="H166" s="10" t="n"/>
      <c r="I166" s="10" t="n"/>
      <c r="J166" s="8" t="inlineStr">
        <is>
          <t>specialista_TC_multisplit</t>
        </is>
      </c>
      <c r="K166" s="24" t="n">
        <v>0.85</v>
      </c>
      <c r="L166" s="20" t="inlineStr">
        <is>
          <t>needs_production_lookup</t>
        </is>
      </c>
      <c r="M166" s="8" t="inlineStr">
        <is>
          <t>TZ ARS dům §4 — multisplit TČ s akustikou hl. tlaku ≤49 dBA, NV 272/2011</t>
        </is>
      </c>
      <c r="N166" s="20" t="inlineStr">
        <is>
          <t>#6</t>
        </is>
      </c>
      <c r="O166" s="26" t="inlineStr">
        <is>
          <t>ANO</t>
        </is>
      </c>
    </row>
    <row r="167">
      <c r="A167" s="20" t="n">
        <v>166</v>
      </c>
      <c r="B167" s="8" t="inlineStr">
        <is>
          <t>PSV-73 Vytápění</t>
        </is>
      </c>
      <c r="C167" s="8" t="inlineStr">
        <is>
          <t>Multisplit TČ — vnitřní jednotky</t>
        </is>
      </c>
      <c r="D167" s="20" t="inlineStr">
        <is>
          <t>733425221</t>
        </is>
      </c>
      <c r="E167" s="8" t="inlineStr">
        <is>
          <t>Multisplit TČ — 5× vnitřní jednotka v obytných místnostech (1.NP, 2.NP, 3.NP — chlazení + vytápění)</t>
        </is>
      </c>
      <c r="F167" s="20" t="inlineStr">
        <is>
          <t>ks</t>
        </is>
      </c>
      <c r="G167" s="23" t="n">
        <v>5</v>
      </c>
      <c r="H167" s="10" t="n"/>
      <c r="I167" s="10" t="n"/>
      <c r="J167" s="8" t="inlineStr">
        <is>
          <t>specialista_TC_multisplit</t>
        </is>
      </c>
      <c r="K167" s="24" t="n">
        <v>0.75</v>
      </c>
      <c r="L167" s="20" t="inlineStr">
        <is>
          <t>needs_production_lookup</t>
        </is>
      </c>
      <c r="M167" s="8" t="inlineStr">
        <is>
          <t>TZ ARS dům §4 — vnitřní jednotky multisplit, vyjasnění #6 odhad 5 ks</t>
        </is>
      </c>
      <c r="N167" s="20" t="inlineStr">
        <is>
          <t>#6</t>
        </is>
      </c>
      <c r="O167" s="26" t="inlineStr">
        <is>
          <t>ANO</t>
        </is>
      </c>
    </row>
    <row r="168">
      <c r="A168" s="20" t="n">
        <v>167</v>
      </c>
      <c r="B168" s="8" t="inlineStr">
        <is>
          <t>PSV-73 Vytápění</t>
        </is>
      </c>
      <c r="C168" s="8" t="inlineStr">
        <is>
          <t>Revize komínu</t>
        </is>
      </c>
      <c r="D168" s="20" t="inlineStr">
        <is>
          <t>734262122</t>
        </is>
      </c>
      <c r="E168" s="8" t="inlineStr">
        <is>
          <t>Revize stávajícího komínu — kontrola, čištění, vystrojení vložkou nerez DN160 pro kamna + krb 3.NP</t>
        </is>
      </c>
      <c r="F168" s="20" t="inlineStr">
        <is>
          <t>kpl</t>
        </is>
      </c>
      <c r="G168" s="23" t="n">
        <v>1</v>
      </c>
      <c r="H168" s="10" t="n"/>
      <c r="I168" s="10" t="n"/>
      <c r="J168" s="8" t="inlineStr">
        <is>
          <t>kominik</t>
        </is>
      </c>
      <c r="K168" s="24" t="n">
        <v>0.85</v>
      </c>
      <c r="L168" s="20" t="inlineStr">
        <is>
          <t>needs_production_lookup</t>
        </is>
      </c>
      <c r="M168" s="8" t="inlineStr">
        <is>
          <t>TZ ARS dům §4 — komín stávající, vystrojení vložkou pro kamna + krb</t>
        </is>
      </c>
      <c r="N168" s="20" t="inlineStr">
        <is>
          <t>#6</t>
        </is>
      </c>
      <c r="O168" s="26" t="inlineStr">
        <is>
          <t>ANO</t>
        </is>
      </c>
    </row>
    <row r="169">
      <c r="A169" s="20" t="n">
        <v>168</v>
      </c>
      <c r="B169" s="8" t="inlineStr">
        <is>
          <t>PSV-73 Vytápění</t>
        </is>
      </c>
      <c r="C169" s="8" t="inlineStr">
        <is>
          <t>Rozvody otopné soustavy</t>
        </is>
      </c>
      <c r="D169" s="20" t="inlineStr">
        <is>
          <t>733111021</t>
        </is>
      </c>
      <c r="E169" s="8" t="inlineStr">
        <is>
          <t>Rozvody otopné soustavy Cu/PEX k vnitřním jednotkám TČ + radiátorům pro doplňkové (cca 100 bm odhad)</t>
        </is>
      </c>
      <c r="F169" s="20" t="inlineStr">
        <is>
          <t>bm</t>
        </is>
      </c>
      <c r="G169" s="22" t="n">
        <v>100</v>
      </c>
      <c r="H169" s="10" t="n"/>
      <c r="I169" s="10" t="n"/>
      <c r="J169" s="8" t="inlineStr">
        <is>
          <t>topenar</t>
        </is>
      </c>
      <c r="K169" s="24" t="n">
        <v>0.75</v>
      </c>
      <c r="L169" s="20" t="inlineStr">
        <is>
          <t>needs_production_lookup</t>
        </is>
      </c>
      <c r="M169" s="8" t="inlineStr">
        <is>
          <t>TZ ARS dům §4 — rozvody otopné soustavy</t>
        </is>
      </c>
      <c r="N169" s="20" t="inlineStr">
        <is>
          <t>#6</t>
        </is>
      </c>
      <c r="O169" s="26" t="inlineStr">
        <is>
          <t>ANO</t>
        </is>
      </c>
    </row>
    <row r="170">
      <c r="A170" s="20" t="n">
        <v>169</v>
      </c>
      <c r="B170" s="8" t="inlineStr">
        <is>
          <t>VRN — BOZP</t>
        </is>
      </c>
      <c r="C170" s="8" t="inlineStr">
        <is>
          <t>Koordinace BOZP</t>
        </is>
      </c>
      <c r="D170" s="20" t="inlineStr">
        <is>
          <t>030091000</t>
        </is>
      </c>
      <c r="E170" s="8" t="inlineStr">
        <is>
          <t>Koordinátor BOZP na staveništi dle zákona 309/2006 Sb. — pro stavbu s více než jedním zhotovitelem</t>
        </is>
      </c>
      <c r="F170" s="20" t="inlineStr">
        <is>
          <t>kpl</t>
        </is>
      </c>
      <c r="G170" s="23" t="n">
        <v>1</v>
      </c>
      <c r="H170" s="10" t="n"/>
      <c r="I170" s="10" t="n"/>
      <c r="J170" s="8" t="inlineStr">
        <is>
          <t>VRN_management</t>
        </is>
      </c>
      <c r="K170" s="24" t="n">
        <v>0.99</v>
      </c>
      <c r="L170" s="20" t="inlineStr">
        <is>
          <t>needs_production_lookup</t>
        </is>
      </c>
      <c r="M170" s="8" t="inlineStr">
        <is>
          <t>Zákon 309/2006 Sb. — povinný BOZP koordinátor pro vícezhotovitelskou stavbu</t>
        </is>
      </c>
      <c r="N170" s="20" t="inlineStr">
        <is>
          <t>#10</t>
        </is>
      </c>
      <c r="O170" s="26" t="inlineStr">
        <is>
          <t>ANO</t>
        </is>
      </c>
    </row>
    <row r="171">
      <c r="A171" s="20" t="n">
        <v>170</v>
      </c>
      <c r="B171" s="8" t="inlineStr">
        <is>
          <t>VRN — Dokumentace</t>
        </is>
      </c>
      <c r="C171" s="8" t="inlineStr">
        <is>
          <t>Předávací protokoly + DSP</t>
        </is>
      </c>
      <c r="D171" s="20" t="inlineStr">
        <is>
          <t>030151000</t>
        </is>
      </c>
      <c r="E171" s="8" t="inlineStr">
        <is>
          <t>Předávací protokoly + Dokumentace skutečného provedení (DSP) — sestavení, vázání, dodávka 2× tiskem + elektronická verze</t>
        </is>
      </c>
      <c r="F171" s="20" t="inlineStr">
        <is>
          <t>kpl</t>
        </is>
      </c>
      <c r="G171" s="23" t="n">
        <v>1</v>
      </c>
      <c r="H171" s="10" t="n"/>
      <c r="I171" s="10" t="n"/>
      <c r="J171" s="8" t="inlineStr">
        <is>
          <t>VRN_management</t>
        </is>
      </c>
      <c r="K171" s="24" t="n">
        <v>0.99</v>
      </c>
      <c r="L171" s="20" t="inlineStr">
        <is>
          <t>needs_production_lookup</t>
        </is>
      </c>
      <c r="M171" s="8" t="inlineStr">
        <is>
          <t>Vyhláška 499/2006 Sb. + ČKAIT — DSP povinná pro kolaudaci</t>
        </is>
      </c>
      <c r="N171" s="20" t="inlineStr">
        <is>
          <t>—</t>
        </is>
      </c>
      <c r="O171" s="26" t="inlineStr">
        <is>
          <t>ANO</t>
        </is>
      </c>
    </row>
    <row r="172">
      <c r="A172" s="20" t="n">
        <v>171</v>
      </c>
      <c r="B172" s="8" t="inlineStr">
        <is>
          <t>VRN — Doprava + odpad</t>
        </is>
      </c>
      <c r="C172" s="8" t="inlineStr">
        <is>
          <t>Kontejnery suti tříděné</t>
        </is>
      </c>
      <c r="D172" s="20" t="inlineStr">
        <is>
          <t>997013211</t>
        </is>
      </c>
      <c r="E172" s="8" t="inlineStr">
        <is>
          <t>Kontejnery na suť tříděnou velkoobjemové (beton/cihly, dřevo, kovy, EPS, sádra, směs) — pronájem + svozy</t>
        </is>
      </c>
      <c r="F172" s="20" t="inlineStr">
        <is>
          <t>ks</t>
        </is>
      </c>
      <c r="G172" s="23" t="n">
        <v>7</v>
      </c>
      <c r="H172" s="10" t="n"/>
      <c r="I172" s="10" t="n"/>
      <c r="J172" s="8" t="inlineStr">
        <is>
          <t>bourani_demolice</t>
        </is>
      </c>
      <c r="K172" s="24" t="n">
        <v>0.85</v>
      </c>
      <c r="L172" s="20" t="inlineStr">
        <is>
          <t>needs_production_lookup</t>
        </is>
      </c>
      <c r="M172" s="8" t="inlineStr">
        <is>
          <t>TZ B m.10.e: beton/cihly 46 t + dřevo 9 t + kovy 0.1 + EPS 0.1 + sádra 0.2 + směs 1.0</t>
        </is>
      </c>
      <c r="N172" s="20" t="inlineStr">
        <is>
          <t>#9, #10</t>
        </is>
      </c>
      <c r="O172" s="26" t="inlineStr">
        <is>
          <t>ANO</t>
        </is>
      </c>
    </row>
    <row r="173">
      <c r="A173" s="20" t="n">
        <v>172</v>
      </c>
      <c r="B173" s="8" t="inlineStr">
        <is>
          <t>VRN — Doprava + odpad</t>
        </is>
      </c>
      <c r="C173" s="8" t="inlineStr">
        <is>
          <t>Doprava materiálu</t>
        </is>
      </c>
      <c r="D173" s="20" t="inlineStr">
        <is>
          <t>031031000</t>
        </is>
      </c>
      <c r="E173" s="8" t="inlineStr">
        <is>
          <t>Doprava materiálu na stavbu (centrální koordinace) — paušál ~2-3 % z PN materiál</t>
        </is>
      </c>
      <c r="F173" s="20" t="inlineStr">
        <is>
          <t>paušál</t>
        </is>
      </c>
      <c r="G173" s="23" t="n">
        <v>1</v>
      </c>
      <c r="H173" s="10" t="n"/>
      <c r="I173" s="10" t="n"/>
      <c r="J173" s="8" t="inlineStr">
        <is>
          <t>VRN_management</t>
        </is>
      </c>
      <c r="K173" s="24" t="n">
        <v>0.8</v>
      </c>
      <c r="L173" s="20" t="inlineStr">
        <is>
          <t>needs_production_lookup</t>
        </is>
      </c>
      <c r="M173" s="8" t="inlineStr">
        <is>
          <t>B4_productivity — standard doprava RD městská zástavba</t>
        </is>
      </c>
      <c r="N173" s="20" t="inlineStr">
        <is>
          <t>#10</t>
        </is>
      </c>
      <c r="O173" s="26" t="inlineStr">
        <is>
          <t>ANO</t>
        </is>
      </c>
    </row>
    <row r="174">
      <c r="A174" s="20" t="n">
        <v>173</v>
      </c>
      <c r="B174" s="8" t="inlineStr">
        <is>
          <t>VRN — Doprava + odpad</t>
        </is>
      </c>
      <c r="C174" s="8" t="inlineStr">
        <is>
          <t>Likvidace odpadů 56.9 t</t>
        </is>
      </c>
      <c r="D174" s="20" t="inlineStr">
        <is>
          <t>997013211</t>
        </is>
      </c>
      <c r="E174" s="8" t="inlineStr">
        <is>
          <t>Likvidace stavební suti dle vyhl. 8/2021 Sb. — skládkovné + recyklace + třídění (56.9 t celkem per TZ B m.10.e)</t>
        </is>
      </c>
      <c r="F174" s="20" t="inlineStr">
        <is>
          <t>t</t>
        </is>
      </c>
      <c r="G174" s="22" t="n">
        <v>56.9</v>
      </c>
      <c r="H174" s="10" t="n"/>
      <c r="I174" s="10" t="n"/>
      <c r="J174" s="8" t="inlineStr">
        <is>
          <t>bourani_demolice</t>
        </is>
      </c>
      <c r="K174" s="24" t="n">
        <v>0.85</v>
      </c>
      <c r="L174" s="20" t="inlineStr">
        <is>
          <t>needs_production_lookup</t>
        </is>
      </c>
      <c r="M174" s="8" t="inlineStr">
        <is>
          <t>TZ B m.10.e bilance odpadů celkem dům</t>
        </is>
      </c>
      <c r="N174" s="20" t="inlineStr">
        <is>
          <t>#9, #10</t>
        </is>
      </c>
      <c r="O174" s="26" t="inlineStr">
        <is>
          <t>ANO</t>
        </is>
      </c>
    </row>
    <row r="175">
      <c r="A175" s="20" t="n">
        <v>174</v>
      </c>
      <c r="B175" s="8" t="inlineStr">
        <is>
          <t>VRN — Geodet</t>
        </is>
      </c>
      <c r="C175" s="8" t="inlineStr">
        <is>
          <t>Geodetické zaměření před + po realizaci</t>
        </is>
      </c>
      <c r="D175" s="20" t="inlineStr">
        <is>
          <t>030141000</t>
        </is>
      </c>
      <c r="E175" s="8" t="inlineStr">
        <is>
          <t>Geodetické zaměření před realizací (verifikace polohopis + výškopis) + po dokončení (zaměření skutečného provedení pro kolaudaci)</t>
        </is>
      </c>
      <c r="F175" s="20" t="inlineStr">
        <is>
          <t>kpl</t>
        </is>
      </c>
      <c r="G175" s="23" t="n">
        <v>2</v>
      </c>
      <c r="H175" s="10" t="n"/>
      <c r="I175" s="10" t="n"/>
      <c r="J175" s="8" t="inlineStr">
        <is>
          <t>geodet</t>
        </is>
      </c>
      <c r="K175" s="24" t="n">
        <v>0.99</v>
      </c>
      <c r="L175" s="20" t="inlineStr">
        <is>
          <t>needs_production_lookup</t>
        </is>
      </c>
      <c r="M175" s="8" t="inlineStr">
        <is>
          <t>Standard — geodet před+po pro každou stavbu</t>
        </is>
      </c>
      <c r="N175" s="20" t="inlineStr">
        <is>
          <t>—</t>
        </is>
      </c>
      <c r="O175" s="26" t="inlineStr">
        <is>
          <t>ANO</t>
        </is>
      </c>
    </row>
    <row r="176">
      <c r="A176" s="20" t="n">
        <v>175</v>
      </c>
      <c r="B176" s="8" t="inlineStr">
        <is>
          <t>VRN — Kolaudace</t>
        </is>
      </c>
      <c r="C176" s="8" t="inlineStr">
        <is>
          <t>Kolaudační řízení</t>
        </is>
      </c>
      <c r="D176" s="20" t="inlineStr">
        <is>
          <t>030171000</t>
        </is>
      </c>
      <c r="E176" s="8" t="inlineStr">
        <is>
          <t>Kolaudační řízení — paušál (správní poplatky + součinnost) dle zákona 183/2006 Sb.</t>
        </is>
      </c>
      <c r="F176" s="20" t="inlineStr">
        <is>
          <t>paušál</t>
        </is>
      </c>
      <c r="G176" s="23" t="n">
        <v>1</v>
      </c>
      <c r="H176" s="10" t="n"/>
      <c r="I176" s="10" t="n"/>
      <c r="J176" s="8" t="inlineStr">
        <is>
          <t>VRN_management</t>
        </is>
      </c>
      <c r="K176" s="24" t="n">
        <v>0.99</v>
      </c>
      <c r="L176" s="20" t="inlineStr">
        <is>
          <t>needs_production_lookup</t>
        </is>
      </c>
      <c r="M176" s="8" t="inlineStr">
        <is>
          <t>Zákon 183/2006 Sb. + vyhl. 499/2006 Sb.</t>
        </is>
      </c>
      <c r="N176" s="20" t="inlineStr">
        <is>
          <t>—</t>
        </is>
      </c>
      <c r="O176" s="26" t="inlineStr">
        <is>
          <t>ANO</t>
        </is>
      </c>
    </row>
    <row r="177">
      <c r="A177" s="20" t="n">
        <v>176</v>
      </c>
      <c r="B177" s="8" t="inlineStr">
        <is>
          <t>VRN — Pojištění + zábory</t>
        </is>
      </c>
      <c r="C177" s="8" t="inlineStr">
        <is>
          <t>Pojištění stavby (montážní + odpovědnostní)</t>
        </is>
      </c>
      <c r="D177" s="20" t="inlineStr">
        <is>
          <t>030081000</t>
        </is>
      </c>
      <c r="E177" s="8" t="inlineStr">
        <is>
          <t>Montážní pojištění stavby (CAR) + pojištění odpovědnosti za škodu (zhotovitel) — paušál cca 0.3-0.5 % z PN</t>
        </is>
      </c>
      <c r="F177" s="20" t="inlineStr">
        <is>
          <t>paušál</t>
        </is>
      </c>
      <c r="G177" s="23" t="n">
        <v>1</v>
      </c>
      <c r="H177" s="10" t="n"/>
      <c r="I177" s="10" t="n"/>
      <c r="J177" s="8" t="inlineStr">
        <is>
          <t>VRN_management</t>
        </is>
      </c>
      <c r="K177" s="24" t="n">
        <v>0.99</v>
      </c>
      <c r="L177" s="20" t="inlineStr">
        <is>
          <t>needs_production_lookup</t>
        </is>
      </c>
      <c r="M177" s="8" t="inlineStr">
        <is>
          <t>Standard zhotovitel — pojistná povinnost</t>
        </is>
      </c>
      <c r="N177" s="20" t="inlineStr">
        <is>
          <t>#10</t>
        </is>
      </c>
      <c r="O177" s="26" t="inlineStr">
        <is>
          <t>ANO</t>
        </is>
      </c>
    </row>
    <row r="178">
      <c r="A178" s="20" t="n">
        <v>177</v>
      </c>
      <c r="B178" s="8" t="inlineStr">
        <is>
          <t>VRN — Pojištění + zábory</t>
        </is>
      </c>
      <c r="C178" s="8" t="inlineStr">
        <is>
          <t>Krátkodobé zábory ul. Fibichova</t>
        </is>
      </c>
      <c r="D178" s="20" t="inlineStr">
        <is>
          <t>030083000</t>
        </is>
      </c>
      <c r="E178" s="8" t="inlineStr">
        <is>
          <t>Krátkodobé zábory ulice Fibichova pro materiál a kontejnery (povolení MU Jáchymov + DI) — odhad 30 dnů kumulativně</t>
        </is>
      </c>
      <c r="F178" s="20" t="inlineStr">
        <is>
          <t>kpl</t>
        </is>
      </c>
      <c r="G178" s="23" t="n">
        <v>1</v>
      </c>
      <c r="H178" s="10" t="n"/>
      <c r="I178" s="10" t="n"/>
      <c r="J178" s="8" t="inlineStr">
        <is>
          <t>VRN_management</t>
        </is>
      </c>
      <c r="K178" s="24" t="n">
        <v>0.75</v>
      </c>
      <c r="L178" s="20" t="inlineStr">
        <is>
          <t>needs_production_lookup</t>
        </is>
      </c>
      <c r="M178" s="8" t="inlineStr">
        <is>
          <t>TZ B m.10 + situace — řadovka ul. Fibichova</t>
        </is>
      </c>
      <c r="N178" s="20" t="inlineStr">
        <is>
          <t>#10</t>
        </is>
      </c>
      <c r="O178" s="26" t="inlineStr">
        <is>
          <t>ANO</t>
        </is>
      </c>
    </row>
    <row r="179">
      <c r="A179" s="20" t="n">
        <v>178</v>
      </c>
      <c r="B179" s="8" t="inlineStr">
        <is>
          <t>VRN — Průzkumy</t>
        </is>
      </c>
      <c r="C179" s="8" t="inlineStr">
        <is>
          <t>Mykologický průzkum dřeva při bourání</t>
        </is>
      </c>
      <c r="D179" s="20" t="inlineStr">
        <is>
          <t>030131000</t>
        </is>
      </c>
      <c r="E179" s="8" t="inlineStr">
        <is>
          <t>Mykologický průzkum + průzkum výskytu dřevokazného hmyzu stávajícího krovu a dřevěných trámů zhlaví — pro vyloučení narušení dřevěných konstrukcí; provádí autorizovaný mykolog při bourání</t>
        </is>
      </c>
      <c r="F179" s="20" t="inlineStr">
        <is>
          <t>kpl</t>
        </is>
      </c>
      <c r="G179" s="23" t="n">
        <v>1</v>
      </c>
      <c r="H179" s="10" t="n"/>
      <c r="I179" s="10" t="n"/>
      <c r="J179" s="8" t="inlineStr">
        <is>
          <t>mykolog</t>
        </is>
      </c>
      <c r="K179" s="24" t="n">
        <v>0.85</v>
      </c>
      <c r="L179" s="20" t="inlineStr">
        <is>
          <t>needs_production_lookup</t>
        </is>
      </c>
      <c r="M179" s="8" t="inlineStr">
        <is>
          <t>TZ ARS dům §3.2.3 + POZN.2.05 z půdorysů návrh + řez A-A návrh (explicit dřevokazný hmyz scope per drawing wording)</t>
        </is>
      </c>
      <c r="N179" s="20" t="inlineStr">
        <is>
          <t>#10</t>
        </is>
      </c>
      <c r="O179" s="26" t="inlineStr">
        <is>
          <t>ANO</t>
        </is>
      </c>
    </row>
    <row r="180">
      <c r="A180" s="20" t="n">
        <v>179</v>
      </c>
      <c r="B180" s="8" t="inlineStr">
        <is>
          <t>VRN — Průzkumy</t>
        </is>
      </c>
      <c r="C180" s="8" t="inlineStr">
        <is>
          <t>Azbestový průzkum podrobný před demolicí</t>
        </is>
      </c>
      <c r="D180" s="20" t="inlineStr">
        <is>
          <t>030133000</t>
        </is>
      </c>
      <c r="E180" s="8" t="inlineStr">
        <is>
          <t>Azbestový průzkum podrobný před demolicí — laboratorní vzorky a posudek (B kap. m.7.a předběžně negativní, ale podrobný před bouráním povinný)</t>
        </is>
      </c>
      <c r="F180" s="20" t="inlineStr">
        <is>
          <t>kpl</t>
        </is>
      </c>
      <c r="G180" s="23" t="n">
        <v>1</v>
      </c>
      <c r="H180" s="10" t="n"/>
      <c r="I180" s="10" t="n"/>
      <c r="J180" s="8" t="inlineStr">
        <is>
          <t>azbestovy_specialista</t>
        </is>
      </c>
      <c r="K180" s="24" t="n">
        <v>0.85</v>
      </c>
      <c r="L180" s="20" t="inlineStr">
        <is>
          <t>needs_production_lookup</t>
        </is>
      </c>
      <c r="M180" s="8" t="inlineStr">
        <is>
          <t>TZ B m.7.a + ARS §3.2 — azbestový průzkum povinný před demolicí</t>
        </is>
      </c>
      <c r="N180" s="20" t="inlineStr">
        <is>
          <t>#10</t>
        </is>
      </c>
      <c r="O180" s="26" t="inlineStr">
        <is>
          <t>ANO</t>
        </is>
      </c>
    </row>
    <row r="181">
      <c r="A181" s="20" t="n">
        <v>180</v>
      </c>
      <c r="B181" s="8" t="inlineStr">
        <is>
          <t>VRN — Revize</t>
        </is>
      </c>
      <c r="C181" s="8" t="inlineStr">
        <is>
          <t>Revize hydrantu vnějšího</t>
        </is>
      </c>
      <c r="D181" s="20" t="inlineStr">
        <is>
          <t>030161000</t>
        </is>
      </c>
      <c r="E181" s="8" t="inlineStr">
        <is>
          <t>Revize vnějšího hydrantu pro požární zabezpečení (DN min. 80, vzdálenost 100 m dle TZ PBŘ) — periodická kontrola</t>
        </is>
      </c>
      <c r="F181" s="20" t="inlineStr">
        <is>
          <t>kpl</t>
        </is>
      </c>
      <c r="G181" s="23" t="n">
        <v>1</v>
      </c>
      <c r="H181" s="10" t="n"/>
      <c r="I181" s="10" t="n"/>
      <c r="J181" s="8" t="inlineStr">
        <is>
          <t>revize_specialista</t>
        </is>
      </c>
      <c r="K181" s="24" t="n">
        <v>0.85</v>
      </c>
      <c r="L181" s="20" t="inlineStr">
        <is>
          <t>needs_production_lookup</t>
        </is>
      </c>
      <c r="M181" s="8" t="inlineStr">
        <is>
          <t>TZ PBŘ dům — vnější odběrné místo požární vody, revize před kolaudací</t>
        </is>
      </c>
      <c r="N181" s="20" t="inlineStr">
        <is>
          <t>—</t>
        </is>
      </c>
      <c r="O181" s="26" t="inlineStr">
        <is>
          <t>ANO</t>
        </is>
      </c>
    </row>
    <row r="182">
      <c r="A182" s="20" t="n">
        <v>181</v>
      </c>
      <c r="B182" s="8" t="inlineStr">
        <is>
          <t>VRN — Zařízení staveniště</t>
        </is>
      </c>
      <c r="C182" s="8" t="inlineStr">
        <is>
          <t>Buňky kancelář + sociální</t>
        </is>
      </c>
      <c r="D182" s="20" t="inlineStr">
        <is>
          <t>030011000</t>
        </is>
      </c>
      <c r="E182" s="8" t="inlineStr">
        <is>
          <t>Zařízení staveniště — buňka kancelář + sociální buňka (WC + šatna), pronájem ~8 měsíců</t>
        </is>
      </c>
      <c r="F182" s="20" t="inlineStr">
        <is>
          <t>kpl-měs</t>
        </is>
      </c>
      <c r="G182" s="23" t="n">
        <v>8</v>
      </c>
      <c r="H182" s="10" t="n"/>
      <c r="I182" s="10" t="n"/>
      <c r="J182" s="8" t="inlineStr">
        <is>
          <t>VRN_management</t>
        </is>
      </c>
      <c r="K182" s="24" t="n">
        <v>0.8</v>
      </c>
      <c r="L182" s="20" t="inlineStr">
        <is>
          <t>needs_production_lookup</t>
        </is>
      </c>
      <c r="M182" s="8" t="inlineStr">
        <is>
          <t>TZ B m.1.m realizace 2026-2027 + standard staveniště RD městská zástavba</t>
        </is>
      </c>
      <c r="N182" s="20" t="inlineStr">
        <is>
          <t>#10</t>
        </is>
      </c>
      <c r="O182" s="26" t="inlineStr">
        <is>
          <t>ANO</t>
        </is>
      </c>
    </row>
    <row r="183">
      <c r="A183" s="20" t="n">
        <v>182</v>
      </c>
      <c r="B183" s="8" t="inlineStr">
        <is>
          <t>VRN — Zařízení staveniště</t>
        </is>
      </c>
      <c r="C183" s="8" t="inlineStr">
        <is>
          <t>Mobilní WC</t>
        </is>
      </c>
      <c r="D183" s="20" t="inlineStr">
        <is>
          <t>030013000</t>
        </is>
      </c>
      <c r="E183" s="8" t="inlineStr">
        <is>
          <t>Mobilní chemické WC TOI TOI pro pracovníky — pronájem ~8 měsíců</t>
        </is>
      </c>
      <c r="F183" s="20" t="inlineStr">
        <is>
          <t>ks-měs</t>
        </is>
      </c>
      <c r="G183" s="23" t="n">
        <v>8</v>
      </c>
      <c r="H183" s="10" t="n"/>
      <c r="I183" s="10" t="n"/>
      <c r="J183" s="8" t="inlineStr">
        <is>
          <t>VRN_management</t>
        </is>
      </c>
      <c r="K183" s="24" t="n">
        <v>0.8</v>
      </c>
      <c r="L183" s="20" t="inlineStr">
        <is>
          <t>needs_production_lookup</t>
        </is>
      </c>
      <c r="M183" s="8" t="inlineStr">
        <is>
          <t>BOZP — mobilní WC povinné pro stavbu RD</t>
        </is>
      </c>
      <c r="N183" s="20" t="inlineStr">
        <is>
          <t>#10</t>
        </is>
      </c>
      <c r="O183" s="26" t="inlineStr">
        <is>
          <t>ANO</t>
        </is>
      </c>
    </row>
    <row r="184">
      <c r="A184" s="20" t="n">
        <v>183</v>
      </c>
      <c r="B184" s="8" t="inlineStr">
        <is>
          <t>VRN — Zařízení staveniště</t>
        </is>
      </c>
      <c r="C184" s="8" t="inlineStr">
        <is>
          <t>El. odběr + vodovodní odběr stavby</t>
        </is>
      </c>
      <c r="D184" s="20" t="inlineStr">
        <is>
          <t>031011000</t>
        </is>
      </c>
      <c r="E184" s="8" t="inlineStr">
        <is>
          <t>El. odběr stavby (zřízení staveništního rozvaděče + měřič) + vodovodní odběr (zřízení staveništní přípojky + vodoměr) — ~8 měsíců</t>
        </is>
      </c>
      <c r="F184" s="20" t="inlineStr">
        <is>
          <t>kpl</t>
        </is>
      </c>
      <c r="G184" s="23" t="n">
        <v>1</v>
      </c>
      <c r="H184" s="10" t="n"/>
      <c r="I184" s="10" t="n"/>
      <c r="J184" s="8" t="inlineStr">
        <is>
          <t>VRN_management</t>
        </is>
      </c>
      <c r="K184" s="24" t="n">
        <v>0.8</v>
      </c>
      <c r="L184" s="20" t="inlineStr">
        <is>
          <t>needs_production_lookup</t>
        </is>
      </c>
      <c r="M184" s="8" t="inlineStr">
        <is>
          <t>Standard staveniště — el. + voda zřízení a odběr po dobu stavby</t>
        </is>
      </c>
      <c r="N184" s="20" t="inlineStr">
        <is>
          <t>#10</t>
        </is>
      </c>
      <c r="O184" s="26" t="inlineStr">
        <is>
          <t>ANO</t>
        </is>
      </c>
    </row>
    <row r="185">
      <c r="A185" s="20" t="n">
        <v>184</v>
      </c>
      <c r="B185" s="8" t="inlineStr">
        <is>
          <t>VRN — Zařízení staveniště</t>
        </is>
      </c>
      <c r="C185" s="8" t="inlineStr">
        <is>
          <t>Voda staveniště</t>
        </is>
      </c>
      <c r="D185" s="20" t="inlineStr">
        <is>
          <t>012103101</t>
        </is>
      </c>
      <c r="E185" s="8" t="inlineStr">
        <is>
          <t>Voda staveniště — napojení na stávající vodovodní přípojku, dočasné rozvody na staveništi (mísení malt, čištění, soc. zázemí), paušál pro dobu výstavby ~18 měs.</t>
        </is>
      </c>
      <c r="F185" s="20" t="inlineStr">
        <is>
          <t>kpl</t>
        </is>
      </c>
      <c r="G185" s="23" t="n">
        <v>1</v>
      </c>
      <c r="H185" s="10" t="n"/>
      <c r="I185" s="10" t="n"/>
      <c r="J185" s="8" t="inlineStr">
        <is>
          <t>VRN_management</t>
        </is>
      </c>
      <c r="K185" s="24" t="n">
        <v>0.9</v>
      </c>
      <c r="L185" s="20" t="inlineStr">
        <is>
          <t>needs_production_lookup</t>
        </is>
      </c>
      <c r="M185" s="8" t="inlineStr">
        <is>
          <t>TZ B Souhrnná m.5 — 'Stávající vodovodní přípojka z veřejného vodovodu'</t>
        </is>
      </c>
      <c r="N185" s="20" t="inlineStr">
        <is>
          <t>—</t>
        </is>
      </c>
      <c r="O185" s="26" t="inlineStr">
        <is>
          <t>ANO</t>
        </is>
      </c>
    </row>
  </sheetData>
  <autoFilter ref="A1:O185"/>
  <conditionalFormatting sqref="K2:K185">
    <cfRule type="cellIs" priority="1" operator="lessThan" dxfId="0" stopIfTrue="1">
      <formula>0.70</formula>
    </cfRule>
    <cfRule type="cellIs" priority="2" operator="lessThan" dxfId="1">
      <formula>0.80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40" customWidth="1" min="3" max="3"/>
    <col width="18" customWidth="1" min="4" max="4"/>
    <col width="55" customWidth="1" min="5" max="5"/>
    <col width="8" customWidth="1" min="6" max="6"/>
    <col width="10" customWidth="1" min="7" max="7"/>
    <col width="14" customWidth="1" min="8" max="8"/>
    <col width="18" customWidth="1" min="9" max="9"/>
    <col width="28" customWidth="1" min="10" max="10"/>
    <col width="16" customWidth="1" min="11" max="11"/>
    <col width="34" customWidth="1" min="12" max="12"/>
    <col width="55" customWidth="1" min="13" max="13"/>
    <col width="16" customWidth="1" min="14" max="14"/>
    <col width="32" customWidth="1" min="15" max="15"/>
  </cols>
  <sheetData>
    <row r="1" ht="32" customHeight="1">
      <c r="A1" s="6" t="inlineStr">
        <is>
          <t>Poř.</t>
        </is>
      </c>
      <c r="B1" s="6" t="inlineStr">
        <is>
          <t>Kapitola</t>
        </is>
      </c>
      <c r="C1" s="6" t="inlineStr">
        <is>
          <t>Subkapitola</t>
        </is>
      </c>
      <c r="D1" s="6" t="inlineStr">
        <is>
          <t>URS kód (navrž.)</t>
        </is>
      </c>
      <c r="E1" s="6" t="inlineStr">
        <is>
          <t>Popis</t>
        </is>
      </c>
      <c r="F1" s="6" t="inlineStr">
        <is>
          <t>MJ</t>
        </is>
      </c>
      <c r="G1" s="6" t="inlineStr">
        <is>
          <t>Množství</t>
        </is>
      </c>
      <c r="H1" s="6" t="inlineStr">
        <is>
          <t>J. cena (Kč)</t>
        </is>
      </c>
      <c r="I1" s="6" t="inlineStr">
        <is>
          <t>Cena celkem (Kč)</t>
        </is>
      </c>
      <c r="J1" s="6" t="inlineStr">
        <is>
          <t>Subdodavatel</t>
        </is>
      </c>
      <c r="K1" s="6" t="inlineStr">
        <is>
          <t>_mnozstvi_conf</t>
        </is>
      </c>
      <c r="L1" s="6" t="inlineStr">
        <is>
          <t>_urs_status</t>
        </is>
      </c>
      <c r="M1" s="6" t="inlineStr">
        <is>
          <t>Source</t>
        </is>
      </c>
      <c r="N1" s="6" t="inlineStr">
        <is>
          <t>_vyjasneni_ref</t>
        </is>
      </c>
      <c r="O1" s="6" t="inlineStr">
        <is>
          <t>_NUTNO_OVERIT_URS</t>
        </is>
      </c>
    </row>
    <row r="2">
      <c r="A2" s="20" t="n">
        <v>1</v>
      </c>
      <c r="B2" s="8" t="inlineStr">
        <is>
          <t>HSV-1 Zemní práce</t>
        </is>
      </c>
      <c r="C2" s="8" t="inlineStr">
        <is>
          <t>Sejmutí stávající zídky + schodiště</t>
        </is>
      </c>
      <c r="D2" s="20" t="inlineStr">
        <is>
          <t>962031132</t>
        </is>
      </c>
      <c r="E2" s="8" t="inlineStr">
        <is>
          <t>Sejmutí ornice a demolice stávajících kamenných zídek a schodiště v místě nového skladu+parkingu</t>
        </is>
      </c>
      <c r="F2" s="20" t="inlineStr">
        <is>
          <t>m³</t>
        </is>
      </c>
      <c r="G2" s="22" t="n">
        <v>8</v>
      </c>
      <c r="H2" s="10" t="n"/>
      <c r="I2" s="10" t="n"/>
      <c r="J2" s="8" t="inlineStr">
        <is>
          <t>bourani_demolice</t>
        </is>
      </c>
      <c r="K2" s="24" t="n">
        <v>0.75</v>
      </c>
      <c r="L2" s="20" t="inlineStr">
        <is>
          <t>needs_production_lookup</t>
        </is>
      </c>
      <c r="M2" s="8" t="inlineStr">
        <is>
          <t>TZ ARS sklad §3 + Demolice stávající kamenné zídky</t>
        </is>
      </c>
      <c r="N2" s="20" t="inlineStr">
        <is>
          <t>—</t>
        </is>
      </c>
      <c r="O2" s="26" t="inlineStr">
        <is>
          <t>ANO</t>
        </is>
      </c>
    </row>
    <row r="3">
      <c r="A3" s="20" t="n">
        <v>2</v>
      </c>
      <c r="B3" s="8" t="inlineStr">
        <is>
          <t>HSV-1 Zemní práce</t>
        </is>
      </c>
      <c r="C3" s="8" t="inlineStr">
        <is>
          <t>Hloubení figury skladu</t>
        </is>
      </c>
      <c r="D3" s="20" t="inlineStr">
        <is>
          <t>131201101</t>
        </is>
      </c>
      <c r="E3" s="8" t="inlineStr">
        <is>
          <t>Hloubení jam nezapažených pro objekt skladu v lichoběžníku 6,35 × 3,34 m, hl. do 1,2 m, hornina tř. 3</t>
        </is>
      </c>
      <c r="F3" s="20" t="inlineStr">
        <is>
          <t>m³</t>
        </is>
      </c>
      <c r="G3" s="22" t="n">
        <v>25.5</v>
      </c>
      <c r="H3" s="10" t="n"/>
      <c r="I3" s="10" t="n"/>
      <c r="J3" s="8" t="inlineStr">
        <is>
          <t>zemni_prace</t>
        </is>
      </c>
      <c r="K3" s="24" t="n">
        <v>0.95</v>
      </c>
      <c r="L3" s="20" t="inlineStr">
        <is>
          <t>matched_websearch_verified</t>
        </is>
      </c>
      <c r="M3" s="8" t="inlineStr">
        <is>
          <t>DXF sklad_DPZ DIMENSION 6350.06 + 3340.0 mm (vyjasnění #18 resolved)</t>
        </is>
      </c>
      <c r="N3" s="20" t="inlineStr">
        <is>
          <t>#18</t>
        </is>
      </c>
      <c r="O3" s="25" t="inlineStr">
        <is>
          <t>OVĚŘENO ✓</t>
        </is>
      </c>
    </row>
    <row r="4">
      <c r="A4" s="20" t="n">
        <v>3</v>
      </c>
      <c r="B4" s="8" t="inlineStr">
        <is>
          <t>HSV-1 Zemní práce</t>
        </is>
      </c>
      <c r="C4" s="8" t="inlineStr">
        <is>
          <t>Hloubení rýh pro pasy</t>
        </is>
      </c>
      <c r="D4" s="20" t="inlineStr">
        <is>
          <t>132201101</t>
        </is>
      </c>
      <c r="E4" s="8" t="inlineStr">
        <is>
          <t>Hloubení rýh pro betonové základové pasy 500×500 mm po obvodu skladu (nezámrzná hl. 1.0 m)</t>
        </is>
      </c>
      <c r="F4" s="20" t="inlineStr">
        <is>
          <t>m³</t>
        </is>
      </c>
      <c r="G4" s="22" t="n">
        <v>4.85</v>
      </c>
      <c r="H4" s="10" t="n"/>
      <c r="I4" s="10" t="n"/>
      <c r="J4" s="8" t="inlineStr">
        <is>
          <t>zemni_prace</t>
        </is>
      </c>
      <c r="K4" s="24" t="n">
        <v>0.95</v>
      </c>
      <c r="L4" s="20" t="inlineStr">
        <is>
          <t>matched_websearch_verified</t>
        </is>
      </c>
      <c r="M4" s="8" t="inlineStr">
        <is>
          <t>DXF + TZ statika sklad §3</t>
        </is>
      </c>
      <c r="N4" s="20" t="inlineStr">
        <is>
          <t>—</t>
        </is>
      </c>
      <c r="O4" s="25" t="inlineStr">
        <is>
          <t>OVĚŘENO ✓</t>
        </is>
      </c>
    </row>
    <row r="5">
      <c r="A5" s="20" t="n">
        <v>4</v>
      </c>
      <c r="B5" s="8" t="inlineStr">
        <is>
          <t>HSV-1 Zemní práce</t>
        </is>
      </c>
      <c r="C5" s="8" t="inlineStr">
        <is>
          <t>Hloubení parkingových patek</t>
        </is>
      </c>
      <c r="D5" s="20" t="inlineStr">
        <is>
          <t>132211101</t>
        </is>
      </c>
      <c r="E5" s="8" t="inlineStr">
        <is>
          <t>Hloubení patek pro stojky IPE180 zastřešení parkingu, 500×500 mm × 1.0 m hl. × 7 ks</t>
        </is>
      </c>
      <c r="F5" s="20" t="inlineStr">
        <is>
          <t>m³</t>
        </is>
      </c>
      <c r="G5" s="22" t="n">
        <v>1.75</v>
      </c>
      <c r="H5" s="10" t="n"/>
      <c r="I5" s="10" t="n"/>
      <c r="J5" s="8" t="inlineStr">
        <is>
          <t>zemni_prace</t>
        </is>
      </c>
      <c r="K5" s="24" t="n">
        <v>0.9</v>
      </c>
      <c r="L5" s="20" t="inlineStr">
        <is>
          <t>needs_production_lookup</t>
        </is>
      </c>
      <c r="M5" s="8" t="inlineStr">
        <is>
          <t>DXF sklad_DPZ LWPOLYLINE 7000 mm parking + TZ rozteč 1000 mm = 7 patek</t>
        </is>
      </c>
      <c r="N5" s="20" t="inlineStr">
        <is>
          <t>#18</t>
        </is>
      </c>
      <c r="O5" s="26" t="inlineStr">
        <is>
          <t>ANO</t>
        </is>
      </c>
    </row>
    <row r="6">
      <c r="A6" s="20" t="n">
        <v>5</v>
      </c>
      <c r="B6" s="8" t="inlineStr">
        <is>
          <t>HSV-1 Zemní práce</t>
        </is>
      </c>
      <c r="C6" s="8" t="inlineStr">
        <is>
          <t>Štěrkový násyp pod desku skladu</t>
        </is>
      </c>
      <c r="D6" s="20" t="inlineStr">
        <is>
          <t>174101101</t>
        </is>
      </c>
      <c r="E6" s="8" t="inlineStr">
        <is>
          <t>Zhutněný štěrkopískový násyp pod podlahu skladu + štěrkopísek pro IPE patky</t>
        </is>
      </c>
      <c r="F6" s="20" t="inlineStr">
        <is>
          <t>m³</t>
        </is>
      </c>
      <c r="G6" s="22" t="n">
        <v>3.2</v>
      </c>
      <c r="H6" s="10" t="n"/>
      <c r="I6" s="10" t="n"/>
      <c r="J6" s="8" t="inlineStr">
        <is>
          <t>zemni_prace</t>
        </is>
      </c>
      <c r="K6" s="24" t="n">
        <v>0.95</v>
      </c>
      <c r="L6" s="20" t="inlineStr">
        <is>
          <t>needs_production_lookup</t>
        </is>
      </c>
      <c r="M6" s="8" t="inlineStr">
        <is>
          <t>DXF podlaha skladu 6.35×3.34 = 21.2 m²</t>
        </is>
      </c>
      <c r="N6" s="20" t="inlineStr">
        <is>
          <t>—</t>
        </is>
      </c>
      <c r="O6" s="26" t="inlineStr">
        <is>
          <t>ANO</t>
        </is>
      </c>
    </row>
    <row r="7">
      <c r="A7" s="20" t="n">
        <v>6</v>
      </c>
      <c r="B7" s="8" t="inlineStr">
        <is>
          <t>HSV-1 Zemní práce</t>
        </is>
      </c>
      <c r="C7" s="8" t="inlineStr">
        <is>
          <t>Odvoz výkopu sklad</t>
        </is>
      </c>
      <c r="D7" s="27" t="inlineStr">
        <is>
          <t>162701??? ?</t>
        </is>
      </c>
      <c r="E7" s="8" t="inlineStr">
        <is>
          <t>Odvoz výkopku z hloubení skladu + figur + patek na deponii do 8 km</t>
        </is>
      </c>
      <c r="F7" s="20" t="inlineStr">
        <is>
          <t>m³</t>
        </is>
      </c>
      <c r="G7" s="22" t="n">
        <v>32.1</v>
      </c>
      <c r="H7" s="10" t="n"/>
      <c r="I7" s="10" t="n"/>
      <c r="J7" s="8" t="inlineStr">
        <is>
          <t>zemni_prace</t>
        </is>
      </c>
      <c r="K7" s="24" t="n">
        <v>0.95</v>
      </c>
      <c r="L7" s="20" t="inlineStr">
        <is>
          <t>wrong_leaf_disambiguation_needed</t>
        </is>
      </c>
      <c r="M7" s="8">
        <f> součet HSV-1 sklad hloubení</f>
        <v/>
      </c>
      <c r="N7" s="20" t="inlineStr">
        <is>
          <t>#10</t>
        </is>
      </c>
      <c r="O7" s="28" t="inlineStr">
        <is>
          <t>LEAF CHYBNÝ — viz alternatives</t>
        </is>
      </c>
    </row>
    <row r="8">
      <c r="A8" s="20" t="n">
        <v>7</v>
      </c>
      <c r="B8" s="8" t="inlineStr">
        <is>
          <t>HSV-2 Základové a ŽB</t>
        </is>
      </c>
      <c r="C8" s="8" t="inlineStr">
        <is>
          <t>Základové pasy sklad</t>
        </is>
      </c>
      <c r="D8" s="27" t="inlineStr">
        <is>
          <t>271313??? ?</t>
        </is>
      </c>
      <c r="E8" s="8" t="inlineStr">
        <is>
          <t>Základové pasy z prostého betonu C16/20 XC0, 500×500 mm po obvodu skladu (nezámrzná hl.)</t>
        </is>
      </c>
      <c r="F8" s="20" t="inlineStr">
        <is>
          <t>m³</t>
        </is>
      </c>
      <c r="G8" s="22" t="n">
        <v>4.84</v>
      </c>
      <c r="H8" s="10" t="n"/>
      <c r="I8" s="10" t="n"/>
      <c r="J8" s="8" t="inlineStr">
        <is>
          <t>zelezobetonarsky_specialny</t>
        </is>
      </c>
      <c r="K8" s="24" t="n">
        <v>0.95</v>
      </c>
      <c r="L8" s="20" t="inlineStr">
        <is>
          <t>wrong_leaf_disambiguation_needed</t>
        </is>
      </c>
      <c r="M8" s="8" t="inlineStr">
        <is>
          <t>DXF sklad_DPZ + TZ statika sklad §4 — C16/20 XC0 pasy 500×500</t>
        </is>
      </c>
      <c r="N8" s="20" t="inlineStr">
        <is>
          <t>—</t>
        </is>
      </c>
      <c r="O8" s="28" t="inlineStr">
        <is>
          <t>LEAF CHYBNÝ — viz alternatives</t>
        </is>
      </c>
    </row>
    <row r="9">
      <c r="A9" s="20" t="n">
        <v>8</v>
      </c>
      <c r="B9" s="8" t="inlineStr">
        <is>
          <t>HSV-2 Základové a ŽB</t>
        </is>
      </c>
      <c r="C9" s="8" t="inlineStr">
        <is>
          <t>Patky parking — spodní</t>
        </is>
      </c>
      <c r="D9" s="20" t="inlineStr">
        <is>
          <t>273313811</t>
        </is>
      </c>
      <c r="E9" s="8" t="inlineStr">
        <is>
          <t>Dvoustupňové patky pro IPE180 zastřešení parkingu — spodní část prostý beton C16/20 500×500×500 mm × 7 ks</t>
        </is>
      </c>
      <c r="F9" s="20" t="inlineStr">
        <is>
          <t>ks</t>
        </is>
      </c>
      <c r="G9" s="23" t="n">
        <v>7</v>
      </c>
      <c r="H9" s="10" t="n"/>
      <c r="I9" s="10" t="n"/>
      <c r="J9" s="8" t="inlineStr">
        <is>
          <t>zelezobetonarsky_specialny</t>
        </is>
      </c>
      <c r="K9" s="24" t="n">
        <v>0.9</v>
      </c>
      <c r="L9" s="20" t="inlineStr">
        <is>
          <t>needs_production_lookup</t>
        </is>
      </c>
      <c r="M9" s="8" t="inlineStr">
        <is>
          <t>DXF sklad_DPZ LWPOLYLINE 7000 mm + rozteč 1000 mm = 7 patek</t>
        </is>
      </c>
      <c r="N9" s="20" t="inlineStr">
        <is>
          <t>#18</t>
        </is>
      </c>
      <c r="O9" s="26" t="inlineStr">
        <is>
          <t>ANO</t>
        </is>
      </c>
    </row>
    <row r="10">
      <c r="A10" s="20" t="n">
        <v>9</v>
      </c>
      <c r="B10" s="8" t="inlineStr">
        <is>
          <t>HSV-2 Základové a ŽB</t>
        </is>
      </c>
      <c r="C10" s="8" t="inlineStr">
        <is>
          <t>Patky parking — horní</t>
        </is>
      </c>
      <c r="D10" s="20" t="inlineStr">
        <is>
          <t>311233812</t>
        </is>
      </c>
      <c r="E10" s="8" t="inlineStr">
        <is>
          <t>Dvoustupňové patky pro IPE180 — horní část z tvarovek ztraceného bednění 300×300 mm × 7 ks</t>
        </is>
      </c>
      <c r="F10" s="20" t="inlineStr">
        <is>
          <t>ks</t>
        </is>
      </c>
      <c r="G10" s="23" t="n">
        <v>7</v>
      </c>
      <c r="H10" s="10" t="n"/>
      <c r="I10" s="10" t="n"/>
      <c r="J10" s="8" t="inlineStr">
        <is>
          <t>zelezobetonarsky_specialny</t>
        </is>
      </c>
      <c r="K10" s="24" t="n">
        <v>0.9</v>
      </c>
      <c r="L10" s="20" t="inlineStr">
        <is>
          <t>needs_production_lookup</t>
        </is>
      </c>
      <c r="M10" s="8" t="inlineStr">
        <is>
          <t>TZ statika sklad §4 — dvoustupňová konstrukce</t>
        </is>
      </c>
      <c r="N10" s="20" t="inlineStr">
        <is>
          <t>—</t>
        </is>
      </c>
      <c r="O10" s="26" t="inlineStr">
        <is>
          <t>ANO</t>
        </is>
      </c>
    </row>
    <row r="11">
      <c r="A11" s="20" t="n">
        <v>10</v>
      </c>
      <c r="B11" s="8" t="inlineStr">
        <is>
          <t>HSV-2 Základové a ŽB</t>
        </is>
      </c>
      <c r="C11" s="8" t="inlineStr">
        <is>
          <t>Beton patek + zídek — zalití</t>
        </is>
      </c>
      <c r="D11" s="20" t="inlineStr">
        <is>
          <t>273321321</t>
        </is>
      </c>
      <c r="E11" s="8" t="inlineStr">
        <is>
          <t>Beton C25/30 XC3 XF1 XA1 pro zalití tvarovek ZB patek + lemujících zídek parkingu</t>
        </is>
      </c>
      <c r="F11" s="20" t="inlineStr">
        <is>
          <t>m³</t>
        </is>
      </c>
      <c r="G11" s="22" t="n">
        <v>1.8</v>
      </c>
      <c r="H11" s="10" t="n"/>
      <c r="I11" s="10" t="n"/>
      <c r="J11" s="8" t="inlineStr">
        <is>
          <t>zelezobetonarsky_specialny</t>
        </is>
      </c>
      <c r="K11" s="24" t="n">
        <v>0.8</v>
      </c>
      <c r="L11" s="20" t="inlineStr">
        <is>
          <t>needs_production_lookup</t>
        </is>
      </c>
      <c r="M11" s="8" t="inlineStr">
        <is>
          <t>TZ statika sklad §4 — C25/30 XC3 XF1 XA1 pro vyztužené konstrukce</t>
        </is>
      </c>
      <c r="N11" s="20" t="inlineStr">
        <is>
          <t>—</t>
        </is>
      </c>
      <c r="O11" s="26" t="inlineStr">
        <is>
          <t>ANO</t>
        </is>
      </c>
    </row>
    <row r="12">
      <c r="A12" s="20" t="n">
        <v>11</v>
      </c>
      <c r="B12" s="8" t="inlineStr">
        <is>
          <t>HSV-2 Základové a ŽB</t>
        </is>
      </c>
      <c r="C12" s="8" t="inlineStr">
        <is>
          <t>Štěrkopískové lože</t>
        </is>
      </c>
      <c r="D12" s="20" t="inlineStr">
        <is>
          <t>174101101</t>
        </is>
      </c>
      <c r="E12" s="8" t="inlineStr">
        <is>
          <t>Štěrkopískové lože pod podlahu skladu + pod schodišťovou desku</t>
        </is>
      </c>
      <c r="F12" s="20" t="inlineStr">
        <is>
          <t>m³</t>
        </is>
      </c>
      <c r="G12" s="22" t="n">
        <v>2.12</v>
      </c>
      <c r="H12" s="10" t="n"/>
      <c r="I12" s="10" t="n"/>
      <c r="J12" s="8" t="inlineStr">
        <is>
          <t>zemni_prace</t>
        </is>
      </c>
      <c r="K12" s="24" t="n">
        <v>0.95</v>
      </c>
      <c r="L12" s="20" t="inlineStr">
        <is>
          <t>needs_production_lookup</t>
        </is>
      </c>
      <c r="M12" s="8" t="inlineStr">
        <is>
          <t>DXF + TZ statika sklad</t>
        </is>
      </c>
      <c r="N12" s="20" t="inlineStr">
        <is>
          <t>—</t>
        </is>
      </c>
      <c r="O12" s="26" t="inlineStr">
        <is>
          <t>ANO</t>
        </is>
      </c>
    </row>
    <row r="13">
      <c r="A13" s="20" t="n">
        <v>12</v>
      </c>
      <c r="B13" s="8" t="inlineStr">
        <is>
          <t>HSV-2 Základové a ŽB</t>
        </is>
      </c>
      <c r="C13" s="8" t="inlineStr">
        <is>
          <t>Schodišťová deska + pas</t>
        </is>
      </c>
      <c r="D13" s="20" t="inlineStr">
        <is>
          <t>273361821</t>
        </is>
      </c>
      <c r="E13" s="8" t="inlineStr">
        <is>
          <t>ŽB schodišťová deska ve sklonu + základový pas — beton C25/30 XC3 (terén ke skladu)</t>
        </is>
      </c>
      <c r="F13" s="20" t="inlineStr">
        <is>
          <t>m³</t>
        </is>
      </c>
      <c r="G13" s="22" t="n">
        <v>0.8</v>
      </c>
      <c r="H13" s="10" t="n"/>
      <c r="I13" s="10" t="n"/>
      <c r="J13" s="8" t="inlineStr">
        <is>
          <t>zelezobetonarsky_specialny</t>
        </is>
      </c>
      <c r="K13" s="24" t="n">
        <v>0.8</v>
      </c>
      <c r="L13" s="20" t="inlineStr">
        <is>
          <t>needs_production_lookup</t>
        </is>
      </c>
      <c r="M13" s="8" t="inlineStr">
        <is>
          <t>TZ statika sklad §4 — prefa schodové dílce + ŽB pas</t>
        </is>
      </c>
      <c r="N13" s="20" t="inlineStr">
        <is>
          <t>—</t>
        </is>
      </c>
      <c r="O13" s="26" t="inlineStr">
        <is>
          <t>ANO</t>
        </is>
      </c>
    </row>
    <row r="14">
      <c r="A14" s="20" t="n">
        <v>13</v>
      </c>
      <c r="B14" s="8" t="inlineStr">
        <is>
          <t>HSV-3 Svislé konstrukce</t>
        </is>
      </c>
      <c r="C14" s="8" t="inlineStr">
        <is>
          <t>H-BLOK opěrná stěna</t>
        </is>
      </c>
      <c r="D14" s="20" t="inlineStr">
        <is>
          <t>311233815</t>
        </is>
      </c>
      <c r="E14" s="8" t="inlineStr">
        <is>
          <t>Zadní opěrná stěna — prefabrikované betonové bloky Herkul H-BLOK Standard, vazba běhounová s posunem 0.5</t>
        </is>
      </c>
      <c r="F14" s="20" t="inlineStr">
        <is>
          <t>ks</t>
        </is>
      </c>
      <c r="G14" s="23" t="n">
        <v>60</v>
      </c>
      <c r="H14" s="10" t="n"/>
      <c r="I14" s="10" t="n"/>
      <c r="J14" s="8" t="inlineStr">
        <is>
          <t>prefa_bloky_specialista</t>
        </is>
      </c>
      <c r="K14" s="24" t="n">
        <v>0.75</v>
      </c>
      <c r="L14" s="20" t="inlineStr">
        <is>
          <t>needs_production_lookup</t>
        </is>
      </c>
      <c r="M14" s="8" t="inlineStr">
        <is>
          <t>TZ statika sklad §4 + ARS — Herkul H-BLOK, montáž auto s hyd. rukou</t>
        </is>
      </c>
      <c r="N14" s="20" t="inlineStr">
        <is>
          <t>—</t>
        </is>
      </c>
      <c r="O14" s="26" t="inlineStr">
        <is>
          <t>ANO</t>
        </is>
      </c>
    </row>
    <row r="15">
      <c r="A15" s="20" t="n">
        <v>14</v>
      </c>
      <c r="B15" s="8" t="inlineStr">
        <is>
          <t>HSV-3 Svislé konstrukce</t>
        </is>
      </c>
      <c r="C15" s="8" t="inlineStr">
        <is>
          <t>Tvarovky ZB obvod skladu</t>
        </is>
      </c>
      <c r="D15" s="20" t="inlineStr">
        <is>
          <t>311233811</t>
        </is>
      </c>
      <c r="E15" s="8" t="inlineStr">
        <is>
          <t>Obvodové stěny skladu — tvarovky ztraceného bednění tl. 250 mm × výška 2.4 m + zalití C25/30</t>
        </is>
      </c>
      <c r="F15" s="20" t="inlineStr">
        <is>
          <t>m²</t>
        </is>
      </c>
      <c r="G15" s="22" t="n">
        <v>46.5</v>
      </c>
      <c r="H15" s="10" t="n"/>
      <c r="I15" s="10" t="n"/>
      <c r="J15" s="8" t="inlineStr">
        <is>
          <t>zednik</t>
        </is>
      </c>
      <c r="K15" s="24" t="n">
        <v>0.95</v>
      </c>
      <c r="L15" s="20" t="inlineStr">
        <is>
          <t>needs_production_lookup</t>
        </is>
      </c>
      <c r="M15" s="8" t="inlineStr">
        <is>
          <t>TZ statika sklad §4 + DXF DIMENSION obvod</t>
        </is>
      </c>
      <c r="N15" s="20" t="inlineStr">
        <is>
          <t>—</t>
        </is>
      </c>
      <c r="O15" s="26" t="inlineStr">
        <is>
          <t>ANO</t>
        </is>
      </c>
    </row>
    <row r="16">
      <c r="A16" s="20" t="n">
        <v>15</v>
      </c>
      <c r="B16" s="8" t="inlineStr">
        <is>
          <t>HSV-3 Svislé konstrukce</t>
        </is>
      </c>
      <c r="C16" s="8" t="inlineStr">
        <is>
          <t>Výztuž ZB tvarovek</t>
        </is>
      </c>
      <c r="D16" s="20" t="inlineStr">
        <is>
          <t>273361821</t>
        </is>
      </c>
      <c r="E16" s="8" t="inlineStr">
        <is>
          <t>Výztuž B500B do tvarovek ztraceného bednění (~30 kg/m² stěny při zalití C25/30)</t>
        </is>
      </c>
      <c r="F16" s="20" t="inlineStr">
        <is>
          <t>kg</t>
        </is>
      </c>
      <c r="G16" s="22" t="n">
        <v>1398</v>
      </c>
      <c r="H16" s="10" t="n"/>
      <c r="I16" s="10" t="n"/>
      <c r="J16" s="8" t="inlineStr">
        <is>
          <t>zelezobetonarsky_specialny</t>
        </is>
      </c>
      <c r="K16" s="24" t="n">
        <v>0.8</v>
      </c>
      <c r="L16" s="20" t="inlineStr">
        <is>
          <t>needs_production_lookup</t>
        </is>
      </c>
      <c r="M16" s="8" t="inlineStr">
        <is>
          <t>B4_productivity Methvin — výztuž do ZB tvarovek tl. 250 mm</t>
        </is>
      </c>
      <c r="N16" s="20" t="inlineStr">
        <is>
          <t>#8</t>
        </is>
      </c>
      <c r="O16" s="26" t="inlineStr">
        <is>
          <t>ANO</t>
        </is>
      </c>
    </row>
    <row r="17">
      <c r="A17" s="20" t="n">
        <v>16</v>
      </c>
      <c r="B17" s="8" t="inlineStr">
        <is>
          <t>HSV-4 Vodorovné</t>
        </is>
      </c>
      <c r="C17" s="8" t="inlineStr">
        <is>
          <t>Dřevěné stropnice skladu</t>
        </is>
      </c>
      <c r="D17" s="20" t="inlineStr">
        <is>
          <t>762341110</t>
        </is>
      </c>
      <c r="E17" s="8" t="inlineStr">
        <is>
          <t>Dřevěné stropnice 100/160 mm á 625 mm primární zastřešení skladu — rezivo C24 fungicidní</t>
        </is>
      </c>
      <c r="F17" s="20" t="inlineStr">
        <is>
          <t>bm</t>
        </is>
      </c>
      <c r="G17" s="22" t="n">
        <v>33.9</v>
      </c>
      <c r="H17" s="10" t="n"/>
      <c r="I17" s="10" t="n"/>
      <c r="J17" s="8" t="inlineStr">
        <is>
          <t>krov_tesarsky_kompletni</t>
        </is>
      </c>
      <c r="K17" s="24" t="n">
        <v>0.95</v>
      </c>
      <c r="L17" s="20" t="inlineStr">
        <is>
          <t>needs_production_lookup</t>
        </is>
      </c>
      <c r="M17" s="8" t="inlineStr">
        <is>
          <t>TZ statika sklad §4 + DXF DIMENSION</t>
        </is>
      </c>
      <c r="N17" s="20" t="inlineStr">
        <is>
          <t>—</t>
        </is>
      </c>
      <c r="O17" s="26" t="inlineStr">
        <is>
          <t>ANO</t>
        </is>
      </c>
    </row>
    <row r="18">
      <c r="A18" s="20" t="n">
        <v>17</v>
      </c>
      <c r="B18" s="8" t="inlineStr">
        <is>
          <t>HSV-4 Vodorovné</t>
        </is>
      </c>
      <c r="C18" s="8" t="inlineStr">
        <is>
          <t>Prkenný záklop stropu skladu</t>
        </is>
      </c>
      <c r="D18" s="20" t="inlineStr">
        <is>
          <t>762331110</t>
        </is>
      </c>
      <c r="E18" s="8" t="inlineStr">
        <is>
          <t>Prkenný záklop stropnic skladu tl. 20 mm + impregnace</t>
        </is>
      </c>
      <c r="F18" s="20" t="inlineStr">
        <is>
          <t>m²</t>
        </is>
      </c>
      <c r="G18" s="22" t="n">
        <v>21.209</v>
      </c>
      <c r="H18" s="10" t="n"/>
      <c r="I18" s="10" t="n"/>
      <c r="J18" s="8" t="inlineStr">
        <is>
          <t>krov_tesarsky_kompletni</t>
        </is>
      </c>
      <c r="K18" s="24" t="n">
        <v>0.95</v>
      </c>
      <c r="L18" s="20" t="inlineStr">
        <is>
          <t>needs_production_lookup</t>
        </is>
      </c>
      <c r="M18" s="8" t="inlineStr">
        <is>
          <t>TZ statika sklad §4 + DXF</t>
        </is>
      </c>
      <c r="N18" s="20" t="inlineStr">
        <is>
          <t>—</t>
        </is>
      </c>
      <c r="O18" s="26" t="inlineStr">
        <is>
          <t>ANO</t>
        </is>
      </c>
    </row>
    <row r="19">
      <c r="A19" s="20" t="n">
        <v>18</v>
      </c>
      <c r="B19" s="8" t="inlineStr">
        <is>
          <t>HSV-4 Vodorovné</t>
        </is>
      </c>
      <c r="C19" s="8" t="inlineStr">
        <is>
          <t>Hydroizolační střešní souvrství skladu</t>
        </is>
      </c>
      <c r="D19" s="20" t="inlineStr">
        <is>
          <t>712331101</t>
        </is>
      </c>
      <c r="E19" s="8" t="inlineStr">
        <is>
          <t>Hydroizolační střešní souvrství skladu (modifikovaný asfaltový pás SBS + ochranná vrstva)</t>
        </is>
      </c>
      <c r="F19" s="20" t="inlineStr">
        <is>
          <t>m²</t>
        </is>
      </c>
      <c r="G19" s="22" t="n">
        <v>22.26945</v>
      </c>
      <c r="H19" s="10" t="n"/>
      <c r="I19" s="10" t="n"/>
      <c r="J19" s="8" t="inlineStr">
        <is>
          <t>izolater_HI</t>
        </is>
      </c>
      <c r="K19" s="24" t="n">
        <v>0.95</v>
      </c>
      <c r="L19" s="20" t="inlineStr">
        <is>
          <t>needs_production_lookup</t>
        </is>
      </c>
      <c r="M19" s="8" t="inlineStr">
        <is>
          <t>TZ statika sklad §4 — HI souvrství</t>
        </is>
      </c>
      <c r="N19" s="20" t="inlineStr">
        <is>
          <t>—</t>
        </is>
      </c>
      <c r="O19" s="26" t="inlineStr">
        <is>
          <t>ANO</t>
        </is>
      </c>
    </row>
    <row r="20">
      <c r="A20" s="20" t="n">
        <v>19</v>
      </c>
      <c r="B20" s="8" t="inlineStr">
        <is>
          <t>HSV-4 Vodorovné</t>
        </is>
      </c>
      <c r="C20" s="8" t="inlineStr">
        <is>
          <t>IPE180 parking — sekundární</t>
        </is>
      </c>
      <c r="D20" s="20" t="inlineStr">
        <is>
          <t>411321414</t>
        </is>
      </c>
      <c r="E20" s="8" t="inlineStr">
        <is>
          <t>Sekundární zastřešení parkingu — IPE180 v rozteči 1000 mm × délka 7 m × 7 ks</t>
        </is>
      </c>
      <c r="F20" s="20" t="inlineStr">
        <is>
          <t>kg</t>
        </is>
      </c>
      <c r="G20" s="22" t="n">
        <v>921</v>
      </c>
      <c r="H20" s="10" t="n"/>
      <c r="I20" s="10" t="n"/>
      <c r="J20" s="8" t="inlineStr">
        <is>
          <t>ocel_zamecnik_konstrukce</t>
        </is>
      </c>
      <c r="K20" s="24" t="n">
        <v>0.9</v>
      </c>
      <c r="L20" s="20" t="inlineStr">
        <is>
          <t>needs_production_lookup</t>
        </is>
      </c>
      <c r="M20" s="8" t="inlineStr">
        <is>
          <t>TZ statika sklad §1.4 + DXF LWPOLYLINE 7000 mm + rozteč 1000 mm</t>
        </is>
      </c>
      <c r="N20" s="20" t="inlineStr">
        <is>
          <t>#18</t>
        </is>
      </c>
      <c r="O20" s="26" t="inlineStr">
        <is>
          <t>ANO</t>
        </is>
      </c>
    </row>
    <row r="21">
      <c r="A21" s="20" t="n">
        <v>20</v>
      </c>
      <c r="B21" s="8" t="inlineStr">
        <is>
          <t>HSV-4 Vodorovné</t>
        </is>
      </c>
      <c r="C21" s="8" t="inlineStr">
        <is>
          <t>Pojezdové ocelové pororošty</t>
        </is>
      </c>
      <c r="D21" s="20" t="inlineStr">
        <is>
          <t>411321515</t>
        </is>
      </c>
      <c r="E21" s="8" t="inlineStr">
        <is>
          <t>Pojezdové ocelové pororošty demontovatelné — povrch parkingu (žárově zinkováno)</t>
        </is>
      </c>
      <c r="F21" s="20" t="inlineStr">
        <is>
          <t>m²</t>
        </is>
      </c>
      <c r="G21" s="22" t="n">
        <v>44.6</v>
      </c>
      <c r="H21" s="10" t="n"/>
      <c r="I21" s="10" t="n"/>
      <c r="J21" s="8" t="inlineStr">
        <is>
          <t>ocel_zamecnik_konstrukce</t>
        </is>
      </c>
      <c r="K21" s="24" t="n">
        <v>0.9</v>
      </c>
      <c r="L21" s="20" t="inlineStr">
        <is>
          <t>needs_production_lookup</t>
        </is>
      </c>
      <c r="M21" s="8" t="inlineStr">
        <is>
          <t>DXF sklad_DPZ km_tabulka místností + Phase 3.5 sklad qty crosscheck (Pattern 17 Phase 0a Layer 2 + Pattern 31 CEV Matrix D.2)</t>
        </is>
      </c>
      <c r="N21" s="20" t="inlineStr">
        <is>
          <t>—</t>
        </is>
      </c>
      <c r="O21" s="26" t="inlineStr">
        <is>
          <t>ANO</t>
        </is>
      </c>
    </row>
    <row r="22">
      <c r="A22" s="20" t="n">
        <v>21</v>
      </c>
      <c r="B22" s="8" t="inlineStr">
        <is>
          <t>HSV-4 Vodorovné</t>
        </is>
      </c>
      <c r="C22" s="8" t="inlineStr">
        <is>
          <t>Žárový zinek IPE + pororošty</t>
        </is>
      </c>
      <c r="D22" s="20" t="inlineStr">
        <is>
          <t>783201001</t>
        </is>
      </c>
      <c r="E22" s="8" t="inlineStr">
        <is>
          <t>Žárově zinková povrchová úprava IPE180 + pororoštů dle ČSN EN ISO 12944 (C3 prostředí)</t>
        </is>
      </c>
      <c r="F22" s="20" t="inlineStr">
        <is>
          <t>kg</t>
        </is>
      </c>
      <c r="G22" s="22" t="n">
        <v>1551</v>
      </c>
      <c r="H22" s="10" t="n"/>
      <c r="I22" s="10" t="n"/>
      <c r="J22" s="8" t="inlineStr">
        <is>
          <t>ocel_zamecnik_konstrukce</t>
        </is>
      </c>
      <c r="K22" s="24" t="n">
        <v>0.8</v>
      </c>
      <c r="L22" s="20" t="inlineStr">
        <is>
          <t>needs_production_lookup</t>
        </is>
      </c>
      <c r="M22" s="8" t="inlineStr">
        <is>
          <t>TZ statika sklad §1.4 + ČSN EN ISO 12944 — žárový zinek pro pojezdové ocel</t>
        </is>
      </c>
      <c r="N22" s="20" t="inlineStr">
        <is>
          <t>—</t>
        </is>
      </c>
      <c r="O22" s="26" t="inlineStr">
        <is>
          <t>ANO</t>
        </is>
      </c>
    </row>
    <row r="23">
      <c r="A23" s="20" t="n">
        <v>22</v>
      </c>
      <c r="B23" s="8" t="inlineStr">
        <is>
          <t>HSV-5 Komunikace + schodiště</t>
        </is>
      </c>
      <c r="C23" s="8" t="inlineStr">
        <is>
          <t>Sklad mezipodesta schodiště prefa</t>
        </is>
      </c>
      <c r="D23" s="20" t="inlineStr">
        <is>
          <t>121301101</t>
        </is>
      </c>
      <c r="E23" s="8" t="inlineStr">
        <is>
          <t>Sklad mezipodesta schodiště — prefa betonové stupně (9 ks × 179.5×250 mm) + kladecí vrstva zavlhlého betonu nad ŽB podkladní deskou (S05 sklad skladba)</t>
        </is>
      </c>
      <c r="F23" s="20" t="inlineStr">
        <is>
          <t>m²</t>
        </is>
      </c>
      <c r="G23" s="22" t="n">
        <v>5.5</v>
      </c>
      <c r="H23" s="10" t="n"/>
      <c r="I23" s="10" t="n"/>
      <c r="J23" s="8" t="inlineStr">
        <is>
          <t>betonar</t>
        </is>
      </c>
      <c r="K23" s="24" t="n">
        <v>0.95</v>
      </c>
      <c r="L23" s="20" t="inlineStr">
        <is>
          <t>needs_production_lookup</t>
        </is>
      </c>
      <c r="M23" s="8" t="inlineStr">
        <is>
          <t>DXF sklad_DPZ km_tabulka místností room 1.02 + DXF dimension 9×179.5×250 mm + Phase 3.5 sklad S-code mapping (S05 sklad schodiště skladba)</t>
        </is>
      </c>
      <c r="N23" s="20" t="inlineStr">
        <is>
          <t>—</t>
        </is>
      </c>
      <c r="O23" s="26" t="inlineStr">
        <is>
          <t>ANO</t>
        </is>
      </c>
    </row>
    <row r="24">
      <c r="A24" s="20" t="n">
        <v>23</v>
      </c>
      <c r="B24" s="8" t="inlineStr">
        <is>
          <t>PSV-76 Výplně otvorů</t>
        </is>
      </c>
      <c r="C24" s="8" t="inlineStr">
        <is>
          <t>Bezpečnostní dveře RC3 sklad</t>
        </is>
      </c>
      <c r="D24" s="20" t="inlineStr">
        <is>
          <t>766682111</t>
        </is>
      </c>
      <c r="E24" s="8" t="inlineStr">
        <is>
          <t>Bezpečnostní dveře RC3 v ocelové zárubni — vrata skladu (TZ statika §1.4 RC3 certifikované)</t>
        </is>
      </c>
      <c r="F24" s="20" t="inlineStr">
        <is>
          <t>ks</t>
        </is>
      </c>
      <c r="G24" s="23" t="n">
        <v>1</v>
      </c>
      <c r="H24" s="10" t="n"/>
      <c r="I24" s="10" t="n"/>
      <c r="J24" s="8" t="inlineStr">
        <is>
          <t>specialista_RC3_dvere</t>
        </is>
      </c>
      <c r="K24" s="24" t="n">
        <v>0.85</v>
      </c>
      <c r="L24" s="20" t="inlineStr">
        <is>
          <t>needs_production_lookup</t>
        </is>
      </c>
      <c r="M24" s="8" t="inlineStr">
        <is>
          <t>TZ statika sklad §1.4 — RC3 bezpečnostní dveře v ocelové zárubni</t>
        </is>
      </c>
      <c r="N24" s="20" t="inlineStr">
        <is>
          <t>—</t>
        </is>
      </c>
      <c r="O24" s="26" t="inlineStr">
        <is>
          <t>ANO</t>
        </is>
      </c>
    </row>
    <row r="25">
      <c r="A25" s="20" t="n">
        <v>24</v>
      </c>
      <c r="B25" s="8" t="inlineStr">
        <is>
          <t>PSV-77 Podlahy</t>
        </is>
      </c>
      <c r="C25" s="8" t="inlineStr">
        <is>
          <t>Betonová dlažba sklad</t>
        </is>
      </c>
      <c r="D25" s="27" t="inlineStr">
        <is>
          <t>596??? ?</t>
        </is>
      </c>
      <c r="E25" s="8" t="inlineStr">
        <is>
          <t>Betonová dlažba do pískového lože — povrch podlahy skladu (~21 m²)</t>
        </is>
      </c>
      <c r="F25" s="20" t="inlineStr">
        <is>
          <t>m²</t>
        </is>
      </c>
      <c r="G25" s="22" t="n">
        <v>17.6</v>
      </c>
      <c r="H25" s="10" t="n"/>
      <c r="I25" s="10" t="n"/>
      <c r="J25" s="8" t="inlineStr">
        <is>
          <t>podlahar</t>
        </is>
      </c>
      <c r="K25" s="24" t="n">
        <v>0.95</v>
      </c>
      <c r="L25" s="20" t="inlineStr">
        <is>
          <t>wrong_leaf_disambiguation_needed</t>
        </is>
      </c>
      <c r="M25" s="8" t="inlineStr">
        <is>
          <t>DXF sklad_DPZ km_tabulka místností + Phase 3.5 sklad qty crosscheck (Pattern 17 Phase 0a Layer 2 + Pattern 31 CEV Matrix D.2)</t>
        </is>
      </c>
      <c r="N25" s="20" t="inlineStr">
        <is>
          <t>—</t>
        </is>
      </c>
      <c r="O25" s="28" t="inlineStr">
        <is>
          <t>LEAF CHYBNÝ — viz alternatives</t>
        </is>
      </c>
    </row>
    <row r="26">
      <c r="A26" s="20" t="n">
        <v>25</v>
      </c>
      <c r="B26" s="8" t="inlineStr">
        <is>
          <t>VRN — Doprava + odpad</t>
        </is>
      </c>
      <c r="C26" s="8" t="inlineStr">
        <is>
          <t>Doprava prefa H-BLOK auto s hyd. rukou</t>
        </is>
      </c>
      <c r="D26" s="20" t="inlineStr">
        <is>
          <t>031032000</t>
        </is>
      </c>
      <c r="E26" s="8" t="inlineStr">
        <is>
          <t>Doprava prefa H-BLOK Standard z výrobny Herkul (Obrnice) auto s hydraulickou rukou — celkem ~60 ks bloků</t>
        </is>
      </c>
      <c r="F26" s="20" t="inlineStr">
        <is>
          <t>kpl</t>
        </is>
      </c>
      <c r="G26" s="23" t="n">
        <v>1</v>
      </c>
      <c r="H26" s="10" t="n"/>
      <c r="I26" s="10" t="n"/>
      <c r="J26" s="8" t="inlineStr">
        <is>
          <t>prefa_bloky_specialista</t>
        </is>
      </c>
      <c r="K26" s="24" t="n">
        <v>0.85</v>
      </c>
      <c r="L26" s="20" t="inlineStr">
        <is>
          <t>needs_production_lookup</t>
        </is>
      </c>
      <c r="M26" s="8" t="inlineStr">
        <is>
          <t>TZ statika sklad §4 + ARS — auto s hyd. rukou pro osazení H-BLOK</t>
        </is>
      </c>
      <c r="N26" s="20" t="inlineStr">
        <is>
          <t>—</t>
        </is>
      </c>
      <c r="O26" s="26" t="inlineStr">
        <is>
          <t>ANO</t>
        </is>
      </c>
    </row>
    <row r="27">
      <c r="A27" s="20" t="n">
        <v>26</v>
      </c>
      <c r="B27" s="8" t="inlineStr">
        <is>
          <t>VRN — Doprava + odpad</t>
        </is>
      </c>
      <c r="C27" s="8" t="inlineStr">
        <is>
          <t>Likvidace odpadu sklad</t>
        </is>
      </c>
      <c r="D27" s="20" t="inlineStr">
        <is>
          <t>997013211</t>
        </is>
      </c>
      <c r="E27" s="8" t="inlineStr">
        <is>
          <t>Likvidace odpadu sklad — kameny ze zídek + výkop + dřevo (drobné množství)</t>
        </is>
      </c>
      <c r="F27" s="20" t="inlineStr">
        <is>
          <t>t</t>
        </is>
      </c>
      <c r="G27" s="22" t="n">
        <v>8</v>
      </c>
      <c r="H27" s="10" t="n"/>
      <c r="I27" s="10" t="n"/>
      <c r="J27" s="8" t="inlineStr">
        <is>
          <t>bourani_demolice</t>
        </is>
      </c>
      <c r="K27" s="24" t="n">
        <v>0.75</v>
      </c>
      <c r="L27" s="20" t="inlineStr">
        <is>
          <t>needs_production_lookup</t>
        </is>
      </c>
      <c r="M27" s="8" t="inlineStr">
        <is>
          <t>TZ ARS sklad §3 — kamenné zídky + schodiště odstraneny</t>
        </is>
      </c>
      <c r="N27" s="20" t="inlineStr">
        <is>
          <t>—</t>
        </is>
      </c>
      <c r="O27" s="26" t="inlineStr">
        <is>
          <t>ANO</t>
        </is>
      </c>
    </row>
    <row r="28">
      <c r="A28" s="20" t="n">
        <v>27</v>
      </c>
      <c r="B28" s="8" t="inlineStr">
        <is>
          <t>VRN — Geodet</t>
        </is>
      </c>
      <c r="C28" s="8" t="inlineStr">
        <is>
          <t>Geodetické vytýčení sklad</t>
        </is>
      </c>
      <c r="D28" s="20" t="inlineStr">
        <is>
          <t>030141000</t>
        </is>
      </c>
      <c r="E28" s="8" t="inlineStr">
        <is>
          <t>Geodetické vytýčení sklad+parking+schodiště ze situace (před realizací)</t>
        </is>
      </c>
      <c r="F28" s="20" t="inlineStr">
        <is>
          <t>kpl</t>
        </is>
      </c>
      <c r="G28" s="23" t="n">
        <v>1</v>
      </c>
      <c r="H28" s="10" t="n"/>
      <c r="I28" s="10" t="n"/>
      <c r="J28" s="8" t="inlineStr">
        <is>
          <t>geodet</t>
        </is>
      </c>
      <c r="K28" s="24" t="n">
        <v>0.99</v>
      </c>
      <c r="L28" s="20" t="inlineStr">
        <is>
          <t>needs_production_lookup</t>
        </is>
      </c>
      <c r="M28" s="8" t="inlineStr">
        <is>
          <t>Standard — geodet vytýčení pro každý nový objekt</t>
        </is>
      </c>
      <c r="N28" s="20" t="inlineStr">
        <is>
          <t>—</t>
        </is>
      </c>
      <c r="O28" s="26" t="inlineStr">
        <is>
          <t>ANO</t>
        </is>
      </c>
    </row>
    <row r="29">
      <c r="A29" s="20" t="n">
        <v>28</v>
      </c>
      <c r="B29" s="8" t="inlineStr">
        <is>
          <t>VRN — Společné</t>
        </is>
      </c>
      <c r="C29" s="8" t="inlineStr">
        <is>
          <t>Podíl na obecných VRN dům</t>
        </is>
      </c>
      <c r="D29" s="20" t="inlineStr">
        <is>
          <t>030001000</t>
        </is>
      </c>
      <c r="E29" s="8" t="inlineStr">
        <is>
          <t>Podíl na obecných VRN domu (buňky, BOZP, pojištění, kolaudace) — paušál ~10 % nákladů sklad nebo % alokace</t>
        </is>
      </c>
      <c r="F29" s="20" t="inlineStr">
        <is>
          <t>paušál</t>
        </is>
      </c>
      <c r="G29" s="23" t="n">
        <v>1</v>
      </c>
      <c r="H29" s="10" t="n"/>
      <c r="I29" s="10" t="n"/>
      <c r="J29" s="8" t="inlineStr">
        <is>
          <t>VRN_management</t>
        </is>
      </c>
      <c r="K29" s="24" t="n">
        <v>0.8</v>
      </c>
      <c r="L29" s="20" t="inlineStr">
        <is>
          <t>needs_production_lookup</t>
        </is>
      </c>
      <c r="M29" s="8" t="inlineStr">
        <is>
          <t>Standard zhotovitel — alokace VRN pro paralelně realizovaný sklad</t>
        </is>
      </c>
      <c r="N29" s="20" t="inlineStr">
        <is>
          <t>—</t>
        </is>
      </c>
      <c r="O29" s="26" t="inlineStr">
        <is>
          <t>ANO</t>
        </is>
      </c>
    </row>
  </sheetData>
  <autoFilter ref="A1:O29"/>
  <conditionalFormatting sqref="K2:K29">
    <cfRule type="cellIs" priority="1" operator="lessThan" dxfId="0" stopIfTrue="1">
      <formula>0.70</formula>
    </cfRule>
    <cfRule type="cellIs" priority="2" operator="lessThan" dxfId="1">
      <formula>0.80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35" customWidth="1" min="3" max="3"/>
    <col width="8" customWidth="1" min="4" max="4"/>
    <col width="12" customWidth="1" min="5" max="5"/>
    <col width="60" customWidth="1" min="6" max="6"/>
    <col width="50" customWidth="1" min="7" max="7"/>
    <col width="9" customWidth="1" min="8" max="8"/>
    <col width="9" customWidth="1" min="9" max="9"/>
    <col width="5" customWidth="1" min="10" max="10"/>
  </cols>
  <sheetData>
    <row r="1">
      <c r="A1" s="29" t="inlineStr">
        <is>
          <t>VÝKAZ VÝMĚR — PER PODLAŽÍ + PER MÍSTNOST + AUDIT TRAIL (hk212-style)</t>
        </is>
      </c>
    </row>
    <row r="2" ht="24" customHeight="1">
      <c r="A2" s="30" t="inlineStr">
        <is>
          <t>Per-místnost data z DXF tabulky místností (km_tabulka místností MTEXT); per-item formula audit trail ukazuje 'co s čím se sčítalo a násobilo'</t>
        </is>
      </c>
    </row>
    <row r="4">
      <c r="A4" s="3" t="inlineStr">
        <is>
          <t>ČÁST A — PER-MÍSTNOST z DXF (návrh fáze)</t>
        </is>
      </c>
    </row>
    <row r="5" ht="32" customHeight="1">
      <c r="A5" s="6" t="inlineStr">
        <is>
          <t>Č. místnosti</t>
        </is>
      </c>
      <c r="B5" s="6" t="inlineStr">
        <is>
          <t>Název místnosti</t>
        </is>
      </c>
      <c r="C5" s="6" t="inlineStr">
        <is>
          <t>Podlaží</t>
        </is>
      </c>
      <c r="D5" s="6" t="inlineStr">
        <is>
          <t>Plocha m²</t>
        </is>
      </c>
      <c r="E5" s="6" t="inlineStr">
        <is>
          <t>Skupina (vinyl/dlažba/sklep/biodeska)</t>
        </is>
      </c>
      <c r="F5" s="6" t="inlineStr">
        <is>
          <t>Source DXF layer + MTEXT</t>
        </is>
      </c>
      <c r="G5" s="6" t="inlineStr">
        <is>
          <t>Confidence</t>
        </is>
      </c>
    </row>
    <row r="6">
      <c r="A6" s="20" t="inlineStr">
        <is>
          <t>1.01</t>
        </is>
      </c>
      <c r="B6" s="8" t="inlineStr">
        <is>
          <t>vstup a chodba</t>
        </is>
      </c>
      <c r="C6" s="20" t="inlineStr">
        <is>
          <t>1.NP</t>
        </is>
      </c>
      <c r="D6" s="22" t="n">
        <v>12.4</v>
      </c>
      <c r="E6" s="20" t="inlineStr">
        <is>
          <t>vinyl</t>
        </is>
      </c>
      <c r="F6" s="8" t="inlineStr">
        <is>
          <t>DXF km_tabulka místností MTEXT (embedded room table — návrh phase)</t>
        </is>
      </c>
      <c r="G6" s="24" t="n">
        <v>0.95</v>
      </c>
    </row>
    <row r="7">
      <c r="A7" s="20" t="inlineStr">
        <is>
          <t>1.02</t>
        </is>
      </c>
      <c r="B7" s="8" t="inlineStr">
        <is>
          <t>chodba na zahradu</t>
        </is>
      </c>
      <c r="C7" s="20" t="inlineStr">
        <is>
          <t>1.NP</t>
        </is>
      </c>
      <c r="D7" s="22" t="n">
        <v>3.6</v>
      </c>
      <c r="E7" s="20" t="inlineStr">
        <is>
          <t>vinyl</t>
        </is>
      </c>
      <c r="F7" s="8" t="inlineStr">
        <is>
          <t>DXF km_tabulka místností MTEXT (embedded room table — návrh phase)</t>
        </is>
      </c>
      <c r="G7" s="24" t="n">
        <v>0.95</v>
      </c>
    </row>
    <row r="8">
      <c r="A8" s="20" t="inlineStr">
        <is>
          <t>1.03</t>
        </is>
      </c>
      <c r="B8" s="8" t="inlineStr">
        <is>
          <t>komora</t>
        </is>
      </c>
      <c r="C8" s="20" t="inlineStr">
        <is>
          <t>1.NP</t>
        </is>
      </c>
      <c r="D8" s="22" t="n">
        <v>0.7</v>
      </c>
      <c r="E8" s="20" t="inlineStr">
        <is>
          <t>vinyl</t>
        </is>
      </c>
      <c r="F8" s="8" t="inlineStr">
        <is>
          <t>DXF km_tabulka místností MTEXT (embedded room table — návrh phase)</t>
        </is>
      </c>
      <c r="G8" s="24" t="n">
        <v>0.95</v>
      </c>
    </row>
    <row r="9">
      <c r="A9" s="20" t="inlineStr">
        <is>
          <t>1.04</t>
        </is>
      </c>
      <c r="B9" s="8" t="inlineStr">
        <is>
          <t>WC</t>
        </is>
      </c>
      <c r="C9" s="20" t="inlineStr">
        <is>
          <t>1.NP</t>
        </is>
      </c>
      <c r="D9" s="22" t="n">
        <v>1.5</v>
      </c>
      <c r="E9" s="20" t="inlineStr">
        <is>
          <t>dlazba</t>
        </is>
      </c>
      <c r="F9" s="8" t="inlineStr">
        <is>
          <t>DXF km_tabulka místností MTEXT (embedded room table — návrh phase)</t>
        </is>
      </c>
      <c r="G9" s="24" t="n">
        <v>0.95</v>
      </c>
    </row>
    <row r="10">
      <c r="A10" s="20" t="inlineStr">
        <is>
          <t>1.05</t>
        </is>
      </c>
      <c r="B10" s="8" t="inlineStr">
        <is>
          <t>koupelna</t>
        </is>
      </c>
      <c r="C10" s="20" t="inlineStr">
        <is>
          <t>1.NP</t>
        </is>
      </c>
      <c r="D10" s="22" t="n">
        <v>4.1</v>
      </c>
      <c r="E10" s="20" t="inlineStr">
        <is>
          <t>dlazba</t>
        </is>
      </c>
      <c r="F10" s="8" t="inlineStr">
        <is>
          <t>DXF km_tabulka místností MTEXT (embedded room table — návrh phase)</t>
        </is>
      </c>
      <c r="G10" s="24" t="n">
        <v>0.95</v>
      </c>
    </row>
    <row r="11">
      <c r="A11" s="20" t="inlineStr">
        <is>
          <t>1.06</t>
        </is>
      </c>
      <c r="B11" s="8" t="inlineStr">
        <is>
          <t>obývací místnost + kuchyně</t>
        </is>
      </c>
      <c r="C11" s="20" t="inlineStr">
        <is>
          <t>1.NP</t>
        </is>
      </c>
      <c r="D11" s="22" t="n">
        <v>24</v>
      </c>
      <c r="E11" s="20" t="inlineStr">
        <is>
          <t>dlazba</t>
        </is>
      </c>
      <c r="F11" s="8" t="inlineStr">
        <is>
          <t>DXF km_tabulka místností MTEXT (embedded room table — návrh phase)</t>
        </is>
      </c>
      <c r="G11" s="24" t="n">
        <v>0.95</v>
      </c>
    </row>
    <row r="12">
      <c r="A12" s="20" t="inlineStr">
        <is>
          <t>1.07</t>
        </is>
      </c>
      <c r="B12" s="8" t="inlineStr">
        <is>
          <t>pokoj</t>
        </is>
      </c>
      <c r="C12" s="20" t="inlineStr">
        <is>
          <t>1.NP</t>
        </is>
      </c>
      <c r="D12" s="22" t="n">
        <v>9.4</v>
      </c>
      <c r="E12" s="20" t="inlineStr">
        <is>
          <t>vinyl</t>
        </is>
      </c>
      <c r="F12" s="8" t="inlineStr">
        <is>
          <t>DXF km_tabulka místností MTEXT (embedded room table — návrh phase)</t>
        </is>
      </c>
      <c r="G12" s="24" t="n">
        <v>0.95</v>
      </c>
    </row>
    <row r="13">
      <c r="A13" s="20" t="inlineStr">
        <is>
          <t>1.08</t>
        </is>
      </c>
      <c r="B13" s="8" t="inlineStr">
        <is>
          <t>schodiště do sklepa</t>
        </is>
      </c>
      <c r="C13" s="20" t="inlineStr">
        <is>
          <t>1.NP</t>
        </is>
      </c>
      <c r="D13" s="22" t="n">
        <v>3.8</v>
      </c>
      <c r="E13" s="20" t="inlineStr">
        <is>
          <t>vinyl</t>
        </is>
      </c>
      <c r="F13" s="8" t="inlineStr">
        <is>
          <t>DXF km_tabulka místností MTEXT (embedded room table — návrh phase)</t>
        </is>
      </c>
      <c r="G13" s="24" t="n">
        <v>0.95</v>
      </c>
    </row>
    <row r="14">
      <c r="A14" s="20" t="inlineStr">
        <is>
          <t>0.01</t>
        </is>
      </c>
      <c r="B14" s="8" t="inlineStr">
        <is>
          <t>schodiště</t>
        </is>
      </c>
      <c r="C14" s="20" t="inlineStr">
        <is>
          <t>1.PP</t>
        </is>
      </c>
      <c r="D14" s="22" t="n">
        <v>3.5</v>
      </c>
      <c r="E14" s="20" t="inlineStr">
        <is>
          <t>dlazba_sklep</t>
        </is>
      </c>
      <c r="F14" s="8" t="inlineStr">
        <is>
          <t>DXF km_tabulka místností MTEXT (embedded room table — návrh phase)</t>
        </is>
      </c>
      <c r="G14" s="24" t="n">
        <v>0.95</v>
      </c>
    </row>
    <row r="15">
      <c r="A15" s="20" t="inlineStr">
        <is>
          <t>0.02</t>
        </is>
      </c>
      <c r="B15" s="8" t="inlineStr">
        <is>
          <t>chodba</t>
        </is>
      </c>
      <c r="C15" s="20" t="inlineStr">
        <is>
          <t>1.PP</t>
        </is>
      </c>
      <c r="D15" s="22" t="n">
        <v>4.4</v>
      </c>
      <c r="E15" s="20" t="inlineStr">
        <is>
          <t>dlazba_sklep</t>
        </is>
      </c>
      <c r="F15" s="8" t="inlineStr">
        <is>
          <t>DXF km_tabulka místností MTEXT (embedded room table — návrh phase)</t>
        </is>
      </c>
      <c r="G15" s="24" t="n">
        <v>0.95</v>
      </c>
    </row>
    <row r="16">
      <c r="A16" s="20" t="inlineStr">
        <is>
          <t>0.03</t>
        </is>
      </c>
      <c r="B16" s="8" t="inlineStr">
        <is>
          <t>sklep 1</t>
        </is>
      </c>
      <c r="C16" s="20" t="inlineStr">
        <is>
          <t>1.PP</t>
        </is>
      </c>
      <c r="D16" s="22" t="n">
        <v>22.2</v>
      </c>
      <c r="E16" s="20" t="inlineStr">
        <is>
          <t>dlazba_sklep</t>
        </is>
      </c>
      <c r="F16" s="8" t="inlineStr">
        <is>
          <t>DXF km_tabulka místností MTEXT (embedded room table — návrh phase)</t>
        </is>
      </c>
      <c r="G16" s="24" t="n">
        <v>0.95</v>
      </c>
    </row>
    <row r="17">
      <c r="A17" s="20" t="inlineStr">
        <is>
          <t>0.04</t>
        </is>
      </c>
      <c r="B17" s="8" t="inlineStr">
        <is>
          <t>sklep 2</t>
        </is>
      </c>
      <c r="C17" s="20" t="inlineStr">
        <is>
          <t>1.PP</t>
        </is>
      </c>
      <c r="D17" s="22" t="n">
        <v>2.3</v>
      </c>
      <c r="E17" s="20" t="inlineStr">
        <is>
          <t>dlazba_sklep</t>
        </is>
      </c>
      <c r="F17" s="8" t="inlineStr">
        <is>
          <t>DXF km_tabulka místností MTEXT (embedded room table — návrh phase)</t>
        </is>
      </c>
      <c r="G17" s="24" t="n">
        <v>0.95</v>
      </c>
    </row>
    <row r="18">
      <c r="A18" s="20" t="inlineStr">
        <is>
          <t>2.01</t>
        </is>
      </c>
      <c r="B18" s="8" t="inlineStr">
        <is>
          <t>schodiště</t>
        </is>
      </c>
      <c r="C18" s="20" t="inlineStr">
        <is>
          <t>2.NP</t>
        </is>
      </c>
      <c r="D18" s="22" t="n">
        <v>7.3</v>
      </c>
      <c r="E18" s="20" t="inlineStr">
        <is>
          <t>vinyl</t>
        </is>
      </c>
      <c r="F18" s="8" t="inlineStr">
        <is>
          <t>DXF km_tabulka místností MTEXT (embedded room table — návrh phase)</t>
        </is>
      </c>
      <c r="G18" s="24" t="n">
        <v>0.95</v>
      </c>
    </row>
    <row r="19">
      <c r="A19" s="20" t="inlineStr">
        <is>
          <t>2.02</t>
        </is>
      </c>
      <c r="B19" s="8" t="inlineStr">
        <is>
          <t>chodba</t>
        </is>
      </c>
      <c r="C19" s="20" t="inlineStr">
        <is>
          <t>2.NP</t>
        </is>
      </c>
      <c r="D19" s="22" t="n">
        <v>4.2</v>
      </c>
      <c r="E19" s="20" t="inlineStr">
        <is>
          <t>vinyl</t>
        </is>
      </c>
      <c r="F19" s="8" t="inlineStr">
        <is>
          <t>DXF km_tabulka místností MTEXT (embedded room table — návrh phase)</t>
        </is>
      </c>
      <c r="G19" s="24" t="n">
        <v>0.95</v>
      </c>
    </row>
    <row r="20">
      <c r="A20" s="20" t="inlineStr">
        <is>
          <t>2.03</t>
        </is>
      </c>
      <c r="B20" s="8" t="inlineStr">
        <is>
          <t>koupelna</t>
        </is>
      </c>
      <c r="C20" s="20" t="inlineStr">
        <is>
          <t>2.NP</t>
        </is>
      </c>
      <c r="D20" s="22" t="n">
        <v>2.5</v>
      </c>
      <c r="E20" s="20" t="inlineStr">
        <is>
          <t>dlazba</t>
        </is>
      </c>
      <c r="F20" s="8" t="inlineStr">
        <is>
          <t>DXF km_tabulka místností MTEXT (embedded room table — návrh phase)</t>
        </is>
      </c>
      <c r="G20" s="24" t="n">
        <v>0.95</v>
      </c>
    </row>
    <row r="21">
      <c r="A21" s="20" t="inlineStr">
        <is>
          <t>2.04</t>
        </is>
      </c>
      <c r="B21" s="8" t="inlineStr">
        <is>
          <t>chodba</t>
        </is>
      </c>
      <c r="C21" s="20" t="inlineStr">
        <is>
          <t>2.NP</t>
        </is>
      </c>
      <c r="D21" s="22" t="n">
        <v>1.6</v>
      </c>
      <c r="E21" s="20" t="inlineStr">
        <is>
          <t>vinyl</t>
        </is>
      </c>
      <c r="F21" s="8" t="inlineStr">
        <is>
          <t>DXF km_tabulka místností MTEXT (embedded room table — návrh phase)</t>
        </is>
      </c>
      <c r="G21" s="24" t="n">
        <v>0.95</v>
      </c>
    </row>
    <row r="22">
      <c r="A22" s="20" t="inlineStr">
        <is>
          <t>2.05</t>
        </is>
      </c>
      <c r="B22" s="8" t="inlineStr">
        <is>
          <t>společný pokoj</t>
        </is>
      </c>
      <c r="C22" s="20" t="inlineStr">
        <is>
          <t>2.NP</t>
        </is>
      </c>
      <c r="D22" s="22" t="n">
        <v>22.1</v>
      </c>
      <c r="E22" s="20" t="inlineStr">
        <is>
          <t>vinyl</t>
        </is>
      </c>
      <c r="F22" s="8" t="inlineStr">
        <is>
          <t>DXF km_tabulka místností MTEXT (embedded room table — návrh phase)</t>
        </is>
      </c>
      <c r="G22" s="24" t="n">
        <v>0.95</v>
      </c>
    </row>
    <row r="23">
      <c r="A23" s="20" t="inlineStr">
        <is>
          <t>2.06</t>
        </is>
      </c>
      <c r="B23" s="8" t="inlineStr">
        <is>
          <t>pokoj</t>
        </is>
      </c>
      <c r="C23" s="20" t="inlineStr">
        <is>
          <t>2.NP</t>
        </is>
      </c>
      <c r="D23" s="22" t="n">
        <v>9</v>
      </c>
      <c r="E23" s="20" t="inlineStr">
        <is>
          <t>vinyl</t>
        </is>
      </c>
      <c r="F23" s="8" t="inlineStr">
        <is>
          <t>DXF km_tabulka místností MTEXT (embedded room table — návrh phase)</t>
        </is>
      </c>
      <c r="G23" s="24" t="n">
        <v>0.95</v>
      </c>
    </row>
    <row r="24">
      <c r="A24" s="20" t="inlineStr">
        <is>
          <t>2.07</t>
        </is>
      </c>
      <c r="B24" s="8" t="inlineStr">
        <is>
          <t>pokoj</t>
        </is>
      </c>
      <c r="C24" s="20" t="inlineStr">
        <is>
          <t>2.NP</t>
        </is>
      </c>
      <c r="D24" s="22" t="n">
        <v>14.4</v>
      </c>
      <c r="E24" s="20" t="inlineStr">
        <is>
          <t>vinyl</t>
        </is>
      </c>
      <c r="F24" s="8" t="inlineStr">
        <is>
          <t>DXF km_tabulka místností MTEXT (embedded room table — návrh phase)</t>
        </is>
      </c>
      <c r="G24" s="24" t="n">
        <v>0.95</v>
      </c>
    </row>
    <row r="25">
      <c r="A25" s="20" t="inlineStr">
        <is>
          <t>3.01</t>
        </is>
      </c>
      <c r="B25" s="8" t="inlineStr">
        <is>
          <t>schodiště</t>
        </is>
      </c>
      <c r="C25" s="20" t="inlineStr">
        <is>
          <t>3.NP</t>
        </is>
      </c>
      <c r="D25" s="22" t="n">
        <v>7.6</v>
      </c>
      <c r="E25" s="20" t="inlineStr">
        <is>
          <t>vinyl</t>
        </is>
      </c>
      <c r="F25" s="8" t="inlineStr">
        <is>
          <t>DXF km_tabulka místností MTEXT (embedded room table — návrh phase)</t>
        </is>
      </c>
      <c r="G25" s="24" t="n">
        <v>0.95</v>
      </c>
    </row>
    <row r="26">
      <c r="A26" s="20" t="inlineStr">
        <is>
          <t>3.02</t>
        </is>
      </c>
      <c r="B26" s="8" t="inlineStr">
        <is>
          <t>chodba</t>
        </is>
      </c>
      <c r="C26" s="20" t="inlineStr">
        <is>
          <t>3.NP</t>
        </is>
      </c>
      <c r="D26" s="22" t="n">
        <v>4.1</v>
      </c>
      <c r="E26" s="20" t="inlineStr">
        <is>
          <t>vinyl</t>
        </is>
      </c>
      <c r="F26" s="8" t="inlineStr">
        <is>
          <t>DXF km_tabulka místností MTEXT (embedded room table — návrh phase)</t>
        </is>
      </c>
      <c r="G26" s="24" t="n">
        <v>0.95</v>
      </c>
    </row>
    <row r="27">
      <c r="A27" s="20" t="inlineStr">
        <is>
          <t>3.03</t>
        </is>
      </c>
      <c r="B27" s="8" t="inlineStr">
        <is>
          <t>chodba</t>
        </is>
      </c>
      <c r="C27" s="20" t="inlineStr">
        <is>
          <t>3.NP</t>
        </is>
      </c>
      <c r="D27" s="22" t="n">
        <v>2.4</v>
      </c>
      <c r="E27" s="20" t="inlineStr">
        <is>
          <t>vinyl</t>
        </is>
      </c>
      <c r="F27" s="8" t="inlineStr">
        <is>
          <t>DXF km_tabulka místností MTEXT (embedded room table — návrh phase)</t>
        </is>
      </c>
      <c r="G27" s="24" t="n">
        <v>0.95</v>
      </c>
    </row>
    <row r="28">
      <c r="A28" s="20" t="inlineStr">
        <is>
          <t>3.04</t>
        </is>
      </c>
      <c r="B28" s="8" t="inlineStr">
        <is>
          <t>koupelna</t>
        </is>
      </c>
      <c r="C28" s="20" t="inlineStr">
        <is>
          <t>3.NP</t>
        </is>
      </c>
      <c r="D28" s="22" t="n">
        <v>4.8</v>
      </c>
      <c r="E28" s="20" t="inlineStr">
        <is>
          <t>dlazba</t>
        </is>
      </c>
      <c r="F28" s="8" t="inlineStr">
        <is>
          <t>DXF km_tabulka místností MTEXT (embedded room table — návrh phase)</t>
        </is>
      </c>
      <c r="G28" s="24" t="n">
        <v>0.95</v>
      </c>
    </row>
    <row r="29">
      <c r="A29" s="20" t="inlineStr">
        <is>
          <t>3.05</t>
        </is>
      </c>
      <c r="B29" s="8" t="inlineStr">
        <is>
          <t>obývací místnost a kuchyně</t>
        </is>
      </c>
      <c r="C29" s="20" t="inlineStr">
        <is>
          <t>3.NP</t>
        </is>
      </c>
      <c r="D29" s="22" t="n">
        <v>32.8</v>
      </c>
      <c r="E29" s="20" t="inlineStr">
        <is>
          <t>dlazba</t>
        </is>
      </c>
      <c r="F29" s="8" t="inlineStr">
        <is>
          <t>DXF km_tabulka místností MTEXT (embedded room table — návrh phase)</t>
        </is>
      </c>
      <c r="G29" s="24" t="n">
        <v>0.95</v>
      </c>
    </row>
    <row r="30">
      <c r="A30" s="20" t="inlineStr">
        <is>
          <t>3.06</t>
        </is>
      </c>
      <c r="B30" s="8" t="inlineStr">
        <is>
          <t>ložnice</t>
        </is>
      </c>
      <c r="C30" s="20" t="inlineStr">
        <is>
          <t>3.NP</t>
        </is>
      </c>
      <c r="D30" s="22" t="n">
        <v>12.8</v>
      </c>
      <c r="E30" s="20" t="inlineStr">
        <is>
          <t>vinyl</t>
        </is>
      </c>
      <c r="F30" s="8" t="inlineStr">
        <is>
          <t>DXF km_tabulka místností MTEXT (embedded room table — návrh phase)</t>
        </is>
      </c>
      <c r="G30" s="24" t="n">
        <v>0.95</v>
      </c>
    </row>
    <row r="32">
      <c r="A32" s="3" t="inlineStr">
        <is>
          <t>ČÁST B — PER-PODLAŽÍ SUBTOTAL z DXF</t>
        </is>
      </c>
    </row>
    <row r="33" ht="32" customHeight="1">
      <c r="A33" s="6" t="inlineStr">
        <is>
          <t>Podlaží</t>
        </is>
      </c>
      <c r="B33" s="6" t="inlineStr">
        <is>
          <t>Počet místností</t>
        </is>
      </c>
      <c r="C33" s="6" t="inlineStr">
        <is>
          <t>Σ Plocha m²</t>
        </is>
      </c>
      <c r="D33" s="6" t="inlineStr">
        <is>
          <t>Formula (jak vznikla)</t>
        </is>
      </c>
      <c r="E33" s="6" t="inlineStr">
        <is>
          <t>Confidence</t>
        </is>
      </c>
    </row>
    <row r="34">
      <c r="A34" s="31" t="inlineStr">
        <is>
          <t>1.NP</t>
        </is>
      </c>
      <c r="B34" s="9" t="n">
        <v>8</v>
      </c>
      <c r="C34" s="22" t="n">
        <v>59.5</v>
      </c>
      <c r="D34" s="8" t="inlineStr">
        <is>
          <t>12.4 + 3.6 + 0.7 + 1.5 + 4.1 + 24.0 + 9.4 + 3.8 = 59.5 m²</t>
        </is>
      </c>
      <c r="E34" s="24" t="n">
        <v>0.95</v>
      </c>
    </row>
    <row r="35">
      <c r="A35" s="31" t="inlineStr">
        <is>
          <t>1.PP</t>
        </is>
      </c>
      <c r="B35" s="9" t="n">
        <v>4</v>
      </c>
      <c r="C35" s="22" t="n">
        <v>32.4</v>
      </c>
      <c r="D35" s="8" t="inlineStr">
        <is>
          <t>3.5 + 4.4 + 22.2 + 2.3 = 32.4 m²</t>
        </is>
      </c>
      <c r="E35" s="24" t="n">
        <v>0.95</v>
      </c>
    </row>
    <row r="36">
      <c r="A36" s="31" t="inlineStr">
        <is>
          <t>2.NP</t>
        </is>
      </c>
      <c r="B36" s="9" t="n">
        <v>7</v>
      </c>
      <c r="C36" s="22" t="n">
        <v>61.1</v>
      </c>
      <c r="D36" s="8" t="inlineStr">
        <is>
          <t>7.3 + 4.2 + 2.5 + 1.6 + 22.1 + 9.0 + 14.4 = 61.1 m²</t>
        </is>
      </c>
      <c r="E36" s="24" t="n">
        <v>0.95</v>
      </c>
    </row>
    <row r="37">
      <c r="A37" s="31" t="inlineStr">
        <is>
          <t>3.NP</t>
        </is>
      </c>
      <c r="B37" s="9" t="n">
        <v>6</v>
      </c>
      <c r="C37" s="22" t="n">
        <v>64.5</v>
      </c>
      <c r="D37" s="8" t="inlineStr">
        <is>
          <t>7.6 + 4.1 + 2.4 + 4.8 + 32.8 + 12.8 = 64.5 m²</t>
        </is>
      </c>
      <c r="E37" s="24" t="n">
        <v>0.95</v>
      </c>
    </row>
    <row r="38">
      <c r="A38" s="7" t="inlineStr">
        <is>
          <t>CELKEM návrh</t>
        </is>
      </c>
      <c r="B38" s="9" t="n">
        <v>25</v>
      </c>
      <c r="C38" s="32" t="n">
        <v>217.5</v>
      </c>
      <c r="D38" s="8">
        <f> součet 4 podlaží | TZ baseline: 219.3 m² | Δ = -1.8 m² (-0.82 %)</f>
        <v/>
      </c>
      <c r="E38" s="33" t="n"/>
    </row>
    <row r="40">
      <c r="A40" s="3" t="inlineStr">
        <is>
          <t>ČÁST C — PER-MATERIAL podlaha z DXF (= cenotvorba PSV-77)</t>
        </is>
      </c>
    </row>
    <row r="41" ht="32" customHeight="1">
      <c r="A41" s="6" t="inlineStr">
        <is>
          <t>Material</t>
        </is>
      </c>
      <c r="B41" s="6" t="inlineStr">
        <is>
          <t>Σ Plocha m²</t>
        </is>
      </c>
      <c r="C41" s="6" t="inlineStr">
        <is>
          <t>Místnosti zahrnuté</t>
        </is>
      </c>
      <c r="D41" s="6" t="inlineStr">
        <is>
          <t>Audit trail (Σ formula)</t>
        </is>
      </c>
      <c r="E41" s="6" t="inlineStr">
        <is>
          <t>Confidence</t>
        </is>
      </c>
    </row>
    <row r="42" ht="60" customHeight="1">
      <c r="A42" s="21" t="inlineStr">
        <is>
          <t>vinyl</t>
        </is>
      </c>
      <c r="B42" s="22" t="n">
        <v>115.4</v>
      </c>
      <c r="C42" s="8" t="inlineStr">
        <is>
          <t>1.01 vstup a chodba (12.4 m²); 1.02 chodba na zahradu (3.6 m²); 1.03 komora (0.7 m²); 1.07 pokoj (9.4 m²); 1.08 schodiště do sklepa (3.8 m²); 3.01 schodiště (7.6 m²); 3.02 chodba (4.1 m²); 3.03 chodba (2.4 m²); 3.06 ložnice (12.8 m²); 2.01 schodiště (7.3 m²); 2.02 chodba (4.2 m²); 2.04 chodba (1.6 m²); 2.05 společný pokoj (22.1 m²); 2.06 pokoj (9.0 m²); 2.07 pokoj (14.4 m²)</t>
        </is>
      </c>
      <c r="D42" s="8" t="inlineStr">
        <is>
          <t>12.4 + 3.6 + 0.7 + 9.4 + 3.8 + 7.6 + 4.1 + 2.4 + 12.8 + 7.3 + 4.2 + 1.6 + 22.1 + 9.0 + 14.4 = 115.4 m²</t>
        </is>
      </c>
      <c r="E42" s="24" t="n">
        <v>0.85</v>
      </c>
    </row>
    <row r="43" ht="60" customHeight="1">
      <c r="A43" s="21" t="inlineStr">
        <is>
          <t>dlazba</t>
        </is>
      </c>
      <c r="B43" s="22" t="n">
        <v>69.7</v>
      </c>
      <c r="C43" s="8" t="inlineStr">
        <is>
          <t>1.04 WC (1.5 m²); 1.05 koupelna (4.1 m²); 1.06 obývací místnost + kuchyně (24.0 m²); 3.04 koupelna (4.8 m²); 3.05 obývací místnost a kuchyně (32.8 m²); 2.03 koupelna (2.5 m²)</t>
        </is>
      </c>
      <c r="D43" s="8" t="inlineStr">
        <is>
          <t>1.5 + 4.1 + 24.0 + 4.8 + 32.8 + 2.5 = 69.7 m²</t>
        </is>
      </c>
      <c r="E43" s="24" t="n">
        <v>0.85</v>
      </c>
    </row>
    <row r="44" ht="60" customHeight="1">
      <c r="A44" s="21" t="inlineStr">
        <is>
          <t>dlazba_sklep</t>
        </is>
      </c>
      <c r="B44" s="22" t="n">
        <v>32.4</v>
      </c>
      <c r="C44" s="8" t="inlineStr">
        <is>
          <t>0.01 schodiště (3.5 m²); 0.02 chodba (4.4 m²); 0.03 sklep 1 (22.2 m²); 0.04 sklep 2 (2.3 m²)</t>
        </is>
      </c>
      <c r="D44" s="8" t="inlineStr">
        <is>
          <t>3.5 + 4.4 + 22.2 + 2.3 = 32.4 m²</t>
        </is>
      </c>
      <c r="E44" s="24" t="n">
        <v>0.85</v>
      </c>
    </row>
    <row r="46">
      <c r="A46" s="3" t="inlineStr">
        <is>
          <t>ČÁST D — POLOŽKY UPGRADED Z DXF EXTRAKCE (audit trail)</t>
        </is>
      </c>
    </row>
    <row r="47" ht="32" customHeight="1">
      <c r="A47" s="6" t="inlineStr">
        <is>
          <t>ID</t>
        </is>
      </c>
      <c r="B47" s="6" t="inlineStr">
        <is>
          <t>Kapitola</t>
        </is>
      </c>
      <c r="C47" s="6" t="inlineStr">
        <is>
          <t>Položka</t>
        </is>
      </c>
      <c r="D47" s="6" t="inlineStr">
        <is>
          <t>MJ</t>
        </is>
      </c>
      <c r="E47" s="6" t="inlineStr">
        <is>
          <t>Nová qty</t>
        </is>
      </c>
      <c r="F47" s="6" t="inlineStr">
        <is>
          <t>Audit trail formula (co s čím se sčítalo / násobilo)</t>
        </is>
      </c>
      <c r="G47" s="6" t="inlineStr">
        <is>
          <t>Source</t>
        </is>
      </c>
      <c r="H47" s="6" t="inlineStr">
        <is>
          <t>Conf před</t>
        </is>
      </c>
      <c r="I47" s="6" t="inlineStr">
        <is>
          <t>Conf po</t>
        </is>
      </c>
      <c r="J47" s="6" t="inlineStr">
        <is>
          <t>Δ</t>
        </is>
      </c>
    </row>
  </sheetData>
  <mergeCells count="6">
    <mergeCell ref="A32:G32"/>
    <mergeCell ref="A1:J1"/>
    <mergeCell ref="A46:J46"/>
    <mergeCell ref="A40:G40"/>
    <mergeCell ref="A4:G4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65" customWidth="1" min="2" max="2"/>
    <col width="30" customWidth="1" min="3" max="3"/>
    <col width="35" customWidth="1" min="4" max="4"/>
    <col width="28" customWidth="1" min="5" max="5"/>
    <col width="14" customWidth="1" min="6" max="6"/>
    <col width="22" customWidth="1" min="7" max="7"/>
  </cols>
  <sheetData>
    <row r="1">
      <c r="A1" s="29" t="inlineStr">
        <is>
          <t>VÝKAZ SKLADEB VRSTEV — TZ-EXPLICIT COMPOSITION PER ELEMENT</t>
        </is>
      </c>
    </row>
    <row r="2" ht="48" customHeight="1">
      <c r="A2" s="34" t="inlineStr">
        <is>
          <t>Skladby vrstev pochází VÝHRADNĚ z TZ explicit text (ARS dum + statika dum + B souhrnná + PBŘ TUSPO). DXF cross-validation slouží pouze jako podpůrný důkaz přes semantic HATCH patterns (CONCRETE1 = ŽB, INSULATION = EPS/MW, WOOD3 = dřevo). ŽÁDNÝ generic 'standard RD' pattern. Kde TZ silent, explicit '_TZ_silent' flag s ČSN fallback.</t>
        </is>
      </c>
    </row>
    <row r="4" ht="32" customHeight="1">
      <c r="A4" s="6" t="inlineStr">
        <is>
          <t>Element type</t>
        </is>
      </c>
      <c r="B4" s="6" t="inlineStr">
        <is>
          <t>Composition vrstev (TZ explicit)</t>
        </is>
      </c>
      <c r="C4" s="6" t="inlineStr">
        <is>
          <t>TZ source citation</t>
        </is>
      </c>
      <c r="D4" s="6" t="inlineStr">
        <is>
          <t>DXF cross-validation</t>
        </is>
      </c>
      <c r="E4" s="6" t="inlineStr">
        <is>
          <t>Applies to rooms / plocha</t>
        </is>
      </c>
      <c r="F4" s="6" t="inlineStr">
        <is>
          <t>Plocha celkem</t>
        </is>
      </c>
      <c r="G4" s="6" t="inlineStr">
        <is>
          <t>Data quality</t>
        </is>
      </c>
    </row>
    <row r="5" ht="176" customHeight="1">
      <c r="A5" s="35" t="inlineStr">
        <is>
          <t>S01 — obvodová stěna omítka (1.NP, 2.NP, suterén nad terénem)</t>
        </is>
      </c>
      <c r="B5" s="36" t="inlineStr">
        <is>
          <t>1. Povrch dle tabulky místností (výmalba / obklad)
2. Vnitřní omítka (tl. 10-15 mm)
3. Zdivo: smíšené - cihla plná (keramická) (tl. 450 mm)
4. Omítka - břizolit (exteriérová) (tl. 10-15 mm)
5. Kontaktní zateplovací systém ETICS:
6.   • Penetrační nátěr
7.   • Lepící hmota (tl. cca 10 mm)
8.   • EPS grey (λ=0,032 W/mK), mechanicky kotvené (tl. 160 mm)
9.   • Lepící stěrka s výztuží (tl. cca 5 mm)
10.   • Penetrační nátěr
11.   • Tenkovrstvá probarvená silikonová omítka (tl. 2 mm)</t>
        </is>
      </c>
      <c r="C5" s="37" t="inlineStr">
        <is>
          <t>PDF řez D.1.1.2.2.21 — legenda 'S01 obvodová stěna - omítka'</t>
        </is>
      </c>
      <c r="D5" s="37" t="inlineStr">
        <is>
          <t>External perimeter 38.70 m (DXF km_R_návrh_tlustá 2)</t>
        </is>
      </c>
      <c r="E5" s="37" t="inlineStr">
        <is>
          <t>—</t>
        </is>
      </c>
      <c r="F5" s="38" t="inlineStr">
        <is>
          <t>276.7 m²</t>
        </is>
      </c>
      <c r="G5" s="39" t="inlineStr">
        <is>
          <t>TZ explicit</t>
        </is>
      </c>
    </row>
    <row r="6" ht="64" customHeight="1">
      <c r="A6" s="35" t="inlineStr">
        <is>
          <t>S02 — obvodová stěna společná řadového domu (štítová)</t>
        </is>
      </c>
      <c r="B6" s="36" t="inlineStr">
        <is>
          <t>1. Výmalba
2. Vnitřní omítka (tl. 10-15 mm)
3. Smíšené zdivo - cihla plná (keramická) (tl. 300 mm)
4. Vnitřní omítka (druhá strana) (tl. 10-15 mm)</t>
        </is>
      </c>
      <c r="C6" s="37" t="inlineStr">
        <is>
          <t>PDF řez D.1.1.2.2.21 — legenda S02</t>
        </is>
      </c>
      <c r="D6" s="37" t="inlineStr">
        <is>
          <t>—</t>
        </is>
      </c>
      <c r="E6" s="37" t="inlineStr">
        <is>
          <t>—</t>
        </is>
      </c>
      <c r="F6" s="38" t="inlineStr">
        <is>
          <t>—</t>
        </is>
      </c>
      <c r="G6" s="39" t="inlineStr">
        <is>
          <t>TZ explicit</t>
        </is>
      </c>
    </row>
    <row r="7" ht="144" customHeight="1">
      <c r="A7" s="35" t="inlineStr">
        <is>
          <t>S03 — suterénní stěna (1.PP)</t>
        </is>
      </c>
      <c r="B7" s="36" t="inlineStr">
        <is>
          <t>1. Vnitřní omítka (tl. 10-15 mm)
2. Smíšené zdivo - cihla plná (keramická) (tl. 600 mm)
3. Sanační zateplení soklu (exteriérová strana):
4.   • Lepící tmel (př. Lepstyr plus)
5.   • Sanační izolační deska (př. Styrcon 200)
6.   • Armovací vrstva, tkanina, penetrace
7. S03a (pod úrovní terénu): drenážní vrstva - nopová folie (tl. 20 mm)
8. S03b (nad úrovní terénu): provětrávaná mezera s kotevním roštěm (tl. 40 mm)
9. S03b: keramický obklad (tl. 20 mm)</t>
        </is>
      </c>
      <c r="C7" s="37" t="inlineStr">
        <is>
          <t>PDF řez D.1.1.2.2.21 — legenda S03 + S03a + S03b</t>
        </is>
      </c>
      <c r="D7" s="37" t="inlineStr">
        <is>
          <t>—</t>
        </is>
      </c>
      <c r="E7" s="37" t="inlineStr">
        <is>
          <t>—</t>
        </is>
      </c>
      <c r="F7" s="38" t="inlineStr">
        <is>
          <t>—</t>
        </is>
      </c>
      <c r="G7" s="39" t="inlineStr">
        <is>
          <t>TZ explicit</t>
        </is>
      </c>
    </row>
    <row r="8" ht="80" customHeight="1">
      <c r="A8" s="35" t="inlineStr">
        <is>
          <t>S04 — podlaha na terénu v suterénu</t>
        </is>
      </c>
      <c r="B8" s="36" t="inlineStr">
        <is>
          <t>1. Epoxidová stěrka
2. Penetrace podkladu
3. Beton (tl. 100 mm)
4. Štěrkopískový podsyp (tl. 50 mm)
5. Rostlý terén / zemina</t>
        </is>
      </c>
      <c r="C8" s="37" t="inlineStr">
        <is>
          <t>PDF řez D.1.1.2.2.21 — legenda S04</t>
        </is>
      </c>
      <c r="D8" s="37" t="inlineStr">
        <is>
          <t>—</t>
        </is>
      </c>
      <c r="E8" s="37" t="inlineStr">
        <is>
          <t>1.PP (0.01..0.04 — sklep, technic, sušárna)</t>
        </is>
      </c>
      <c r="F8" s="38" t="inlineStr">
        <is>
          <t>32.4 m²</t>
        </is>
      </c>
      <c r="G8" s="39" t="inlineStr">
        <is>
          <t>TZ explicit</t>
        </is>
      </c>
    </row>
    <row r="9" ht="144" customHeight="1">
      <c r="A9" s="35" t="inlineStr">
        <is>
          <t>S05 — podlaha na terénu v přízemí (1.NP)</t>
        </is>
      </c>
      <c r="B9" s="36" t="inlineStr">
        <is>
          <t>1. Nášlapná vrstva dle tabulky místností (vinyl / dlažba) (tl. 15 mm)
2. Samonivelační stěrka (tl. cca 5 mm)
3. Betonový potěr, vyztužený kari sítí 150/150/6 (tl. 50 mm)
4. Tepelná izolace podlahový EPS 150 (λ=0,035 W/mK) (tl. 120 mm)
5. Hydroizolační pás z modif. asfaltu (tl. 4 mm)
6. Asfaltová penetrace
7. Betonová deska, vyztužená (tl. 120 mm)
8. Zhutněné štěrkové lože (vč. odvětrání radonu) (tl. 150 mm)
9. Zhutněný terén</t>
        </is>
      </c>
      <c r="C9" s="37" t="inlineStr">
        <is>
          <t>PDF řez D.1.1.2.2.21 — legenda S05 + TZ ARS §3.2.4 confirms</t>
        </is>
      </c>
      <c r="D9" s="37" t="inlineStr">
        <is>
          <t>—</t>
        </is>
      </c>
      <c r="E9" s="37" t="inlineStr">
        <is>
          <t>1.NP (1.01..1.08)</t>
        </is>
      </c>
      <c r="F9" s="38" t="inlineStr">
        <is>
          <t>59.5 m²</t>
        </is>
      </c>
      <c r="G9" s="39" t="inlineStr">
        <is>
          <t>TZ explicit</t>
        </is>
      </c>
    </row>
    <row r="10" ht="96" customHeight="1">
      <c r="A10" s="35" t="inlineStr">
        <is>
          <t>S06 — strop klenba mezi suterénem a přízemím</t>
        </is>
      </c>
      <c r="B10" s="36" t="inlineStr">
        <is>
          <t>1. Nášlapná vrstva (tl. 20 mm)
2. Hustá perlitbetonová plastická hmota TB2 (tl. 50 mm)
3. Zásyp perlitbetnovou směsí TB1 (λ=0,040 W/mK) (tl. 80-180 mm)
4. Ocelové nosníky + klenba z cihel plných (tl. 150 mm)
5. Vnitřní omítka (tl. 10-15 mm)
6. Výmalba</t>
        </is>
      </c>
      <c r="C10" s="37" t="inlineStr">
        <is>
          <t>PDF řez D.1.1.2.2.21 — legenda S06</t>
        </is>
      </c>
      <c r="D10" s="37" t="inlineStr">
        <is>
          <t>—</t>
        </is>
      </c>
      <c r="E10" s="37" t="inlineStr">
        <is>
          <t>—</t>
        </is>
      </c>
      <c r="F10" s="38" t="inlineStr">
        <is>
          <t>50 m²</t>
        </is>
      </c>
      <c r="G10" s="39" t="inlineStr">
        <is>
          <t>TZ explicit</t>
        </is>
      </c>
    </row>
    <row r="11" ht="160" customHeight="1">
      <c r="A11" s="35" t="inlineStr">
        <is>
          <t>S07 — strop trámový mezi 1.NP a 2.NP</t>
        </is>
      </c>
      <c r="B11" s="36" t="inlineStr">
        <is>
          <t>1. Nášlapná vrstva (tl. 20 mm)
2. Roznášecí vrstva - sádrovláknité dílce (př. Fermacell 2E22) (tl. 25 mm)
3. Desky kročejové izolace (př. Isover T-P) (tl. 30 mm)
4. Vyrovnávací a zátěžová vrstva - suchý podsyp keramzit/liapor zásyp (tl. 50 mm)
5. Separační geotextilie
6. Prkenný záklop na trámech (zachován) (tl. 20 mm)
7. Stropní trámy (tl. 180 mm)
8.   Vložená izolace z minerální vaty mezi trámy (tl. 100-180 mm)
9. SDK požární podhled s odolností min. RE 30 DP2 (tl. 80 mm)
10. Výmalba</t>
        </is>
      </c>
      <c r="C11" s="37" t="inlineStr">
        <is>
          <t>PDF řez D.1.1.2.2.21 — legenda S07</t>
        </is>
      </c>
      <c r="D11" s="37" t="inlineStr">
        <is>
          <t>—</t>
        </is>
      </c>
      <c r="E11" s="37" t="inlineStr">
        <is>
          <t>—</t>
        </is>
      </c>
      <c r="F11" s="38" t="inlineStr">
        <is>
          <t>59.5 m²</t>
        </is>
      </c>
      <c r="G11" s="39" t="inlineStr">
        <is>
          <t>TZ explicit</t>
        </is>
      </c>
    </row>
    <row r="12" ht="112" customHeight="1">
      <c r="A12" s="35" t="inlineStr">
        <is>
          <t>S08 — strop cihelná klenba mezi patry</t>
        </is>
      </c>
      <c r="B12" s="36" t="inlineStr">
        <is>
          <t>1. Nášlapná vrstva (tl. 20 mm)
2. Roznášecí vrstva sádrovláknité dílce (Fermacell 2E22) (tl. 25 mm)
3. Desky kročejové izolace (Isover T-P) (tl. 30 mm)
4. Suchý podsyp keramzit/liapor + dřevěný rošt (tl. 50 mm)
5. Separační vrstva
6. Cihelná klenba (tl. 150 mm)
7. Výmalba</t>
        </is>
      </c>
      <c r="C12" s="37" t="inlineStr">
        <is>
          <t>PDF řez D.1.1.2.2.21 — legenda S08</t>
        </is>
      </c>
      <c r="D12" s="37" t="inlineStr">
        <is>
          <t>—</t>
        </is>
      </c>
      <c r="E12" s="37" t="inlineStr">
        <is>
          <t>—</t>
        </is>
      </c>
      <c r="F12" s="38" t="inlineStr">
        <is>
          <t>—</t>
        </is>
      </c>
      <c r="G12" s="39" t="inlineStr">
        <is>
          <t>TZ explicit</t>
        </is>
      </c>
    </row>
    <row r="13" ht="144" customHeight="1">
      <c r="A13" s="35" t="inlineStr">
        <is>
          <t>S09 — strop ocelobeton mezi 2.NP a 3.NP (košický plech)</t>
        </is>
      </c>
      <c r="B13" s="36" t="inlineStr">
        <is>
          <t>1. Nivelace + nášlapná vrstva (tl. 40 mm)
2. Betonová mazanina s kari sítí (tl. 60 mm)
3. Kročejová izolace EPS (tl. 40 mm)
4. Zmonolitnění košického plechu (beton) (tl. 60 mm)
5. Košický plech s trny (tl. 40 mm)
6. Ocelové nosníky / stropnice (dle statiky IPE180) (tl. 180/200 mm)
7.   Prostor mezi vyplněn tep. izolací minerální vatou (tl. 180/200 mm)
8. SDK požární podhled s odolností min. RE 30 DP2 (tl. 60 mm)
9. Výmalba</t>
        </is>
      </c>
      <c r="C13" s="37" t="inlineStr">
        <is>
          <t>PDF řez D.1.1.2.2.21 — legenda S09 + statika §4 confirms IPE180+HEA180/200</t>
        </is>
      </c>
      <c r="D13" s="37" t="inlineStr">
        <is>
          <t>—</t>
        </is>
      </c>
      <c r="E13" s="37" t="inlineStr">
        <is>
          <t>—</t>
        </is>
      </c>
      <c r="F13" s="38" t="inlineStr">
        <is>
          <t>104.4 m²</t>
        </is>
      </c>
      <c r="G13" s="39" t="inlineStr">
        <is>
          <t>TZ explicit</t>
        </is>
      </c>
    </row>
    <row r="14" ht="160" customHeight="1">
      <c r="A14" s="35" t="inlineStr">
        <is>
          <t>S10 — šikmá střecha (krov nadkrokevní)</t>
        </is>
      </c>
      <c r="B14" s="36" t="inlineStr">
        <is>
          <t>1. Hliníková falcovaná krytina, pásy cca 500 mm
2. Pojistná hydroizolační folie pod hliníkovou krytinu
3. Celoplošné bednění - prkna (tl. 25 mm)
4. Distanční kontralať (60×40 mm) + vzduch. mezera (tl. 40 mm)
5. Doplňková hydroizolační vrstva (př. Top depdek cover pro) (tl. 2 mm)
6. Tepelná izolace PIR (tl. 160 mm)
7.   PIR izolace s hliník. vložkou (λ=0,022 W/mK)
8. Parotěsnící vrstva (př. Top depdek AL barrier) (tl. 2 mm)
9. Obkladová palubka (zezdola krov) (tl. 20 mm)
10. Krokve (tl. 180 mm)</t>
        </is>
      </c>
      <c r="C14" s="37" t="inlineStr">
        <is>
          <t>PDF řez D.1.1.2.2.21 — legenda S10 + TZ ARS §3.2.3</t>
        </is>
      </c>
      <c r="D14" s="37" t="inlineStr">
        <is>
          <t>—</t>
        </is>
      </c>
      <c r="E14" s="37" t="inlineStr">
        <is>
          <t>—</t>
        </is>
      </c>
      <c r="F14" s="38" t="inlineStr">
        <is>
          <t>141 m²</t>
        </is>
      </c>
      <c r="G14" s="39" t="inlineStr">
        <is>
          <t>TZ explicit</t>
        </is>
      </c>
    </row>
    <row r="15" ht="60" customHeight="1">
      <c r="A15" s="35" t="inlineStr">
        <is>
          <t>S11 — lehký strop vloženého mezipatra (biodeska)</t>
        </is>
      </c>
      <c r="B15" s="36" t="inlineStr">
        <is>
          <t>1. Dřevěná biodeska osazená pružně na kleštiny</t>
        </is>
      </c>
      <c r="C15" s="37" t="inlineStr">
        <is>
          <t>PDF řez D.1.1.2.2.21 — legenda S11</t>
        </is>
      </c>
      <c r="D15" s="37" t="inlineStr">
        <is>
          <t>—</t>
        </is>
      </c>
      <c r="E15" s="37" t="inlineStr">
        <is>
          <t>—</t>
        </is>
      </c>
      <c r="F15" s="38" t="inlineStr">
        <is>
          <t>25 m²</t>
        </is>
      </c>
      <c r="G15" s="39" t="inlineStr">
        <is>
          <t>TZ explicit</t>
        </is>
      </c>
    </row>
    <row r="16" ht="160" customHeight="1">
      <c r="A16" s="35" t="inlineStr">
        <is>
          <t>S12a — obvodová stěna podkroví, fasáda omítka</t>
        </is>
      </c>
      <c r="B16" s="36" t="inlineStr">
        <is>
          <t>1. Povrch dle tabulky místností (výmalba, obklad)
2. Vnitřní omítka sádrová stříkaná (tl. 10-15 mm)
3. Keramická děrovaná broušená cihla (Porotherm 30) (tl. 300 mm)
4. Kontaktní zateplovací systém ETICS:
5.   • Penetrační nátěr
6.   • Lepící hmota (tl. cca 10 mm)
7.   • EPS grey (λ=0,032 W/mK), mechanicky kotvené (tl. 160 mm)
8.   • Lepící stěrka s výztuží (tl. cca 5 mm)
9.   • Penetrační nátěr
10.   • Tenkovrstvá probarvená silikonová omítka (tl. 2 mm)</t>
        </is>
      </c>
      <c r="C16" s="37" t="inlineStr">
        <is>
          <t>PDF řez D.1.1.2.2.21 — legenda S12 + S12a</t>
        </is>
      </c>
      <c r="D16" s="37" t="inlineStr">
        <is>
          <t>—</t>
        </is>
      </c>
      <c r="E16" s="37" t="inlineStr">
        <is>
          <t>—</t>
        </is>
      </c>
      <c r="F16" s="38" t="inlineStr">
        <is>
          <t>—</t>
        </is>
      </c>
      <c r="G16" s="39" t="inlineStr">
        <is>
          <t>TZ explicit</t>
        </is>
      </c>
    </row>
    <row r="17" ht="144" customHeight="1">
      <c r="A17" s="35" t="inlineStr">
        <is>
          <t>S12b — obvodová stěna podkroví, fasáda falcovaný plech (provětrávaná)</t>
        </is>
      </c>
      <c r="B17" s="36" t="inlineStr">
        <is>
          <t>1. Povrch interier dle tabulky místností (výmalba, obklad)
2. Vnitřní omítka sádrová stříkaná (tl. 10-15 mm)
3. Keramická děrovaná broušená cihla (Porotherm 30) (tl. 300 mm)
4. Provětrávaná fasáda vč. zateplení:
5.   • Fasádní miner. izolace (λ=0,035 W/mK) + kotvy fasády (tl. 180 mm)
6.   • Paropropustná fasádní folie s UV odolnostní
7.   • Svislý nosný rastr 40×60 mm ochranný nátěr + provětrávaná mezera (tl. 40 mm)
8.   • Celoplošné bednění - prkna (tl. 25 mm)
9.   • Hliníková falcovaná krytina, pásy cca 500 mm</t>
        </is>
      </c>
      <c r="C17" s="37" t="inlineStr">
        <is>
          <t>PDF řez D.1.1.2.2.21 — legenda S12b</t>
        </is>
      </c>
      <c r="D17" s="37" t="inlineStr">
        <is>
          <t>—</t>
        </is>
      </c>
      <c r="E17" s="37" t="inlineStr">
        <is>
          <t>—</t>
        </is>
      </c>
      <c r="F17" s="38" t="inlineStr">
        <is>
          <t>24 m²</t>
        </is>
      </c>
      <c r="G17" s="39" t="inlineStr">
        <is>
          <t>TZ explicit</t>
        </is>
      </c>
    </row>
    <row r="19">
      <c r="A19" s="3" t="inlineStr">
        <is>
          <t>CROSS-VALIDATION POZNÁMKY (DXF × TZ konzistence)</t>
        </is>
      </c>
    </row>
    <row r="21">
      <c r="A21" s="11" t="inlineStr">
        <is>
          <t>TZ SILENT VALUES — ČSN DEFAULT FALLBACK</t>
        </is>
      </c>
    </row>
    <row r="22" ht="36" customHeight="1">
      <c r="A22" s="40" t="inlineStr">
        <is>
          <t>⚠ Per-podlaží výška: TZ NEMÁ explicit value. Fallback: 1.PP 2.50 m, 1.NP 2.80 m, 2.NP 2.80 m, 3.NP nadezdívka 2.65 m. Σ = 10.75 m vs TZ B 13.0 m celková výška = +2.25 m pro krov+střechu. Flag: tz_silent_fallback_csn_vyska_podlazi.</t>
        </is>
      </c>
    </row>
    <row r="23" ht="36" customHeight="1">
      <c r="A23" s="40" t="inlineStr">
        <is>
          <t>⚠ Obklad výška v koupelnách: TZ NEMÁ explicit value. Fallback: 2.0 m (CSN Czech RD standard, po sprchový kout). Flag: tz_silent_fallback_csn_obklad_vyska_2m.</t>
        </is>
      </c>
    </row>
  </sheetData>
  <mergeCells count="6">
    <mergeCell ref="A1:G1"/>
    <mergeCell ref="A21:G21"/>
    <mergeCell ref="A22:G22"/>
    <mergeCell ref="A2:G2"/>
    <mergeCell ref="A19:G19"/>
    <mergeCell ref="A23:G2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30" customWidth="1" min="3" max="3"/>
    <col width="60" customWidth="1" min="4" max="4"/>
    <col width="6" customWidth="1" min="5" max="5"/>
    <col width="60" customWidth="1" min="6" max="6"/>
    <col width="60" customWidth="1" min="7" max="7"/>
    <col width="16" customWidth="1" min="8" max="8"/>
  </cols>
  <sheetData>
    <row r="1" ht="32" customHeight="1">
      <c r="A1" s="6" t="inlineStr">
        <is>
          <t>URS kód</t>
        </is>
      </c>
      <c r="B1" s="6" t="inlineStr">
        <is>
          <t>Verdict</t>
        </is>
      </c>
      <c r="C1" s="6" t="inlineStr">
        <is>
          <t>Items používající</t>
        </is>
      </c>
      <c r="D1" s="6" t="inlineStr">
        <is>
          <t>Verified popis (URS)</t>
        </is>
      </c>
      <c r="E1" s="6" t="inlineStr">
        <is>
          <t>MJ</t>
        </is>
      </c>
      <c r="F1" s="6" t="inlineStr">
        <is>
          <t>Item popis (truncated)</t>
        </is>
      </c>
      <c r="G1" s="6" t="inlineStr">
        <is>
          <t>Correct code hint</t>
        </is>
      </c>
      <c r="H1" s="6" t="inlineStr">
        <is>
          <t>Confidence po</t>
        </is>
      </c>
    </row>
    <row r="2">
      <c r="A2" s="20" t="inlineStr">
        <is>
          <t>121101101</t>
        </is>
      </c>
      <c r="B2" s="25" t="inlineStr">
        <is>
          <t>✓ code_real</t>
        </is>
      </c>
      <c r="C2" s="8" t="inlineStr">
        <is>
          <t>260219_dum.HSV1.001</t>
        </is>
      </c>
      <c r="D2" s="8" t="inlineStr">
        <is>
          <t>Sejmutí ornice nebo lesní půdy s vodorovným přemístěním — do 50 m</t>
        </is>
      </c>
      <c r="E2" s="20" t="inlineStr">
        <is>
          <t>m3</t>
        </is>
      </c>
      <c r="F2" s="8" t="inlineStr">
        <is>
          <t>Sejmutí ornice tl. 100 mm na ploše budoucí opěrné stěny a anglického dvorku…</t>
        </is>
      </c>
      <c r="G2" s="8" t="inlineStr">
        <is>
          <t>Code 121101101 IS valid URS leaf, but RD Jáchymov item HSV1.001 proposed 121101101 — that's the 'do 50 m' leaf. Item popis says 'tl. 100 mm ... ploše budoucí opěrné stěny' with no transport distance mentioned. Acceptable proposal for staging close-by; verify distance per project.</t>
        </is>
      </c>
      <c r="H2" s="20" t="inlineStr">
        <is>
          <t>0.95</t>
        </is>
      </c>
    </row>
    <row r="3">
      <c r="A3" s="20" t="inlineStr">
        <is>
          <t>132201101</t>
        </is>
      </c>
      <c r="B3" s="25" t="inlineStr">
        <is>
          <t>✓ matches_item</t>
        </is>
      </c>
      <c r="C3" s="8" t="inlineStr">
        <is>
          <t>260219_dum.HSV1.002, 260217_sklad.HSV1.003</t>
        </is>
      </c>
      <c r="D3" s="8" t="inlineStr">
        <is>
          <t>Hloubení rýh š do 600 mm v hornině tř. 3 objemu do 100 m3</t>
        </is>
      </c>
      <c r="E3" s="20" t="inlineStr">
        <is>
          <t>m3</t>
        </is>
      </c>
      <c r="F3" s="8" t="inlineStr">
        <is>
          <t>Hloubení rýh š. do 60 cm pro pas opěrné stěny bílé vany v zemině třídy 3 (F4-CS)…</t>
        </is>
      </c>
      <c r="G3" s="8" t="inlineStr">
        <is>
          <t>Excellent match. RD Jáchymov item: 'Hloubení rýh š. do 60 cm ... v zemině třídy 3 (F4-CS)'. URS leaf 132201101 is exactly that. urs_status = matched.</t>
        </is>
      </c>
      <c r="H3" s="20" t="inlineStr">
        <is>
          <t>0.95–0.95</t>
        </is>
      </c>
    </row>
    <row r="4">
      <c r="A4" s="20" t="inlineStr">
        <is>
          <t>162701105</t>
        </is>
      </c>
      <c r="B4" s="28" t="inlineStr">
        <is>
          <t>⚠ wrong_leaf (distance)</t>
        </is>
      </c>
      <c r="C4" s="8" t="inlineStr">
        <is>
          <t>260219_dum.HSV1.007, 260217_sklad.HSV1.006</t>
        </is>
      </c>
      <c r="D4" s="8" t="inlineStr">
        <is>
          <t>Vodorovné přemístění výkopku nebo sypaniny po suchu na obvyklém dopravním prostředku, bez naložení výkopku, avšak se složením bez rozhrnutí z horniny tř. 1 až 4 na vzdálenost přes 9 000 do 10 000 m</t>
        </is>
      </c>
      <c r="E4" s="20" t="inlineStr">
        <is>
          <t>m3</t>
        </is>
      </c>
      <c r="F4" s="8" t="inlineStr">
        <is>
          <t>Vodorovné přemístění výkopku — odvoz na deponii do 8 km vč. skládkovného (zemina…</t>
        </is>
      </c>
      <c r="G4" s="8" t="inlineStr">
        <is>
          <t>Leaf needs adjustment — RD Jáchymov item says 'odvoz na deponii do 8 km', URS 162701105 is for 9-10 km. Likely 162701104 (8-9 km) or 162701103 (7-8 km). Verify exact leaf on podminky.urs.cz.</t>
        </is>
      </c>
      <c r="H4" s="20" t="inlineStr">
        <is>
          <t>0.50–0.50</t>
        </is>
      </c>
    </row>
    <row r="5">
      <c r="A5" s="20" t="inlineStr">
        <is>
          <t>711132101</t>
        </is>
      </c>
      <c r="B5" s="28" t="inlineStr">
        <is>
          <t>⚠ wrong_leaf (material)</t>
        </is>
      </c>
      <c r="C5" s="8" t="inlineStr">
        <is>
          <t>260219_dum.HSV2.005, 260219_dum.PSV71.003</t>
        </is>
      </c>
      <c r="D5" s="8" t="inlineStr">
        <is>
          <t>Provedení izolace proti zemní vlhkosti pásy na sucho AIP nebo tkaniny na ploše svislé S (AIP = asfaltové izolační pásy)</t>
        </is>
      </c>
      <c r="E5" s="20" t="inlineStr">
        <is>
          <t>m2</t>
        </is>
      </c>
      <c r="F5" s="8" t="inlineStr">
        <is>
          <t>Separační PE fólie pod základovou patou bílé vany (povinná dle ČBS 02)…</t>
        </is>
      </c>
      <c r="G5" s="8" t="inlineStr">
        <is>
          <t>Family 711 (Izolace proti vodě, vlhkosti a plynům) IS the right family, BUT leaf 711132101 is for bituminous rolls (AIP). RD Jáchymov items use PE foil (HSV2.005) and liquid stěrka coating (PSV71.003). Search '711141xxx PE fólie' / '711141xxx stěrka koupelna' on podminky.urs.cz for correct leaves.</t>
        </is>
      </c>
      <c r="H5" s="20" t="inlineStr">
        <is>
          <t>0.50–0.50</t>
        </is>
      </c>
    </row>
    <row r="6">
      <c r="A6" s="20" t="inlineStr">
        <is>
          <t>962081141</t>
        </is>
      </c>
      <c r="B6" s="28" t="inlineStr">
        <is>
          <t>❌ wrong_work_type</t>
        </is>
      </c>
      <c r="C6" s="8" t="inlineStr">
        <is>
          <t>260219_dum.HSV6.002, 260219_dum.HSV6.007</t>
        </is>
      </c>
      <c r="D6" s="8" t="inlineStr">
        <is>
          <t>Bourání příček nebo přizdívek ze skleněných tvárnic, tl. přes 100 do 150 mm</t>
        </is>
      </c>
      <c r="E6" s="20" t="inlineStr">
        <is>
          <t>m2</t>
        </is>
      </c>
      <c r="F6" s="8" t="inlineStr">
        <is>
          <t>Bourání stávající plechové krytiny (manuálně, recyklace plechu)…</t>
        </is>
      </c>
      <c r="G6" s="8" t="inlineStr">
        <is>
          <t>962081141 is for glass-block partition demolition — entirely unrelated to RD Jáchymov items. HSV6.002 'Bourání plechové krytiny' needs roofing family (762/764 demontáž krytiny). HSV6.007 'Bourání keramických obkladů koupelen' has multiple correct candidates listed below.</t>
        </is>
      </c>
      <c r="H6" s="20" t="inlineStr">
        <is>
          <t>0.50–0.90</t>
        </is>
      </c>
    </row>
    <row r="7">
      <c r="A7" s="20" t="inlineStr">
        <is>
          <t>771121011</t>
        </is>
      </c>
      <c r="B7" s="28" t="inlineStr">
        <is>
          <t>❌ wrong_work_type</t>
        </is>
      </c>
      <c r="C7" s="8" t="inlineStr">
        <is>
          <t>260217_sklad.PSV77.001</t>
        </is>
      </c>
      <c r="D7" s="8" t="inlineStr">
        <is>
          <t>Nátěr penetrační na podlahu</t>
        </is>
      </c>
      <c r="E7" s="20" t="inlineStr">
        <is>
          <t>m2</t>
        </is>
      </c>
      <c r="F7" s="8" t="inlineStr">
        <is>
          <t>Betonová dlažba do pískového lože — povrch podlahy skladu (~21 m²)…</t>
        </is>
      </c>
      <c r="G7" s="8" t="inlineStr">
        <is>
          <t>771121011 is floor primer painting, NOT betonová dlažba install. For 'Betonová dlažba do pískového lože' look at TSKP 596 (chodník) or 771-12 (laying ceramic/concrete tiles on bedding). Search 'betonová dlažba do pískového lože' on podminky.urs.cz.</t>
        </is>
      </c>
      <c r="H7" s="20" t="inlineStr">
        <is>
          <t>0.5</t>
        </is>
      </c>
    </row>
    <row r="8">
      <c r="A8" s="20" t="inlineStr">
        <is>
          <t>781471810</t>
        </is>
      </c>
      <c r="B8" s="25" t="inlineStr">
        <is>
          <t>✓ correct_replacement</t>
        </is>
      </c>
      <c r="C8" s="8" t="inlineStr">
        <is>
          <t>260219_dum.HSV6.007</t>
        </is>
      </c>
      <c r="D8" s="8" t="inlineStr">
        <is>
          <t>Demontáž obkladů z dlaždic keramických kladených do malty</t>
        </is>
      </c>
      <c r="E8" s="20" t="inlineStr">
        <is>
          <t>m2</t>
        </is>
      </c>
      <c r="F8" s="8" t="inlineStr">
        <is>
          <t>Bourání keramických obkladů a zařizovacích předmětů v koupelnách 1.NP + 2.NP…</t>
        </is>
      </c>
      <c r="G8" s="8" t="inlineStr">
        <is>
          <t>PROPOSED REPLACEMENT for HSV6.007 'Bourání keramických obkladů a zařizovacích předmětů v koupelnách'. Alternative: 781473810 (lepené obklady — modern stavební lepidlo) — likely more relevant for koupelny built post-1990s.</t>
        </is>
      </c>
      <c r="H8" s="20" t="inlineStr">
        <is>
          <t>0.9</t>
        </is>
      </c>
    </row>
    <row r="9">
      <c r="A9" s="20" t="inlineStr">
        <is>
          <t>781473810</t>
        </is>
      </c>
      <c r="B9" s="25" t="inlineStr">
        <is>
          <t>✓ correct_replacement</t>
        </is>
      </c>
      <c r="C9" s="8" t="inlineStr">
        <is>
          <t>260219_dum.HSV6.007</t>
        </is>
      </c>
      <c r="D9" s="8" t="inlineStr">
        <is>
          <t>Demontáž obkladů z dlaždic keramických lepených</t>
        </is>
      </c>
      <c r="E9" s="20" t="inlineStr">
        <is>
          <t>m2</t>
        </is>
      </c>
      <c r="F9" s="8" t="inlineStr">
        <is>
          <t>Bourání keramických obkladů a zařizovacích předmětů v koupelnách 1.NP + 2.NP…</t>
        </is>
      </c>
      <c r="G9" s="8" t="inlineStr">
        <is>
          <t>Likely the best match — RD Jáchymov koupelny use modern lepené obklady, not malta-laid.</t>
        </is>
      </c>
      <c r="H9" s="20" t="inlineStr">
        <is>
          <t>0.9</t>
        </is>
      </c>
    </row>
    <row r="10">
      <c r="A10" s="20" t="inlineStr">
        <is>
          <t>978059511</t>
        </is>
      </c>
      <c r="B10" s="26" t="inlineStr">
        <is>
          <t>◌ alternative</t>
        </is>
      </c>
      <c r="C10" s="8" t="inlineStr">
        <is>
          <t>260219_dum.HSV6.007</t>
        </is>
      </c>
      <c r="D10" s="8" t="inlineStr">
        <is>
          <t>Odsekání a odebrání obkladů stěn z vnitřních obkládaček plochy do 1 m2</t>
        </is>
      </c>
      <c r="E10" s="20" t="inlineStr">
        <is>
          <t>m2</t>
        </is>
      </c>
      <c r="F10" s="8" t="inlineStr">
        <is>
          <t>Bourání keramických obkladů a zařizovacích předmětů v koupelnách 1.NP + 2.NP…</t>
        </is>
      </c>
      <c r="G10" s="8" t="inlineStr">
        <is>
          <t>Alternative if individual koupelny &lt; 1 m2. RD Jáchymov koupelny are larger → 978059541 fits better.</t>
        </is>
      </c>
      <c r="H10" s="20" t="inlineStr">
        <is>
          <t>0.9</t>
        </is>
      </c>
    </row>
    <row r="11">
      <c r="A11" s="20" t="inlineStr">
        <is>
          <t>978059541</t>
        </is>
      </c>
      <c r="B11" s="26" t="inlineStr">
        <is>
          <t>◌ alternative</t>
        </is>
      </c>
      <c r="C11" s="8" t="inlineStr">
        <is>
          <t>260219_dum.HSV6.007</t>
        </is>
      </c>
      <c r="D11" s="8" t="inlineStr">
        <is>
          <t>Odsekání a odebrání obkladů stěn z vnitřních obkládaček plochy přes 1 m2</t>
        </is>
      </c>
      <c r="E11" s="20" t="inlineStr">
        <is>
          <t>m2</t>
        </is>
      </c>
      <c r="F11" s="8" t="inlineStr">
        <is>
          <t>Bourání keramických obkladů a zařizovacích předmětů v koupelnách 1.NP + 2.NP…</t>
        </is>
      </c>
      <c r="G11" s="8" t="inlineStr">
        <is>
          <t>Alternative if work scope is 'odsekat odstránit' (chip off + remove) rather than 'demontovat' (controlled dismount). Choose based on whether obklady reuse expected (no for renovation = use 978059xxx).</t>
        </is>
      </c>
      <c r="H11" s="20" t="inlineStr">
        <is>
          <t>0.9</t>
        </is>
      </c>
    </row>
    <row r="12">
      <c r="A12" s="20" t="inlineStr">
        <is>
          <t>713141121</t>
        </is>
      </c>
      <c r="B12" s="28" t="inlineStr">
        <is>
          <t>❌ wrong_location</t>
        </is>
      </c>
      <c r="C12" s="8" t="inlineStr">
        <is>
          <t>260219_dum.PSV71.001, 260219_dum.PSV71.002</t>
        </is>
      </c>
      <c r="D12" s="8" t="inlineStr">
        <is>
          <t>Montáž tepelné izolace střech plochých rohožemi, pásy, deskami, dílci, bloky</t>
        </is>
      </c>
      <c r="E12" s="20" t="inlineStr">
        <is>
          <t>m2</t>
        </is>
      </c>
      <c r="F12" s="8" t="inlineStr">
        <is>
          <t>Podlahový EPS 150 λ=0.035 tl. 120 mm — pod betonový potěr 1.NP a 3.NP…</t>
        </is>
      </c>
      <c r="G12" s="8" t="inlineStr">
        <is>
          <t>713141121 is for STŘECHY (roofs). RD Jáchymov PSV71.001/.002 are PODLAHY (floors) — different family. Look at 713121xxx (Montáž tepelné izolace podlah). Local DB has 713121122 ('Montáž tepelné izolace podlah rohožemi'); that's the right family root.</t>
        </is>
      </c>
      <c r="H12" s="20" t="inlineStr">
        <is>
          <t>0.50–0.50</t>
        </is>
      </c>
    </row>
    <row r="13">
      <c r="A13" s="20" t="inlineStr">
        <is>
          <t>273313811</t>
        </is>
      </c>
      <c r="B13" s="28" t="inlineStr">
        <is>
          <t>❌ wrong_geometry</t>
        </is>
      </c>
      <c r="C13" s="8" t="inlineStr">
        <is>
          <t>260217_sklad.HSV2.001</t>
        </is>
      </c>
      <c r="D13" s="8" t="inlineStr">
        <is>
          <t>Základy z betonu prostého desky z betonu kamenem neprokládaného tř. C 25/30</t>
        </is>
      </c>
      <c r="E13" s="20" t="inlineStr">
        <is>
          <t>m3</t>
        </is>
      </c>
      <c r="F13" s="8" t="inlineStr">
        <is>
          <t>Základové pasy z prostého betonu C16/20 XC0, 500×500 mm po obvodu skladu (nezámr…</t>
        </is>
      </c>
      <c r="G13" s="8" t="inlineStr">
        <is>
          <t>Item is 'Základové PASY z prostého betonu C16/20'. URS 273313811 is for DESKY (slabs), not PASY (strip foundations); also C25/30 instead of C16/20. Look at 271xxx family (pasy) with C16/20 leaf.</t>
        </is>
      </c>
      <c r="H13" s="20" t="inlineStr">
        <is>
          <t>0.5</t>
        </is>
      </c>
    </row>
    <row r="14">
      <c r="A14" s="20" t="inlineStr">
        <is>
          <t>131201101</t>
        </is>
      </c>
      <c r="B14" s="25" t="inlineStr">
        <is>
          <t>✓ correct_replacement</t>
        </is>
      </c>
      <c r="C14" s="8" t="inlineStr">
        <is>
          <t>260219_dum.HSV1.003, 260217_sklad.HSV1.002</t>
        </is>
      </c>
      <c r="D14" s="8" t="inlineStr">
        <is>
          <t>Hloubení jam nezapažených v hornině tř. 3 objemu do 100 m3</t>
        </is>
      </c>
      <c r="E14" s="20" t="inlineStr">
        <is>
          <t>m3</t>
        </is>
      </c>
      <c r="F14" s="8" t="inlineStr">
        <is>
          <t>Hloubení jam nezapažených pro anglický dvorek a nový vstup do 1.PP ze zahrady, h…</t>
        </is>
      </c>
      <c r="G14" s="8" t="inlineStr">
        <is>
          <t>Korekce 2026-05-19: items.json měly fabrikovaný term 'Hloubení figury' (RU loanword) + špatný 6-digit family 132 (rýhy). Item je ve skutečnosti JAMY (TKP 131) — anglický dvorek + objekt skladu = bodové výkopové práce, ne lineární. Popis přepsán + kód změněn na verifikovaný 131201101.</t>
        </is>
      </c>
      <c r="H14" s="20" t="inlineStr">
        <is>
          <t>0.95–0.95</t>
        </is>
      </c>
    </row>
    <row r="16" ht="60" customHeight="1">
      <c r="A16" s="12" t="inlineStr">
        <is>
          <t>Zdroj: outputs/urs_websearch_verifications.json (12 WebSearch queries 2026-05-18).
Metoda: podminky.urs.cz blokuje WebFetch (403), ale Google indexuje stejný obsah přes veřejné zrcadla českých veřejných zakázek (smlouvy.gov.cz, vhodne-uverejneni.cz, docplayer.cz, cs-urs.cz). WebSearch tool agreguje 10 snippet linků + LLM summary extrahuje URS popis when anchored.
Key finding: heuristic urs_code_proposed v phase1_items_generator.py odhadne první 6 cifer (rodinu) správně v ~75 % případů, ale 9-cifrový leaf je chybný v ~63 % verified codes.</t>
        </is>
      </c>
      <c r="B16" s="13" t="n"/>
      <c r="C16" s="13" t="n"/>
      <c r="D16" s="13" t="n"/>
      <c r="E16" s="13" t="n"/>
      <c r="F16" s="13" t="n"/>
      <c r="G16" s="13" t="n"/>
      <c r="H16" s="14" t="n"/>
    </row>
    <row r="17">
      <c r="A17" s="15" t="n"/>
      <c r="H17" s="16" t="n"/>
    </row>
    <row r="18">
      <c r="A18" s="15" t="n"/>
      <c r="H18" s="16" t="n"/>
    </row>
    <row r="19">
      <c r="A19" s="15" t="n"/>
      <c r="H19" s="16" t="n"/>
    </row>
    <row r="20">
      <c r="A20" s="17" t="n"/>
      <c r="B20" s="18" t="n"/>
      <c r="C20" s="18" t="n"/>
      <c r="D20" s="18" t="n"/>
      <c r="E20" s="18" t="n"/>
      <c r="F20" s="18" t="n"/>
      <c r="G20" s="18" t="n"/>
      <c r="H20" s="19" t="n"/>
    </row>
  </sheetData>
  <autoFilter ref="A1:H14"/>
  <mergeCells count="1">
    <mergeCell ref="A16:H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2026-05-27T06:30:25Z</dcterms:created>
  <dcterms:modified xmlns:dcterms="http://purl.org/dc/terms/" xmlns:xsi="http://www.w3.org/2001/XMLSchema-instance" xsi:type="dcterms:W3CDTF">2026-05-27T06:30:26Z</dcterms:modified>
</cp:coreProperties>
</file>
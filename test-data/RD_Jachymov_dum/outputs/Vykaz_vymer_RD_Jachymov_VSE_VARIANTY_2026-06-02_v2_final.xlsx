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'Var_C_Hybrid'!$A$1:$J$144</definedName>
    <definedName name="_xlnm._FilterDatabase" localSheetId="4" hidden="1">'Var_B_Polozkovy_Dum'!$A$1:$O$202</definedName>
    <definedName name="_xlnm._FilterDatabase" localSheetId="5" hidden="1">'Var_B_Polozkovy_Sklad'!$A$1:$O$47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(130 ks) + PSV/TZB/VRN agregovaně (13 skupin) = 143 řádků.</t>
        </is>
      </c>
      <c r="C24" s="9" t="n">
        <v>143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+ 46 sklad = 247 položek). Cílový rozsah pro produkční pricing.</t>
        </is>
      </c>
      <c r="C25" s="9" t="n">
        <v>247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247 (201 dum + 46 sklad)</t>
        </is>
      </c>
    </row>
    <row r="32">
      <c r="A32" s="4" t="inlineStr">
        <is>
          <t>Gate distribution</t>
        </is>
      </c>
      <c r="B32" s="5" t="inlineStr">
        <is>
          <t>HSV 130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9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170 needs_production_lookup (68.8 %)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37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247 položek celkem (201 dum + 46 sklad), 4 corpus patterns aplikované, zero-fabrication policy.
Confidence distribution: 17×0.99 · 29×0.95 · 32×0.90 · 48×0.85 · 21×0.80 · 75×0.75 · 9×0.70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247 (201 dům + 46 sklad) — vč. CEV +3 (komín/zídky/drenáž), anchor-gap +2 (přesun hmot/lešení), terasa-area fix + venkovní schody na terénu. 74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Patky parking horní část — zdivo z tvárnic ztraceného bednění 300×300 mm (lost formwork, zůstává v konstrukci), 6 patek á 300×300×500 mm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21" t="inlineStr">
        <is>
          <t>PSV-76 — Výplně otvorů + klempířina + zámečnictví + truhlář</t>
        </is>
      </c>
      <c r="D132" s="8" t="inlineStr">
        <is>
          <t>[agregát] 4 položek: Bezpečnostní dveře RC3 sklad; Vjezdová brána; Oplocení (plot); … (+1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260217_sklad</t>
        </is>
      </c>
      <c r="C133" s="21" t="inlineStr">
        <is>
          <t>PSV-77 — Podlahy</t>
        </is>
      </c>
      <c r="D133" s="8" t="inlineStr">
        <is>
          <t>[agregát] 1 položek: Betonová dlažba sklad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VRN — Vedlejší rozpočtové náklady</t>
        </is>
      </c>
      <c r="D134" s="8" t="inlineStr">
        <is>
          <t>[agregát] 5 položek: Doprava prefa H-BLOK auto s hyd. rukou; Likvidace odpadu sklad; Geodetické vytýčení sklad; … (+2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M-21 — Elektroinstalace silnoproudá</t>
        </is>
      </c>
      <c r="D135" s="8" t="inlineStr">
        <is>
          <t>[agregát] 8 položek: Demontáž stávající ELI; Pojistková skříň + 3× podružný rozvaděč; Rozvody silnoproud; … (+5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260219_dum</t>
        </is>
      </c>
      <c r="C136" s="21" t="inlineStr">
        <is>
          <t>M-24</t>
        </is>
      </c>
      <c r="D136" s="8" t="inlineStr">
        <is>
          <t>[agregát] 1 položek: Lokální odtah digestoří kuchyní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PSV-71 — Izolace HI + TI</t>
        </is>
      </c>
      <c r="D137" s="8" t="inlineStr">
        <is>
          <t>[agregát] 5 položek: HI pod ŽB deskou 1.NP; Odvětrání radonu z podloží; HI koupelny 1.NP + 2.NP + 3.NP; … (+2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PSV-72 — ZTI (vodovod + kanalizace + sanita)</t>
        </is>
      </c>
      <c r="D138" s="8" t="inlineStr">
        <is>
          <t>[agregát] 19 položek: Revize stávajících přípojek; Nové rozvody vody do 3.NP; Nové odpadní rozvody; … (+16 dalších)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PSV-73 — Vytápění + komín</t>
        </is>
      </c>
      <c r="D139" s="8" t="inlineStr">
        <is>
          <t>[agregát] 8 položek: Sporáková kamna na tuhá paliva; Sporáková kamna — montáž; Elektrokotel 3.NP; … (+5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PSV-76 — Výplně otvorů + klempířina + zámečnictví + truhlář</t>
        </is>
      </c>
      <c r="D140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PSV-77 — Podlahy</t>
        </is>
      </c>
      <c r="D141" s="8" t="inlineStr">
        <is>
          <t>[agregát] 7 položek: Nášlap vinyl obytné místnosti; Nášlap keramická dlažba — mokré zóny; Nášlap keramická dlažba — 1.PP sklep; … (+4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PSV-78 — Povrchové úpravy</t>
        </is>
      </c>
      <c r="D142" s="8" t="inlineStr">
        <is>
          <t>[agregát] 16 položek: Omítka jádrová + štuk 1.PP; Omítka jádrová + štuk 1.NP; Omítka jádrová + štuk 2.NP; … (+13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PSV-95 — Detekce požární</t>
        </is>
      </c>
      <c r="D143" s="8" t="inlineStr">
        <is>
          <t>[agregát] 3 položek: Autonomní hlásič kouře; Přenosný hasicí přístroj 34A; Předávací protokol krbu + kontrola bezpečných vzdáleností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VRN — Vedlejší rozpočtové náklady</t>
        </is>
      </c>
      <c r="D144" s="8" t="inlineStr">
        <is>
          <t>[agregát] 18 položek: Buňky kancelář + sociální; Mobilní WC; El. odběr + vodovodní odběr stavby; … (+15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</sheetData>
  <autoFilter ref="A1:J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  <c r="P10" s="41" t="inlineStr"/>
      <c r="Q10" s="41" t="n"/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  <c r="P11" s="41" t="inlineStr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  <c r="P12" s="41" t="inlineStr">
        <is>
          <t>S03a_sklad, S03b_sklad</t>
        </is>
      </c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Patky parking horní část — zdivo z tvárnic ztraceného bednění 300×300 mm (lost formwork, zůstává v konstrukci), 6 patek á 300×300×500 mm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  <c r="P14" s="41" t="n"/>
      <c r="Q14" s="41" t="inlineStr">
        <is>
          <t>TVARNICE_SPLIT_FIX_2026-06-02 — materiál-leg byl chybně ocel S235 (auto-split chytil IPE180); ztracené bednění → komplet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2 řady nad 6 patkami, šířka tvárnic 300 mm</t>
        </is>
      </c>
      <c r="N15" s="20" t="inlineStr">
        <is>
          <t>—</t>
        </is>
      </c>
      <c r="O15" s="26" t="inlineStr">
        <is>
          <t>ANO</t>
        </is>
      </c>
      <c r="P15" s="41" t="n"/>
      <c r="Q15" s="41" t="inlineStr">
        <is>
          <t>PATKY_7to6_DRAWING_2026-06-01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S01_sklad, S05_sklad</t>
        </is>
      </c>
      <c r="Q16" s="41" t="inlineStr">
        <is>
          <t>W1_PODLAHA_17.6_2026-06-01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S05_sklad</t>
        </is>
      </c>
      <c r="Q17" s="41" t="n"/>
    </row>
    <row r="18">
      <c r="A18" s="20" t="n">
        <v>17</v>
      </c>
      <c r="B18" s="8" t="inlineStr">
        <is>
          <t>HSV-3 Svislé konstrukce</t>
        </is>
      </c>
      <c r="C18" s="8" t="inlineStr">
        <is>
          <t>H-BLOK opěrná stěna</t>
        </is>
      </c>
      <c r="D18" s="20" t="inlineStr">
        <is>
          <t>311233815</t>
        </is>
      </c>
      <c r="E18" s="8" t="inlineStr">
        <is>
          <t>Zadní opěrná stěna — prefabrikované betonové bloky Herkul H-BLOK Standard, vazba běhounová s posunem 0.5</t>
        </is>
      </c>
      <c r="F18" s="20" t="inlineStr">
        <is>
          <t>ks</t>
        </is>
      </c>
      <c r="G18" s="23" t="n">
        <v>18</v>
      </c>
      <c r="H18" s="10" t="n"/>
      <c r="I18" s="10" t="n"/>
      <c r="J18" s="8" t="inlineStr">
        <is>
          <t>prefa_bloky_specialista</t>
        </is>
      </c>
      <c r="K18" s="24" t="n">
        <v>0.9</v>
      </c>
      <c r="L18" s="20" t="inlineStr">
        <is>
          <t>needs_production_lookup</t>
        </is>
      </c>
      <c r="M18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S04_sklad</t>
        </is>
      </c>
      <c r="Q18" s="41" t="inlineStr">
        <is>
          <t>HBLOK_DRAWING_CONFIRMED_2026-06-01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Tvarovky ZB obvod skladu</t>
        </is>
      </c>
      <c r="D19" s="20" t="inlineStr">
        <is>
          <t>311233811</t>
        </is>
      </c>
      <c r="E19" s="8" t="inlineStr">
        <is>
          <t>Obvodové stěny skladu S03a/b — tvarovky ztraceného bednění tl. 250 mm, výška 14 řad × 250 = 3.5 m + zalití C25/30</t>
        </is>
      </c>
      <c r="F19" s="20" t="inlineStr">
        <is>
          <t>m²</t>
        </is>
      </c>
      <c r="G19" s="22" t="n">
        <v>62.5</v>
      </c>
      <c r="H19" s="10" t="n"/>
      <c r="I19" s="10" t="n"/>
      <c r="J19" s="8" t="inlineStr">
        <is>
          <t>zednik</t>
        </is>
      </c>
      <c r="K19" s="24" t="n">
        <v>0.85</v>
      </c>
      <c r="L19" s="20" t="inlineStr">
        <is>
          <t>needs_production_lookup</t>
        </is>
      </c>
      <c r="M19" s="8" t="inlineStr">
        <is>
          <t>výkres D.1.1.02/03 — 14 řad tvárnic × 250 mm (řady začínají pod úrovní podlahy od pasu); světlá 2.68 je vnitřní svět, NE výška tvárnic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S03a_sklad, S03b_sklad</t>
        </is>
      </c>
      <c r="Q19" s="41" t="inlineStr">
        <is>
          <t>S03A_HEIGHT_3.5_2026-06-01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Výztuž ZB tvarovek</t>
        </is>
      </c>
      <c r="D20" s="20" t="inlineStr">
        <is>
          <t>273361821</t>
        </is>
      </c>
      <c r="E20" s="8" t="inlineStr">
        <is>
          <t>Výztuž B500B do tvarovek ztraceného bednění (~30 kg/m² stěny při zalití C25/30)</t>
        </is>
      </c>
      <c r="F20" s="20" t="inlineStr">
        <is>
          <t>kg</t>
        </is>
      </c>
      <c r="G20" s="22" t="n">
        <v>1875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family_verified_leaf_needs_production_lookup</t>
        </is>
      </c>
      <c r="M20" s="8">
        <f> HSV3.002 plocha (62.5 m²) × 30 kg/m²</f>
        <v/>
      </c>
      <c r="N20" s="20" t="inlineStr">
        <is>
          <t>#8</t>
        </is>
      </c>
      <c r="O20" s="26" t="inlineStr">
        <is>
          <t>ANO</t>
        </is>
      </c>
      <c r="P20" s="41" t="inlineStr">
        <is>
          <t>S03a_sklad, S03b_sklad</t>
        </is>
      </c>
      <c r="Q20" s="41" t="inlineStr">
        <is>
          <t>S03A_HEIGHT_3.5_2026-06-01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Hydroizolace + protiradon stěn pod terénem (S03a+S04)</t>
        </is>
      </c>
      <c r="D21" s="20" t="inlineStr">
        <is>
          <t>—</t>
        </is>
      </c>
      <c r="E21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1" s="20" t="inlineStr">
        <is>
          <t>m²</t>
        </is>
      </c>
      <c r="G21" s="22" t="n">
        <v>33</v>
      </c>
      <c r="H21" s="10" t="n"/>
      <c r="I21" s="10" t="n"/>
      <c r="J21" s="8" t="inlineStr">
        <is>
          <t>izolater_HI</t>
        </is>
      </c>
      <c r="K21" s="24" t="n">
        <v>0.5</v>
      </c>
      <c r="L21" s="20" t="inlineStr">
        <is>
          <t>needs_production_lookup</t>
        </is>
      </c>
      <c r="M21" s="8" t="inlineStr">
        <is>
          <t>skladba S03a+S04 řez D.1.1.03/04 + legenda materiálu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S03a_sklad, S04_sklad</t>
        </is>
      </c>
      <c r="Q21" s="41" t="inlineStr">
        <is>
          <t>SKLAD_WALL_HI_2026-06-01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Drenáž nopová folie stěn pod terénem (S03a+S04)</t>
        </is>
      </c>
      <c r="D22" s="20" t="inlineStr">
        <is>
          <t>—</t>
        </is>
      </c>
      <c r="E22" s="8" t="inlineStr">
        <is>
          <t>Drenážní vrstva — nopová folie tl. 20 mm na obvodové stěny (S03a) + opěrnou stěnu (S04) pod úrovní terénu</t>
        </is>
      </c>
      <c r="F22" s="20" t="inlineStr">
        <is>
          <t>m²</t>
        </is>
      </c>
      <c r="G22" s="22" t="n">
        <v>33</v>
      </c>
      <c r="H22" s="10" t="n"/>
      <c r="I22" s="10" t="n"/>
      <c r="J22" s="8" t="inlineStr">
        <is>
          <t>izolater_HI</t>
        </is>
      </c>
      <c r="K22" s="24" t="n">
        <v>0.5</v>
      </c>
      <c r="L22" s="20" t="inlineStr">
        <is>
          <t>needs_production_lookup</t>
        </is>
      </c>
      <c r="M22" s="8" t="inlineStr">
        <is>
          <t>skladba S03a+S04 řez D.1.1.03/04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S03a_sklad, S04_sklad</t>
        </is>
      </c>
      <c r="Q22" s="41" t="inlineStr">
        <is>
          <t>SKLAD_WALL_HI_2026-06-01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Dřevěné stropnice skladu</t>
        </is>
      </c>
      <c r="D23" s="20" t="inlineStr">
        <is>
          <t>762341110</t>
        </is>
      </c>
      <c r="E23" s="8" t="inlineStr">
        <is>
          <t>Dřevěné stropnice 100/160 mm á 625 mm primární zastřešení skladu — rezivo C24 fungicidní</t>
        </is>
      </c>
      <c r="F23" s="20" t="inlineStr">
        <is>
          <t>bm</t>
        </is>
      </c>
      <c r="G23" s="22" t="n">
        <v>31</v>
      </c>
      <c r="H23" s="10" t="n"/>
      <c r="I23" s="10" t="n"/>
      <c r="J23" s="8" t="inlineStr">
        <is>
          <t>krov_tesarsky_kompletni</t>
        </is>
      </c>
      <c r="K23" s="24" t="n">
        <v>0.85</v>
      </c>
      <c r="L23" s="20" t="inlineStr">
        <is>
          <t>needs_production_lookup</t>
        </is>
      </c>
      <c r="M23" s="8" t="inlineStr">
        <is>
          <t>výkres D.1.1.02 — 10× trám KVH 100/160; TZ rozpon 3.1 m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TRAMY_10ks_2026-06-01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Prkenný záklop stropu skladu</t>
        </is>
      </c>
      <c r="D24" s="20" t="inlineStr">
        <is>
          <t>762331110</t>
        </is>
      </c>
      <c r="E24" s="8" t="inlineStr">
        <is>
          <t>Prkenný záklop stropnic skladu tl. 20 mm + impregnace</t>
        </is>
      </c>
      <c r="F24" s="20" t="inlineStr">
        <is>
          <t>m²</t>
        </is>
      </c>
      <c r="G24" s="22" t="n">
        <v>18.1</v>
      </c>
      <c r="H24" s="10" t="n"/>
      <c r="I24" s="10" t="n"/>
      <c r="J24" s="8" t="inlineStr">
        <is>
          <t>krov_tesarsky_kompletni</t>
        </is>
      </c>
      <c r="K24" s="24" t="n">
        <v>0.85</v>
      </c>
      <c r="L24" s="20" t="inlineStr">
        <is>
          <t>needs_production_lookup</t>
        </is>
      </c>
      <c r="M24" s="8">
        <f> plocha stropu nad trámy KVH (HSV4.001)</f>
        <v/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inlineStr">
        <is>
          <t>ZAKLOP_TRAMY_BASE_2026-06-01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Hydroizolační střešní souvrství skladu</t>
        </is>
      </c>
      <c r="D25" s="20" t="inlineStr">
        <is>
          <t>712331101</t>
        </is>
      </c>
      <c r="E25" s="8" t="inlineStr">
        <is>
          <t>Hydroizolační střešní souvrství skladu (modifikovaný asfaltový pás SBS + ochranná vrstva)</t>
        </is>
      </c>
      <c r="F25" s="20" t="inlineStr">
        <is>
          <t>m²</t>
        </is>
      </c>
      <c r="G25" s="22" t="n">
        <v>19</v>
      </c>
      <c r="H25" s="10" t="n"/>
      <c r="I25" s="10" t="n"/>
      <c r="J25" s="8" t="inlineStr">
        <is>
          <t>izolater_HI</t>
        </is>
      </c>
      <c r="K25" s="24" t="n">
        <v>0.85</v>
      </c>
      <c r="L25" s="20" t="inlineStr">
        <is>
          <t>needs_production_lookup</t>
        </is>
      </c>
      <c r="M25" s="8">
        <f> záklop (HSV4.002) × 1.05 přesah HI</f>
        <v/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HI_TRAMY_BASE_2026-06-01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IPE180 parking — sekundární</t>
        </is>
      </c>
      <c r="D26" s="20" t="inlineStr">
        <is>
          <t>411321414</t>
        </is>
      </c>
      <c r="E26" s="8" t="inlineStr">
        <is>
          <t>Sekundární zastřešení parkingu — IPE180 v rozteči 1000 mm × délka 6 m × 6 ks</t>
        </is>
      </c>
      <c r="F26" s="20" t="inlineStr">
        <is>
          <t>kg</t>
        </is>
      </c>
      <c r="G26" s="22" t="n">
        <v>790</v>
      </c>
      <c r="H26" s="10" t="n"/>
      <c r="I26" s="10" t="n"/>
      <c r="J26" s="8" t="inlineStr">
        <is>
          <t>ocel_zamecnik_konstrukce</t>
        </is>
      </c>
      <c r="K26" s="24" t="n">
        <v>0.9</v>
      </c>
      <c r="L26" s="20" t="inlineStr">
        <is>
          <t>needs_production_lookup</t>
        </is>
      </c>
      <c r="M26" s="8" t="inlineStr">
        <is>
          <t>výkres D.1.1.02 — 6× IPE180 á 7.0 m; ČSN hmotnost 18.8 kg/m</t>
        </is>
      </c>
      <c r="N26" s="20" t="inlineStr">
        <is>
          <t>#18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IPE_7to6_DRAWING_2026-06-01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Pojezdové ocelové pororošty</t>
        </is>
      </c>
      <c r="D27" s="20" t="inlineStr">
        <is>
          <t>411321515</t>
        </is>
      </c>
      <c r="E27" s="8" t="inlineStr">
        <is>
          <t>Pojezdové ocelové pororošty demontovatelné — povrch parkingu (žárově zinkováno)</t>
        </is>
      </c>
      <c r="F27" s="20" t="inlineStr">
        <is>
          <t>m²</t>
        </is>
      </c>
      <c r="G27" s="22" t="n">
        <v>44.6</v>
      </c>
      <c r="H27" s="10" t="n"/>
      <c r="I27" s="10" t="n"/>
      <c r="J27" s="8" t="inlineStr">
        <is>
          <t>ocel_zamecnik_konstrukce</t>
        </is>
      </c>
      <c r="K27" s="24" t="n">
        <v>0.9</v>
      </c>
      <c r="L27" s="20" t="inlineStr">
        <is>
          <t>family_verified_leaf_needs_production_lookup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S02_sklad</t>
        </is>
      </c>
      <c r="Q27" s="41" t="inlineStr">
        <is>
          <t>PHASE_3_5_SKLAD_QTY_DXF_VERIFY; URS_PHASE5B_FAMILY_VERIFIED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Žárový zinek IPE + pororošty</t>
        </is>
      </c>
      <c r="D28" s="20" t="inlineStr">
        <is>
          <t>783201001</t>
        </is>
      </c>
      <c r="E28" s="8" t="inlineStr">
        <is>
          <t>Žárově zinková povrchová úprava IPE180 + pororoštů dle ČSN EN ISO 12944 (C3 prostředí)</t>
        </is>
      </c>
      <c r="F28" s="20" t="inlineStr">
        <is>
          <t>kg</t>
        </is>
      </c>
      <c r="G28" s="22" t="n">
        <v>1420</v>
      </c>
      <c r="H28" s="10" t="n"/>
      <c r="I28" s="10" t="n"/>
      <c r="J28" s="8" t="inlineStr">
        <is>
          <t>ocel_zamecnik_konstrukce</t>
        </is>
      </c>
      <c r="K28" s="24" t="n">
        <v>0.8</v>
      </c>
      <c r="L28" s="20" t="inlineStr">
        <is>
          <t>needs_production_lookup</t>
        </is>
      </c>
      <c r="M28" s="8">
        <f> HSV4.004 (6 ks) + HSV4.005 pororošt hmotnost</f>
        <v/>
      </c>
      <c r="N28" s="20" t="inlineStr">
        <is>
          <t>—</t>
        </is>
      </c>
      <c r="O28" s="26" t="inlineStr">
        <is>
          <t>ANO</t>
        </is>
      </c>
      <c r="P28" s="41" t="inlineStr">
        <is>
          <t>S02_sklad</t>
        </is>
      </c>
      <c r="Q28" s="41" t="inlineStr">
        <is>
          <t>IPE_7to6_DRAWING_2026-06-01</t>
        </is>
      </c>
    </row>
    <row r="29">
      <c r="A29" s="20" t="n">
        <v>28</v>
      </c>
      <c r="B29" s="8" t="inlineStr">
        <is>
          <t>HSV-5 Komunikace + schodiště</t>
        </is>
      </c>
      <c r="C29" s="8" t="inlineStr">
        <is>
          <t>Schodiště prefa stupně</t>
        </is>
      </c>
      <c r="D29" s="20" t="inlineStr">
        <is>
          <t>121301101</t>
        </is>
      </c>
      <c r="E29" s="8" t="inlineStr">
        <is>
          <t>Schodiště S05 — prefabrikované betonové stupně (2× 9 stupňů 179.5×250 + mezipodesta)</t>
        </is>
      </c>
      <c r="F29" s="20" t="inlineStr">
        <is>
          <t>m²</t>
        </is>
      </c>
      <c r="G29" s="22" t="n">
        <v>5.5</v>
      </c>
      <c r="H29" s="10" t="n"/>
      <c r="I29" s="10" t="n"/>
      <c r="J29" s="8" t="inlineStr">
        <is>
          <t>betonar</t>
        </is>
      </c>
      <c r="K29" s="24" t="n">
        <v>0.95</v>
      </c>
      <c r="L29" s="20" t="inlineStr">
        <is>
          <t>needs_production_lookup</t>
        </is>
      </c>
      <c r="M29" s="8" t="inlineStr">
        <is>
          <t>DXF sklad_DPZ km_tabulka místností room 1.02 + DXF dimension 9×179.5×250 mm + Phase 3.5 sklad S-code mapping (S05 sklad schodiště skladba)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S05_sklad</t>
        </is>
      </c>
      <c r="Q29" s="41" t="inlineStr">
        <is>
          <t>PHASE_3_5_SKLAD_MEZIPODESTA_GAP</t>
        </is>
      </c>
    </row>
    <row r="30">
      <c r="A30" s="20" t="n">
        <v>29</v>
      </c>
      <c r="B30" s="8" t="inlineStr">
        <is>
          <t>HSV-5 Komunikace + vjezd</t>
        </is>
      </c>
      <c r="C30" s="8" t="inlineStr">
        <is>
          <t>Vjezd Dvořákova — napojení na komunikaci</t>
        </is>
      </c>
      <c r="D30" s="20" t="inlineStr">
        <is>
          <t>—</t>
        </is>
      </c>
      <c r="E30" s="8" t="inlineStr">
        <is>
          <t>Vjezd Dvořákova (POZN 01) — zpevněná plocha z hladké betonové dlažby, napojení na komunikaci</t>
        </is>
      </c>
      <c r="F30" s="20" t="inlineStr">
        <is>
          <t>m²</t>
        </is>
      </c>
      <c r="G30" s="22" t="n">
        <v>7</v>
      </c>
      <c r="H30" s="10" t="n"/>
      <c r="I30" s="10" t="n"/>
      <c r="J30" s="8" t="inlineStr">
        <is>
          <t>komunikace</t>
        </is>
      </c>
      <c r="K30" s="24" t="n">
        <v>0.75</v>
      </c>
      <c r="L30" s="20" t="inlineStr">
        <is>
          <t>needs_production_lookup</t>
        </is>
      </c>
      <c r="M30" s="8" t="inlineStr">
        <is>
          <t>D.1.1.01 POZN 01 — zpevněná plocha betonová dlažba (= zóna napojení Dvořákova, nedupl.)</t>
        </is>
      </c>
      <c r="N30" s="20" t="inlineStr">
        <is>
          <t>—</t>
        </is>
      </c>
      <c r="O30" s="26" t="inlineStr">
        <is>
          <t>ANO</t>
        </is>
      </c>
      <c r="P30" s="41" t="inlineStr"/>
      <c r="Q30" s="41" t="inlineStr">
        <is>
          <t>VJEZD_POZN01_7m2_2026-06-01</t>
        </is>
      </c>
    </row>
    <row r="31">
      <c r="A31" s="20" t="n">
        <v>30</v>
      </c>
      <c r="B31" s="8" t="inlineStr">
        <is>
          <t>HSV-5 Komunikace + zpevněné plochy</t>
        </is>
      </c>
      <c r="C31" s="8" t="inlineStr">
        <is>
          <t>Vjezd — pískové lože</t>
        </is>
      </c>
      <c r="D31" s="20" t="inlineStr">
        <is>
          <t>564751111</t>
        </is>
      </c>
      <c r="E31" s="8" t="inlineStr">
        <is>
          <t>Pískové lože pod dlažbu vjezdu tl. 40 mm (POZN 01)</t>
        </is>
      </c>
      <c r="F31" s="20" t="inlineStr">
        <is>
          <t>m³</t>
        </is>
      </c>
      <c r="G31" s="22" t="n">
        <v>0.28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needs_production_lookup</t>
        </is>
      </c>
      <c r="M31" s="8" t="inlineStr">
        <is>
          <t>D.1.1.01 POZN 01 — souvrství pod dlažbu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n"/>
    </row>
    <row r="32">
      <c r="A32" s="20" t="n">
        <v>31</v>
      </c>
      <c r="B32" s="8" t="inlineStr">
        <is>
          <t>HSV-5 Komunikace + zpevněné plochy</t>
        </is>
      </c>
      <c r="C32" s="8" t="inlineStr">
        <is>
          <t>Vjezd — štěrkový podklad</t>
        </is>
      </c>
      <c r="D32" s="20" t="inlineStr">
        <is>
          <t>564861111</t>
        </is>
      </c>
      <c r="E32" s="8" t="inlineStr">
        <is>
          <t>Štěrkový zhutněný podklad pod dlažbu vjezdu tl. 150 mm (POZN 01)</t>
        </is>
      </c>
      <c r="F32" s="20" t="inlineStr">
        <is>
          <t>m³</t>
        </is>
      </c>
      <c r="G32" s="22" t="n">
        <v>1.05</v>
      </c>
      <c r="H32" s="10" t="n"/>
      <c r="I32" s="10" t="n"/>
      <c r="J32" s="8" t="inlineStr">
        <is>
          <t>zednik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souvrství pod dlažbu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n"/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Odvodňovací žlab</t>
        </is>
      </c>
      <c r="D33" s="20" t="inlineStr">
        <is>
          <t>—</t>
        </is>
      </c>
      <c r="E33" s="8" t="inlineStr">
        <is>
          <t>Liniový odvodňovací žlab (prefa žlabovka š. 160 mm) podél vjezdu</t>
        </is>
      </c>
      <c r="F33" s="20" t="inlineStr">
        <is>
          <t>bm</t>
        </is>
      </c>
      <c r="G33" s="22" t="n">
        <v>7.775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+ detail — žlabovka 160 mm na podkl. betonu (průřez 0.06 m²)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n"/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Odvodňovací žlab — podkladní beton</t>
        </is>
      </c>
      <c r="D34" s="20" t="inlineStr">
        <is>
          <t>273321411</t>
        </is>
      </c>
      <c r="E34" s="8" t="inlineStr">
        <is>
          <t>Podkladní beton pod odvodňovací žlab (průřez 0.06 m²)</t>
        </is>
      </c>
      <c r="F34" s="20" t="inlineStr">
        <is>
          <t>m³</t>
        </is>
      </c>
      <c r="G34" s="22" t="n">
        <v>0.47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detail řezu žlabu — průřez betonového lože 0.06 m²</t>
        </is>
      </c>
      <c r="N34" s="20" t="inlineStr">
        <is>
          <t>—</t>
        </is>
      </c>
      <c r="O34" s="26" t="inlineStr">
        <is>
          <t>ANO</t>
        </is>
      </c>
      <c r="P34" s="41" t="inlineStr"/>
      <c r="Q34" s="41" t="n"/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Okapový žlab</t>
        </is>
      </c>
      <c r="D35" s="20" t="inlineStr">
        <is>
          <t>—</t>
        </is>
      </c>
      <c r="E35" s="8" t="inlineStr">
        <is>
          <t>Okapový/odvodňovací žlab na straně 6010 mm — typ OVĚŘIT</t>
        </is>
      </c>
      <c r="F35" s="20" t="inlineStr">
        <is>
          <t>bm</t>
        </is>
      </c>
      <c r="G35" s="22" t="n">
        <v>6</v>
      </c>
      <c r="H35" s="10" t="n"/>
      <c r="I35" s="10" t="n"/>
      <c r="J35" s="8" t="inlineStr">
        <is>
          <t>zednik</t>
        </is>
      </c>
      <c r="K35" s="24" t="n">
        <v>0.65</v>
      </c>
      <c r="L35" s="20" t="inlineStr">
        <is>
          <t>needs_production_lookup</t>
        </is>
      </c>
      <c r="M35" s="8" t="inlineStr">
        <is>
          <t>řez — žlab na straně 6010; typ (okapový/liniový) OVĚŘIT</t>
        </is>
      </c>
      <c r="N35" s="20" t="inlineStr">
        <is>
          <t>—</t>
        </is>
      </c>
      <c r="O35" s="26" t="inlineStr">
        <is>
          <t>ANO</t>
        </is>
      </c>
      <c r="P35" s="41" t="inlineStr"/>
      <c r="Q35" s="41" t="n"/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Schodiště — podkladní deska</t>
        </is>
      </c>
      <c r="D36" s="20" t="inlineStr">
        <is>
          <t>273313611</t>
        </is>
      </c>
      <c r="E36" s="8" t="inlineStr">
        <is>
          <t>Podkladní betonová deska pod prefa schodiště S05</t>
        </is>
      </c>
      <c r="F36" s="20" t="inlineStr">
        <is>
          <t>m²</t>
        </is>
      </c>
      <c r="G36" s="22" t="n">
        <v>5.5</v>
      </c>
      <c r="H36" s="10" t="n"/>
      <c r="I36" s="10" t="n"/>
      <c r="J36" s="8" t="inlineStr">
        <is>
          <t>zelezobetonarsky_specialny</t>
        </is>
      </c>
      <c r="K36" s="24" t="n">
        <v>0.7</v>
      </c>
      <c r="L36" s="20" t="inlineStr">
        <is>
          <t>needs_production_lookup</t>
        </is>
      </c>
      <c r="M36" s="8" t="inlineStr">
        <is>
          <t>skladba S05 — podkladní betonová deska</t>
        </is>
      </c>
      <c r="N36" s="20" t="inlineStr">
        <is>
          <t>#41</t>
        </is>
      </c>
      <c r="O36" s="26" t="inlineStr">
        <is>
          <t>ANO</t>
        </is>
      </c>
      <c r="P36" s="41" t="inlineStr">
        <is>
          <t>S05_sklad</t>
        </is>
      </c>
      <c r="Q36" s="41" t="n"/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Schodiště — kladecí beton</t>
        </is>
      </c>
      <c r="D37" s="20" t="inlineStr">
        <is>
          <t>—</t>
        </is>
      </c>
      <c r="E37" s="8" t="inlineStr">
        <is>
          <t>Kladecí vrstva ze zavlhlého betonu pod prefa stupně S05</t>
        </is>
      </c>
      <c r="F37" s="20" t="inlineStr">
        <is>
          <t>m³</t>
        </is>
      </c>
      <c r="G37" s="22" t="n">
        <v>0.28</v>
      </c>
      <c r="H37" s="10" t="n"/>
      <c r="I37" s="10" t="n"/>
      <c r="J37" s="8" t="inlineStr">
        <is>
          <t>zednik</t>
        </is>
      </c>
      <c r="K37" s="24" t="n">
        <v>0.7</v>
      </c>
      <c r="L37" s="20" t="inlineStr">
        <is>
          <t>needs_production_lookup</t>
        </is>
      </c>
      <c r="M37" s="8" t="inlineStr">
        <is>
          <t>skladba S05 — kladecí vrstva zavlhlý beton</t>
        </is>
      </c>
      <c r="N37" s="20" t="inlineStr">
        <is>
          <t>#41</t>
        </is>
      </c>
      <c r="O37" s="26" t="inlineStr">
        <is>
          <t>ANO</t>
        </is>
      </c>
      <c r="P37" s="41" t="inlineStr">
        <is>
          <t>S05_sklad</t>
        </is>
      </c>
      <c r="Q37" s="41" t="n"/>
    </row>
    <row r="38">
      <c r="A38" s="20" t="n">
        <v>37</v>
      </c>
      <c r="B38" s="8" t="inlineStr">
        <is>
          <t>PSV-76 Výplně otvorů</t>
        </is>
      </c>
      <c r="C38" s="8" t="inlineStr">
        <is>
          <t>Bezpečnostní dveře RC3 sklad</t>
        </is>
      </c>
      <c r="D38" s="20" t="inlineStr">
        <is>
          <t>766682111</t>
        </is>
      </c>
      <c r="E38" s="8" t="inlineStr">
        <is>
          <t>Bezpečnostní dveře RC3 v ocelové zárubni — vrata skladu (TZ statika §1.4 RC3 certifikované)</t>
        </is>
      </c>
      <c r="F38" s="20" t="inlineStr">
        <is>
          <t>ks</t>
        </is>
      </c>
      <c r="G38" s="23" t="n">
        <v>1</v>
      </c>
      <c r="H38" s="10" t="n"/>
      <c r="I38" s="10" t="n"/>
      <c r="J38" s="8" t="inlineStr">
        <is>
          <t>specialista_RC3_dvere</t>
        </is>
      </c>
      <c r="K38" s="24" t="n">
        <v>0.85</v>
      </c>
      <c r="L38" s="20" t="inlineStr">
        <is>
          <t>needs_production_lookup</t>
        </is>
      </c>
      <c r="M38" s="8" t="inlineStr">
        <is>
          <t>TZ statika sklad §1.4 — RC3 bezpečnostní dveře v ocelové zárubni</t>
        </is>
      </c>
      <c r="N38" s="20" t="inlineStr">
        <is>
          <t>—</t>
        </is>
      </c>
      <c r="O38" s="26" t="inlineStr">
        <is>
          <t>ANO</t>
        </is>
      </c>
      <c r="P38" s="41" t="n"/>
      <c r="Q38" s="41" t="n"/>
    </row>
    <row r="39">
      <c r="A39" s="20" t="n">
        <v>38</v>
      </c>
      <c r="B39" s="8" t="inlineStr">
        <is>
          <t>PSV-76 Zámečnické konstrukce</t>
        </is>
      </c>
      <c r="C39" s="8" t="inlineStr">
        <is>
          <t>Oplocení (plot)</t>
        </is>
      </c>
      <c r="D39" s="20" t="inlineStr">
        <is>
          <t>—</t>
        </is>
      </c>
      <c r="E39" s="8" t="inlineStr">
        <is>
          <t>Oplocení podél vjezdu — délka dle situace, materiál OVĚŘIT (kov/dřevo neuveden)</t>
        </is>
      </c>
      <c r="F39" s="20" t="inlineStr">
        <is>
          <t>bm</t>
        </is>
      </c>
      <c r="G39" s="22" t="n">
        <v>3.8</v>
      </c>
      <c r="H39" s="10" t="n"/>
      <c r="I39" s="10" t="n"/>
      <c r="J39" s="8" t="inlineStr">
        <is>
          <t>zamecnik</t>
        </is>
      </c>
      <c r="K39" s="24" t="n">
        <v>0.7</v>
      </c>
      <c r="L39" s="20" t="inlineStr">
        <is>
          <t>needs_production_lookup</t>
        </is>
      </c>
      <c r="M39" s="8" t="inlineStr">
        <is>
          <t>D.1.1.01 půdorys střechy — plot u vjezdu; materiál + přesná délka OVĚŘIT</t>
        </is>
      </c>
      <c r="N39" s="20" t="inlineStr">
        <is>
          <t>#37</t>
        </is>
      </c>
      <c r="O39" s="26" t="inlineStr">
        <is>
          <t>ANO</t>
        </is>
      </c>
      <c r="P39" s="41" t="inlineStr"/>
      <c r="Q39" s="41" t="n"/>
    </row>
    <row r="40">
      <c r="A40" s="20" t="n">
        <v>39</v>
      </c>
      <c r="B40" s="8" t="inlineStr">
        <is>
          <t>PSV-76 Zámečnické konstrukce</t>
        </is>
      </c>
      <c r="C40" s="8" t="inlineStr">
        <is>
          <t>Zábradlí stání</t>
        </is>
      </c>
      <c r="D40" s="20" t="inlineStr">
        <is>
          <t>—</t>
        </is>
      </c>
      <c r="E40" s="8" t="inlineStr">
        <is>
          <t>Zábradlí v. 1.0 m kolem části stání — materiál OVĚŘIT (kov/dřevo neuveden)</t>
        </is>
      </c>
      <c r="F40" s="20" t="inlineStr">
        <is>
          <t>bm</t>
        </is>
      </c>
      <c r="G40" s="22" t="n">
        <v>18.5</v>
      </c>
      <c r="H40" s="10" t="n"/>
      <c r="I40" s="10" t="n"/>
      <c r="J40" s="8" t="inlineStr">
        <is>
          <t>zamecnik</t>
        </is>
      </c>
      <c r="K40" s="24" t="n">
        <v>0.7</v>
      </c>
      <c r="L40" s="20" t="inlineStr">
        <is>
          <t>needs_production_lookup</t>
        </is>
      </c>
      <c r="M40" s="8" t="inlineStr">
        <is>
          <t>D.1.1.01 — zábradlí 1.0 m kolem části plochy; materiál OVĚŘIT</t>
        </is>
      </c>
      <c r="N40" s="20" t="inlineStr">
        <is>
          <t>#38</t>
        </is>
      </c>
      <c r="O40" s="26" t="inlineStr">
        <is>
          <t>ANO</t>
        </is>
      </c>
      <c r="P40" s="41" t="inlineStr"/>
      <c r="Q40" s="41" t="n"/>
    </row>
    <row r="41">
      <c r="A41" s="20" t="n">
        <v>40</v>
      </c>
      <c r="B41" s="8" t="inlineStr">
        <is>
          <t>PSV-76 Zámečnictví</t>
        </is>
      </c>
      <c r="C41" s="8" t="inlineStr">
        <is>
          <t>Vjezdová brána</t>
        </is>
      </c>
      <c r="D41" s="20" t="inlineStr">
        <is>
          <t>—</t>
        </is>
      </c>
      <c r="E41" s="8" t="inlineStr">
        <is>
          <t>Vjezdová brána na pozemku investora (ocelová) — dodávka + montáž</t>
        </is>
      </c>
      <c r="F41" s="20" t="inlineStr">
        <is>
          <t>ks</t>
        </is>
      </c>
      <c r="G41" s="23" t="n">
        <v>1</v>
      </c>
      <c r="H41" s="10" t="n"/>
      <c r="I41" s="10" t="n"/>
      <c r="J41" s="8" t="inlineStr">
        <is>
          <t>zamecnik</t>
        </is>
      </c>
      <c r="K41" s="24" t="n">
        <v>0.6</v>
      </c>
      <c r="L41" s="20" t="inlineStr">
        <is>
          <t>needs_production_lookup</t>
        </is>
      </c>
      <c r="M41" s="8" t="inlineStr">
        <is>
          <t>Dodatek PD č.1 (E.01)</t>
        </is>
      </c>
      <c r="N41" s="20" t="inlineStr">
        <is>
          <t>—</t>
        </is>
      </c>
      <c r="O41" s="26" t="inlineStr">
        <is>
          <t>ANO</t>
        </is>
      </c>
      <c r="P41" s="41" t="inlineStr"/>
      <c r="Q41" s="41" t="inlineStr">
        <is>
          <t>DODATEK_PBR_GAPS_2026-06-01</t>
        </is>
      </c>
    </row>
    <row r="42">
      <c r="A42" s="20" t="n">
        <v>41</v>
      </c>
      <c r="B42" s="8" t="inlineStr">
        <is>
          <t>PSV-77 Podlahy</t>
        </is>
      </c>
      <c r="C42" s="8" t="inlineStr">
        <is>
          <t>Betonová dlažba sklad</t>
        </is>
      </c>
      <c r="D42" s="27" t="inlineStr">
        <is>
          <t>596??? ?</t>
        </is>
      </c>
      <c r="E42" s="8" t="inlineStr">
        <is>
          <t>Betonová dlažba 50 mm do kladecího lože — podlaha skladu + vynos za stěnu</t>
        </is>
      </c>
      <c r="F42" s="20" t="inlineStr">
        <is>
          <t>m²</t>
        </is>
      </c>
      <c r="G42" s="22" t="n">
        <v>23.6</v>
      </c>
      <c r="H42" s="10" t="n"/>
      <c r="I42" s="10" t="n"/>
      <c r="J42" s="8" t="inlineStr">
        <is>
          <t>podlahar</t>
        </is>
      </c>
      <c r="K42" s="24" t="n">
        <v>0.85</v>
      </c>
      <c r="L42" s="20" t="inlineStr">
        <is>
          <t>wrong_leaf_disambiguation_needed</t>
        </is>
      </c>
      <c r="M42" s="8" t="inlineStr">
        <is>
          <t>legenda místností 17.6 + vynos S01 za stěnu (řez B-B)</t>
        </is>
      </c>
      <c r="N42" s="20" t="inlineStr">
        <is>
          <t>—</t>
        </is>
      </c>
      <c r="O42" s="28" t="inlineStr">
        <is>
          <t>LEAF CHYBNÝ — viz alternatives</t>
        </is>
      </c>
      <c r="P42" s="41" t="inlineStr">
        <is>
          <t>S01_sklad</t>
        </is>
      </c>
      <c r="Q42" s="41" t="inlineStr">
        <is>
          <t>S01_AREA_23.6_2026-06-01</t>
        </is>
      </c>
    </row>
    <row r="43">
      <c r="A43" s="20" t="n">
        <v>42</v>
      </c>
      <c r="B43" s="8" t="inlineStr">
        <is>
          <t>VRN — Doprava + odpad</t>
        </is>
      </c>
      <c r="C43" s="8" t="inlineStr">
        <is>
          <t>Doprava prefa H-BLOK auto s hyd. rukou</t>
        </is>
      </c>
      <c r="D43" s="20" t="inlineStr">
        <is>
          <t>031032000</t>
        </is>
      </c>
      <c r="E43" s="8" t="inlineStr">
        <is>
          <t>Doprava prefa H-BLOK Standard z výrobny Herkul (Obrnice) auto s hydraulickou rukou — celkem ~60 ks bloků</t>
        </is>
      </c>
      <c r="F43" s="20" t="inlineStr">
        <is>
          <t>kpl</t>
        </is>
      </c>
      <c r="G43" s="23" t="n">
        <v>1</v>
      </c>
      <c r="H43" s="10" t="n"/>
      <c r="I43" s="10" t="n"/>
      <c r="J43" s="8" t="inlineStr">
        <is>
          <t>prefa_bloky_specialista</t>
        </is>
      </c>
      <c r="K43" s="24" t="n">
        <v>0.85</v>
      </c>
      <c r="L43" s="20" t="inlineStr">
        <is>
          <t>needs_production_lookup</t>
        </is>
      </c>
      <c r="M43" s="8" t="inlineStr">
        <is>
          <t>TZ statika sklad §4 + ARS — auto s hyd. rukou pro osazení H-BLOK</t>
        </is>
      </c>
      <c r="N43" s="20" t="inlineStr">
        <is>
          <t>—</t>
        </is>
      </c>
      <c r="O43" s="26" t="inlineStr">
        <is>
          <t>ANO</t>
        </is>
      </c>
      <c r="P43" s="41" t="n"/>
      <c r="Q43" s="41" t="n"/>
    </row>
    <row r="44">
      <c r="A44" s="20" t="n">
        <v>43</v>
      </c>
      <c r="B44" s="8" t="inlineStr">
        <is>
          <t>VRN — Doprava + odpad</t>
        </is>
      </c>
      <c r="C44" s="8" t="inlineStr">
        <is>
          <t>Likvidace odpadu sklad</t>
        </is>
      </c>
      <c r="D44" s="20" t="inlineStr">
        <is>
          <t>997013211</t>
        </is>
      </c>
      <c r="E44" s="8" t="inlineStr">
        <is>
          <t>Likvidace odpadu sklad — kameny ze zídek + výkop + dřevo (drobné množství)</t>
        </is>
      </c>
      <c r="F44" s="20" t="inlineStr">
        <is>
          <t>t</t>
        </is>
      </c>
      <c r="G44" s="22" t="n">
        <v>8</v>
      </c>
      <c r="H44" s="10" t="n"/>
      <c r="I44" s="10" t="n"/>
      <c r="J44" s="8" t="inlineStr">
        <is>
          <t>bourani_demolice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sklad §3 — kamenné zídky + schodiště odstraneny</t>
        </is>
      </c>
      <c r="N44" s="20" t="inlineStr">
        <is>
          <t>—</t>
        </is>
      </c>
      <c r="O44" s="26" t="inlineStr">
        <is>
          <t>ANO</t>
        </is>
      </c>
      <c r="P44" s="41" t="n"/>
      <c r="Q44" s="41" t="n"/>
    </row>
    <row r="45">
      <c r="A45" s="20" t="n">
        <v>44</v>
      </c>
      <c r="B45" s="8" t="inlineStr">
        <is>
          <t>VRN — Geodet</t>
        </is>
      </c>
      <c r="C45" s="8" t="inlineStr">
        <is>
          <t>Geodetické vytýčení sklad</t>
        </is>
      </c>
      <c r="D45" s="20" t="inlineStr">
        <is>
          <t>030141000</t>
        </is>
      </c>
      <c r="E45" s="8" t="inlineStr">
        <is>
          <t>Geodetické vytýčení sklad+parking+schodiště ze situace (před realizací)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geodet</t>
        </is>
      </c>
      <c r="K45" s="24" t="n">
        <v>0.99</v>
      </c>
      <c r="L45" s="20" t="inlineStr">
        <is>
          <t>needs_production_lookup</t>
        </is>
      </c>
      <c r="M45" s="8" t="inlineStr">
        <is>
          <t>Standard — geodet vytýčení pro každý nový objekt</t>
        </is>
      </c>
      <c r="N45" s="20" t="inlineStr">
        <is>
          <t>—</t>
        </is>
      </c>
      <c r="O45" s="26" t="inlineStr">
        <is>
          <t>ANO</t>
        </is>
      </c>
      <c r="P45" s="41" t="n"/>
      <c r="Q45" s="41" t="n"/>
    </row>
    <row r="46">
      <c r="A46" s="20" t="n">
        <v>45</v>
      </c>
      <c r="B46" s="8" t="inlineStr">
        <is>
          <t>VRN — Geodet / PČR</t>
        </is>
      </c>
      <c r="C46" s="8" t="inlineStr">
        <is>
          <t>Rozhledové trojúhelníky — vytyčení + kontrola</t>
        </is>
      </c>
      <c r="D46" s="20" t="inlineStr">
        <is>
          <t>—</t>
        </is>
      </c>
      <c r="E46" s="8" t="inlineStr">
        <is>
          <t>Vytyčení + kontrola rozhledových trojúhelníků (Vn=40 km/h, Dz=25 m) dle požadavku DI PČR</t>
        </is>
      </c>
      <c r="F46" s="20" t="inlineStr">
        <is>
          <t>soubor</t>
        </is>
      </c>
      <c r="G46" s="23" t="n">
        <v>1</v>
      </c>
      <c r="H46" s="10" t="n"/>
      <c r="I46" s="10" t="n"/>
      <c r="J46" s="8" t="inlineStr">
        <is>
          <t>geodet</t>
        </is>
      </c>
      <c r="K46" s="24" t="n">
        <v>0.7</v>
      </c>
      <c r="L46" s="20" t="inlineStr">
        <is>
          <t>needs_production_lookup</t>
        </is>
      </c>
      <c r="M46" s="8" t="inlineStr">
        <is>
          <t>Dodatek PD č.1 (E.01) / DI PČR</t>
        </is>
      </c>
      <c r="N46" s="20" t="inlineStr">
        <is>
          <t>—</t>
        </is>
      </c>
      <c r="O46" s="26" t="inlineStr">
        <is>
          <t>ANO</t>
        </is>
      </c>
      <c r="P46" s="41" t="inlineStr"/>
      <c r="Q46" s="41" t="inlineStr">
        <is>
          <t>DODATEK_PBR_GAPS_2026-06-01</t>
        </is>
      </c>
    </row>
    <row r="47">
      <c r="A47" s="20" t="n">
        <v>46</v>
      </c>
      <c r="B47" s="8" t="inlineStr">
        <is>
          <t>VRN — Společné</t>
        </is>
      </c>
      <c r="C47" s="8" t="inlineStr">
        <is>
          <t>Podíl na obecných VRN dům</t>
        </is>
      </c>
      <c r="D47" s="20" t="inlineStr">
        <is>
          <t>030001000</t>
        </is>
      </c>
      <c r="E47" s="8" t="inlineStr">
        <is>
          <t>Podíl na obecných VRN domu (buňky, BOZP, pojištění, kolaudace) — paušál ~10 % nákladů sklad nebo % alokace</t>
        </is>
      </c>
      <c r="F47" s="20" t="inlineStr">
        <is>
          <t>paušál</t>
        </is>
      </c>
      <c r="G47" s="23" t="n">
        <v>1</v>
      </c>
      <c r="H47" s="10" t="n"/>
      <c r="I47" s="10" t="n"/>
      <c r="J47" s="8" t="inlineStr">
        <is>
          <t>VRN_management</t>
        </is>
      </c>
      <c r="K47" s="24" t="n">
        <v>0.8</v>
      </c>
      <c r="L47" s="20" t="inlineStr">
        <is>
          <t>needs_production_lookup</t>
        </is>
      </c>
      <c r="M47" s="8" t="inlineStr">
        <is>
          <t>Standard zhotovitel — alokace VRN pro paralelně realizovaný sklad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n"/>
    </row>
  </sheetData>
  <autoFilter ref="A1:O47"/>
  <conditionalFormatting sqref="K2:K4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PSV77.001, HSV1.007</t>
        </is>
      </c>
      <c r="F28" s="44" t="inlineStr">
        <is>
          <t>23.60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62.50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62.50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HSV5.001, HSV5.008, HSV5.009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2026-06-02T08:34:35Z</dcterms:created>
  <dcterms:modified xmlns:dcterms="http://purl.org/dc/terms/" xmlns:xsi="http://www.w3.org/2001/XMLSchema-instance" xsi:type="dcterms:W3CDTF">2026-06-02T08:34:36Z</dcterms:modified>
</cp:coreProperties>
</file>
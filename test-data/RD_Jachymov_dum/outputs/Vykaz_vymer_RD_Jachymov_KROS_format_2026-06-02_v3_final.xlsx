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SUM('SO_260217_Sklad'!I34:I110)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1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SUMIFS(I32:I111,L32:L111,C16)</f>
        <v/>
      </c>
    </row>
    <row r="17">
      <c r="B17" s="17" t="n"/>
      <c r="C17" s="5" t="inlineStr">
        <is>
          <t>HSV-2 Základové a ŽB</t>
        </is>
      </c>
      <c r="D17" s="7">
        <f>SUMIFS(I32:I111,L32:L111,C17)</f>
        <v/>
      </c>
    </row>
    <row r="18">
      <c r="B18" s="17" t="n"/>
      <c r="C18" s="5" t="inlineStr">
        <is>
          <t>HSV-3 Svislé konstrukce</t>
        </is>
      </c>
      <c r="D18" s="7">
        <f>SUMIFS(I32:I111,L32:L111,C18)</f>
        <v/>
      </c>
    </row>
    <row r="19">
      <c r="B19" s="17" t="n"/>
      <c r="C19" s="5" t="inlineStr">
        <is>
          <t>HSV-4 Vodorovné</t>
        </is>
      </c>
      <c r="D19" s="7">
        <f>SUMIFS(I32:I111,L32:L111,C19)</f>
        <v/>
      </c>
    </row>
    <row r="20">
      <c r="B20" s="17" t="n"/>
      <c r="C20" s="5" t="inlineStr">
        <is>
          <t>HSV-5 Komunikace + schodiště</t>
        </is>
      </c>
      <c r="D20" s="7">
        <f>SUMIFS(I32:I111,L32:L111,C20)</f>
        <v/>
      </c>
    </row>
    <row r="21">
      <c r="B21" s="17" t="n"/>
      <c r="C21" s="5" t="inlineStr">
        <is>
          <t>PSV-76 Výplně otvorů</t>
        </is>
      </c>
      <c r="D21" s="7">
        <f>SUMIFS(I32:I111,L32:L111,C21)</f>
        <v/>
      </c>
    </row>
    <row r="22">
      <c r="B22" s="17" t="n"/>
      <c r="C22" s="5" t="inlineStr">
        <is>
          <t>PSV-76 Zámečnictví</t>
        </is>
      </c>
      <c r="D22" s="7">
        <f>SUMIFS(I32:I111,L32:L111,C22)</f>
        <v/>
      </c>
    </row>
    <row r="23">
      <c r="B23" s="17" t="n"/>
      <c r="C23" s="5" t="inlineStr">
        <is>
          <t>PSV-77 Podlahy</t>
        </is>
      </c>
      <c r="D23" s="7">
        <f>SUMIFS(I32:I111,L32:L111,C23)</f>
        <v/>
      </c>
    </row>
    <row r="24">
      <c r="B24" s="17" t="n"/>
      <c r="C24" s="5" t="inlineStr">
        <is>
          <t>VRN — Společné</t>
        </is>
      </c>
      <c r="D24" s="7">
        <f>SUMIFS(I32:I111,L32:L111,C24)</f>
        <v/>
      </c>
    </row>
    <row r="25">
      <c r="B25" s="17" t="n"/>
      <c r="C25" s="5" t="inlineStr">
        <is>
          <t>VRN — Doprava + odpad</t>
        </is>
      </c>
      <c r="D25" s="7">
        <f>SUMIFS(I32:I111,L32:L111,C25)</f>
        <v/>
      </c>
    </row>
    <row r="26">
      <c r="B26" s="17" t="n"/>
      <c r="C26" s="5" t="inlineStr">
        <is>
          <t>VRN — Geodet</t>
        </is>
      </c>
      <c r="D26" s="7">
        <f>SUMIFS(I32:I111,L32:L111,C26)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6 ks</t>
        </is>
      </c>
      <c r="F40" s="23" t="inlineStr">
        <is>
          <t>m³</t>
        </is>
      </c>
      <c r="G40" s="25" t="n">
        <v>1.5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6 patek × 0.5 × 0.5 × 1.0 m hl. = 1.5 m³</t>
        </is>
      </c>
      <c r="F41" s="17" t="n"/>
      <c r="G41" s="30" t="n">
        <v>1.5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3.54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S01 plocha 23.6 m² (místnost 17.6 + vynos za stěnu 6.0 dle řezu) × 0.15 m podkladní drť 4-8 = 3.54 m³</t>
        </is>
      </c>
      <c r="F43" s="17" t="n"/>
      <c r="G43" s="30" t="n">
        <v>3.54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31.85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(25.5+4.85+1.5)</f>
        <v/>
      </c>
      <c r="F45" s="17" t="n"/>
      <c r="G45" s="30" t="n">
        <v>31.85</v>
      </c>
      <c r="H45" s="17" t="n"/>
      <c r="I45" s="17" t="n"/>
      <c r="J45" s="17" t="n"/>
      <c r="K45" s="17" t="n"/>
      <c r="L45" s="17" t="n"/>
    </row>
    <row r="46">
      <c r="B46" s="23" t="n">
        <v>7</v>
      </c>
      <c r="C46" s="23" t="inlineStr">
        <is>
          <t>K</t>
        </is>
      </c>
      <c r="D46" s="24" t="inlineStr">
        <is>
          <t>564231111</t>
        </is>
      </c>
      <c r="E46" s="24" t="inlineStr">
        <is>
          <t>Kladecí lože z kamenné drti 4-8 mm tl. 40 mm pod betonovou dlažbu skladu</t>
        </is>
      </c>
      <c r="F46" s="23" t="inlineStr">
        <is>
          <t>m³</t>
        </is>
      </c>
      <c r="G46" s="25" t="n">
        <v>0.9399999999999999</v>
      </c>
      <c r="H46" s="26" t="n"/>
      <c r="I46" s="26">
        <f>IF(H46="",0,G46*H46)</f>
        <v/>
      </c>
      <c r="J46" s="23" t="inlineStr">
        <is>
          <t>ÚRS 2026</t>
        </is>
      </c>
      <c r="K46" s="32" t="inlineStr">
        <is>
          <t>? needs production lookup</t>
        </is>
      </c>
      <c r="L46" s="5" t="inlineStr">
        <is>
          <t>HSV-1 Zemní práce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S01 plocha 23.6 m² × 0.04 m = 0.94 m³</t>
        </is>
      </c>
      <c r="F47" s="17" t="n"/>
      <c r="G47" s="30" t="n">
        <v>0.9399999999999999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174101101</t>
        </is>
      </c>
      <c r="E48" s="24" t="inlineStr">
        <is>
          <t>Zásyp za prefabrikovanou opěrnou stěnou S04 — materiál dle PD (NEuveden v legendě, OVĚŘIT)</t>
        </is>
      </c>
      <c r="F48" s="23" t="inlineStr">
        <is>
          <t>m³</t>
        </is>
      </c>
      <c r="G48" s="25" t="n">
        <v>23.5</v>
      </c>
      <c r="H48" s="26" t="n"/>
      <c r="I48" s="26">
        <f>IF(H48="",0,G48*H48)</f>
        <v/>
      </c>
      <c r="J48" s="23" t="inlineStr">
        <is>
          <t>ÚRS 2026</t>
        </is>
      </c>
      <c r="K48" s="32" t="inlineStr">
        <is>
          <t>? needs production lookup</t>
        </is>
      </c>
      <c r="L48" s="5" t="inlineStr">
        <is>
          <t>HSV-1 Zemní práce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průřez zásypu 3.61 m² (řez A-A) × délka 6.5 m = 23.5 m³</t>
        </is>
      </c>
      <c r="F49" s="17" t="n"/>
      <c r="G49" s="30" t="n">
        <v>23.5</v>
      </c>
      <c r="H49" s="17" t="n"/>
      <c r="I49" s="17" t="n"/>
      <c r="J49" s="17" t="n"/>
      <c r="K49" s="17" t="n"/>
      <c r="L49" s="17" t="n"/>
    </row>
    <row r="50">
      <c r="B50" s="21" t="n"/>
      <c r="C50" s="22" t="inlineStr">
        <is>
          <t>D</t>
        </is>
      </c>
      <c r="D50" s="22" t="inlineStr">
        <is>
          <t>HSV-2</t>
        </is>
      </c>
      <c r="E50" s="22" t="inlineStr">
        <is>
          <t>HSV-2 Základové a ŽB</t>
        </is>
      </c>
      <c r="F50" s="21" t="n"/>
      <c r="G50" s="21" t="n"/>
      <c r="H50" s="21" t="n"/>
      <c r="I50" s="21" t="n"/>
      <c r="J50" s="21" t="n"/>
      <c r="K50" s="21" t="n"/>
      <c r="L50" s="21" t="n"/>
    </row>
    <row r="51">
      <c r="B51" s="23" t="n">
        <v>9</v>
      </c>
      <c r="C51" s="23" t="inlineStr">
        <is>
          <t>K</t>
        </is>
      </c>
      <c r="D51" s="24" t="inlineStr"/>
      <c r="E51" s="24" t="inlineStr">
        <is>
          <t>Základové pasy z prostého betonu C16/20 XC0, 500×500 mm po obvodu skladu (nezámrzná hl.)</t>
        </is>
      </c>
      <c r="F51" s="23" t="inlineStr">
        <is>
          <t>m³</t>
        </is>
      </c>
      <c r="G51" s="25" t="n">
        <v>4.84</v>
      </c>
      <c r="H51" s="26" t="n"/>
      <c r="I51" s="26">
        <f>IF(H51="",0,G51*H51)</f>
        <v/>
      </c>
      <c r="J51" s="23" t="inlineStr">
        <is>
          <t>ÚRS 2026</t>
        </is>
      </c>
      <c r="K51" s="33" t="inlineStr">
        <is>
          <t>❌ MANUAL — KROS catalog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0.5 × 0.5 × 19.4 obvod = 4.85</t>
        </is>
      </c>
      <c r="F52" s="17" t="n"/>
      <c r="G52" s="30" t="n">
        <v>4.84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273313811</t>
        </is>
      </c>
      <c r="E53" s="24" t="inlineStr">
        <is>
          <t>Dvoustupňové patky pro IPE180 zastřešení parkingu — spodní část prostý beton C16/20 500×500×500 mm × 6 ks</t>
        </is>
      </c>
      <c r="F53" s="23" t="inlineStr">
        <is>
          <t>ks</t>
        </is>
      </c>
      <c r="G53" s="25" t="n">
        <v>6</v>
      </c>
      <c r="H53" s="26" t="n"/>
      <c r="I53" s="26">
        <f>IF(H53="",0,G53*H53)</f>
        <v/>
      </c>
      <c r="J53" s="23" t="inlineStr">
        <is>
          <t>ÚRS 2026</t>
        </is>
      </c>
      <c r="K53" s="31" t="inlineStr">
        <is>
          <t>⚠ family OK, leaf KROS lookup [evidence: https://www.cs-urs.cz/podminky/cu202/801-1-Budovy-a-haly---z]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6 ks (výkres D.1.1.02 — 6 štvercových patek pod IPE180)</t>
        </is>
      </c>
      <c r="F54" s="17" t="n"/>
      <c r="G54" s="30" t="n">
        <v>6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311233812</t>
        </is>
      </c>
      <c r="E55" s="24" t="inlineStr">
        <is>
          <t>Dvoustupňové patky pro IPE180 — horní část z tvarovek ztraceného bednění 300×300 mm × 6 ks</t>
        </is>
      </c>
      <c r="F55" s="23" t="inlineStr">
        <is>
          <t>ks</t>
        </is>
      </c>
      <c r="G55" s="25" t="n">
        <v>6</v>
      </c>
      <c r="H55" s="26" t="n"/>
      <c r="I55" s="26">
        <f>IF(H55="",0,G55*H55)</f>
        <v/>
      </c>
      <c r="J55" s="23" t="inlineStr">
        <is>
          <t>ÚRS 2026</t>
        </is>
      </c>
      <c r="K55" s="32" t="inlineStr">
        <is>
          <t>? needs production lookup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6 ks (= spodní, výkres D.1.1.02)</t>
        </is>
      </c>
      <c r="F56" s="17" t="n"/>
      <c r="G56" s="30" t="n">
        <v>6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273321321</t>
        </is>
      </c>
      <c r="E57" s="24" t="inlineStr">
        <is>
          <t>Beton C25/30 XC3 XF1 XA1 pro zalití tvarovek ZB patek + lemujících zídek parkingu</t>
        </is>
      </c>
      <c r="F57" s="23" t="inlineStr">
        <is>
          <t>m³</t>
        </is>
      </c>
      <c r="G57" s="25" t="n">
        <v>1.75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patky horní (0.3×0.3×0.5×6 = 0.27) + zídka lemující + věnec nad patkami (odhad ~1.5 m³) = ~1.75 m³</t>
        </is>
      </c>
      <c r="F58" s="17" t="n"/>
      <c r="G58" s="30" t="n">
        <v>1.75</v>
      </c>
      <c r="H58" s="17" t="n"/>
      <c r="I58" s="17" t="n"/>
      <c r="J58" s="17" t="n"/>
      <c r="K58" s="17" t="n"/>
      <c r="L58" s="17" t="n"/>
    </row>
    <row r="59">
      <c r="B59" s="23" t="n">
        <v>13</v>
      </c>
      <c r="C59" s="23" t="inlineStr">
        <is>
          <t>K</t>
        </is>
      </c>
      <c r="D59" s="24" t="inlineStr">
        <is>
          <t>174101101</t>
        </is>
      </c>
      <c r="E59" s="24" t="inlineStr">
        <is>
          <t>Štěrkopískové lože pod podlahu skladu + pod schodišťovou desku</t>
        </is>
      </c>
      <c r="F59" s="23" t="inlineStr">
        <is>
          <t>m³</t>
        </is>
      </c>
      <c r="G59" s="25" t="n">
        <v>1.76</v>
      </c>
      <c r="H59" s="26" t="n"/>
      <c r="I59" s="26">
        <f>IF(H59="",0,G59*H59)</f>
        <v/>
      </c>
      <c r="J59" s="23" t="inlineStr">
        <is>
          <t>ÚRS 2026</t>
        </is>
      </c>
      <c r="K59" s="27" t="inlineStr">
        <is>
          <t>✓ cross-discipline OK [evidence: https://www.cs-urs.cz/podminky/cu201/800-1-Zemni-prace-(2020]</t>
        </is>
      </c>
      <c r="L59" s="5" t="inlineStr">
        <is>
          <t>HSV-2 Základové a ŽB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podlaha sklad 17.6 m² (legenda) × 0.10 m kladecí kamenná drť</t>
        </is>
      </c>
      <c r="F60" s="17" t="n"/>
      <c r="G60" s="30" t="n">
        <v>1.76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273361821</t>
        </is>
      </c>
      <c r="E61" s="24" t="inlineStr">
        <is>
          <t>ŽB schodišťová deska ve sklonu + základový pas — beton C25/30 XC3 (terén ke skladu)</t>
        </is>
      </c>
      <c r="F61" s="23" t="inlineStr">
        <is>
          <t>m³</t>
        </is>
      </c>
      <c r="G61" s="25" t="n">
        <v>0.8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HSV-2 Základové a ŽB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odhad 3 m schodů × 0.8 × 0.30 = 0.72 (ručně)</t>
        </is>
      </c>
      <c r="F62" s="17" t="n"/>
      <c r="G62" s="30" t="n">
        <v>0.8</v>
      </c>
      <c r="H62" s="17" t="n"/>
      <c r="I62" s="17" t="n"/>
      <c r="J62" s="17" t="n"/>
      <c r="K62" s="17" t="n"/>
      <c r="L62" s="17" t="n"/>
    </row>
    <row r="63">
      <c r="B63" s="21" t="n"/>
      <c r="C63" s="22" t="inlineStr">
        <is>
          <t>D</t>
        </is>
      </c>
      <c r="D63" s="22" t="inlineStr">
        <is>
          <t>HSV-3</t>
        </is>
      </c>
      <c r="E63" s="22" t="inlineStr">
        <is>
          <t>HSV-3 Svislé konstrukce</t>
        </is>
      </c>
      <c r="F63" s="21" t="n"/>
      <c r="G63" s="21" t="n"/>
      <c r="H63" s="21" t="n"/>
      <c r="I63" s="21" t="n"/>
      <c r="J63" s="21" t="n"/>
      <c r="K63" s="21" t="n"/>
      <c r="L63" s="21" t="n"/>
    </row>
    <row r="64">
      <c r="B64" s="23" t="n">
        <v>15</v>
      </c>
      <c r="C64" s="23" t="inlineStr">
        <is>
          <t>K</t>
        </is>
      </c>
      <c r="D64" s="24" t="inlineStr">
        <is>
          <t>311233815</t>
        </is>
      </c>
      <c r="E64" s="24" t="inlineStr">
        <is>
          <t>Zadní opěrná stěna — prefabrikované betonové bloky Herkul H-BLOK Standard, vazba běhounová s posunem 0.5</t>
        </is>
      </c>
      <c r="F64" s="23" t="inlineStr">
        <is>
          <t>ks</t>
        </is>
      </c>
      <c r="G64" s="25" t="n">
        <v>18</v>
      </c>
      <c r="H64" s="26" t="n"/>
      <c r="I64" s="26">
        <f>IF(H64="",0,G64*H64)</f>
        <v/>
      </c>
      <c r="J64" s="23" t="inlineStr">
        <is>
          <t>ÚRS 2026</t>
        </is>
      </c>
      <c r="K64" s="32" t="inlineStr">
        <is>
          <t>? needs production lookup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F65" s="17" t="n"/>
      <c r="G65" s="30" t="n">
        <v>18</v>
      </c>
      <c r="H65" s="17" t="n"/>
      <c r="I65" s="17" t="n"/>
      <c r="J65" s="17" t="n"/>
      <c r="K65" s="17" t="n"/>
      <c r="L65" s="17" t="n"/>
    </row>
    <row r="66">
      <c r="B66" s="23" t="n">
        <v>16</v>
      </c>
      <c r="C66" s="23" t="inlineStr">
        <is>
          <t>K</t>
        </is>
      </c>
      <c r="D66" s="24" t="inlineStr">
        <is>
          <t>311233811</t>
        </is>
      </c>
      <c r="E66" s="24" t="inlineStr">
        <is>
          <t>Obvodové stěny skladu S03a/b — tvarovky ztraceného bednění tl. 250 mm, výška 14 řad × 250 = 3.5 m + zalití C25/30</t>
        </is>
      </c>
      <c r="F66" s="23" t="inlineStr">
        <is>
          <t>m²</t>
        </is>
      </c>
      <c r="G66" s="25" t="n">
        <v>62.5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HSV-3 Svislé konstrukce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3 strany trapézu (6010-1000 dveře)+(7000-600 prefa)+(7033-600 prefa)=17843 mm = 17.84 m × výška 14 řad×0.25 = 3.5 m = 62.5 m²</t>
        </is>
      </c>
      <c r="F67" s="17" t="n"/>
      <c r="G67" s="30" t="n">
        <v>62.5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273361821</t>
        </is>
      </c>
      <c r="E68" s="24" t="inlineStr">
        <is>
          <t>Výztuž B500B do tvarovek ztraceného bednění (~30 kg/m² stěny při zalití C25/30)</t>
        </is>
      </c>
      <c r="F68" s="23" t="inlineStr">
        <is>
          <t>kg</t>
        </is>
      </c>
      <c r="G68" s="25" t="n">
        <v>1875</v>
      </c>
      <c r="H68" s="26" t="n"/>
      <c r="I68" s="26">
        <f>IF(H68="",0,G68*H68)</f>
        <v/>
      </c>
      <c r="J68" s="23" t="inlineStr">
        <is>
          <t>ÚRS 2026</t>
        </is>
      </c>
      <c r="K68" s="31" t="inlineStr">
        <is>
          <t>⚠ family OK, leaf KROS lookup [evidence: https://www.cs-urs.cz/cenova-soustava-urs/]</t>
        </is>
      </c>
      <c r="L68" s="5" t="inlineStr">
        <is>
          <t>HSV-3 Svislé konstrukce</t>
        </is>
      </c>
    </row>
    <row r="69">
      <c r="B69" s="17" t="n"/>
      <c r="C69" s="28" t="inlineStr">
        <is>
          <t>VV</t>
        </is>
      </c>
      <c r="D69" s="17" t="n"/>
      <c r="E69" s="29" t="inlineStr">
        <is>
          <t>62.5 m² × 30 kg/m² (zalití C25/30) = 1875 kg</t>
        </is>
      </c>
      <c r="F69" s="17" t="n"/>
      <c r="G69" s="30" t="n">
        <v>1875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/>
      <c r="E70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70" s="23" t="inlineStr">
        <is>
          <t>m²</t>
        </is>
      </c>
      <c r="G70" s="25" t="n">
        <v>33</v>
      </c>
      <c r="H70" s="26" t="n"/>
      <c r="I70" s="26">
        <f>IF(H70="",0,G70*H70)</f>
        <v/>
      </c>
      <c r="J70" s="23" t="inlineStr">
        <is>
          <t>ÚRS 2026</t>
        </is>
      </c>
      <c r="K70" s="33" t="inlineStr">
        <is>
          <t>❌ MANUAL — KROS catalog lookup</t>
        </is>
      </c>
      <c r="L70" s="5" t="inlineStr">
        <is>
          <t>HSV-3 Svislé konstrukce</t>
        </is>
      </c>
    </row>
    <row r="71">
      <c r="B71" s="17" t="n"/>
      <c r="C71" s="28" t="inlineStr">
        <is>
          <t>VV</t>
        </is>
      </c>
      <c r="D71" s="17" t="n"/>
      <c r="E71" s="29">
        <f> S04 6.35×3.0 ≈19 + S03a 2×3.6×~2.0 ≈14 = 33 m² (řez D.1.1.03/04, OVĚŘIT)</f>
        <v/>
      </c>
      <c r="F71" s="17" t="n"/>
      <c r="G71" s="30" t="n">
        <v>33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/>
      <c r="E72" s="24" t="inlineStr">
        <is>
          <t>Drenážní vrstva — nopová folie tl. 20 mm na obvodové stěny (S03a) + opěrnou stěnu (S04) pod úrovní terénu</t>
        </is>
      </c>
      <c r="F72" s="23" t="inlineStr">
        <is>
          <t>m²</t>
        </is>
      </c>
      <c r="G72" s="25" t="n">
        <v>33</v>
      </c>
      <c r="H72" s="26" t="n"/>
      <c r="I72" s="26">
        <f>IF(H72="",0,G72*H72)</f>
        <v/>
      </c>
      <c r="J72" s="23" t="inlineStr">
        <is>
          <t>ÚRS 2026</t>
        </is>
      </c>
      <c r="K72" s="33" t="inlineStr">
        <is>
          <t>❌ MANUAL — KROS catalog lookup</t>
        </is>
      </c>
      <c r="L72" s="5" t="inlineStr">
        <is>
          <t>HSV-3 Svislé konstrukce</t>
        </is>
      </c>
    </row>
    <row r="73">
      <c r="B73" s="17" t="n"/>
      <c r="C73" s="28" t="inlineStr">
        <is>
          <t>VV</t>
        </is>
      </c>
      <c r="D73" s="17" t="n"/>
      <c r="E73" s="29">
        <f> plocha stěn pod terénem 33 m² (řez D.1.1.03/04, OVĚŘIT)</f>
        <v/>
      </c>
      <c r="F73" s="17" t="n"/>
      <c r="G73" s="30" t="n">
        <v>33</v>
      </c>
      <c r="H73" s="17" t="n"/>
      <c r="I73" s="17" t="n"/>
      <c r="J73" s="17" t="n"/>
      <c r="K73" s="17" t="n"/>
      <c r="L73" s="17" t="n"/>
    </row>
    <row r="74">
      <c r="B74" s="21" t="n"/>
      <c r="C74" s="22" t="inlineStr">
        <is>
          <t>D</t>
        </is>
      </c>
      <c r="D74" s="22" t="inlineStr">
        <is>
          <t>HSV-4</t>
        </is>
      </c>
      <c r="E74" s="22" t="inlineStr">
        <is>
          <t>HSV-4 Vodorovné</t>
        </is>
      </c>
      <c r="F74" s="21" t="n"/>
      <c r="G74" s="21" t="n"/>
      <c r="H74" s="21" t="n"/>
      <c r="I74" s="21" t="n"/>
      <c r="J74" s="21" t="n"/>
      <c r="K74" s="21" t="n"/>
      <c r="L74" s="21" t="n"/>
    </row>
    <row r="75">
      <c r="B75" s="23" t="n">
        <v>20</v>
      </c>
      <c r="C75" s="23" t="inlineStr">
        <is>
          <t>K</t>
        </is>
      </c>
      <c r="D75" s="24" t="inlineStr">
        <is>
          <t>762341110</t>
        </is>
      </c>
      <c r="E75" s="24" t="inlineStr">
        <is>
          <t>Dřevěné stropnice 100/160 mm á 625 mm primární zastřešení skladu — rezivo C24 fungicidní</t>
        </is>
      </c>
      <c r="F75" s="23" t="inlineStr">
        <is>
          <t>bm</t>
        </is>
      </c>
      <c r="G75" s="25" t="n">
        <v>36.74</v>
      </c>
      <c r="H75" s="26" t="n"/>
      <c r="I75" s="26">
        <f>IF(H75="",0,G75*H75)</f>
        <v/>
      </c>
      <c r="J75" s="23" t="inlineStr">
        <is>
          <t>ÚRS 2026</t>
        </is>
      </c>
      <c r="K75" s="32" t="inlineStr">
        <is>
          <t>? needs production lookup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6.35/0.625 = 10.16 → 11 ks × 3.34 m (rozpon 3.1 + uložení) = 36.74 bm</t>
        </is>
      </c>
      <c r="F76" s="17" t="n"/>
      <c r="G76" s="30" t="n">
        <v>36.74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762331110</t>
        </is>
      </c>
      <c r="E77" s="24" t="inlineStr">
        <is>
          <t>Prkenný záklop stropnic skladu tl. 20 mm + impregnace</t>
        </is>
      </c>
      <c r="F77" s="23" t="inlineStr">
        <is>
          <t>m²</t>
        </is>
      </c>
      <c r="G77" s="25" t="n">
        <v>21.209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>
        <f> 21.2 m² strop skladu</f>
        <v/>
      </c>
      <c r="F78" s="17" t="n"/>
      <c r="G78" s="30" t="n">
        <v>21.209</v>
      </c>
      <c r="H78" s="17" t="n"/>
      <c r="I78" s="17" t="n"/>
      <c r="J78" s="17" t="n"/>
      <c r="K78" s="17" t="n"/>
      <c r="L78" s="17" t="n"/>
    </row>
    <row r="79">
      <c r="B79" s="23" t="n">
        <v>22</v>
      </c>
      <c r="C79" s="23" t="inlineStr">
        <is>
          <t>K</t>
        </is>
      </c>
      <c r="D79" s="24" t="inlineStr">
        <is>
          <t>712331101</t>
        </is>
      </c>
      <c r="E79" s="24" t="inlineStr">
        <is>
          <t>Hydroizolační střešní souvrství skladu (modifikovaný asfaltový pás SBS + ochranná vrstva)</t>
        </is>
      </c>
      <c r="F79" s="23" t="inlineStr">
        <is>
          <t>m²</t>
        </is>
      </c>
      <c r="G79" s="25" t="n">
        <v>22.26945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HSV-4 Vodorovné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21.2 × 1.05 přesah</t>
        </is>
      </c>
      <c r="F80" s="17" t="n"/>
      <c r="G80" s="30" t="n">
        <v>22.26945</v>
      </c>
      <c r="H80" s="17" t="n"/>
      <c r="I80" s="17" t="n"/>
      <c r="J80" s="17" t="n"/>
      <c r="K80" s="17" t="n"/>
      <c r="L80" s="17" t="n"/>
    </row>
    <row r="81">
      <c r="B81" s="23" t="n">
        <v>23</v>
      </c>
      <c r="C81" s="23" t="inlineStr">
        <is>
          <t>K</t>
        </is>
      </c>
      <c r="D81" s="24" t="inlineStr">
        <is>
          <t>411321414</t>
        </is>
      </c>
      <c r="E81" s="24" t="inlineStr">
        <is>
          <t>Sekundární zastřešení parkingu — IPE180 v rozteči 1000 mm × délka 6 m × 6 ks</t>
        </is>
      </c>
      <c r="F81" s="23" t="inlineStr">
        <is>
          <t>kg</t>
        </is>
      </c>
      <c r="G81" s="25" t="n">
        <v>790</v>
      </c>
      <c r="H81" s="26" t="n"/>
      <c r="I81" s="26">
        <f>IF(H81="",0,G81*H81)</f>
        <v/>
      </c>
      <c r="J81" s="23" t="inlineStr">
        <is>
          <t>ÚRS 2026</t>
        </is>
      </c>
      <c r="K81" s="32" t="inlineStr">
        <is>
          <t>? needs production lookup</t>
        </is>
      </c>
      <c r="L81" s="5" t="inlineStr">
        <is>
          <t>HSV-4 Vodorovné</t>
        </is>
      </c>
    </row>
    <row r="82">
      <c r="B82" s="17" t="n"/>
      <c r="C82" s="28" t="inlineStr">
        <is>
          <t>VV</t>
        </is>
      </c>
      <c r="D82" s="17" t="n"/>
      <c r="E82" s="29" t="inlineStr">
        <is>
          <t>6 ks IPE180 × 7.0 m × 18.8 kg/m = 789.6 → 790 kg (výkres D.1.1.02: 6 nosníků)</t>
        </is>
      </c>
      <c r="F82" s="17" t="n"/>
      <c r="G82" s="30" t="n">
        <v>790</v>
      </c>
      <c r="H82" s="17" t="n"/>
      <c r="I82" s="17" t="n"/>
      <c r="J82" s="17" t="n"/>
      <c r="K82" s="17" t="n"/>
      <c r="L82" s="17" t="n"/>
    </row>
    <row r="83">
      <c r="B83" s="23" t="n">
        <v>24</v>
      </c>
      <c r="C83" s="23" t="inlineStr">
        <is>
          <t>K</t>
        </is>
      </c>
      <c r="D83" s="24" t="inlineStr">
        <is>
          <t>411321515</t>
        </is>
      </c>
      <c r="E83" s="24" t="inlineStr">
        <is>
          <t>Pojezdové ocelové pororošty demontovatelné — povrch parkingu (žárově zinkováno)</t>
        </is>
      </c>
      <c r="F83" s="23" t="inlineStr">
        <is>
          <t>m²</t>
        </is>
      </c>
      <c r="G83" s="25" t="n">
        <v>44.6</v>
      </c>
      <c r="H83" s="26" t="n"/>
      <c r="I83" s="26">
        <f>IF(H83="",0,G83*H83)</f>
        <v/>
      </c>
      <c r="J83" s="23" t="inlineStr">
        <is>
          <t>ÚRS 2026</t>
        </is>
      </c>
      <c r="K83" s="31" t="inlineStr">
        <is>
          <t>⚠ family OK, leaf KROS lookup [evidence: https://www.cs-urs.cz/cenova-soustava-urs/]</t>
        </is>
      </c>
      <c r="L83" s="5" t="inlineStr">
        <is>
          <t>HSV-4 Vodorovné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84" s="17" t="n"/>
      <c r="G84" s="30" t="n">
        <v>44.6</v>
      </c>
      <c r="H84" s="17" t="n"/>
      <c r="I84" s="17" t="n"/>
      <c r="J84" s="17" t="n"/>
      <c r="K84" s="17" t="n"/>
      <c r="L84" s="17" t="n"/>
    </row>
    <row r="85">
      <c r="B85" s="23" t="n">
        <v>25</v>
      </c>
      <c r="C85" s="23" t="inlineStr">
        <is>
          <t>K</t>
        </is>
      </c>
      <c r="D85" s="24" t="inlineStr">
        <is>
          <t>783201001</t>
        </is>
      </c>
      <c r="E85" s="24" t="inlineStr">
        <is>
          <t>Žárově zinková povrchová úprava IPE180 + pororoštů dle ČSN EN ISO 12944 (C3 prostředí)</t>
        </is>
      </c>
      <c r="F85" s="23" t="inlineStr">
        <is>
          <t>kg</t>
        </is>
      </c>
      <c r="G85" s="25" t="n">
        <v>1420</v>
      </c>
      <c r="H85" s="26" t="n"/>
      <c r="I85" s="26">
        <f>IF(H85="",0,G85*H85)</f>
        <v/>
      </c>
      <c r="J85" s="23" t="inlineStr">
        <is>
          <t>ÚRS 2026</t>
        </is>
      </c>
      <c r="K85" s="32" t="inlineStr">
        <is>
          <t>? needs production lookup</t>
        </is>
      </c>
      <c r="L85" s="5" t="inlineStr">
        <is>
          <t>HSV-4 Vodorovné</t>
        </is>
      </c>
    </row>
    <row r="86">
      <c r="B86" s="17" t="n"/>
      <c r="C86" s="28" t="inlineStr">
        <is>
          <t>VV</t>
        </is>
      </c>
      <c r="D86" s="17" t="n"/>
      <c r="E86" s="29" t="inlineStr">
        <is>
          <t>IPE 790 kg + pororošt 630 kg = 1420 kg žárově zinkováno (IPE 6 ks)</t>
        </is>
      </c>
      <c r="F86" s="17" t="n"/>
      <c r="G86" s="30" t="n">
        <v>1420</v>
      </c>
      <c r="H86" s="17" t="n"/>
      <c r="I86" s="17" t="n"/>
      <c r="J86" s="17" t="n"/>
      <c r="K86" s="17" t="n"/>
      <c r="L86" s="17" t="n"/>
    </row>
    <row r="87">
      <c r="B87" s="21" t="n"/>
      <c r="C87" s="22" t="inlineStr">
        <is>
          <t>D</t>
        </is>
      </c>
      <c r="D87" s="22" t="inlineStr">
        <is>
          <t>HSV-5</t>
        </is>
      </c>
      <c r="E87" s="22" t="inlineStr">
        <is>
          <t>HSV-5 Komunikace + schodiště</t>
        </is>
      </c>
      <c r="F87" s="21" t="n"/>
      <c r="G87" s="21" t="n"/>
      <c r="H87" s="21" t="n"/>
      <c r="I87" s="21" t="n"/>
      <c r="J87" s="21" t="n"/>
      <c r="K87" s="21" t="n"/>
      <c r="L87" s="21" t="n"/>
    </row>
    <row r="88">
      <c r="B88" s="23" t="n">
        <v>26</v>
      </c>
      <c r="C88" s="23" t="inlineStr">
        <is>
          <t>K</t>
        </is>
      </c>
      <c r="D88" s="24" t="inlineStr">
        <is>
          <t>121301101</t>
        </is>
      </c>
      <c r="E88" s="24" t="inlineStr">
        <is>
          <t>Sklad mezipodesta schodiště — prefa betonové stupně (9 ks × 179.5×250 mm) + kladecí vrstva zavlhlého betonu nad ŽB podkladní deskou (S05 sklad skladba)</t>
        </is>
      </c>
      <c r="F88" s="23" t="inlineStr">
        <is>
          <t>m²</t>
        </is>
      </c>
      <c r="G88" s="25" t="n">
        <v>5.5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HSV-5 Komunikace + schodiště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DXF sklad_DPZ km_tabulka místností: room 1.02 schodiště plocha = 5.50 m². 9 stupňů 179.5×250 mm vyznačené v půdoryse parking sheet (Phase 3.5 cross-check)</t>
        </is>
      </c>
      <c r="F89" s="17" t="n"/>
      <c r="G89" s="30" t="n">
        <v>5.5</v>
      </c>
      <c r="H89" s="17" t="n"/>
      <c r="I89" s="17" t="n"/>
      <c r="J89" s="17" t="n"/>
      <c r="K89" s="17" t="n"/>
      <c r="L89" s="17" t="n"/>
    </row>
    <row r="90">
      <c r="B90" s="19" t="n"/>
      <c r="C90" s="20" t="inlineStr">
        <is>
          <t>D</t>
        </is>
      </c>
      <c r="D90" s="20" t="inlineStr">
        <is>
          <t>PSV</t>
        </is>
      </c>
      <c r="E90" s="20" t="inlineStr">
        <is>
          <t>Práce a dodávky PSV</t>
        </is>
      </c>
      <c r="F90" s="19" t="n"/>
      <c r="G90" s="19" t="n"/>
      <c r="H90" s="19" t="n"/>
      <c r="I90" s="19" t="n"/>
      <c r="J90" s="19" t="n"/>
      <c r="K90" s="19" t="n"/>
      <c r="L90" s="19" t="n"/>
    </row>
    <row r="91">
      <c r="B91" s="21" t="n"/>
      <c r="C91" s="22" t="inlineStr">
        <is>
          <t>D</t>
        </is>
      </c>
      <c r="D91" s="22" t="inlineStr">
        <is>
          <t>PSV-76</t>
        </is>
      </c>
      <c r="E91" s="22" t="inlineStr">
        <is>
          <t>PSV-76 Výplně otvorů</t>
        </is>
      </c>
      <c r="F91" s="21" t="n"/>
      <c r="G91" s="21" t="n"/>
      <c r="H91" s="21" t="n"/>
      <c r="I91" s="21" t="n"/>
      <c r="J91" s="21" t="n"/>
      <c r="K91" s="21" t="n"/>
      <c r="L91" s="21" t="n"/>
    </row>
    <row r="92">
      <c r="B92" s="23" t="n">
        <v>27</v>
      </c>
      <c r="C92" s="23" t="inlineStr">
        <is>
          <t>K</t>
        </is>
      </c>
      <c r="D92" s="24" t="inlineStr">
        <is>
          <t>766682111</t>
        </is>
      </c>
      <c r="E92" s="24" t="inlineStr">
        <is>
          <t>Bezpečnostní dveře RC3 v ocelové zárubni — vrata skladu (TZ statika §1.4 RC3 certifikované)</t>
        </is>
      </c>
      <c r="F92" s="23" t="inlineStr">
        <is>
          <t>ks</t>
        </is>
      </c>
      <c r="G92" s="25" t="n">
        <v>1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PSV-76 Výplně otvorů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 ks vstupní dveře skladu</t>
        </is>
      </c>
      <c r="F93" s="17" t="n"/>
      <c r="G93" s="30" t="n">
        <v>1</v>
      </c>
      <c r="H93" s="17" t="n"/>
      <c r="I93" s="17" t="n"/>
      <c r="J93" s="17" t="n"/>
      <c r="K93" s="17" t="n"/>
      <c r="L93" s="17" t="n"/>
    </row>
    <row r="94">
      <c r="B94" s="21" t="n"/>
      <c r="C94" s="22" t="inlineStr">
        <is>
          <t>D</t>
        </is>
      </c>
      <c r="D94" s="22" t="inlineStr">
        <is>
          <t>PSV-76</t>
        </is>
      </c>
      <c r="E94" s="22" t="inlineStr">
        <is>
          <t>PSV-76 Zámečnictví</t>
        </is>
      </c>
      <c r="F94" s="21" t="n"/>
      <c r="G94" s="21" t="n"/>
      <c r="H94" s="21" t="n"/>
      <c r="I94" s="21" t="n"/>
      <c r="J94" s="21" t="n"/>
      <c r="K94" s="21" t="n"/>
      <c r="L94" s="21" t="n"/>
    </row>
    <row r="95">
      <c r="B95" s="23" t="n">
        <v>28</v>
      </c>
      <c r="C95" s="23" t="inlineStr">
        <is>
          <t>K</t>
        </is>
      </c>
      <c r="D95" s="24" t="inlineStr"/>
      <c r="E95" s="24" t="inlineStr">
        <is>
          <t>Vjezdová brána na pozemku investora (ocelová) — dodávka + montáž</t>
        </is>
      </c>
      <c r="F95" s="23" t="inlineStr">
        <is>
          <t>ks</t>
        </is>
      </c>
      <c r="G95" s="25" t="n">
        <v>1</v>
      </c>
      <c r="H95" s="26" t="n"/>
      <c r="I95" s="26">
        <f>IF(H95="",0,G95*H95)</f>
        <v/>
      </c>
      <c r="J95" s="23" t="inlineStr">
        <is>
          <t>ÚRS 2026</t>
        </is>
      </c>
      <c r="K95" s="33" t="inlineStr">
        <is>
          <t>❌ MANUAL — KROS catalog lookup</t>
        </is>
      </c>
      <c r="L95" s="5" t="inlineStr">
        <is>
          <t>PSV-76 Zámečnictví</t>
        </is>
      </c>
    </row>
    <row r="96">
      <c r="B96" s="17" t="n"/>
      <c r="C96" s="28" t="inlineStr">
        <is>
          <t>VV</t>
        </is>
      </c>
      <c r="D96" s="17" t="n"/>
      <c r="E96" s="29">
        <f> 1 brána (Dodatek PD č.1)</f>
        <v/>
      </c>
      <c r="F96" s="17" t="n"/>
      <c r="G96" s="30" t="n">
        <v>1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PSV-77</t>
        </is>
      </c>
      <c r="E97" s="22" t="inlineStr">
        <is>
          <t>PSV-77 Podlahy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29</v>
      </c>
      <c r="C98" s="23" t="inlineStr">
        <is>
          <t>K</t>
        </is>
      </c>
      <c r="D98" s="24" t="inlineStr"/>
      <c r="E98" s="24" t="inlineStr">
        <is>
          <t>Betonová dlažba 50 mm do kladecího lože — podlaha skladu + vynos za stěnu</t>
        </is>
      </c>
      <c r="F98" s="23" t="inlineStr">
        <is>
          <t>m²</t>
        </is>
      </c>
      <c r="G98" s="25" t="n">
        <v>23.6</v>
      </c>
      <c r="H98" s="26" t="n"/>
      <c r="I98" s="26">
        <f>IF(H98="",0,G98*H98)</f>
        <v/>
      </c>
      <c r="J98" s="23" t="inlineStr">
        <is>
          <t>ÚRS 2026</t>
        </is>
      </c>
      <c r="K98" s="33" t="inlineStr">
        <is>
          <t>❌ MANUAL — KROS catalog lookup</t>
        </is>
      </c>
      <c r="L98" s="5" t="inlineStr">
        <is>
          <t>PSV-77 Podlahy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plocha S01 = místnost 17.6 (legenda) + vynos za stěnu 6.0 (6010×1000 řez) = 23.6 m²</t>
        </is>
      </c>
      <c r="F99" s="17" t="n"/>
      <c r="G99" s="30" t="n">
        <v>23.6</v>
      </c>
      <c r="H99" s="17" t="n"/>
      <c r="I99" s="17" t="n"/>
      <c r="J99" s="17" t="n"/>
      <c r="K99" s="17" t="n"/>
      <c r="L99" s="17" t="n"/>
    </row>
    <row r="100">
      <c r="B100" s="19" t="n"/>
      <c r="C100" s="20" t="inlineStr">
        <is>
          <t>D</t>
        </is>
      </c>
      <c r="D100" s="20" t="inlineStr">
        <is>
          <t>VRN</t>
        </is>
      </c>
      <c r="E100" s="20" t="inlineStr">
        <is>
          <t>Vedlejší rozpočtové náklady</t>
        </is>
      </c>
      <c r="F100" s="19" t="n"/>
      <c r="G100" s="19" t="n"/>
      <c r="H100" s="19" t="n"/>
      <c r="I100" s="19" t="n"/>
      <c r="J100" s="19" t="n"/>
      <c r="K100" s="19" t="n"/>
      <c r="L100" s="19" t="n"/>
    </row>
    <row r="101">
      <c r="B101" s="21" t="n"/>
      <c r="C101" s="22" t="inlineStr">
        <is>
          <t>D</t>
        </is>
      </c>
      <c r="D101" s="22" t="inlineStr">
        <is>
          <t>VRN</t>
        </is>
      </c>
      <c r="E101" s="22" t="inlineStr">
        <is>
          <t>VRN — Společné</t>
        </is>
      </c>
      <c r="F101" s="21" t="n"/>
      <c r="G101" s="21" t="n"/>
      <c r="H101" s="21" t="n"/>
      <c r="I101" s="21" t="n"/>
      <c r="J101" s="21" t="n"/>
      <c r="K101" s="21" t="n"/>
      <c r="L101" s="21" t="n"/>
    </row>
    <row r="102">
      <c r="B102" s="23" t="n">
        <v>30</v>
      </c>
      <c r="C102" s="23" t="inlineStr">
        <is>
          <t>K</t>
        </is>
      </c>
      <c r="D102" s="24" t="inlineStr">
        <is>
          <t>030001000</t>
        </is>
      </c>
      <c r="E102" s="24" t="inlineStr">
        <is>
          <t>Podíl na obecných VRN domu (buňky, BOZP, pojištění, kolaudace) — paušál ~10 % nákladů sklad nebo % alokace</t>
        </is>
      </c>
      <c r="F102" s="23" t="inlineStr">
        <is>
          <t>paušál</t>
        </is>
      </c>
      <c r="G102" s="25" t="n">
        <v>1</v>
      </c>
      <c r="H102" s="26" t="n"/>
      <c r="I102" s="26">
        <f>IF(H102="",0,G102*H102)</f>
        <v/>
      </c>
      <c r="J102" s="23" t="inlineStr">
        <is>
          <t>ÚRS 2026</t>
        </is>
      </c>
      <c r="K102" s="32" t="inlineStr">
        <is>
          <t>? needs production lookup</t>
        </is>
      </c>
      <c r="L102" s="5" t="inlineStr">
        <is>
          <t>VRN — Společné</t>
        </is>
      </c>
    </row>
    <row r="103">
      <c r="B103" s="17" t="n"/>
      <c r="C103" s="28" t="inlineStr">
        <is>
          <t>VV</t>
        </is>
      </c>
      <c r="D103" s="17" t="n"/>
      <c r="E103" s="29" t="inlineStr">
        <is>
          <t>Standard paušální alokace VRN pro paralelně realizovaný menší objekt</t>
        </is>
      </c>
      <c r="F103" s="17" t="n"/>
      <c r="G103" s="30" t="n">
        <v>1</v>
      </c>
      <c r="H103" s="17" t="n"/>
      <c r="I103" s="17" t="n"/>
      <c r="J103" s="17" t="n"/>
      <c r="K103" s="17" t="n"/>
      <c r="L103" s="17" t="n"/>
    </row>
    <row r="104">
      <c r="B104" s="21" t="n"/>
      <c r="C104" s="22" t="inlineStr">
        <is>
          <t>D</t>
        </is>
      </c>
      <c r="D104" s="22" t="inlineStr">
        <is>
          <t>VRN</t>
        </is>
      </c>
      <c r="E104" s="22" t="inlineStr">
        <is>
          <t>VRN — Doprava + odpad</t>
        </is>
      </c>
      <c r="F104" s="21" t="n"/>
      <c r="G104" s="21" t="n"/>
      <c r="H104" s="21" t="n"/>
      <c r="I104" s="21" t="n"/>
      <c r="J104" s="21" t="n"/>
      <c r="K104" s="21" t="n"/>
      <c r="L104" s="21" t="n"/>
    </row>
    <row r="105">
      <c r="B105" s="23" t="n">
        <v>31</v>
      </c>
      <c r="C105" s="23" t="inlineStr">
        <is>
          <t>K</t>
        </is>
      </c>
      <c r="D105" s="24" t="inlineStr">
        <is>
          <t>031032000</t>
        </is>
      </c>
      <c r="E105" s="24" t="inlineStr">
        <is>
          <t>Doprava prefa H-BLOK Standard z výrobny Herkul (Obrnice) auto s hydraulickou rukou — celkem ~60 ks bloků</t>
        </is>
      </c>
      <c r="F105" s="23" t="inlineStr">
        <is>
          <t>kpl</t>
        </is>
      </c>
      <c r="G105" s="25" t="n">
        <v>1</v>
      </c>
      <c r="H105" s="26" t="n"/>
      <c r="I105" s="26">
        <f>IF(H105="",0,G105*H105)</f>
        <v/>
      </c>
      <c r="J105" s="23" t="inlineStr">
        <is>
          <t>ÚRS 2026</t>
        </is>
      </c>
      <c r="K105" s="32" t="inlineStr">
        <is>
          <t>? needs production lookup</t>
        </is>
      </c>
      <c r="L105" s="5" t="inlineStr">
        <is>
          <t>VRN — Doprava + odpad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Standard doprava prefa Herkul autem s hyd. rukou pro lokální distribuci</t>
        </is>
      </c>
      <c r="F106" s="17" t="n"/>
      <c r="G106" s="30" t="n">
        <v>1</v>
      </c>
      <c r="H106" s="17" t="n"/>
      <c r="I106" s="17" t="n"/>
      <c r="J106" s="17" t="n"/>
      <c r="K106" s="17" t="n"/>
      <c r="L106" s="17" t="n"/>
    </row>
    <row r="107">
      <c r="B107" s="23" t="n">
        <v>32</v>
      </c>
      <c r="C107" s="23" t="inlineStr">
        <is>
          <t>K</t>
        </is>
      </c>
      <c r="D107" s="24" t="inlineStr">
        <is>
          <t>997013211</t>
        </is>
      </c>
      <c r="E107" s="24" t="inlineStr">
        <is>
          <t>Likvidace odpadu sklad — kameny ze zídek + výkop + dřevo (drobné množství)</t>
        </is>
      </c>
      <c r="F107" s="23" t="inlineStr">
        <is>
          <t>t</t>
        </is>
      </c>
      <c r="G107" s="25" t="n">
        <v>8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VRN — Doprava + odpad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Odhad: kamenné zídky ~6 t + dřevo+výkop ~2 t = 8 t</t>
        </is>
      </c>
      <c r="F108" s="17" t="n"/>
      <c r="G108" s="30" t="n">
        <v>8</v>
      </c>
      <c r="H108" s="17" t="n"/>
      <c r="I108" s="17" t="n"/>
      <c r="J108" s="17" t="n"/>
      <c r="K108" s="17" t="n"/>
      <c r="L108" s="17" t="n"/>
    </row>
    <row r="109">
      <c r="B109" s="21" t="n"/>
      <c r="C109" s="22" t="inlineStr">
        <is>
          <t>D</t>
        </is>
      </c>
      <c r="D109" s="22" t="inlineStr">
        <is>
          <t>VRN</t>
        </is>
      </c>
      <c r="E109" s="22" t="inlineStr">
        <is>
          <t>VRN — Geodet</t>
        </is>
      </c>
      <c r="F109" s="21" t="n"/>
      <c r="G109" s="21" t="n"/>
      <c r="H109" s="21" t="n"/>
      <c r="I109" s="21" t="n"/>
      <c r="J109" s="21" t="n"/>
      <c r="K109" s="21" t="n"/>
      <c r="L109" s="21" t="n"/>
    </row>
    <row r="110">
      <c r="B110" s="23" t="n">
        <v>33</v>
      </c>
      <c r="C110" s="23" t="inlineStr">
        <is>
          <t>K</t>
        </is>
      </c>
      <c r="D110" s="24" t="inlineStr">
        <is>
          <t>030141000</t>
        </is>
      </c>
      <c r="E110" s="24" t="inlineStr">
        <is>
          <t>Geodetické vytýčení sklad+parking+schodiště ze situace (před realizací)</t>
        </is>
      </c>
      <c r="F110" s="23" t="inlineStr">
        <is>
          <t>kpl</t>
        </is>
      </c>
      <c r="G110" s="25" t="n">
        <v>1</v>
      </c>
      <c r="H110" s="26" t="n"/>
      <c r="I110" s="26">
        <f>IF(H110="",0,G110*H110)</f>
        <v/>
      </c>
      <c r="J110" s="23" t="inlineStr">
        <is>
          <t>ÚRS 2026</t>
        </is>
      </c>
      <c r="K110" s="32" t="inlineStr">
        <is>
          <t>? needs production lookup</t>
        </is>
      </c>
      <c r="L110" s="5" t="inlineStr">
        <is>
          <t>VRN — Geodet</t>
        </is>
      </c>
    </row>
    <row r="111">
      <c r="B111" s="17" t="n"/>
      <c r="C111" s="28" t="inlineStr">
        <is>
          <t>VV</t>
        </is>
      </c>
      <c r="D111" s="17" t="n"/>
      <c r="E111" s="29" t="inlineStr">
        <is>
          <t>Standard geodet vytýčení pro nový objekt</t>
        </is>
      </c>
      <c r="F111" s="17" t="n"/>
      <c r="G111" s="30" t="n">
        <v>1</v>
      </c>
      <c r="H111" s="17" t="n"/>
      <c r="I111" s="17" t="n"/>
      <c r="J111" s="17" t="n"/>
      <c r="K111" s="17" t="n"/>
      <c r="L111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7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171</v>
      </c>
    </row>
    <row r="10">
      <c r="B10" s="8" t="inlineStr">
        <is>
          <t>CELKEM AKTIVNÍ</t>
        </is>
      </c>
      <c r="C10" s="34" t="n">
        <v>234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50 mm do kladecího lože — podlaha skladu + vynos za st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>Dvoustupňové patky pro IPE180 — horní část z tvarovek ztraceného bedně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S03a/b — tvarovky ztraceného bednění tl. 250 mm,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6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Sklad mezipodesta schodiště — prefa betonové stupně (9 ks ×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>Napojení vjezdu na ulici Dvořákova — vydláždění z betonových dlaždic +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  <row r="254">
      <c r="B254" s="24" t="inlineStr">
        <is>
          <t>260217_sklad.HSV1.007</t>
        </is>
      </c>
      <c r="C254" s="24" t="inlineStr">
        <is>
          <t>260217_sklad</t>
        </is>
      </c>
      <c r="D254" s="24" t="inlineStr">
        <is>
          <t>HSV-1 Zemní práce</t>
        </is>
      </c>
      <c r="E254" s="24" t="inlineStr">
        <is>
          <t>564231111</t>
        </is>
      </c>
      <c r="F254" s="24" t="inlineStr"/>
      <c r="G254" s="24" t="inlineStr">
        <is>
          <t>Kladecí lože z kamenné drti 4-8 mm tl. 40 mm pod betonovou dlažbu skla</t>
        </is>
      </c>
      <c r="H254" s="24" t="inlineStr">
        <is>
          <t>? needs production lookup</t>
        </is>
      </c>
    </row>
    <row r="255">
      <c r="B255" s="24" t="inlineStr">
        <is>
          <t>260217_sklad.HSV1.008</t>
        </is>
      </c>
      <c r="C255" s="24" t="inlineStr">
        <is>
          <t>260217_sklad</t>
        </is>
      </c>
      <c r="D255" s="24" t="inlineStr">
        <is>
          <t>HSV-1 Zemní práce</t>
        </is>
      </c>
      <c r="E255" s="24" t="inlineStr">
        <is>
          <t>174101101</t>
        </is>
      </c>
      <c r="F255" s="24" t="inlineStr"/>
      <c r="G255" s="24" t="inlineStr">
        <is>
          <t>Zásyp za prefabrikovanou opěrnou stěnou S04 — materiál dle PD (NEuvede</t>
        </is>
      </c>
      <c r="H255" s="24" t="inlineStr">
        <is>
          <t>? needs production lookup</t>
        </is>
      </c>
    </row>
    <row r="256">
      <c r="B256" s="24" t="inlineStr">
        <is>
          <t>260217_sklad.PSV76.003</t>
        </is>
      </c>
      <c r="C256" s="24" t="inlineStr">
        <is>
          <t>260217_sklad</t>
        </is>
      </c>
      <c r="D256" s="24" t="inlineStr">
        <is>
          <t>PSV-76 Zámečnické konstrukce</t>
        </is>
      </c>
      <c r="E256" s="24" t="inlineStr"/>
      <c r="F256" s="24" t="inlineStr"/>
      <c r="G256" s="24" t="inlineStr">
        <is>
          <t xml:space="preserve">Oplocení podél vjezdu — délka dle situace, materiál OVĚŘIT (kov/dřevo </t>
        </is>
      </c>
      <c r="H256" s="24" t="inlineStr">
        <is>
          <t>❌ MANUAL — KROS catalog lookup</t>
        </is>
      </c>
    </row>
    <row r="257">
      <c r="B257" s="24" t="inlineStr">
        <is>
          <t>260217_sklad.PSV76.004</t>
        </is>
      </c>
      <c r="C257" s="24" t="inlineStr">
        <is>
          <t>260217_sklad</t>
        </is>
      </c>
      <c r="D257" s="24" t="inlineStr">
        <is>
          <t>PSV-76 Zámečnické konstrukce</t>
        </is>
      </c>
      <c r="E257" s="24" t="inlineStr"/>
      <c r="F257" s="24" t="inlineStr"/>
      <c r="G257" s="24" t="inlineStr">
        <is>
          <t>Zábradlí v. 1.0 m kolem části stání — materiál OVĚŘIT (kov/dřevo neuve</t>
        </is>
      </c>
      <c r="H257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6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 xml:space="preserve">Obvodové stěny skladu S03a/b — tvarovky ztraceného bednění tl. 250 mm, výška 14 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6 m × 6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50 mm do kladecího lože — podlaha skladu + vynos za stěnu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Sklad mezipodesta schodiště — prefa betonové stupně (9 ks × 179.5×250 mm) + klad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Napojení vjezdu na ulici Dvořákova — vydláždění z betonových dlaždic + spádování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  <row r="235">
      <c r="B235" s="24" t="inlineStr">
        <is>
          <t>260217_sklad.HSV1.007</t>
        </is>
      </c>
      <c r="C235" s="24" t="inlineStr">
        <is>
          <t>HSV-1 Zemní práce</t>
        </is>
      </c>
      <c r="D235" s="24" t="inlineStr">
        <is>
          <t>Kladecí lože z kamenné drti 4-8 mm tl. 40 mm pod betonovou dlažbu skladu</t>
        </is>
      </c>
      <c r="E235" s="24" t="inlineStr">
        <is>
          <t>564231111</t>
        </is>
      </c>
      <c r="F235" s="24" t="inlineStr"/>
      <c r="G235" s="24" t="inlineStr"/>
      <c r="H235" s="24" t="inlineStr">
        <is>
          <t>needs_production_lookup</t>
        </is>
      </c>
      <c r="I235" s="35" t="n">
        <v>0.6</v>
      </c>
      <c r="J235" s="32" t="inlineStr"/>
      <c r="K235" s="24" t="inlineStr"/>
      <c r="L235" s="24" t="inlineStr"/>
      <c r="M235" s="24" t="inlineStr"/>
      <c r="N235" s="24" t="inlineStr"/>
    </row>
    <row r="236">
      <c r="B236" s="24" t="inlineStr">
        <is>
          <t>260217_sklad.HSV1.008</t>
        </is>
      </c>
      <c r="C236" s="24" t="inlineStr">
        <is>
          <t>HSV-1 Zemní práce</t>
        </is>
      </c>
      <c r="D236" s="24" t="inlineStr">
        <is>
          <t>Zásyp za prefabrikovanou opěrnou stěnou S04 — materiál dle PD (NEuveden v legend</t>
        </is>
      </c>
      <c r="E236" s="24" t="inlineStr">
        <is>
          <t>174101101</t>
        </is>
      </c>
      <c r="F236" s="24" t="inlineStr"/>
      <c r="G236" s="24" t="inlineStr"/>
      <c r="H236" s="24" t="inlineStr">
        <is>
          <t>needs_production_lookup</t>
        </is>
      </c>
      <c r="I236" s="35" t="n">
        <v>0.6</v>
      </c>
      <c r="J236" s="32" t="inlineStr"/>
      <c r="K236" s="24" t="inlineStr"/>
      <c r="L236" s="24" t="inlineStr"/>
      <c r="M236" s="24" t="inlineStr"/>
      <c r="N236" s="24" t="inlineStr"/>
    </row>
    <row r="237">
      <c r="B237" s="24" t="inlineStr">
        <is>
          <t>260217_sklad.PSV76.003</t>
        </is>
      </c>
      <c r="C237" s="24" t="inlineStr">
        <is>
          <t>PSV-76 Zámečnické konstrukce</t>
        </is>
      </c>
      <c r="D237" s="24" t="inlineStr">
        <is>
          <t>Oplocení podél vjezdu — délka dle situace, materiál OVĚŘIT (kov/dřevo neuveden)</t>
        </is>
      </c>
      <c r="E237" s="24" t="inlineStr"/>
      <c r="F237" s="24" t="inlineStr"/>
      <c r="G237" s="24" t="inlineStr"/>
      <c r="H237" s="24" t="inlineStr">
        <is>
          <t>needs_production_lookup</t>
        </is>
      </c>
      <c r="I237" s="35" t="n">
        <v>0.6</v>
      </c>
      <c r="J237" s="33" t="inlineStr"/>
      <c r="K237" s="24" t="inlineStr"/>
      <c r="L237" s="24" t="inlineStr"/>
      <c r="M237" s="24" t="inlineStr"/>
      <c r="N237" s="24" t="inlineStr"/>
    </row>
    <row r="238">
      <c r="B238" s="24" t="inlineStr">
        <is>
          <t>260217_sklad.PSV76.004</t>
        </is>
      </c>
      <c r="C238" s="24" t="inlineStr">
        <is>
          <t>PSV-76 Zámečnické konstrukce</t>
        </is>
      </c>
      <c r="D238" s="24" t="inlineStr">
        <is>
          <t>Zábradlí v. 1.0 m kolem části stání — materiál OVĚŘIT (kov/dřevo neuveden)</t>
        </is>
      </c>
      <c r="E238" s="24" t="inlineStr"/>
      <c r="F238" s="24" t="inlineStr"/>
      <c r="G238" s="24" t="inlineStr"/>
      <c r="H238" s="24" t="inlineStr">
        <is>
          <t>needs_production_lookup</t>
        </is>
      </c>
      <c r="I238" s="35" t="n">
        <v>0.6</v>
      </c>
      <c r="J238" s="33" t="inlineStr"/>
      <c r="K238" s="24" t="inlineStr"/>
      <c r="L238" s="24" t="inlineStr"/>
      <c r="M238" s="24" t="inlineStr"/>
      <c r="N238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2026-06-02T07:23:48Z</dcterms:created>
  <dcterms:modified xmlns:dcterms="http://purl.org/dc/terms/" xmlns:xsi="http://www.w3.org/2001/XMLSchema-instance" xsi:type="dcterms:W3CDTF">2026-06-02T07:23:48Z</dcterms:modified>
</cp:coreProperties>
</file>
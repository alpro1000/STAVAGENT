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SUM('SO_260217_Sklad'!I34:I118)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1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SUMIFS(I32:I119,L32:L119,C16)</f>
        <v/>
      </c>
    </row>
    <row r="17">
      <c r="B17" s="17" t="n"/>
      <c r="C17" s="5" t="inlineStr">
        <is>
          <t>HSV-2 Základové a ŽB</t>
        </is>
      </c>
      <c r="D17" s="7">
        <f>SUMIFS(I32:I119,L32:L119,C17)</f>
        <v/>
      </c>
    </row>
    <row r="18">
      <c r="B18" s="17" t="n"/>
      <c r="C18" s="5" t="inlineStr">
        <is>
          <t>HSV-3 Svislé konstrukce</t>
        </is>
      </c>
      <c r="D18" s="7">
        <f>SUMIFS(I32:I119,L32:L119,C18)</f>
        <v/>
      </c>
    </row>
    <row r="19">
      <c r="B19" s="17" t="n"/>
      <c r="C19" s="5" t="inlineStr">
        <is>
          <t>HSV-4 Vodorovné</t>
        </is>
      </c>
      <c r="D19" s="7">
        <f>SUMIFS(I32:I119,L32:L119,C19)</f>
        <v/>
      </c>
    </row>
    <row r="20">
      <c r="B20" s="17" t="n"/>
      <c r="C20" s="5" t="inlineStr">
        <is>
          <t>HSV-5 Komunikace + schodiště</t>
        </is>
      </c>
      <c r="D20" s="7">
        <f>SUMIFS(I32:I119,L32:L119,C20)</f>
        <v/>
      </c>
    </row>
    <row r="21">
      <c r="B21" s="17" t="n"/>
      <c r="C21" s="5" t="inlineStr">
        <is>
          <t>PSV-76 Výplně otvorů</t>
        </is>
      </c>
      <c r="D21" s="7">
        <f>SUMIFS(I32:I119,L32:L119,C21)</f>
        <v/>
      </c>
    </row>
    <row r="22">
      <c r="B22" s="17" t="n"/>
      <c r="C22" s="5" t="inlineStr">
        <is>
          <t>PSV-76 Zámečnictví</t>
        </is>
      </c>
      <c r="D22" s="7">
        <f>SUMIFS(I32:I119,L32:L119,C22)</f>
        <v/>
      </c>
    </row>
    <row r="23">
      <c r="B23" s="17" t="n"/>
      <c r="C23" s="5" t="inlineStr">
        <is>
          <t>PSV-77 Podlahy</t>
        </is>
      </c>
      <c r="D23" s="7">
        <f>SUMIFS(I32:I119,L32:L119,C23)</f>
        <v/>
      </c>
    </row>
    <row r="24">
      <c r="B24" s="17" t="n"/>
      <c r="C24" s="5" t="inlineStr">
        <is>
          <t>VRN — Společné</t>
        </is>
      </c>
      <c r="D24" s="7">
        <f>SUMIFS(I32:I119,L32:L119,C24)</f>
        <v/>
      </c>
    </row>
    <row r="25">
      <c r="B25" s="17" t="n"/>
      <c r="C25" s="5" t="inlineStr">
        <is>
          <t>VRN — Doprava + odpad</t>
        </is>
      </c>
      <c r="D25" s="7">
        <f>SUMIFS(I32:I119,L32:L119,C25)</f>
        <v/>
      </c>
    </row>
    <row r="26">
      <c r="B26" s="17" t="n"/>
      <c r="C26" s="5" t="inlineStr">
        <is>
          <t>VRN — Geodet</t>
        </is>
      </c>
      <c r="D26" s="7">
        <f>SUMIFS(I32:I119,L32:L119,C26)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6 ks</t>
        </is>
      </c>
      <c r="F40" s="23" t="inlineStr">
        <is>
          <t>m³</t>
        </is>
      </c>
      <c r="G40" s="25" t="n">
        <v>1.5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6 patek × 0.5 × 0.5 × 1.0 m hl. = 1.5 m³</t>
        </is>
      </c>
      <c r="F41" s="17" t="n"/>
      <c r="G41" s="30" t="n">
        <v>1.5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3.54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S01 plocha 23.6 m² (místnost 17.6 + vynos za stěnu 6.0 dle řezu) × 0.15 m podkladní drť 4-8 = 3.54 m³</t>
        </is>
      </c>
      <c r="F43" s="17" t="n"/>
      <c r="G43" s="30" t="n">
        <v>3.54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31.85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(25.5+4.85+1.5)</f>
        <v/>
      </c>
      <c r="F45" s="17" t="n"/>
      <c r="G45" s="30" t="n">
        <v>31.85</v>
      </c>
      <c r="H45" s="17" t="n"/>
      <c r="I45" s="17" t="n"/>
      <c r="J45" s="17" t="n"/>
      <c r="K45" s="17" t="n"/>
      <c r="L45" s="17" t="n"/>
    </row>
    <row r="46">
      <c r="B46" s="23" t="n">
        <v>7</v>
      </c>
      <c r="C46" s="23" t="inlineStr">
        <is>
          <t>K</t>
        </is>
      </c>
      <c r="D46" s="24" t="inlineStr">
        <is>
          <t>564231111</t>
        </is>
      </c>
      <c r="E46" s="24" t="inlineStr">
        <is>
          <t>Kladecí lože z kamenné drti 4-8 mm tl. 40 mm pod betonovou dlažbu skladu</t>
        </is>
      </c>
      <c r="F46" s="23" t="inlineStr">
        <is>
          <t>m³</t>
        </is>
      </c>
      <c r="G46" s="25" t="n">
        <v>0.9399999999999999</v>
      </c>
      <c r="H46" s="26" t="n"/>
      <c r="I46" s="26">
        <f>IF(H46="",0,G46*H46)</f>
        <v/>
      </c>
      <c r="J46" s="23" t="inlineStr">
        <is>
          <t>ÚRS 2026</t>
        </is>
      </c>
      <c r="K46" s="32" t="inlineStr">
        <is>
          <t>? needs production lookup</t>
        </is>
      </c>
      <c r="L46" s="5" t="inlineStr">
        <is>
          <t>HSV-1 Zemní práce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S01 plocha 23.6 m² × 0.04 m = 0.94 m³</t>
        </is>
      </c>
      <c r="F47" s="17" t="n"/>
      <c r="G47" s="30" t="n">
        <v>0.9399999999999999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174101101</t>
        </is>
      </c>
      <c r="E48" s="24" t="inlineStr">
        <is>
          <t>Zásyp za prefabrikovanou opěrnou stěnou S04 — materiál dle PD (NEuveden v legendě, OVĚŘIT)</t>
        </is>
      </c>
      <c r="F48" s="23" t="inlineStr">
        <is>
          <t>m³</t>
        </is>
      </c>
      <c r="G48" s="25" t="n">
        <v>23.5</v>
      </c>
      <c r="H48" s="26" t="n"/>
      <c r="I48" s="26">
        <f>IF(H48="",0,G48*H48)</f>
        <v/>
      </c>
      <c r="J48" s="23" t="inlineStr">
        <is>
          <t>ÚRS 2026</t>
        </is>
      </c>
      <c r="K48" s="32" t="inlineStr">
        <is>
          <t>? needs production lookup</t>
        </is>
      </c>
      <c r="L48" s="5" t="inlineStr">
        <is>
          <t>HSV-1 Zemní práce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průřez zásypu 3.61 m² (řez A-A) × délka 6.5 m = 23.5 m³</t>
        </is>
      </c>
      <c r="F49" s="17" t="n"/>
      <c r="G49" s="30" t="n">
        <v>23.5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/>
      <c r="E50" s="24" t="inlineStr">
        <is>
          <t>Trubka Ø ~150 mm v štěrkovém obsypu podél vysokého pasu — drenáž/odvětrání radonu (OVĚŘIT)</t>
        </is>
      </c>
      <c r="F50" s="23" t="inlineStr">
        <is>
          <t>bm</t>
        </is>
      </c>
      <c r="G50" s="25" t="n">
        <v>6.35</v>
      </c>
      <c r="H50" s="26" t="n"/>
      <c r="I50" s="26">
        <f>IF(H50="",0,G50*H50)</f>
        <v/>
      </c>
      <c r="J50" s="23" t="inlineStr">
        <is>
          <t>ÚRS 2026</t>
        </is>
      </c>
      <c r="K50" s="33" t="inlineStr">
        <is>
          <t>❌ MANUAL — KROS catalog lookup</t>
        </is>
      </c>
      <c r="L50" s="5" t="inlineStr">
        <is>
          <t>HSV-1 Zemní práce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délka jako prefa stěna ≈ 6.35 m; Ø ~150 mm (měřeno z řezu, nepopsáno)</t>
        </is>
      </c>
      <c r="F51" s="17" t="n"/>
      <c r="G51" s="30" t="n">
        <v>6.35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/>
      <c r="E52" s="24" t="inlineStr">
        <is>
          <t>Trubka Ø 120-130 mm v štěrkovém obsypu podél stěny — drenáž/odvětrání radonu (OVĚŘIT)</t>
        </is>
      </c>
      <c r="F52" s="23" t="inlineStr">
        <is>
          <t>bm</t>
        </is>
      </c>
      <c r="G52" s="25" t="n">
        <v>6.01</v>
      </c>
      <c r="H52" s="26" t="n"/>
      <c r="I52" s="26">
        <f>IF(H52="",0,G52*H52)</f>
        <v/>
      </c>
      <c r="J52" s="23" t="inlineStr">
        <is>
          <t>ÚRS 2026</t>
        </is>
      </c>
      <c r="K52" s="33" t="inlineStr">
        <is>
          <t>❌ MANUAL — KROS catalog lookup</t>
        </is>
      </c>
      <c r="L52" s="5" t="inlineStr">
        <is>
          <t>HSV-1 Zemní práce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délka 6010 mm; Ø 120-130 mm (měřeno z řezu, nepopsáno)</t>
        </is>
      </c>
      <c r="F53" s="17" t="n"/>
      <c r="G53" s="30" t="n">
        <v>6.01</v>
      </c>
      <c r="H53" s="17" t="n"/>
      <c r="I53" s="17" t="n"/>
      <c r="J53" s="17" t="n"/>
      <c r="K53" s="17" t="n"/>
      <c r="L53" s="17" t="n"/>
    </row>
    <row r="54">
      <c r="B54" s="21" t="n"/>
      <c r="C54" s="22" t="inlineStr">
        <is>
          <t>D</t>
        </is>
      </c>
      <c r="D54" s="22" t="inlineStr">
        <is>
          <t>HSV-2</t>
        </is>
      </c>
      <c r="E54" s="22" t="inlineStr">
        <is>
          <t>HSV-2 Základové a ŽB</t>
        </is>
      </c>
      <c r="F54" s="21" t="n"/>
      <c r="G54" s="21" t="n"/>
      <c r="H54" s="21" t="n"/>
      <c r="I54" s="21" t="n"/>
      <c r="J54" s="21" t="n"/>
      <c r="K54" s="21" t="n"/>
      <c r="L54" s="21" t="n"/>
    </row>
    <row r="55">
      <c r="B55" s="23" t="n">
        <v>11</v>
      </c>
      <c r="C55" s="23" t="inlineStr">
        <is>
          <t>K</t>
        </is>
      </c>
      <c r="D55" s="24" t="inlineStr"/>
      <c r="E55" s="24" t="inlineStr">
        <is>
          <t>Základové pasy z prostého betonu C16/20 XC0, 500×500 mm po obvodu skladu (nezámrzná hl.)</t>
        </is>
      </c>
      <c r="F55" s="23" t="inlineStr">
        <is>
          <t>m³</t>
        </is>
      </c>
      <c r="G55" s="25" t="n">
        <v>4.84</v>
      </c>
      <c r="H55" s="26" t="n"/>
      <c r="I55" s="26">
        <f>IF(H55="",0,G55*H55)</f>
        <v/>
      </c>
      <c r="J55" s="23" t="inlineStr">
        <is>
          <t>ÚRS 2026</t>
        </is>
      </c>
      <c r="K55" s="33" t="inlineStr">
        <is>
          <t>❌ MANUAL — KROS catalog lookup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0.5 × 0.5 × 19.4 obvod = 4.85</t>
        </is>
      </c>
      <c r="F56" s="17" t="n"/>
      <c r="G56" s="30" t="n">
        <v>4.84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273313811</t>
        </is>
      </c>
      <c r="E57" s="24" t="inlineStr">
        <is>
          <t>Dvoustupňové patky pro IPE180 zastřešení parkingu — spodní část prostý beton C16/20 500×500×500 mm × 6 ks</t>
        </is>
      </c>
      <c r="F57" s="23" t="inlineStr">
        <is>
          <t>ks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https://www.cs-urs.cz/podminky/cu202/801-1-Budovy-a-haly---z]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6 ks (výkres D.1.1.02 — 6 štvercových patek pod IPE180)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13</v>
      </c>
      <c r="C59" s="23" t="inlineStr">
        <is>
          <t>K</t>
        </is>
      </c>
      <c r="D59" s="24" t="inlineStr">
        <is>
          <t>311233812</t>
        </is>
      </c>
      <c r="E59" s="24" t="inlineStr">
        <is>
          <t>Patky parking horní část — zdivo z tvárnic ztraceného bednění 300×300 mm (lost formwork, zůstává v konstrukci), 6 patek á 300×300×500 mm</t>
        </is>
      </c>
      <c r="F59" s="23" t="inlineStr">
        <is>
          <t>ks</t>
        </is>
      </c>
      <c r="G59" s="25" t="n">
        <v>6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HSV-2 Základové a ŽB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6 patek horní á 300×300×500 mm = 6 sloupků z tvárnic ZB 300×300 (á 2 řady po 250 = 12 tvárnic); zálivka C25/30 + výztuž samostatně (HSV2.004 / HSV3.003)</t>
        </is>
      </c>
      <c r="F60" s="17" t="n"/>
      <c r="G60" s="30" t="n">
        <v>6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273321321</t>
        </is>
      </c>
      <c r="E61" s="24" t="inlineStr">
        <is>
          <t>Beton C25/30 XC3 XF1 XA1 pro zalití tvarovek ZB patek + lemujících zídek parkingu</t>
        </is>
      </c>
      <c r="F61" s="23" t="inlineStr">
        <is>
          <t>m³</t>
        </is>
      </c>
      <c r="G61" s="25" t="n">
        <v>1.77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HSV-2 Základové a ŽB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zálivka tvárnic ZB: patky horní (0.3×0.3×0.5×6=0.27) + věnec 2 řady (2×0.25 v × 0.3 š × 6.7 d=1.00) + zídka lemující (~0.5) = 1.77 m³</t>
        </is>
      </c>
      <c r="F62" s="17" t="n"/>
      <c r="G62" s="30" t="n">
        <v>1.77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174101101</t>
        </is>
      </c>
      <c r="E63" s="24" t="inlineStr">
        <is>
          <t>Štěrkopískové lože pod podlahu skladu + pod schodišťovou desku</t>
        </is>
      </c>
      <c r="F63" s="23" t="inlineStr">
        <is>
          <t>m³</t>
        </is>
      </c>
      <c r="G63" s="25" t="n">
        <v>1.76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cross-discipline OK [evidence: https://www.cs-urs.cz/podminky/cu201/800-1-Zemni-prace-(2020]</t>
        </is>
      </c>
      <c r="L63" s="5" t="inlineStr">
        <is>
          <t>HSV-2 Základové a ŽB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podlaha sklad 17.6 m² (legenda) × 0.10 m kladecí kamenná drť</t>
        </is>
      </c>
      <c r="F64" s="17" t="n"/>
      <c r="G64" s="30" t="n">
        <v>1.76</v>
      </c>
      <c r="H64" s="17" t="n"/>
      <c r="I64" s="17" t="n"/>
      <c r="J64" s="17" t="n"/>
      <c r="K64" s="17" t="n"/>
      <c r="L64" s="17" t="n"/>
    </row>
    <row r="65">
      <c r="B65" s="23" t="n">
        <v>16</v>
      </c>
      <c r="C65" s="23" t="inlineStr">
        <is>
          <t>K</t>
        </is>
      </c>
      <c r="D65" s="24" t="inlineStr">
        <is>
          <t>273361821</t>
        </is>
      </c>
      <c r="E65" s="24" t="inlineStr">
        <is>
          <t>ŽB schodišťová deska ve sklonu + základový pas — beton C25/30 XC3 (terén ke skladu)</t>
        </is>
      </c>
      <c r="F65" s="23" t="inlineStr">
        <is>
          <t>m³</t>
        </is>
      </c>
      <c r="G65" s="25" t="n">
        <v>0.8</v>
      </c>
      <c r="H65" s="26" t="n"/>
      <c r="I65" s="26">
        <f>IF(H65="",0,G65*H65)</f>
        <v/>
      </c>
      <c r="J65" s="23" t="inlineStr">
        <is>
          <t>ÚRS 2026</t>
        </is>
      </c>
      <c r="K65" s="32" t="inlineStr">
        <is>
          <t>? needs production lookup</t>
        </is>
      </c>
      <c r="L65" s="5" t="inlineStr">
        <is>
          <t>HSV-2 Základové a ŽB</t>
        </is>
      </c>
    </row>
    <row r="66">
      <c r="B66" s="17" t="n"/>
      <c r="C66" s="28" t="inlineStr">
        <is>
          <t>VV</t>
        </is>
      </c>
      <c r="D66" s="17" t="n"/>
      <c r="E66" s="29" t="inlineStr">
        <is>
          <t>odhad 3 m schodů × 0.8 × 0.30 = 0.72 (ručně)</t>
        </is>
      </c>
      <c r="F66" s="17" t="n"/>
      <c r="G66" s="30" t="n">
        <v>0.8</v>
      </c>
      <c r="H66" s="17" t="n"/>
      <c r="I66" s="17" t="n"/>
      <c r="J66" s="17" t="n"/>
      <c r="K66" s="17" t="n"/>
      <c r="L66" s="17" t="n"/>
    </row>
    <row r="67">
      <c r="B67" s="23" t="n">
        <v>17</v>
      </c>
      <c r="C67" s="23" t="inlineStr">
        <is>
          <t>K</t>
        </is>
      </c>
      <c r="D67" s="24" t="inlineStr">
        <is>
          <t>273351215</t>
        </is>
      </c>
      <c r="E67" s="24" t="inlineStr">
        <is>
          <t>Bednění základových pasů + spodních patek (prostý beton) — tradiční / systémové, oboustranné kde nelze betonovat do rýhy</t>
        </is>
      </c>
      <c r="F67" s="23" t="inlineStr">
        <is>
          <t>m²</t>
        </is>
      </c>
      <c r="G67" s="25" t="n">
        <v>25.4</v>
      </c>
      <c r="H67" s="26" t="n"/>
      <c r="I67" s="26">
        <f>IF(H67="",0,G67*H67)</f>
        <v/>
      </c>
      <c r="J67" s="23" t="inlineStr">
        <is>
          <t>ÚRS 2026</t>
        </is>
      </c>
      <c r="K67" s="32" t="inlineStr">
        <is>
          <t>? needs production lookup</t>
        </is>
      </c>
      <c r="L67" s="5" t="inlineStr">
        <is>
          <t>HSV-2 Základové a ŽB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patky spodní 6×4×0.5×0.5=6.0 + pasy 2 strany×0.5×19.4 obvod=19.4 = 25.4 m² (část lze betonovat do rýhy → OVĚŘIT)</t>
        </is>
      </c>
      <c r="F68" s="17" t="n"/>
      <c r="G68" s="30" t="n">
        <v>25.4</v>
      </c>
      <c r="H68" s="17" t="n"/>
      <c r="I68" s="17" t="n"/>
      <c r="J68" s="17" t="n"/>
      <c r="K68" s="17" t="n"/>
      <c r="L68" s="17" t="n"/>
    </row>
    <row r="69">
      <c r="B69" s="23" t="n">
        <v>18</v>
      </c>
      <c r="C69" s="23" t="inlineStr">
        <is>
          <t>K</t>
        </is>
      </c>
      <c r="D69" s="24" t="inlineStr">
        <is>
          <t>273361821</t>
        </is>
      </c>
      <c r="E69" s="24" t="inlineStr">
        <is>
          <t>Výztuž B500B vkládaná do tvárnic ztraceného bednění — patky horní (6 sloupků) + ztužující věnec nad patkami</t>
        </is>
      </c>
      <c r="F69" s="23" t="inlineStr">
        <is>
          <t>kg</t>
        </is>
      </c>
      <c r="G69" s="25" t="n">
        <v>153</v>
      </c>
      <c r="H69" s="26" t="n"/>
      <c r="I69" s="26">
        <f>IF(H69="",0,G69*H69)</f>
        <v/>
      </c>
      <c r="J69" s="23" t="inlineStr">
        <is>
          <t>ÚRS 2026</t>
        </is>
      </c>
      <c r="K69" s="32" t="inlineStr">
        <is>
          <t>? needs production lookup</t>
        </is>
      </c>
      <c r="L69" s="5" t="inlineStr">
        <is>
          <t>HSV-2 Základové a ŽB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zálivka tvárnic ZB 1.27 m³ (patky horní 0.27 + věnec 1.00) × 120 kg/m³ (= stěna 30 kg/m² ÷ 0.25) = 153 kg</t>
        </is>
      </c>
      <c r="F70" s="17" t="n"/>
      <c r="G70" s="30" t="n">
        <v>153</v>
      </c>
      <c r="H70" s="17" t="n"/>
      <c r="I70" s="17" t="n"/>
      <c r="J70" s="17" t="n"/>
      <c r="K70" s="17" t="n"/>
      <c r="L70" s="17" t="n"/>
    </row>
    <row r="71">
      <c r="B71" s="21" t="n"/>
      <c r="C71" s="22" t="inlineStr">
        <is>
          <t>D</t>
        </is>
      </c>
      <c r="D71" s="22" t="inlineStr">
        <is>
          <t>HSV-3</t>
        </is>
      </c>
      <c r="E71" s="22" t="inlineStr">
        <is>
          <t>HSV-3 Svislé konstrukce</t>
        </is>
      </c>
      <c r="F71" s="21" t="n"/>
      <c r="G71" s="21" t="n"/>
      <c r="H71" s="21" t="n"/>
      <c r="I71" s="21" t="n"/>
      <c r="J71" s="21" t="n"/>
      <c r="K71" s="21" t="n"/>
      <c r="L71" s="21" t="n"/>
    </row>
    <row r="72">
      <c r="B72" s="23" t="n">
        <v>19</v>
      </c>
      <c r="C72" s="23" t="inlineStr">
        <is>
          <t>K</t>
        </is>
      </c>
      <c r="D72" s="24" t="inlineStr">
        <is>
          <t>311233815</t>
        </is>
      </c>
      <c r="E72" s="24" t="inlineStr">
        <is>
          <t>Zadní opěrná stěna — prefabrikované betonové bloky Herkul H-BLOK Standard, vazba běhounová s posunem 0.5</t>
        </is>
      </c>
      <c r="F72" s="23" t="inlineStr">
        <is>
          <t>ks</t>
        </is>
      </c>
      <c r="G72" s="25" t="n">
        <v>18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HSV-3 Svislé konstrukce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F73" s="17" t="n"/>
      <c r="G73" s="30" t="n">
        <v>18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311233811</t>
        </is>
      </c>
      <c r="E74" s="24" t="inlineStr">
        <is>
          <t>Obvodové stěny skladu S03a/b — tvarovky ztraceného bednění tl. 250 mm, výška 14 řad × 250 = 3.5 m + zalití C25/30</t>
        </is>
      </c>
      <c r="F74" s="23" t="inlineStr">
        <is>
          <t>m²</t>
        </is>
      </c>
      <c r="G74" s="25" t="n">
        <v>62.5</v>
      </c>
      <c r="H74" s="26" t="n"/>
      <c r="I74" s="26">
        <f>IF(H74="",0,G74*H74)</f>
        <v/>
      </c>
      <c r="J74" s="23" t="inlineStr">
        <is>
          <t>ÚRS 2026</t>
        </is>
      </c>
      <c r="K74" s="32" t="inlineStr">
        <is>
          <t>? needs production lookup</t>
        </is>
      </c>
      <c r="L74" s="5" t="inlineStr">
        <is>
          <t>HSV-3 Svislé konstrukce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3 strany trapézu (6010-1000 dveře)+(7000-600 prefa)+(7033-600 prefa)=17843 mm = 17.84 m × výška 14 řad×0.25 = 3.5 m = 62.5 m²</t>
        </is>
      </c>
      <c r="F75" s="17" t="n"/>
      <c r="G75" s="30" t="n">
        <v>62.5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273361821</t>
        </is>
      </c>
      <c r="E76" s="24" t="inlineStr">
        <is>
          <t>Výztuž B500B do tvarovek ztraceného bednění (~30 kg/m² stěny při zalití C25/30)</t>
        </is>
      </c>
      <c r="F76" s="23" t="inlineStr">
        <is>
          <t>kg</t>
        </is>
      </c>
      <c r="G76" s="25" t="n">
        <v>1875</v>
      </c>
      <c r="H76" s="26" t="n"/>
      <c r="I76" s="26">
        <f>IF(H76="",0,G76*H76)</f>
        <v/>
      </c>
      <c r="J76" s="23" t="inlineStr">
        <is>
          <t>ÚRS 2026</t>
        </is>
      </c>
      <c r="K76" s="31" t="inlineStr">
        <is>
          <t>⚠ family OK, leaf KROS lookup [evidence: https://www.cs-urs.cz/cenova-soustava-urs/]</t>
        </is>
      </c>
      <c r="L76" s="5" t="inlineStr">
        <is>
          <t>HSV-3 Svislé konstrukce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62.5 m² × 30 kg/m² (zalití C25/30) = 1875 kg</t>
        </is>
      </c>
      <c r="F77" s="17" t="n"/>
      <c r="G77" s="30" t="n">
        <v>1875</v>
      </c>
      <c r="H77" s="17" t="n"/>
      <c r="I77" s="17" t="n"/>
      <c r="J77" s="17" t="n"/>
      <c r="K77" s="17" t="n"/>
      <c r="L77" s="17" t="n"/>
    </row>
    <row r="78">
      <c r="B78" s="23" t="n">
        <v>22</v>
      </c>
      <c r="C78" s="23" t="inlineStr">
        <is>
          <t>K</t>
        </is>
      </c>
      <c r="D78" s="24" t="inlineStr"/>
      <c r="E78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78" s="23" t="inlineStr">
        <is>
          <t>m²</t>
        </is>
      </c>
      <c r="G78" s="25" t="n">
        <v>33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HSV-3 Svislé konstrukce</t>
        </is>
      </c>
    </row>
    <row r="79">
      <c r="B79" s="17" t="n"/>
      <c r="C79" s="28" t="inlineStr">
        <is>
          <t>VV</t>
        </is>
      </c>
      <c r="D79" s="17" t="n"/>
      <c r="E79" s="29">
        <f> S04 6.35×3.0 ≈19 + S03a 2×3.6×~2.0 ≈14 = 33 m² (řez D.1.1.03/04, OVĚŘIT)</f>
        <v/>
      </c>
      <c r="F79" s="17" t="n"/>
      <c r="G79" s="30" t="n">
        <v>33</v>
      </c>
      <c r="H79" s="17" t="n"/>
      <c r="I79" s="17" t="n"/>
      <c r="J79" s="17" t="n"/>
      <c r="K79" s="17" t="n"/>
      <c r="L79" s="17" t="n"/>
    </row>
    <row r="80">
      <c r="B80" s="23" t="n">
        <v>23</v>
      </c>
      <c r="C80" s="23" t="inlineStr">
        <is>
          <t>K</t>
        </is>
      </c>
      <c r="D80" s="24" t="inlineStr"/>
      <c r="E80" s="24" t="inlineStr">
        <is>
          <t>Drenážní vrstva — nopová folie tl. 20 mm na obvodové stěny (S03a) + opěrnou stěnu (S04) pod úrovní terénu</t>
        </is>
      </c>
      <c r="F80" s="23" t="inlineStr">
        <is>
          <t>m²</t>
        </is>
      </c>
      <c r="G80" s="25" t="n">
        <v>33</v>
      </c>
      <c r="H80" s="26" t="n"/>
      <c r="I80" s="26">
        <f>IF(H80="",0,G80*H80)</f>
        <v/>
      </c>
      <c r="J80" s="23" t="inlineStr">
        <is>
          <t>ÚRS 2026</t>
        </is>
      </c>
      <c r="K80" s="33" t="inlineStr">
        <is>
          <t>❌ MANUAL — KROS catalog lookup</t>
        </is>
      </c>
      <c r="L80" s="5" t="inlineStr">
        <is>
          <t>HSV-3 Svislé konstrukce</t>
        </is>
      </c>
    </row>
    <row r="81">
      <c r="B81" s="17" t="n"/>
      <c r="C81" s="28" t="inlineStr">
        <is>
          <t>VV</t>
        </is>
      </c>
      <c r="D81" s="17" t="n"/>
      <c r="E81" s="29">
        <f> plocha stěn pod terénem 33 m² (řez D.1.1.03/04, OVĚŘIT)</f>
        <v/>
      </c>
      <c r="F81" s="17" t="n"/>
      <c r="G81" s="30" t="n">
        <v>33</v>
      </c>
      <c r="H81" s="17" t="n"/>
      <c r="I81" s="17" t="n"/>
      <c r="J81" s="17" t="n"/>
      <c r="K81" s="17" t="n"/>
      <c r="L81" s="17" t="n"/>
    </row>
    <row r="82">
      <c r="B82" s="21" t="n"/>
      <c r="C82" s="22" t="inlineStr">
        <is>
          <t>D</t>
        </is>
      </c>
      <c r="D82" s="22" t="inlineStr">
        <is>
          <t>HSV-4</t>
        </is>
      </c>
      <c r="E82" s="22" t="inlineStr">
        <is>
          <t>HSV-4 Vodorovné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24</v>
      </c>
      <c r="C83" s="23" t="inlineStr">
        <is>
          <t>K</t>
        </is>
      </c>
      <c r="D83" s="24" t="inlineStr">
        <is>
          <t>762341110</t>
        </is>
      </c>
      <c r="E83" s="24" t="inlineStr">
        <is>
          <t>Dřevěné stropnice 100/160 mm á 625 mm primární zastřešení skladu — rezivo C24 fungicidní</t>
        </is>
      </c>
      <c r="F83" s="23" t="inlineStr">
        <is>
          <t>bm</t>
        </is>
      </c>
      <c r="G83" s="25" t="n">
        <v>31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HSV-4 Vodorovné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10 ks (počítáno na výkrese D.1.1.02, rozteč 625 mm po 5850) × 3.1 m rozpon = 31 bm</t>
        </is>
      </c>
      <c r="F84" s="17" t="n"/>
      <c r="G84" s="30" t="n">
        <v>31</v>
      </c>
      <c r="H84" s="17" t="n"/>
      <c r="I84" s="17" t="n"/>
      <c r="J84" s="17" t="n"/>
      <c r="K84" s="17" t="n"/>
      <c r="L84" s="17" t="n"/>
    </row>
    <row r="85">
      <c r="B85" s="23" t="n">
        <v>25</v>
      </c>
      <c r="C85" s="23" t="inlineStr">
        <is>
          <t>K</t>
        </is>
      </c>
      <c r="D85" s="24" t="inlineStr">
        <is>
          <t>762331110</t>
        </is>
      </c>
      <c r="E85" s="24" t="inlineStr">
        <is>
          <t>Prkenný záklop stropnic skladu tl. 20 mm + impregnace</t>
        </is>
      </c>
      <c r="F85" s="23" t="inlineStr">
        <is>
          <t>m²</t>
        </is>
      </c>
      <c r="G85" s="25" t="n">
        <v>18.1</v>
      </c>
      <c r="H85" s="26" t="n"/>
      <c r="I85" s="26">
        <f>IF(H85="",0,G85*H85)</f>
        <v/>
      </c>
      <c r="J85" s="23" t="inlineStr">
        <is>
          <t>ÚRS 2026</t>
        </is>
      </c>
      <c r="K85" s="32" t="inlineStr">
        <is>
          <t>? needs production lookup</t>
        </is>
      </c>
      <c r="L85" s="5" t="inlineStr">
        <is>
          <t>HSV-4 Vodorovné</t>
        </is>
      </c>
    </row>
    <row r="86">
      <c r="B86" s="17" t="n"/>
      <c r="C86" s="28" t="inlineStr">
        <is>
          <t>VV</t>
        </is>
      </c>
      <c r="D86" s="17" t="n"/>
      <c r="E86" s="29" t="inlineStr">
        <is>
          <t>strop skladu nad trámy = 5.85 × 3.1 = 18.1 m² (báze 10 trámů)</t>
        </is>
      </c>
      <c r="F86" s="17" t="n"/>
      <c r="G86" s="30" t="n">
        <v>18.1</v>
      </c>
      <c r="H86" s="17" t="n"/>
      <c r="I86" s="17" t="n"/>
      <c r="J86" s="17" t="n"/>
      <c r="K86" s="17" t="n"/>
      <c r="L86" s="17" t="n"/>
    </row>
    <row r="87">
      <c r="B87" s="23" t="n">
        <v>26</v>
      </c>
      <c r="C87" s="23" t="inlineStr">
        <is>
          <t>K</t>
        </is>
      </c>
      <c r="D87" s="24" t="inlineStr">
        <is>
          <t>712331101</t>
        </is>
      </c>
      <c r="E87" s="24" t="inlineStr">
        <is>
          <t>Hydroizolační střešní souvrství skladu (modifikovaný asfaltový pás SBS + ochranná vrstva)</t>
        </is>
      </c>
      <c r="F87" s="23" t="inlineStr">
        <is>
          <t>m²</t>
        </is>
      </c>
      <c r="G87" s="25" t="n">
        <v>19</v>
      </c>
      <c r="H87" s="26" t="n"/>
      <c r="I87" s="26">
        <f>IF(H87="",0,G87*H87)</f>
        <v/>
      </c>
      <c r="J87" s="23" t="inlineStr">
        <is>
          <t>ÚRS 2026</t>
        </is>
      </c>
      <c r="K87" s="32" t="inlineStr">
        <is>
          <t>? needs production lookup</t>
        </is>
      </c>
      <c r="L87" s="5" t="inlineStr">
        <is>
          <t>HSV-4 Vodorovné</t>
        </is>
      </c>
    </row>
    <row r="88">
      <c r="B88" s="17" t="n"/>
      <c r="C88" s="28" t="inlineStr">
        <is>
          <t>VV</t>
        </is>
      </c>
      <c r="D88" s="17" t="n"/>
      <c r="E88" s="29" t="inlineStr">
        <is>
          <t>18.1 × 1.05 přesah = 19.0 m²</t>
        </is>
      </c>
      <c r="F88" s="17" t="n"/>
      <c r="G88" s="30" t="n">
        <v>19</v>
      </c>
      <c r="H88" s="17" t="n"/>
      <c r="I88" s="17" t="n"/>
      <c r="J88" s="17" t="n"/>
      <c r="K88" s="17" t="n"/>
      <c r="L88" s="17" t="n"/>
    </row>
    <row r="89">
      <c r="B89" s="23" t="n">
        <v>27</v>
      </c>
      <c r="C89" s="23" t="inlineStr">
        <is>
          <t>K</t>
        </is>
      </c>
      <c r="D89" s="24" t="inlineStr">
        <is>
          <t>411321414</t>
        </is>
      </c>
      <c r="E89" s="24" t="inlineStr">
        <is>
          <t>Sekundární zastřešení parkingu — IPE180 v rozteči 1000 mm × délka 6 m × 6 ks</t>
        </is>
      </c>
      <c r="F89" s="23" t="inlineStr">
        <is>
          <t>kg</t>
        </is>
      </c>
      <c r="G89" s="25" t="n">
        <v>790</v>
      </c>
      <c r="H89" s="26" t="n"/>
      <c r="I89" s="26">
        <f>IF(H89="",0,G89*H89)</f>
        <v/>
      </c>
      <c r="J89" s="23" t="inlineStr">
        <is>
          <t>ÚRS 2026</t>
        </is>
      </c>
      <c r="K89" s="32" t="inlineStr">
        <is>
          <t>? needs production lookup</t>
        </is>
      </c>
      <c r="L89" s="5" t="inlineStr">
        <is>
          <t>HSV-4 Vodorovné</t>
        </is>
      </c>
    </row>
    <row r="90">
      <c r="B90" s="17" t="n"/>
      <c r="C90" s="28" t="inlineStr">
        <is>
          <t>VV</t>
        </is>
      </c>
      <c r="D90" s="17" t="n"/>
      <c r="E90" s="29" t="inlineStr">
        <is>
          <t>6 ks IPE180 × 7.0 m × 18.8 kg/m = 789.6 → 790 kg (výkres D.1.1.02: 6 nosníků)</t>
        </is>
      </c>
      <c r="F90" s="17" t="n"/>
      <c r="G90" s="30" t="n">
        <v>790</v>
      </c>
      <c r="H90" s="17" t="n"/>
      <c r="I90" s="17" t="n"/>
      <c r="J90" s="17" t="n"/>
      <c r="K90" s="17" t="n"/>
      <c r="L90" s="17" t="n"/>
    </row>
    <row r="91">
      <c r="B91" s="23" t="n">
        <v>28</v>
      </c>
      <c r="C91" s="23" t="inlineStr">
        <is>
          <t>K</t>
        </is>
      </c>
      <c r="D91" s="24" t="inlineStr">
        <is>
          <t>411321515</t>
        </is>
      </c>
      <c r="E91" s="24" t="inlineStr">
        <is>
          <t>Pojezdové ocelové pororošty demontovatelné — povrch parkingu (žárově zinkováno)</t>
        </is>
      </c>
      <c r="F91" s="23" t="inlineStr">
        <is>
          <t>m²</t>
        </is>
      </c>
      <c r="G91" s="25" t="n">
        <v>44.6</v>
      </c>
      <c r="H91" s="26" t="n"/>
      <c r="I91" s="26">
        <f>IF(H91="",0,G91*H91)</f>
        <v/>
      </c>
      <c r="J91" s="23" t="inlineStr">
        <is>
          <t>ÚRS 2026</t>
        </is>
      </c>
      <c r="K91" s="31" t="inlineStr">
        <is>
          <t>⚠ family OK, leaf KROS lookup [evidence: https://www.cs-urs.cz/cenova-soustava-urs/]</t>
        </is>
      </c>
      <c r="L91" s="5" t="inlineStr">
        <is>
          <t>HSV-4 Vodorovné</t>
        </is>
      </c>
    </row>
    <row r="92">
      <c r="B92" s="17" t="n"/>
      <c r="C92" s="28" t="inlineStr">
        <is>
          <t>VV</t>
        </is>
      </c>
      <c r="D92" s="17" t="n"/>
      <c r="E92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92" s="17" t="n"/>
      <c r="G92" s="30" t="n">
        <v>44.6</v>
      </c>
      <c r="H92" s="17" t="n"/>
      <c r="I92" s="17" t="n"/>
      <c r="J92" s="17" t="n"/>
      <c r="K92" s="17" t="n"/>
      <c r="L92" s="17" t="n"/>
    </row>
    <row r="93">
      <c r="B93" s="23" t="n">
        <v>29</v>
      </c>
      <c r="C93" s="23" t="inlineStr">
        <is>
          <t>K</t>
        </is>
      </c>
      <c r="D93" s="24" t="inlineStr">
        <is>
          <t>783201001</t>
        </is>
      </c>
      <c r="E93" s="24" t="inlineStr">
        <is>
          <t>Žárově zinková povrchová úprava IPE180 + pororoštů dle ČSN EN ISO 12944 (C3 prostředí)</t>
        </is>
      </c>
      <c r="F93" s="23" t="inlineStr">
        <is>
          <t>kg</t>
        </is>
      </c>
      <c r="G93" s="25" t="n">
        <v>1420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HSV-4 Vodorovné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IPE 790 kg + pororošt 630 kg = 1420 kg žárově zinkováno (IPE 6 ks)</t>
        </is>
      </c>
      <c r="F94" s="17" t="n"/>
      <c r="G94" s="30" t="n">
        <v>1420</v>
      </c>
      <c r="H94" s="17" t="n"/>
      <c r="I94" s="17" t="n"/>
      <c r="J94" s="17" t="n"/>
      <c r="K94" s="17" t="n"/>
      <c r="L94" s="17" t="n"/>
    </row>
    <row r="95">
      <c r="B95" s="21" t="n"/>
      <c r="C95" s="22" t="inlineStr">
        <is>
          <t>D</t>
        </is>
      </c>
      <c r="D95" s="22" t="inlineStr">
        <is>
          <t>HSV-5</t>
        </is>
      </c>
      <c r="E95" s="22" t="inlineStr">
        <is>
          <t>HSV-5 Komunikace + schodiště</t>
        </is>
      </c>
      <c r="F95" s="21" t="n"/>
      <c r="G95" s="21" t="n"/>
      <c r="H95" s="21" t="n"/>
      <c r="I95" s="21" t="n"/>
      <c r="J95" s="21" t="n"/>
      <c r="K95" s="21" t="n"/>
      <c r="L95" s="21" t="n"/>
    </row>
    <row r="96">
      <c r="B96" s="23" t="n">
        <v>30</v>
      </c>
      <c r="C96" s="23" t="inlineStr">
        <is>
          <t>K</t>
        </is>
      </c>
      <c r="D96" s="24" t="inlineStr">
        <is>
          <t>121301101</t>
        </is>
      </c>
      <c r="E96" s="24" t="inlineStr">
        <is>
          <t>Schodiště S05 — prefabrikované betonové stupně (2× 9 stupňů 179.5×250 + mezipodesta)</t>
        </is>
      </c>
      <c r="F96" s="23" t="inlineStr">
        <is>
          <t>m²</t>
        </is>
      </c>
      <c r="G96" s="25" t="n">
        <v>5.5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HSV-5 Komunikace + schodiště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DXF sklad_DPZ km_tabulka místností: room 1.02 schodiště plocha = 5.50 m². 9 stupňů 179.5×250 mm vyznačené v půdoryse parking sheet (Phase 3.5 cross-check)</t>
        </is>
      </c>
      <c r="F97" s="17" t="n"/>
      <c r="G97" s="30" t="n">
        <v>5.5</v>
      </c>
      <c r="H97" s="17" t="n"/>
      <c r="I97" s="17" t="n"/>
      <c r="J97" s="17" t="n"/>
      <c r="K97" s="17" t="n"/>
      <c r="L97" s="17" t="n"/>
    </row>
    <row r="98">
      <c r="B98" s="19" t="n"/>
      <c r="C98" s="20" t="inlineStr">
        <is>
          <t>D</t>
        </is>
      </c>
      <c r="D98" s="20" t="inlineStr">
        <is>
          <t>PSV</t>
        </is>
      </c>
      <c r="E98" s="20" t="inlineStr">
        <is>
          <t>Práce a dodávky PSV</t>
        </is>
      </c>
      <c r="F98" s="19" t="n"/>
      <c r="G98" s="19" t="n"/>
      <c r="H98" s="19" t="n"/>
      <c r="I98" s="19" t="n"/>
      <c r="J98" s="19" t="n"/>
      <c r="K98" s="19" t="n"/>
      <c r="L98" s="19" t="n"/>
    </row>
    <row r="99">
      <c r="B99" s="21" t="n"/>
      <c r="C99" s="22" t="inlineStr">
        <is>
          <t>D</t>
        </is>
      </c>
      <c r="D99" s="22" t="inlineStr">
        <is>
          <t>PSV-76</t>
        </is>
      </c>
      <c r="E99" s="22" t="inlineStr">
        <is>
          <t>PSV-76 Výplně otvorů</t>
        </is>
      </c>
      <c r="F99" s="21" t="n"/>
      <c r="G99" s="21" t="n"/>
      <c r="H99" s="21" t="n"/>
      <c r="I99" s="21" t="n"/>
      <c r="J99" s="21" t="n"/>
      <c r="K99" s="21" t="n"/>
      <c r="L99" s="21" t="n"/>
    </row>
    <row r="100">
      <c r="B100" s="23" t="n">
        <v>31</v>
      </c>
      <c r="C100" s="23" t="inlineStr">
        <is>
          <t>K</t>
        </is>
      </c>
      <c r="D100" s="24" t="inlineStr">
        <is>
          <t>766682111</t>
        </is>
      </c>
      <c r="E100" s="24" t="inlineStr">
        <is>
          <t>Bezpečnostní dveře RC3 v ocelové zárubni — vrata skladu (TZ statika §1.4 RC3 certifikované)</t>
        </is>
      </c>
      <c r="F100" s="23" t="inlineStr">
        <is>
          <t>ks</t>
        </is>
      </c>
      <c r="G100" s="25" t="n">
        <v>1</v>
      </c>
      <c r="H100" s="26" t="n"/>
      <c r="I100" s="26">
        <f>IF(H100="",0,G100*H100)</f>
        <v/>
      </c>
      <c r="J100" s="23" t="inlineStr">
        <is>
          <t>ÚRS 2026</t>
        </is>
      </c>
      <c r="K100" s="32" t="inlineStr">
        <is>
          <t>? needs production lookup</t>
        </is>
      </c>
      <c r="L100" s="5" t="inlineStr">
        <is>
          <t>PSV-76 Výplně otvorů</t>
        </is>
      </c>
    </row>
    <row r="101">
      <c r="B101" s="17" t="n"/>
      <c r="C101" s="28" t="inlineStr">
        <is>
          <t>VV</t>
        </is>
      </c>
      <c r="D101" s="17" t="n"/>
      <c r="E101" s="29" t="inlineStr">
        <is>
          <t>1 ks vstupní dveře skladu</t>
        </is>
      </c>
      <c r="F101" s="17" t="n"/>
      <c r="G101" s="30" t="n">
        <v>1</v>
      </c>
      <c r="H101" s="17" t="n"/>
      <c r="I101" s="17" t="n"/>
      <c r="J101" s="17" t="n"/>
      <c r="K101" s="17" t="n"/>
      <c r="L101" s="17" t="n"/>
    </row>
    <row r="102">
      <c r="B102" s="21" t="n"/>
      <c r="C102" s="22" t="inlineStr">
        <is>
          <t>D</t>
        </is>
      </c>
      <c r="D102" s="22" t="inlineStr">
        <is>
          <t>PSV-76</t>
        </is>
      </c>
      <c r="E102" s="22" t="inlineStr">
        <is>
          <t>PSV-76 Zámečnictví</t>
        </is>
      </c>
      <c r="F102" s="21" t="n"/>
      <c r="G102" s="21" t="n"/>
      <c r="H102" s="21" t="n"/>
      <c r="I102" s="21" t="n"/>
      <c r="J102" s="21" t="n"/>
      <c r="K102" s="21" t="n"/>
      <c r="L102" s="21" t="n"/>
    </row>
    <row r="103">
      <c r="B103" s="23" t="n">
        <v>32</v>
      </c>
      <c r="C103" s="23" t="inlineStr">
        <is>
          <t>K</t>
        </is>
      </c>
      <c r="D103" s="24" t="inlineStr"/>
      <c r="E103" s="24" t="inlineStr">
        <is>
          <t>Vjezdová brána na pozemku investora (ocelová) — dodávka + montáž</t>
        </is>
      </c>
      <c r="F103" s="23" t="inlineStr">
        <is>
          <t>ks</t>
        </is>
      </c>
      <c r="G103" s="25" t="n">
        <v>1</v>
      </c>
      <c r="H103" s="26" t="n"/>
      <c r="I103" s="26">
        <f>IF(H103="",0,G103*H103)</f>
        <v/>
      </c>
      <c r="J103" s="23" t="inlineStr">
        <is>
          <t>ÚRS 2026</t>
        </is>
      </c>
      <c r="K103" s="33" t="inlineStr">
        <is>
          <t>❌ MANUAL — KROS catalog lookup</t>
        </is>
      </c>
      <c r="L103" s="5" t="inlineStr">
        <is>
          <t>PSV-76 Zámečnictví</t>
        </is>
      </c>
    </row>
    <row r="104">
      <c r="B104" s="17" t="n"/>
      <c r="C104" s="28" t="inlineStr">
        <is>
          <t>VV</t>
        </is>
      </c>
      <c r="D104" s="17" t="n"/>
      <c r="E104" s="29">
        <f> 1 brána (Dodatek PD č.1)</f>
        <v/>
      </c>
      <c r="F104" s="17" t="n"/>
      <c r="G104" s="30" t="n">
        <v>1</v>
      </c>
      <c r="H104" s="17" t="n"/>
      <c r="I104" s="17" t="n"/>
      <c r="J104" s="17" t="n"/>
      <c r="K104" s="17" t="n"/>
      <c r="L104" s="17" t="n"/>
    </row>
    <row r="105">
      <c r="B105" s="21" t="n"/>
      <c r="C105" s="22" t="inlineStr">
        <is>
          <t>D</t>
        </is>
      </c>
      <c r="D105" s="22" t="inlineStr">
        <is>
          <t>PSV-77</t>
        </is>
      </c>
      <c r="E105" s="22" t="inlineStr">
        <is>
          <t>PSV-77 Podlahy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33</v>
      </c>
      <c r="C106" s="23" t="inlineStr">
        <is>
          <t>K</t>
        </is>
      </c>
      <c r="D106" s="24" t="inlineStr"/>
      <c r="E106" s="24" t="inlineStr">
        <is>
          <t>Betonová dlažba 50 mm do kladecího lože — podlaha skladu + vynos za stěnu</t>
        </is>
      </c>
      <c r="F106" s="23" t="inlineStr">
        <is>
          <t>m²</t>
        </is>
      </c>
      <c r="G106" s="25" t="n">
        <v>23.6</v>
      </c>
      <c r="H106" s="26" t="n"/>
      <c r="I106" s="26">
        <f>IF(H106="",0,G106*H106)</f>
        <v/>
      </c>
      <c r="J106" s="23" t="inlineStr">
        <is>
          <t>ÚRS 2026</t>
        </is>
      </c>
      <c r="K106" s="33" t="inlineStr">
        <is>
          <t>❌ MANUAL — KROS catalog lookup</t>
        </is>
      </c>
      <c r="L106" s="5" t="inlineStr">
        <is>
          <t>PSV-77 Podlahy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plocha S01 = místnost 17.6 (legenda) + vynos za stěnu 6.0 (6010×1000 řez) = 23.6 m²</t>
        </is>
      </c>
      <c r="F107" s="17" t="n"/>
      <c r="G107" s="30" t="n">
        <v>23.6</v>
      </c>
      <c r="H107" s="17" t="n"/>
      <c r="I107" s="17" t="n"/>
      <c r="J107" s="17" t="n"/>
      <c r="K107" s="17" t="n"/>
      <c r="L107" s="17" t="n"/>
    </row>
    <row r="108">
      <c r="B108" s="19" t="n"/>
      <c r="C108" s="20" t="inlineStr">
        <is>
          <t>D</t>
        </is>
      </c>
      <c r="D108" s="20" t="inlineStr">
        <is>
          <t>VRN</t>
        </is>
      </c>
      <c r="E108" s="20" t="inlineStr">
        <is>
          <t>Vedlejší rozpočtové náklady</t>
        </is>
      </c>
      <c r="F108" s="19" t="n"/>
      <c r="G108" s="19" t="n"/>
      <c r="H108" s="19" t="n"/>
      <c r="I108" s="19" t="n"/>
      <c r="J108" s="19" t="n"/>
      <c r="K108" s="19" t="n"/>
      <c r="L108" s="19" t="n"/>
    </row>
    <row r="109">
      <c r="B109" s="21" t="n"/>
      <c r="C109" s="22" t="inlineStr">
        <is>
          <t>D</t>
        </is>
      </c>
      <c r="D109" s="22" t="inlineStr">
        <is>
          <t>VRN</t>
        </is>
      </c>
      <c r="E109" s="22" t="inlineStr">
        <is>
          <t>VRN — Společné</t>
        </is>
      </c>
      <c r="F109" s="21" t="n"/>
      <c r="G109" s="21" t="n"/>
      <c r="H109" s="21" t="n"/>
      <c r="I109" s="21" t="n"/>
      <c r="J109" s="21" t="n"/>
      <c r="K109" s="21" t="n"/>
      <c r="L109" s="21" t="n"/>
    </row>
    <row r="110">
      <c r="B110" s="23" t="n">
        <v>34</v>
      </c>
      <c r="C110" s="23" t="inlineStr">
        <is>
          <t>K</t>
        </is>
      </c>
      <c r="D110" s="24" t="inlineStr">
        <is>
          <t>030001000</t>
        </is>
      </c>
      <c r="E110" s="24" t="inlineStr">
        <is>
          <t>Podíl na obecných VRN domu (buňky, BOZP, pojištění, kolaudace) — paušál ~10 % nákladů sklad nebo % alokace</t>
        </is>
      </c>
      <c r="F110" s="23" t="inlineStr">
        <is>
          <t>paušál</t>
        </is>
      </c>
      <c r="G110" s="25" t="n">
        <v>1</v>
      </c>
      <c r="H110" s="26" t="n"/>
      <c r="I110" s="26">
        <f>IF(H110="",0,G110*H110)</f>
        <v/>
      </c>
      <c r="J110" s="23" t="inlineStr">
        <is>
          <t>ÚRS 2026</t>
        </is>
      </c>
      <c r="K110" s="32" t="inlineStr">
        <is>
          <t>? needs production lookup</t>
        </is>
      </c>
      <c r="L110" s="5" t="inlineStr">
        <is>
          <t>VRN — Společné</t>
        </is>
      </c>
    </row>
    <row r="111">
      <c r="B111" s="17" t="n"/>
      <c r="C111" s="28" t="inlineStr">
        <is>
          <t>VV</t>
        </is>
      </c>
      <c r="D111" s="17" t="n"/>
      <c r="E111" s="29" t="inlineStr">
        <is>
          <t>Standard paušální alokace VRN pro paralelně realizovaný menší objekt</t>
        </is>
      </c>
      <c r="F111" s="17" t="n"/>
      <c r="G111" s="30" t="n">
        <v>1</v>
      </c>
      <c r="H111" s="17" t="n"/>
      <c r="I111" s="17" t="n"/>
      <c r="J111" s="17" t="n"/>
      <c r="K111" s="17" t="n"/>
      <c r="L111" s="17" t="n"/>
    </row>
    <row r="112">
      <c r="B112" s="21" t="n"/>
      <c r="C112" s="22" t="inlineStr">
        <is>
          <t>D</t>
        </is>
      </c>
      <c r="D112" s="22" t="inlineStr">
        <is>
          <t>VRN</t>
        </is>
      </c>
      <c r="E112" s="22" t="inlineStr">
        <is>
          <t>VRN — Doprava + odpad</t>
        </is>
      </c>
      <c r="F112" s="21" t="n"/>
      <c r="G112" s="21" t="n"/>
      <c r="H112" s="21" t="n"/>
      <c r="I112" s="21" t="n"/>
      <c r="J112" s="21" t="n"/>
      <c r="K112" s="21" t="n"/>
      <c r="L112" s="21" t="n"/>
    </row>
    <row r="113">
      <c r="B113" s="23" t="n">
        <v>35</v>
      </c>
      <c r="C113" s="23" t="inlineStr">
        <is>
          <t>K</t>
        </is>
      </c>
      <c r="D113" s="24" t="inlineStr">
        <is>
          <t>031032000</t>
        </is>
      </c>
      <c r="E113" s="24" t="inlineStr">
        <is>
          <t>Doprava prefa H-BLOK Standard z výrobny Herkul (Obrnice) auto s hydraulickou rukou — celkem ~60 ks bloků</t>
        </is>
      </c>
      <c r="F113" s="23" t="inlineStr">
        <is>
          <t>kpl</t>
        </is>
      </c>
      <c r="G113" s="25" t="n">
        <v>1</v>
      </c>
      <c r="H113" s="26" t="n"/>
      <c r="I113" s="26">
        <f>IF(H113="",0,G113*H113)</f>
        <v/>
      </c>
      <c r="J113" s="23" t="inlineStr">
        <is>
          <t>ÚRS 2026</t>
        </is>
      </c>
      <c r="K113" s="32" t="inlineStr">
        <is>
          <t>? needs production lookup</t>
        </is>
      </c>
      <c r="L113" s="5" t="inlineStr">
        <is>
          <t>VRN — Doprava + odpad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Standard doprava prefa Herkul autem s hyd. rukou pro lokální distribuci</t>
        </is>
      </c>
      <c r="F114" s="17" t="n"/>
      <c r="G114" s="30" t="n">
        <v>1</v>
      </c>
      <c r="H114" s="17" t="n"/>
      <c r="I114" s="17" t="n"/>
      <c r="J114" s="17" t="n"/>
      <c r="K114" s="17" t="n"/>
      <c r="L114" s="17" t="n"/>
    </row>
    <row r="115">
      <c r="B115" s="23" t="n">
        <v>36</v>
      </c>
      <c r="C115" s="23" t="inlineStr">
        <is>
          <t>K</t>
        </is>
      </c>
      <c r="D115" s="24" t="inlineStr">
        <is>
          <t>997013211</t>
        </is>
      </c>
      <c r="E115" s="24" t="inlineStr">
        <is>
          <t>Likvidace odpadu sklad — kameny ze zídek + výkop + dřevo (drobné množství)</t>
        </is>
      </c>
      <c r="F115" s="23" t="inlineStr">
        <is>
          <t>t</t>
        </is>
      </c>
      <c r="G115" s="25" t="n">
        <v>8</v>
      </c>
      <c r="H115" s="26" t="n"/>
      <c r="I115" s="26">
        <f>IF(H115="",0,G115*H115)</f>
        <v/>
      </c>
      <c r="J115" s="23" t="inlineStr">
        <is>
          <t>ÚRS 2026</t>
        </is>
      </c>
      <c r="K115" s="32" t="inlineStr">
        <is>
          <t>? needs production lookup</t>
        </is>
      </c>
      <c r="L115" s="5" t="inlineStr">
        <is>
          <t>VRN — Doprava + odpad</t>
        </is>
      </c>
    </row>
    <row r="116">
      <c r="B116" s="17" t="n"/>
      <c r="C116" s="28" t="inlineStr">
        <is>
          <t>VV</t>
        </is>
      </c>
      <c r="D116" s="17" t="n"/>
      <c r="E116" s="29" t="inlineStr">
        <is>
          <t>Odhad: kamenné zídky ~6 t + dřevo+výkop ~2 t = 8 t</t>
        </is>
      </c>
      <c r="F116" s="17" t="n"/>
      <c r="G116" s="30" t="n">
        <v>8</v>
      </c>
      <c r="H116" s="17" t="n"/>
      <c r="I116" s="17" t="n"/>
      <c r="J116" s="17" t="n"/>
      <c r="K116" s="17" t="n"/>
      <c r="L116" s="17" t="n"/>
    </row>
    <row r="117">
      <c r="B117" s="21" t="n"/>
      <c r="C117" s="22" t="inlineStr">
        <is>
          <t>D</t>
        </is>
      </c>
      <c r="D117" s="22" t="inlineStr">
        <is>
          <t>VRN</t>
        </is>
      </c>
      <c r="E117" s="22" t="inlineStr">
        <is>
          <t>VRN — Geodet</t>
        </is>
      </c>
      <c r="F117" s="21" t="n"/>
      <c r="G117" s="21" t="n"/>
      <c r="H117" s="21" t="n"/>
      <c r="I117" s="21" t="n"/>
      <c r="J117" s="21" t="n"/>
      <c r="K117" s="21" t="n"/>
      <c r="L117" s="21" t="n"/>
    </row>
    <row r="118">
      <c r="B118" s="23" t="n">
        <v>37</v>
      </c>
      <c r="C118" s="23" t="inlineStr">
        <is>
          <t>K</t>
        </is>
      </c>
      <c r="D118" s="24" t="inlineStr">
        <is>
          <t>030141000</t>
        </is>
      </c>
      <c r="E118" s="24" t="inlineStr">
        <is>
          <t>Geodetické vytýčení sklad+parking+schodiště ze situace (před realizací)</t>
        </is>
      </c>
      <c r="F118" s="23" t="inlineStr">
        <is>
          <t>kpl</t>
        </is>
      </c>
      <c r="G118" s="25" t="n">
        <v>1</v>
      </c>
      <c r="H118" s="26" t="n"/>
      <c r="I118" s="26">
        <f>IF(H118="",0,G118*H118)</f>
        <v/>
      </c>
      <c r="J118" s="23" t="inlineStr">
        <is>
          <t>ÚRS 2026</t>
        </is>
      </c>
      <c r="K118" s="32" t="inlineStr">
        <is>
          <t>? needs production lookup</t>
        </is>
      </c>
      <c r="L118" s="5" t="inlineStr">
        <is>
          <t>VRN — Geodet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Standard geodet vytýčení pro nový objekt</t>
        </is>
      </c>
      <c r="F119" s="17" t="n"/>
      <c r="G119" s="30" t="n">
        <v>1</v>
      </c>
      <c r="H119" s="17" t="n"/>
      <c r="I119" s="17" t="n"/>
      <c r="J119" s="17" t="n"/>
      <c r="K119" s="17" t="n"/>
      <c r="L119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68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182</v>
      </c>
    </row>
    <row r="10">
      <c r="B10" s="8" t="inlineStr">
        <is>
          <t>CELKEM AKTIVNÍ</t>
        </is>
      </c>
      <c r="C10" s="34" t="n">
        <v>245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50 mm do kladecího lože — podlaha skladu + vynos za st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 xml:space="preserve">Patky parking horní část — zdivo z tvárnic ztraceného bednění 300×300 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S03a/b — tvarovky ztraceného bednění tl. 250 mm,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6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Schodiště S05 — prefabrikované betonové stupně (2× 9 stupňů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 xml:space="preserve">Vjezd Dvořákova (POZN 01) — zpevněná plocha z hladké betonové dlažby, 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  <row r="254">
      <c r="B254" s="24" t="inlineStr">
        <is>
          <t>260217_sklad.HSV1.007</t>
        </is>
      </c>
      <c r="C254" s="24" t="inlineStr">
        <is>
          <t>260217_sklad</t>
        </is>
      </c>
      <c r="D254" s="24" t="inlineStr">
        <is>
          <t>HSV-1 Zemní práce</t>
        </is>
      </c>
      <c r="E254" s="24" t="inlineStr">
        <is>
          <t>564231111</t>
        </is>
      </c>
      <c r="F254" s="24" t="inlineStr"/>
      <c r="G254" s="24" t="inlineStr">
        <is>
          <t>Kladecí lože z kamenné drti 4-8 mm tl. 40 mm pod betonovou dlažbu skla</t>
        </is>
      </c>
      <c r="H254" s="24" t="inlineStr">
        <is>
          <t>? needs production lookup</t>
        </is>
      </c>
    </row>
    <row r="255">
      <c r="B255" s="24" t="inlineStr">
        <is>
          <t>260217_sklad.HSV1.008</t>
        </is>
      </c>
      <c r="C255" s="24" t="inlineStr">
        <is>
          <t>260217_sklad</t>
        </is>
      </c>
      <c r="D255" s="24" t="inlineStr">
        <is>
          <t>HSV-1 Zemní práce</t>
        </is>
      </c>
      <c r="E255" s="24" t="inlineStr">
        <is>
          <t>174101101</t>
        </is>
      </c>
      <c r="F255" s="24" t="inlineStr"/>
      <c r="G255" s="24" t="inlineStr">
        <is>
          <t>Zásyp za prefabrikovanou opěrnou stěnou S04 — materiál dle PD (NEuvede</t>
        </is>
      </c>
      <c r="H255" s="24" t="inlineStr">
        <is>
          <t>? needs production lookup</t>
        </is>
      </c>
    </row>
    <row r="256">
      <c r="B256" s="24" t="inlineStr">
        <is>
          <t>260217_sklad.PSV76.003</t>
        </is>
      </c>
      <c r="C256" s="24" t="inlineStr">
        <is>
          <t>260217_sklad</t>
        </is>
      </c>
      <c r="D256" s="24" t="inlineStr">
        <is>
          <t>PSV-76 Zámečnické konstrukce</t>
        </is>
      </c>
      <c r="E256" s="24" t="inlineStr"/>
      <c r="F256" s="24" t="inlineStr"/>
      <c r="G256" s="24" t="inlineStr">
        <is>
          <t xml:space="preserve">Oplocení podél vjezdu — délka dle situace, materiál OVĚŘIT (kov/dřevo </t>
        </is>
      </c>
      <c r="H256" s="24" t="inlineStr">
        <is>
          <t>❌ MANUAL — KROS catalog lookup</t>
        </is>
      </c>
    </row>
    <row r="257">
      <c r="B257" s="24" t="inlineStr">
        <is>
          <t>260217_sklad.PSV76.004</t>
        </is>
      </c>
      <c r="C257" s="24" t="inlineStr">
        <is>
          <t>260217_sklad</t>
        </is>
      </c>
      <c r="D257" s="24" t="inlineStr">
        <is>
          <t>PSV-76 Zámečnické konstrukce</t>
        </is>
      </c>
      <c r="E257" s="24" t="inlineStr"/>
      <c r="F257" s="24" t="inlineStr"/>
      <c r="G257" s="24" t="inlineStr">
        <is>
          <t>Zábradlí v. 1.0 m kolem části stání — materiál OVĚŘIT (kov/dřevo neuve</t>
        </is>
      </c>
      <c r="H257" s="24" t="inlineStr">
        <is>
          <t>❌ MANUAL — KROS catalog lookup</t>
        </is>
      </c>
    </row>
    <row r="258">
      <c r="B258" s="24" t="inlineStr">
        <is>
          <t>260217_sklad.HSV5.003</t>
        </is>
      </c>
      <c r="C258" s="24" t="inlineStr">
        <is>
          <t>260217_sklad</t>
        </is>
      </c>
      <c r="D258" s="24" t="inlineStr">
        <is>
          <t>HSV-5 Komunikace + zpevněné plochy</t>
        </is>
      </c>
      <c r="E258" s="24" t="inlineStr">
        <is>
          <t>564751111</t>
        </is>
      </c>
      <c r="F258" s="24" t="inlineStr"/>
      <c r="G258" s="24" t="inlineStr">
        <is>
          <t>Pískové lože pod dlažbu vjezdu tl. 40 mm (POZN 01)</t>
        </is>
      </c>
      <c r="H258" s="24" t="inlineStr">
        <is>
          <t>? needs production lookup</t>
        </is>
      </c>
    </row>
    <row r="259">
      <c r="B259" s="24" t="inlineStr">
        <is>
          <t>260217_sklad.HSV5.004</t>
        </is>
      </c>
      <c r="C259" s="24" t="inlineStr">
        <is>
          <t>260217_sklad</t>
        </is>
      </c>
      <c r="D259" s="24" t="inlineStr">
        <is>
          <t>HSV-5 Komunikace + zpevněné plochy</t>
        </is>
      </c>
      <c r="E259" s="24" t="inlineStr">
        <is>
          <t>564861111</t>
        </is>
      </c>
      <c r="F259" s="24" t="inlineStr"/>
      <c r="G259" s="24" t="inlineStr">
        <is>
          <t>Štěrkový zhutněný podklad pod dlažbu vjezdu tl. 150 mm (POZN 01)</t>
        </is>
      </c>
      <c r="H259" s="24" t="inlineStr">
        <is>
          <t>? needs production lookup</t>
        </is>
      </c>
    </row>
    <row r="260">
      <c r="B260" s="24" t="inlineStr">
        <is>
          <t>260217_sklad.HSV5.005</t>
        </is>
      </c>
      <c r="C260" s="24" t="inlineStr">
        <is>
          <t>260217_sklad</t>
        </is>
      </c>
      <c r="D260" s="24" t="inlineStr">
        <is>
          <t>HSV-5 Komunikace + zpevněné plochy</t>
        </is>
      </c>
      <c r="E260" s="24" t="inlineStr"/>
      <c r="F260" s="24" t="inlineStr"/>
      <c r="G260" s="24" t="inlineStr">
        <is>
          <t>Liniový odvodňovací žlab (prefa žlabovka š. 160 mm) podél vjezdu</t>
        </is>
      </c>
      <c r="H260" s="24" t="inlineStr">
        <is>
          <t>❌ MANUAL — KROS catalog lookup</t>
        </is>
      </c>
    </row>
    <row r="261">
      <c r="B261" s="24" t="inlineStr">
        <is>
          <t>260217_sklad.HSV5.006</t>
        </is>
      </c>
      <c r="C261" s="24" t="inlineStr">
        <is>
          <t>260217_sklad</t>
        </is>
      </c>
      <c r="D261" s="24" t="inlineStr">
        <is>
          <t>HSV-5 Komunikace + zpevněné plochy</t>
        </is>
      </c>
      <c r="E261" s="24" t="inlineStr">
        <is>
          <t>273321411</t>
        </is>
      </c>
      <c r="F261" s="24" t="inlineStr"/>
      <c r="G261" s="24" t="inlineStr">
        <is>
          <t>Podkladní beton pod odvodňovací žlab (průřez 0.06 m²)</t>
        </is>
      </c>
      <c r="H261" s="24" t="inlineStr">
        <is>
          <t>? needs production lookup</t>
        </is>
      </c>
    </row>
    <row r="262">
      <c r="B262" s="24" t="inlineStr">
        <is>
          <t>260217_sklad.HSV5.007</t>
        </is>
      </c>
      <c r="C262" s="24" t="inlineStr">
        <is>
          <t>260217_sklad</t>
        </is>
      </c>
      <c r="D262" s="24" t="inlineStr">
        <is>
          <t>HSV-5 Komunikace + zpevněné plochy</t>
        </is>
      </c>
      <c r="E262" s="24" t="inlineStr"/>
      <c r="F262" s="24" t="inlineStr"/>
      <c r="G262" s="24" t="inlineStr">
        <is>
          <t>Okapový/odvodňovací žlab na straně 6010 mm — typ OVĚŘIT</t>
        </is>
      </c>
      <c r="H262" s="24" t="inlineStr">
        <is>
          <t>❌ MANUAL — KROS catalog lookup</t>
        </is>
      </c>
    </row>
    <row r="263">
      <c r="B263" s="24" t="inlineStr">
        <is>
          <t>260217_sklad.HSV1.009</t>
        </is>
      </c>
      <c r="C263" s="24" t="inlineStr">
        <is>
          <t>260217_sklad</t>
        </is>
      </c>
      <c r="D263" s="24" t="inlineStr">
        <is>
          <t>HSV-1 Zemní práce</t>
        </is>
      </c>
      <c r="E263" s="24" t="inlineStr"/>
      <c r="F263" s="24" t="inlineStr"/>
      <c r="G263" s="24" t="inlineStr">
        <is>
          <t>Trubka Ø ~150 mm v štěrkovém obsypu podél vysokého pasu — drenáž/odvět</t>
        </is>
      </c>
      <c r="H263" s="24" t="inlineStr">
        <is>
          <t>❌ MANUAL — KROS catalog lookup</t>
        </is>
      </c>
    </row>
    <row r="264">
      <c r="B264" s="24" t="inlineStr">
        <is>
          <t>260217_sklad.HSV1.010</t>
        </is>
      </c>
      <c r="C264" s="24" t="inlineStr">
        <is>
          <t>260217_sklad</t>
        </is>
      </c>
      <c r="D264" s="24" t="inlineStr">
        <is>
          <t>HSV-1 Zemní práce</t>
        </is>
      </c>
      <c r="E264" s="24" t="inlineStr"/>
      <c r="F264" s="24" t="inlineStr"/>
      <c r="G264" s="24" t="inlineStr">
        <is>
          <t xml:space="preserve">Trubka Ø 120-130 mm v štěrkovém obsypu podél stěny — drenáž/odvětrání </t>
        </is>
      </c>
      <c r="H264" s="24" t="inlineStr">
        <is>
          <t>❌ MANUAL — KROS catalog lookup</t>
        </is>
      </c>
    </row>
    <row r="265">
      <c r="B265" s="24" t="inlineStr">
        <is>
          <t>260217_sklad.HSV5.008</t>
        </is>
      </c>
      <c r="C265" s="24" t="inlineStr">
        <is>
          <t>260217_sklad</t>
        </is>
      </c>
      <c r="D265" s="24" t="inlineStr">
        <is>
          <t>HSV-5 Komunikace + zpevněné plochy</t>
        </is>
      </c>
      <c r="E265" s="24" t="inlineStr">
        <is>
          <t>273313611</t>
        </is>
      </c>
      <c r="F265" s="24" t="inlineStr"/>
      <c r="G265" s="24" t="inlineStr">
        <is>
          <t>Podkladní betonová deska pod prefa schodiště S05</t>
        </is>
      </c>
      <c r="H265" s="24" t="inlineStr">
        <is>
          <t>? needs production lookup</t>
        </is>
      </c>
    </row>
    <row r="266">
      <c r="B266" s="24" t="inlineStr">
        <is>
          <t>260217_sklad.HSV5.009</t>
        </is>
      </c>
      <c r="C266" s="24" t="inlineStr">
        <is>
          <t>260217_sklad</t>
        </is>
      </c>
      <c r="D266" s="24" t="inlineStr">
        <is>
          <t>HSV-5 Komunikace + zpevněné plochy</t>
        </is>
      </c>
      <c r="E266" s="24" t="inlineStr"/>
      <c r="F266" s="24" t="inlineStr"/>
      <c r="G266" s="24" t="inlineStr">
        <is>
          <t>Kladecí vrstva ze zavlhlého betonu pod prefa stupně S05</t>
        </is>
      </c>
      <c r="H266" s="24" t="inlineStr">
        <is>
          <t>❌ MANUAL — KROS catalog lookup</t>
        </is>
      </c>
    </row>
    <row r="267">
      <c r="B267" s="24" t="inlineStr">
        <is>
          <t>260217_sklad.HSV2.007</t>
        </is>
      </c>
      <c r="C267" s="24" t="inlineStr">
        <is>
          <t>260217_sklad</t>
        </is>
      </c>
      <c r="D267" s="24" t="inlineStr">
        <is>
          <t>HSV-2 Základové a ŽB</t>
        </is>
      </c>
      <c r="E267" s="24" t="inlineStr">
        <is>
          <t>273351215</t>
        </is>
      </c>
      <c r="F267" s="24" t="inlineStr">
        <is>
          <t>271313</t>
        </is>
      </c>
      <c r="G267" s="24" t="inlineStr">
        <is>
          <t xml:space="preserve">Bednění základových pasů + spodních patek (prostý beton) — tradiční / </t>
        </is>
      </c>
      <c r="H267" s="24" t="inlineStr">
        <is>
          <t>? needs production lookup</t>
        </is>
      </c>
    </row>
    <row r="268">
      <c r="B268" s="24" t="inlineStr">
        <is>
          <t>260217_sklad.HSV2.008</t>
        </is>
      </c>
      <c r="C268" s="24" t="inlineStr">
        <is>
          <t>260217_sklad</t>
        </is>
      </c>
      <c r="D268" s="24" t="inlineStr">
        <is>
          <t>HSV-2 Základové a ŽB</t>
        </is>
      </c>
      <c r="E268" s="24" t="inlineStr">
        <is>
          <t>273361821</t>
        </is>
      </c>
      <c r="F268" s="24" t="inlineStr">
        <is>
          <t>271313</t>
        </is>
      </c>
      <c r="G268" s="24" t="inlineStr">
        <is>
          <t>Výztuž B500B vkládaná do tvárnic ztraceného bednění — patky horní (6 s</t>
        </is>
      </c>
      <c r="H268" s="24" t="inlineStr">
        <is>
          <t>? needs production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6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Patky parking horní část — zdivo z tvárnic ztraceného bednění 300×300 mm (lost f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 xml:space="preserve">Obvodové stěny skladu S03a/b — tvarovky ztraceného bednění tl. 250 mm, výška 14 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6 m × 6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50 mm do kladecího lože — podlaha skladu + vynos za stěnu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Schodiště S05 — prefabrikované betonové stupně (2× 9 stupňů 179.5×250 + mezipode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Vjezd Dvořákova (POZN 01) — zpevněná plocha z hladké betonové dlažby, napojení n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  <row r="235">
      <c r="B235" s="24" t="inlineStr">
        <is>
          <t>260217_sklad.HSV1.007</t>
        </is>
      </c>
      <c r="C235" s="24" t="inlineStr">
        <is>
          <t>HSV-1 Zemní práce</t>
        </is>
      </c>
      <c r="D235" s="24" t="inlineStr">
        <is>
          <t>Kladecí lože z kamenné drti 4-8 mm tl. 40 mm pod betonovou dlažbu skladu</t>
        </is>
      </c>
      <c r="E235" s="24" t="inlineStr">
        <is>
          <t>564231111</t>
        </is>
      </c>
      <c r="F235" s="24" t="inlineStr"/>
      <c r="G235" s="24" t="inlineStr"/>
      <c r="H235" s="24" t="inlineStr">
        <is>
          <t>needs_production_lookup</t>
        </is>
      </c>
      <c r="I235" s="35" t="n">
        <v>0.6</v>
      </c>
      <c r="J235" s="32" t="inlineStr"/>
      <c r="K235" s="24" t="inlineStr"/>
      <c r="L235" s="24" t="inlineStr"/>
      <c r="M235" s="24" t="inlineStr"/>
      <c r="N235" s="24" t="inlineStr"/>
    </row>
    <row r="236">
      <c r="B236" s="24" t="inlineStr">
        <is>
          <t>260217_sklad.HSV1.008</t>
        </is>
      </c>
      <c r="C236" s="24" t="inlineStr">
        <is>
          <t>HSV-1 Zemní práce</t>
        </is>
      </c>
      <c r="D236" s="24" t="inlineStr">
        <is>
          <t>Zásyp za prefabrikovanou opěrnou stěnou S04 — materiál dle PD (NEuveden v legend</t>
        </is>
      </c>
      <c r="E236" s="24" t="inlineStr">
        <is>
          <t>174101101</t>
        </is>
      </c>
      <c r="F236" s="24" t="inlineStr"/>
      <c r="G236" s="24" t="inlineStr"/>
      <c r="H236" s="24" t="inlineStr">
        <is>
          <t>needs_production_lookup</t>
        </is>
      </c>
      <c r="I236" s="35" t="n">
        <v>0.6</v>
      </c>
      <c r="J236" s="32" t="inlineStr"/>
      <c r="K236" s="24" t="inlineStr"/>
      <c r="L236" s="24" t="inlineStr"/>
      <c r="M236" s="24" t="inlineStr"/>
      <c r="N236" s="24" t="inlineStr"/>
    </row>
    <row r="237">
      <c r="B237" s="24" t="inlineStr">
        <is>
          <t>260217_sklad.PSV76.003</t>
        </is>
      </c>
      <c r="C237" s="24" t="inlineStr">
        <is>
          <t>PSV-76 Zámečnické konstrukce</t>
        </is>
      </c>
      <c r="D237" s="24" t="inlineStr">
        <is>
          <t>Oplocení podél vjezdu — délka dle situace, materiál OVĚŘIT (kov/dřevo neuveden)</t>
        </is>
      </c>
      <c r="E237" s="24" t="inlineStr"/>
      <c r="F237" s="24" t="inlineStr"/>
      <c r="G237" s="24" t="inlineStr"/>
      <c r="H237" s="24" t="inlineStr">
        <is>
          <t>needs_production_lookup</t>
        </is>
      </c>
      <c r="I237" s="35" t="n">
        <v>0.6</v>
      </c>
      <c r="J237" s="33" t="inlineStr"/>
      <c r="K237" s="24" t="inlineStr"/>
      <c r="L237" s="24" t="inlineStr"/>
      <c r="M237" s="24" t="inlineStr"/>
      <c r="N237" s="24" t="inlineStr"/>
    </row>
    <row r="238">
      <c r="B238" s="24" t="inlineStr">
        <is>
          <t>260217_sklad.PSV76.004</t>
        </is>
      </c>
      <c r="C238" s="24" t="inlineStr">
        <is>
          <t>PSV-76 Zámečnické konstrukce</t>
        </is>
      </c>
      <c r="D238" s="24" t="inlineStr">
        <is>
          <t>Zábradlí v. 1.0 m kolem části stání — materiál OVĚŘIT (kov/dřevo neuveden)</t>
        </is>
      </c>
      <c r="E238" s="24" t="inlineStr"/>
      <c r="F238" s="24" t="inlineStr"/>
      <c r="G238" s="24" t="inlineStr"/>
      <c r="H238" s="24" t="inlineStr">
        <is>
          <t>needs_production_lookup</t>
        </is>
      </c>
      <c r="I238" s="35" t="n">
        <v>0.6</v>
      </c>
      <c r="J238" s="33" t="inlineStr"/>
      <c r="K238" s="24" t="inlineStr"/>
      <c r="L238" s="24" t="inlineStr"/>
      <c r="M238" s="24" t="inlineStr"/>
      <c r="N238" s="24" t="inlineStr"/>
    </row>
    <row r="239">
      <c r="B239" s="24" t="inlineStr">
        <is>
          <t>260217_sklad.HSV5.003</t>
        </is>
      </c>
      <c r="C239" s="24" t="inlineStr">
        <is>
          <t>HSV-5 Komunikace + zpevněné plochy</t>
        </is>
      </c>
      <c r="D239" s="24" t="inlineStr">
        <is>
          <t>Pískové lože pod dlažbu vjezdu tl. 40 mm (POZN 01)</t>
        </is>
      </c>
      <c r="E239" s="24" t="inlineStr">
        <is>
          <t>564751111</t>
        </is>
      </c>
      <c r="F239" s="24" t="inlineStr"/>
      <c r="G239" s="24" t="inlineStr"/>
      <c r="H239" s="24" t="inlineStr">
        <is>
          <t>needs_production_lookup</t>
        </is>
      </c>
      <c r="I239" s="35" t="n">
        <v>0.6</v>
      </c>
      <c r="J239" s="32" t="inlineStr"/>
      <c r="K239" s="24" t="inlineStr"/>
      <c r="L239" s="24" t="inlineStr"/>
      <c r="M239" s="24" t="inlineStr"/>
      <c r="N239" s="24" t="inlineStr"/>
    </row>
    <row r="240">
      <c r="B240" s="24" t="inlineStr">
        <is>
          <t>260217_sklad.HSV5.004</t>
        </is>
      </c>
      <c r="C240" s="24" t="inlineStr">
        <is>
          <t>HSV-5 Komunikace + zpevněné plochy</t>
        </is>
      </c>
      <c r="D240" s="24" t="inlineStr">
        <is>
          <t>Štěrkový zhutněný podklad pod dlažbu vjezdu tl. 150 mm (POZN 01)</t>
        </is>
      </c>
      <c r="E240" s="24" t="inlineStr">
        <is>
          <t>564861111</t>
        </is>
      </c>
      <c r="F240" s="24" t="inlineStr"/>
      <c r="G240" s="24" t="inlineStr"/>
      <c r="H240" s="24" t="inlineStr">
        <is>
          <t>needs_production_lookup</t>
        </is>
      </c>
      <c r="I240" s="35" t="n">
        <v>0.6</v>
      </c>
      <c r="J240" s="32" t="inlineStr"/>
      <c r="K240" s="24" t="inlineStr"/>
      <c r="L240" s="24" t="inlineStr"/>
      <c r="M240" s="24" t="inlineStr"/>
      <c r="N240" s="24" t="inlineStr"/>
    </row>
    <row r="241">
      <c r="B241" s="24" t="inlineStr">
        <is>
          <t>260217_sklad.HSV5.005</t>
        </is>
      </c>
      <c r="C241" s="24" t="inlineStr">
        <is>
          <t>HSV-5 Komunikace + zpevněné plochy</t>
        </is>
      </c>
      <c r="D241" s="24" t="inlineStr">
        <is>
          <t>Liniový odvodňovací žlab (prefa žlabovka š. 160 mm) podél vjezdu</t>
        </is>
      </c>
      <c r="E241" s="24" t="inlineStr"/>
      <c r="F241" s="24" t="inlineStr"/>
      <c r="G241" s="24" t="inlineStr"/>
      <c r="H241" s="24" t="inlineStr">
        <is>
          <t>needs_production_lookup</t>
        </is>
      </c>
      <c r="I241" s="35" t="n">
        <v>0.6</v>
      </c>
      <c r="J241" s="33" t="inlineStr"/>
      <c r="K241" s="24" t="inlineStr"/>
      <c r="L241" s="24" t="inlineStr"/>
      <c r="M241" s="24" t="inlineStr"/>
      <c r="N241" s="24" t="inlineStr"/>
    </row>
    <row r="242">
      <c r="B242" s="24" t="inlineStr">
        <is>
          <t>260217_sklad.HSV5.006</t>
        </is>
      </c>
      <c r="C242" s="24" t="inlineStr">
        <is>
          <t>HSV-5 Komunikace + zpevněné plochy</t>
        </is>
      </c>
      <c r="D242" s="24" t="inlineStr">
        <is>
          <t>Podkladní beton pod odvodňovací žlab (průřez 0.06 m²)</t>
        </is>
      </c>
      <c r="E242" s="24" t="inlineStr">
        <is>
          <t>273321411</t>
        </is>
      </c>
      <c r="F242" s="24" t="inlineStr"/>
      <c r="G242" s="24" t="inlineStr"/>
      <c r="H242" s="24" t="inlineStr">
        <is>
          <t>needs_production_lookup</t>
        </is>
      </c>
      <c r="I242" s="35" t="n">
        <v>0.6</v>
      </c>
      <c r="J242" s="32" t="inlineStr"/>
      <c r="K242" s="24" t="inlineStr"/>
      <c r="L242" s="24" t="inlineStr"/>
      <c r="M242" s="24" t="inlineStr"/>
      <c r="N242" s="24" t="inlineStr"/>
    </row>
    <row r="243">
      <c r="B243" s="24" t="inlineStr">
        <is>
          <t>260217_sklad.HSV5.007</t>
        </is>
      </c>
      <c r="C243" s="24" t="inlineStr">
        <is>
          <t>HSV-5 Komunikace + zpevněné plochy</t>
        </is>
      </c>
      <c r="D243" s="24" t="inlineStr">
        <is>
          <t>Okapový/odvodňovací žlab na straně 6010 mm — typ OVĚŘIT</t>
        </is>
      </c>
      <c r="E243" s="24" t="inlineStr"/>
      <c r="F243" s="24" t="inlineStr"/>
      <c r="G243" s="24" t="inlineStr"/>
      <c r="H243" s="24" t="inlineStr">
        <is>
          <t>needs_production_lookup</t>
        </is>
      </c>
      <c r="I243" s="35" t="n">
        <v>0.6</v>
      </c>
      <c r="J243" s="33" t="inlineStr"/>
      <c r="K243" s="24" t="inlineStr"/>
      <c r="L243" s="24" t="inlineStr"/>
      <c r="M243" s="24" t="inlineStr"/>
      <c r="N243" s="24" t="inlineStr"/>
    </row>
    <row r="244">
      <c r="B244" s="24" t="inlineStr">
        <is>
          <t>260217_sklad.HSV1.009</t>
        </is>
      </c>
      <c r="C244" s="24" t="inlineStr">
        <is>
          <t>HSV-1 Zemní práce</t>
        </is>
      </c>
      <c r="D244" s="24" t="inlineStr">
        <is>
          <t>Trubka Ø ~150 mm v štěrkovém obsypu podél vysokého pasu — drenáž/odvětrání radon</t>
        </is>
      </c>
      <c r="E244" s="24" t="inlineStr"/>
      <c r="F244" s="24" t="inlineStr"/>
      <c r="G244" s="24" t="inlineStr"/>
      <c r="H244" s="24" t="inlineStr">
        <is>
          <t>needs_production_lookup</t>
        </is>
      </c>
      <c r="I244" s="35" t="n">
        <v>0.6</v>
      </c>
      <c r="J244" s="33" t="inlineStr"/>
      <c r="K244" s="24" t="inlineStr"/>
      <c r="L244" s="24" t="inlineStr"/>
      <c r="M244" s="24" t="inlineStr"/>
      <c r="N244" s="24" t="inlineStr"/>
    </row>
    <row r="245">
      <c r="B245" s="24" t="inlineStr">
        <is>
          <t>260217_sklad.HSV1.010</t>
        </is>
      </c>
      <c r="C245" s="24" t="inlineStr">
        <is>
          <t>HSV-1 Zemní práce</t>
        </is>
      </c>
      <c r="D245" s="24" t="inlineStr">
        <is>
          <t>Trubka Ø 120-130 mm v štěrkovém obsypu podél stěny — drenáž/odvětrání radonu (OV</t>
        </is>
      </c>
      <c r="E245" s="24" t="inlineStr"/>
      <c r="F245" s="24" t="inlineStr"/>
      <c r="G245" s="24" t="inlineStr"/>
      <c r="H245" s="24" t="inlineStr">
        <is>
          <t>needs_production_lookup</t>
        </is>
      </c>
      <c r="I245" s="35" t="n">
        <v>0.6</v>
      </c>
      <c r="J245" s="33" t="inlineStr"/>
      <c r="K245" s="24" t="inlineStr"/>
      <c r="L245" s="24" t="inlineStr"/>
      <c r="M245" s="24" t="inlineStr"/>
      <c r="N245" s="24" t="inlineStr"/>
    </row>
    <row r="246">
      <c r="B246" s="24" t="inlineStr">
        <is>
          <t>260217_sklad.HSV5.008</t>
        </is>
      </c>
      <c r="C246" s="24" t="inlineStr">
        <is>
          <t>HSV-5 Komunikace + zpevněné plochy</t>
        </is>
      </c>
      <c r="D246" s="24" t="inlineStr">
        <is>
          <t>Podkladní betonová deska pod prefa schodiště S05</t>
        </is>
      </c>
      <c r="E246" s="24" t="inlineStr">
        <is>
          <t>273313611</t>
        </is>
      </c>
      <c r="F246" s="24" t="inlineStr"/>
      <c r="G246" s="24" t="inlineStr"/>
      <c r="H246" s="24" t="inlineStr">
        <is>
          <t>needs_production_lookup</t>
        </is>
      </c>
      <c r="I246" s="35" t="n">
        <v>0.6</v>
      </c>
      <c r="J246" s="32" t="inlineStr"/>
      <c r="K246" s="24" t="inlineStr"/>
      <c r="L246" s="24" t="inlineStr"/>
      <c r="M246" s="24" t="inlineStr"/>
      <c r="N246" s="24" t="inlineStr"/>
    </row>
    <row r="247">
      <c r="B247" s="24" t="inlineStr">
        <is>
          <t>260217_sklad.HSV5.009</t>
        </is>
      </c>
      <c r="C247" s="24" t="inlineStr">
        <is>
          <t>HSV-5 Komunikace + zpevněné plochy</t>
        </is>
      </c>
      <c r="D247" s="24" t="inlineStr">
        <is>
          <t>Kladecí vrstva ze zavlhlého betonu pod prefa stupně S05</t>
        </is>
      </c>
      <c r="E247" s="24" t="inlineStr"/>
      <c r="F247" s="24" t="inlineStr"/>
      <c r="G247" s="24" t="inlineStr"/>
      <c r="H247" s="24" t="inlineStr">
        <is>
          <t>needs_production_lookup</t>
        </is>
      </c>
      <c r="I247" s="35" t="n">
        <v>0.6</v>
      </c>
      <c r="J247" s="33" t="inlineStr"/>
      <c r="K247" s="24" t="inlineStr"/>
      <c r="L247" s="24" t="inlineStr"/>
      <c r="M247" s="24" t="inlineStr"/>
      <c r="N247" s="24" t="inlineStr"/>
    </row>
    <row r="248">
      <c r="B248" s="24" t="inlineStr">
        <is>
          <t>260217_sklad.HSV2.007</t>
        </is>
      </c>
      <c r="C248" s="24" t="inlineStr">
        <is>
          <t>HSV-2 Základové a ŽB</t>
        </is>
      </c>
      <c r="D248" s="24" t="inlineStr">
        <is>
          <t>Bednění základových pasů + spodních patek (prostý beton) — tradiční / systémové,</t>
        </is>
      </c>
      <c r="E248" s="24" t="inlineStr">
        <is>
          <t>273351215</t>
        </is>
      </c>
      <c r="F248" s="24" t="inlineStr"/>
      <c r="G248" s="24" t="inlineStr">
        <is>
          <t>271313</t>
        </is>
      </c>
      <c r="H248" s="24" t="inlineStr">
        <is>
          <t>needs_production_lookup</t>
        </is>
      </c>
      <c r="I248" s="35" t="n">
        <v>0.6</v>
      </c>
      <c r="J248" s="32" t="inlineStr"/>
      <c r="K248" s="24" t="inlineStr"/>
      <c r="L248" s="24" t="inlineStr">
        <is>
          <t>273313811</t>
        </is>
      </c>
      <c r="M248" s="24" t="inlineStr"/>
      <c r="N248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249">
      <c r="B249" s="24" t="inlineStr">
        <is>
          <t>260217_sklad.HSV2.008</t>
        </is>
      </c>
      <c r="C249" s="24" t="inlineStr">
        <is>
          <t>HSV-2 Základové a ŽB</t>
        </is>
      </c>
      <c r="D249" s="24" t="inlineStr">
        <is>
          <t xml:space="preserve">Výztuž B500B vkládaná do tvárnic ztraceného bednění — patky horní (6 sloupků) + </t>
        </is>
      </c>
      <c r="E249" s="24" t="inlineStr">
        <is>
          <t>273361821</t>
        </is>
      </c>
      <c r="F249" s="24" t="inlineStr"/>
      <c r="G249" s="24" t="inlineStr">
        <is>
          <t>271313</t>
        </is>
      </c>
      <c r="H249" s="24" t="inlineStr">
        <is>
          <t>needs_production_lookup</t>
        </is>
      </c>
      <c r="I249" s="35" t="n">
        <v>0.6</v>
      </c>
      <c r="J249" s="32" t="inlineStr"/>
      <c r="K249" s="24" t="inlineStr"/>
      <c r="L249" s="24" t="inlineStr">
        <is>
          <t>273313811</t>
        </is>
      </c>
      <c r="M249" s="24" t="inlineStr"/>
      <c r="N249" s="24" t="inlineStr">
        <is>
          <t>WebSearch verified WRONG LEAF: URS leaf = ZÁKLADY DESKY C 25/30, item = ZÁKLADOVÉ PASY C16/20 XC0. Hint: Základové pasy = TKP 271 (pasy), NOT 273 (desky); class C16/20 leaf needed.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2026-06-02T08:40:04Z</dcterms:created>
  <dcterms:modified xmlns:dcterms="http://purl.org/dc/terms/" xmlns:xsi="http://www.w3.org/2001/XMLSchema-instance" xsi:type="dcterms:W3CDTF">2026-06-02T08:40:05Z</dcterms:modified>
</cp:coreProperties>
</file>
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SUM('SO_260219_Dum'!I53:I469)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SUM('SO_260217_Sklad'!I34:I114)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SUMIFS(I51:I470,L51:L470,C16)</f>
        <v/>
      </c>
    </row>
    <row r="17">
      <c r="B17" s="17" t="n"/>
      <c r="C17" s="5" t="inlineStr">
        <is>
          <t>HSV-2 Základové a ŽB</t>
        </is>
      </c>
      <c r="D17" s="7">
        <f>SUMIFS(I51:I470,L51:L470,C17)</f>
        <v/>
      </c>
    </row>
    <row r="18">
      <c r="B18" s="17" t="n"/>
      <c r="C18" s="5" t="inlineStr">
        <is>
          <t>HSV-3 Svislé konstrukce</t>
        </is>
      </c>
      <c r="D18" s="7">
        <f>SUMIFS(I51:I470,L51:L470,C18)</f>
        <v/>
      </c>
    </row>
    <row r="19">
      <c r="B19" s="17" t="n"/>
      <c r="C19" s="5" t="inlineStr">
        <is>
          <t>HSV-4 Vodorovné</t>
        </is>
      </c>
      <c r="D19" s="7">
        <f>SUMIFS(I51:I470,L51:L470,C19)</f>
        <v/>
      </c>
    </row>
    <row r="20">
      <c r="B20" s="17" t="n"/>
      <c r="C20" s="5" t="inlineStr">
        <is>
          <t>HSV-5 Krov + střecha</t>
        </is>
      </c>
      <c r="D20" s="7">
        <f>SUMIFS(I51:I470,L51:L470,C20)</f>
        <v/>
      </c>
    </row>
    <row r="21">
      <c r="B21" s="17" t="n"/>
      <c r="C21" s="5" t="inlineStr">
        <is>
          <t>HSV-6 Bourací práce</t>
        </is>
      </c>
      <c r="D21" s="7">
        <f>SUMIFS(I51:I470,L51:L470,C21)</f>
        <v/>
      </c>
    </row>
    <row r="22">
      <c r="B22" s="17" t="n"/>
      <c r="C22" s="5" t="inlineStr">
        <is>
          <t>HSV-7 Fasáda ETICS</t>
        </is>
      </c>
      <c r="D22" s="7">
        <f>SUMIFS(I51:I470,L51:L470,C22)</f>
        <v/>
      </c>
    </row>
    <row r="23">
      <c r="B23" s="17" t="n"/>
      <c r="C23" s="5" t="inlineStr">
        <is>
          <t>M-21 ELI silnoproud</t>
        </is>
      </c>
      <c r="D23" s="7">
        <f>SUMIFS(I51:I470,L51:L470,C23)</f>
        <v/>
      </c>
    </row>
    <row r="24">
      <c r="B24" s="17" t="n"/>
      <c r="C24" s="5" t="inlineStr">
        <is>
          <t>PSV-71 Izolace HI</t>
        </is>
      </c>
      <c r="D24" s="7">
        <f>SUMIFS(I51:I470,L51:L470,C24)</f>
        <v/>
      </c>
    </row>
    <row r="25">
      <c r="B25" s="17" t="n"/>
      <c r="C25" s="5" t="inlineStr">
        <is>
          <t>PSV-71 Izolace TI</t>
        </is>
      </c>
      <c r="D25" s="7">
        <f>SUMIFS(I51:I470,L51:L470,C25)</f>
        <v/>
      </c>
    </row>
    <row r="26">
      <c r="B26" s="17" t="n"/>
      <c r="C26" s="5" t="inlineStr">
        <is>
          <t>PSV-72 ZTI</t>
        </is>
      </c>
      <c r="D26" s="7">
        <f>SUMIFS(I51:I470,L51:L470,C26)</f>
        <v/>
      </c>
    </row>
    <row r="27">
      <c r="B27" s="17" t="n"/>
      <c r="C27" s="5" t="inlineStr">
        <is>
          <t>PSV-73 Vytápění</t>
        </is>
      </c>
      <c r="D27" s="7">
        <f>SUMIFS(I51:I470,L51:L470,C27)</f>
        <v/>
      </c>
    </row>
    <row r="28">
      <c r="B28" s="17" t="n"/>
      <c r="C28" s="5" t="inlineStr">
        <is>
          <t>PSV-76 Klempíř</t>
        </is>
      </c>
      <c r="D28" s="7">
        <f>SUMIFS(I51:I470,L51:L470,C28)</f>
        <v/>
      </c>
    </row>
    <row r="29">
      <c r="B29" s="17" t="n"/>
      <c r="C29" s="5" t="inlineStr">
        <is>
          <t>PSV-76 Truhlář</t>
        </is>
      </c>
      <c r="D29" s="7">
        <f>SUMIFS(I51:I470,L51:L470,C29)</f>
        <v/>
      </c>
    </row>
    <row r="30">
      <c r="B30" s="17" t="n"/>
      <c r="C30" s="5" t="inlineStr">
        <is>
          <t>PSV-76 Výplně otvorů</t>
        </is>
      </c>
      <c r="D30" s="7">
        <f>SUMIFS(I51:I470,L51:L470,C30)</f>
        <v/>
      </c>
    </row>
    <row r="31">
      <c r="B31" s="17" t="n"/>
      <c r="C31" s="5" t="inlineStr">
        <is>
          <t>PSV-76 Zámečnictví</t>
        </is>
      </c>
      <c r="D31" s="7">
        <f>SUMIFS(I51:I470,L51:L470,C31)</f>
        <v/>
      </c>
    </row>
    <row r="32">
      <c r="B32" s="17" t="n"/>
      <c r="C32" s="5" t="inlineStr">
        <is>
          <t>PSV-77 Podlahy</t>
        </is>
      </c>
      <c r="D32" s="7">
        <f>SUMIFS(I51:I470,L51:L470,C32)</f>
        <v/>
      </c>
    </row>
    <row r="33">
      <c r="B33" s="17" t="n"/>
      <c r="C33" s="5" t="inlineStr">
        <is>
          <t>PSV-78 Povrchové úpravy</t>
        </is>
      </c>
      <c r="D33" s="7">
        <f>SUMIFS(I51:I470,L51:L470,C33)</f>
        <v/>
      </c>
    </row>
    <row r="34">
      <c r="B34" s="17" t="n"/>
      <c r="C34" s="5" t="inlineStr">
        <is>
          <t>PSV-95 Detekce požární</t>
        </is>
      </c>
      <c r="D34" s="7">
        <f>SUMIFS(I51:I470,L51:L470,C34)</f>
        <v/>
      </c>
    </row>
    <row r="35">
      <c r="B35" s="17" t="n"/>
      <c r="C35" s="5" t="inlineStr">
        <is>
          <t>VRN — Zařízení staveniště</t>
        </is>
      </c>
      <c r="D35" s="7">
        <f>SUMIFS(I51:I470,L51:L470,C35)</f>
        <v/>
      </c>
    </row>
    <row r="36">
      <c r="B36" s="17" t="n"/>
      <c r="C36" s="5" t="inlineStr">
        <is>
          <t>VRN — Přesun hmot</t>
        </is>
      </c>
      <c r="D36" s="7">
        <f>SUMIFS(I51:I470,L51:L470,C36)</f>
        <v/>
      </c>
    </row>
    <row r="37">
      <c r="B37" s="17" t="n"/>
      <c r="C37" s="5" t="inlineStr">
        <is>
          <t>VRN — Lešení</t>
        </is>
      </c>
      <c r="D37" s="7">
        <f>SUMIFS(I51:I470,L51:L470,C37)</f>
        <v/>
      </c>
    </row>
    <row r="38">
      <c r="B38" s="17" t="n"/>
      <c r="C38" s="5" t="inlineStr">
        <is>
          <t>VRN — Doprava + odpad</t>
        </is>
      </c>
      <c r="D38" s="7">
        <f>SUMIFS(I51:I470,L51:L470,C38)</f>
        <v/>
      </c>
    </row>
    <row r="39">
      <c r="B39" s="17" t="n"/>
      <c r="C39" s="5" t="inlineStr">
        <is>
          <t>VRN — Geodet</t>
        </is>
      </c>
      <c r="D39" s="7">
        <f>SUMIFS(I51:I470,L51:L470,C39)</f>
        <v/>
      </c>
    </row>
    <row r="40">
      <c r="B40" s="17" t="n"/>
      <c r="C40" s="5" t="inlineStr">
        <is>
          <t>VRN — Průzkumy</t>
        </is>
      </c>
      <c r="D40" s="7">
        <f>SUMIFS(I51:I470,L51:L470,C40)</f>
        <v/>
      </c>
    </row>
    <row r="41">
      <c r="B41" s="17" t="n"/>
      <c r="C41" s="5" t="inlineStr">
        <is>
          <t>VRN — BOZP</t>
        </is>
      </c>
      <c r="D41" s="7">
        <f>SUMIFS(I51:I470,L51:L470,C41)</f>
        <v/>
      </c>
    </row>
    <row r="42">
      <c r="B42" s="17" t="n"/>
      <c r="C42" s="5" t="inlineStr">
        <is>
          <t>VRN — Dokumentace</t>
        </is>
      </c>
      <c r="D42" s="7">
        <f>SUMIFS(I51:I470,L51:L470,C42)</f>
        <v/>
      </c>
    </row>
    <row r="43">
      <c r="B43" s="17" t="n"/>
      <c r="C43" s="5" t="inlineStr">
        <is>
          <t>VRN — Kolaudace</t>
        </is>
      </c>
      <c r="D43" s="7">
        <f>SUMIFS(I51:I470,L51:L470,C43)</f>
        <v/>
      </c>
    </row>
    <row r="44">
      <c r="B44" s="17" t="n"/>
      <c r="C44" s="5" t="inlineStr">
        <is>
          <t>VRN — Pojištění + zábory</t>
        </is>
      </c>
      <c r="D44" s="7">
        <f>SUMIFS(I51:I470,L51:L470,C44)</f>
        <v/>
      </c>
    </row>
    <row r="45">
      <c r="B45" s="17" t="n"/>
      <c r="C45" s="5" t="inlineStr">
        <is>
          <t>VRN — Revize</t>
        </is>
      </c>
      <c r="D45" s="7">
        <f>SUMIFS(I51:I470,L51:L470,C45)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725900001</t>
        </is>
      </c>
      <c r="E214" s="24" t="inlineStr">
        <is>
          <t>Demontáž všech sanitárních zařizovacích předmětů (WC, umyvadla, baterie, sprcha)</t>
        </is>
      </c>
      <c r="F214" s="23" t="inlineStr">
        <is>
          <t>ks</t>
        </is>
      </c>
      <c r="G214" s="25" t="n">
        <v>12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2 koupelny × ~5 ks + WC + dřez = ~12</t>
        </is>
      </c>
      <c r="F215" s="17" t="n"/>
      <c r="G215" s="30" t="n">
        <v>12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997013501</t>
        </is>
      </c>
      <c r="E216" s="24" t="inlineStr">
        <is>
          <t>Odvoz a likvidace stavební suti dle vyhl. 8/2021 Sb. — celková tonáž odpadů</t>
        </is>
      </c>
      <c r="F216" s="23" t="inlineStr">
        <is>
          <t>t</t>
        </is>
      </c>
      <c r="G216" s="25" t="n">
        <v>56.5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TZ B m.10.e: 46 (beton/cihly) + 9 (dřevo) + 0.1 (kov) + 0.1 (EPS) + 0.2 (sádra) + 1.0 (směs) = 56.4</t>
        </is>
      </c>
      <c r="F217" s="17" t="n"/>
      <c r="G217" s="30" t="n">
        <v>56.5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978013181</t>
        </is>
      </c>
      <c r="E218" s="24" t="inlineStr">
        <is>
          <t>Demontáž stávajících dřevěných oken vč. rámů a parapetů — 16 ks (návrh všechna okna nová plastová trojsklem)</t>
        </is>
      </c>
      <c r="F218" s="23" t="inlineStr">
        <is>
          <t>ks</t>
        </is>
      </c>
      <c r="G218" s="25" t="n">
        <v>16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DXF INSERT okno* total 16 ks (Path C Tier 4 — front 9 + back 7)</t>
        </is>
      </c>
      <c r="F219" s="17" t="n"/>
      <c r="G219" s="30" t="n">
        <v>16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vstupních dveří + rámů — 2 ks (1× ulice Fibichova + 1× zahrada; návrh nové plastové vstupní dveře)</t>
        </is>
      </c>
      <c r="F220" s="23" t="inlineStr">
        <is>
          <t>ks</t>
        </is>
      </c>
      <c r="G220" s="25" t="n">
        <v>2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dveře = 2 (Path C Tier 4) + TZ ARS</t>
        </is>
      </c>
      <c r="F221" s="17" t="n"/>
      <c r="G221" s="30" t="n">
        <v>2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968072456</t>
        </is>
      </c>
      <c r="E222" s="24" t="inlineStr">
        <is>
          <t>Demontáž stávajících vnitřních dveří vč. ocelových/dřevěných zárubní — odhad 15 ks (3 patra × ~5 dveří/patro per DXF SM__dveře layer)</t>
        </is>
      </c>
      <c r="F222" s="23" t="inlineStr">
        <is>
          <t>ks</t>
        </is>
      </c>
      <c r="G222" s="25" t="n">
        <v>15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SM__dveře polylines 102 / ~3 fáze / ~2.3 symbol per dveře ≈ 15 ks návrh (Path C confidence 0.65)</t>
        </is>
      </c>
      <c r="F223" s="17" t="n"/>
      <c r="G223" s="30" t="n">
        <v>15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962024141</t>
        </is>
      </c>
      <c r="E224" s="24" t="inlineStr">
        <is>
          <t>Bourání vrchní části stávajícího komínu v posledním podlaží (cihelné zdivo, ručně), vč. likvidace cihelné suti</t>
        </is>
      </c>
      <c r="F224" s="23" t="inlineStr">
        <is>
          <t>m³</t>
        </is>
      </c>
      <c r="G224" s="25" t="n">
        <v>0.6</v>
      </c>
      <c r="H224" s="26" t="n"/>
      <c r="I224" s="26">
        <f>IF(H224="",0,G224*H224)</f>
        <v/>
      </c>
      <c r="J224" s="23" t="inlineStr">
        <is>
          <t>ÚRS 2026</t>
        </is>
      </c>
      <c r="K224" s="31" t="inlineStr">
        <is>
          <t>⚠ family OK, leaf KROS lookup [evidence: https://www.cs-urs.cz/podminky/cu202/801-3-Budovy-a-haly---b]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průměr komín 0.50×0.50 × výška nad střechou ~2.4 m = 0.6 m³ (OPRAVA ChatGPT revize 2026-05-29: dříve 6.0 m³ = ×10 chybná inflace; skutečný objem 0.6 m³)</t>
        </is>
      </c>
      <c r="F225" s="17" t="n"/>
      <c r="G225" s="30" t="n">
        <v>0.6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961044111</t>
        </is>
      </c>
      <c r="E226" s="24" t="inlineStr">
        <is>
          <t>Bourání stávajících opěrných zídek a venkovního schodiště v zahradě/dvoře — částečné, dle vyznačení v půdorysech bourání</t>
        </is>
      </c>
      <c r="F226" s="23" t="inlineStr">
        <is>
          <t>m³</t>
        </is>
      </c>
      <c r="G226" s="25" t="n">
        <v>8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odhad ze řez A-A bourání + půdorys bourání 1.NP/1.PP, ~8 m³ celkem (opěrné zídky + venkovní schodiště zahrada/dvůr)</t>
        </is>
      </c>
      <c r="F227" s="17" t="n"/>
      <c r="G227" s="30" t="n">
        <v>8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/>
      <c r="E228" s="24" t="inlineStr">
        <is>
          <t>Demontáž stávajícího vnějšího keramického obkladu suterénní stěny (sokl) tl. 20 mm</t>
        </is>
      </c>
      <c r="F228" s="23" t="inlineStr">
        <is>
          <t>m²</t>
        </is>
      </c>
      <c r="G228" s="25" t="n">
        <v>16</v>
      </c>
      <c r="H228" s="26" t="n"/>
      <c r="I228" s="26">
        <f>IF(H228="",0,G228*H228)</f>
        <v/>
      </c>
      <c r="J228" s="23" t="inlineStr">
        <is>
          <t>ÚRS 2026</t>
        </is>
      </c>
      <c r="K228" s="33" t="inlineStr">
        <is>
          <t>❌ MANUAL — KROS catalog lookup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 t="inlineStr">
        <is>
          <t>obvod 38.7 m × výška soklu 0.6 m × řadovka 0.7 (volný obvod) = 16.3 ≈ 16 m² (OVĚŘIT)</t>
        </is>
      </c>
      <c r="F229" s="17" t="n"/>
      <c r="G229" s="30" t="n">
        <v>16</v>
      </c>
      <c r="H229" s="17" t="n"/>
      <c r="I229" s="17" t="n"/>
      <c r="J229" s="17" t="n"/>
      <c r="K229" s="17" t="n"/>
      <c r="L229" s="17" t="n"/>
    </row>
    <row r="230">
      <c r="B230" s="21" t="n"/>
      <c r="C230" s="22" t="inlineStr">
        <is>
          <t>D</t>
        </is>
      </c>
      <c r="D230" s="22" t="inlineStr">
        <is>
          <t>HSV-7</t>
        </is>
      </c>
      <c r="E230" s="22" t="inlineStr">
        <is>
          <t>HSV-7 Fasáda ETICS</t>
        </is>
      </c>
      <c r="F230" s="21" t="n"/>
      <c r="G230" s="21" t="n"/>
      <c r="H230" s="21" t="n"/>
      <c r="I230" s="21" t="n"/>
      <c r="J230" s="21" t="n"/>
      <c r="K230" s="21" t="n"/>
      <c r="L230" s="21" t="n"/>
    </row>
    <row r="231">
      <c r="B231" s="23" t="n">
        <v>87</v>
      </c>
      <c r="C231" s="23" t="inlineStr">
        <is>
          <t>K</t>
        </is>
      </c>
      <c r="D231" s="24" t="inlineStr">
        <is>
          <t>622401110</t>
        </is>
      </c>
      <c r="E231" s="24" t="inlineStr">
        <is>
          <t>Příprava fasádního podkladu — očištění tlakovou vodou, vyspravení omítek, fungicidní nátěr</t>
        </is>
      </c>
      <c r="F231" s="23" t="inlineStr">
        <is>
          <t>m²</t>
        </is>
      </c>
      <c r="G231" s="25" t="n">
        <v>276.7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HSV-7 Fasáda ETICS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obvod 38.7 m (DXF) × 0.55 (volná fasáda, štíty zachované) × výška 13.0 m = 276.7 m²</t>
        </is>
      </c>
      <c r="F232" s="17" t="n"/>
      <c r="G232" s="30" t="n">
        <v>276.7</v>
      </c>
      <c r="H232" s="17" t="n"/>
      <c r="I232" s="17" t="n"/>
      <c r="J232" s="17" t="n"/>
      <c r="K232" s="17" t="n"/>
      <c r="L232" s="17" t="n"/>
    </row>
    <row r="233">
      <c r="B233" s="23" t="n">
        <v>88</v>
      </c>
      <c r="C233" s="23" t="inlineStr">
        <is>
          <t>K</t>
        </is>
      </c>
      <c r="D233" s="24" t="inlineStr">
        <is>
          <t>622221121</t>
        </is>
      </c>
      <c r="E233" s="24" t="inlineStr">
        <is>
          <t>ETICS kontaktní zateplení — EPS 70F grey λ=0.032 tl. 160 mm + síťka + lepidlo + zatírací stěrka (řez S01+S12a explicit, ne 200 mm fallback)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1" t="inlineStr">
        <is>
          <t>⚠ family OK, leaf KROS lookup [evidence: https://www.isover.cz/produkty/eps/isover-eps-70f]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× 0.55 × 13.0 m = 276.7 m² (PBŘ: tl. max 200 mm povolena, řez S01+S12a EXPLICIT 160 mm applied)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622221221</t>
        </is>
      </c>
      <c r="E235" s="24" t="inlineStr">
        <is>
          <t>Špalety oken — EPS přesah 35-40 mm + síťka + omítka</t>
        </is>
      </c>
      <c r="F235" s="23" t="inlineStr">
        <is>
          <t>bm</t>
        </is>
      </c>
      <c r="G235" s="25" t="n">
        <v>82.2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Σ per-typ okno 16 ks × per-window perimeter (2×(W+H)) z DXF bbox = 82.2 bm</t>
        </is>
      </c>
      <c r="F236" s="17" t="n"/>
      <c r="G236" s="30" t="n">
        <v>82.2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622221221</t>
        </is>
      </c>
      <c r="E237" s="24" t="inlineStr">
        <is>
          <t>Profilace fasády — různé tloušťky EPS (kordony, šambrány, rámování oken) — paušál podle pohledů</t>
        </is>
      </c>
      <c r="F237" s="23" t="inlineStr">
        <is>
          <t>soubor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paušál — dle pohledů NCS NZÚ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622521111</t>
        </is>
      </c>
      <c r="E239" s="24" t="inlineStr">
        <is>
          <t>Tenkovrstvá pastovitá probarvená omítka, lomená bílá NCS NZÚ — finální vrstva ETICS</t>
        </is>
      </c>
      <c r="F239" s="23" t="inlineStr">
        <is>
          <t>m²</t>
        </is>
      </c>
      <c r="G239" s="25" t="n">
        <v>276.7</v>
      </c>
      <c r="H239" s="26" t="n"/>
      <c r="I239" s="26">
        <f>IF(H239="",0,G239*H239)</f>
        <v/>
      </c>
      <c r="J239" s="23" t="inlineStr">
        <is>
          <t>ÚRS 2026</t>
        </is>
      </c>
      <c r="K239" s="31" t="inlineStr">
        <is>
          <t>⚠ family OK, leaf KROS lookup [evidence: https://www.cz.weber/ncs-odstiny-dle-nzu-2023]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ETICS fasáda 276.7 m² (sokl = keramický obklad S03, NE omítka)</t>
        </is>
      </c>
      <c r="F240" s="17" t="n"/>
      <c r="G240" s="30" t="n">
        <v>276.7</v>
      </c>
      <c r="H240" s="17" t="n"/>
      <c r="I240" s="17" t="n"/>
      <c r="J240" s="17" t="n"/>
      <c r="K240" s="17" t="n"/>
      <c r="L240" s="17" t="n"/>
    </row>
    <row r="241">
      <c r="B241" s="19" t="n"/>
      <c r="C241" s="20" t="inlineStr">
        <is>
          <t>D</t>
        </is>
      </c>
      <c r="D241" s="20" t="inlineStr">
        <is>
          <t>M</t>
        </is>
      </c>
      <c r="E241" s="20" t="inlineStr">
        <is>
          <t>Práce a dodávky M (montáže)</t>
        </is>
      </c>
      <c r="F241" s="19" t="n"/>
      <c r="G241" s="19" t="n"/>
      <c r="H241" s="19" t="n"/>
      <c r="I241" s="19" t="n"/>
      <c r="J241" s="19" t="n"/>
      <c r="K241" s="19" t="n"/>
      <c r="L241" s="19" t="n"/>
    </row>
    <row r="242">
      <c r="B242" s="21" t="n"/>
      <c r="C242" s="22" t="inlineStr">
        <is>
          <t>D</t>
        </is>
      </c>
      <c r="D242" s="22" t="inlineStr">
        <is>
          <t>M-21</t>
        </is>
      </c>
      <c r="E242" s="22" t="inlineStr">
        <is>
          <t>M-21 ELI silnoproud</t>
        </is>
      </c>
      <c r="F242" s="21" t="n"/>
      <c r="G242" s="21" t="n"/>
      <c r="H242" s="21" t="n"/>
      <c r="I242" s="21" t="n"/>
      <c r="J242" s="21" t="n"/>
      <c r="K242" s="21" t="n"/>
      <c r="L242" s="21" t="n"/>
    </row>
    <row r="243">
      <c r="B243" s="23" t="n">
        <v>92</v>
      </c>
      <c r="C243" s="23" t="inlineStr">
        <is>
          <t>K</t>
        </is>
      </c>
      <c r="D243" s="24" t="inlineStr">
        <is>
          <t>210010011</t>
        </is>
      </c>
      <c r="E243" s="24" t="inlineStr">
        <is>
          <t>Demontáž stávající elektroinstalace v celém domě (vodiče, rozvaděč, zásuvky, svítidla) — recyklace mědi</t>
        </is>
      </c>
      <c r="F243" s="23" t="inlineStr">
        <is>
          <t>kpl</t>
        </is>
      </c>
      <c r="G243" s="25" t="n">
        <v>1</v>
      </c>
      <c r="H243" s="26" t="n"/>
      <c r="I243" s="26">
        <f>IF(H243="",0,G243*H243)</f>
        <v/>
      </c>
      <c r="J243" s="23" t="inlineStr">
        <is>
          <t>ÚRS 2026</t>
        </is>
      </c>
      <c r="K243" s="32" t="inlineStr">
        <is>
          <t>? needs production lookup</t>
        </is>
      </c>
      <c r="L243" s="5" t="inlineStr">
        <is>
          <t>M-21 ELI silnoproud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TZ ARS — stávající ELI plně bourána; B m.10.e — 0.1 t kovů celkem</t>
        </is>
      </c>
      <c r="F244" s="17" t="n"/>
      <c r="G244" s="30" t="n">
        <v>1</v>
      </c>
      <c r="H244" s="17" t="n"/>
      <c r="I244" s="17" t="n"/>
      <c r="J244" s="17" t="n"/>
      <c r="K244" s="17" t="n"/>
      <c r="L244" s="17" t="n"/>
    </row>
    <row r="245">
      <c r="B245" s="23" t="n">
        <v>93</v>
      </c>
      <c r="C245" s="23" t="inlineStr">
        <is>
          <t>K</t>
        </is>
      </c>
      <c r="D245" s="24" t="inlineStr">
        <is>
          <t>210110023</t>
        </is>
      </c>
      <c r="E245" s="24" t="inlineStr">
        <is>
          <t>Nová pojistková skříň + 3× podružný rozvaděč pro každé patro (1.NP, 2.NP, 3.NP) s podružným měřením</t>
        </is>
      </c>
      <c r="F245" s="23" t="inlineStr">
        <is>
          <t>ks</t>
        </is>
      </c>
      <c r="G245" s="25" t="n">
        <v>4</v>
      </c>
      <c r="H245" s="26" t="n"/>
      <c r="I245" s="26">
        <f>IF(H245="",0,G245*H245)</f>
        <v/>
      </c>
      <c r="J245" s="23" t="inlineStr">
        <is>
          <t>ÚRS 2026</t>
        </is>
      </c>
      <c r="K245" s="32" t="inlineStr">
        <is>
          <t>? needs production lookup</t>
        </is>
      </c>
      <c r="L245" s="5" t="inlineStr">
        <is>
          <t>M-21 ELI silnoproud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1 hlavní + 3 podružné = 4 rozvaděče</t>
        </is>
      </c>
      <c r="F246" s="17" t="n"/>
      <c r="G246" s="30" t="n">
        <v>4</v>
      </c>
      <c r="H246" s="17" t="n"/>
      <c r="I246" s="17" t="n"/>
      <c r="J246" s="17" t="n"/>
      <c r="K246" s="17" t="n"/>
      <c r="L246" s="17" t="n"/>
    </row>
    <row r="247">
      <c r="B247" s="23" t="n">
        <v>94</v>
      </c>
      <c r="C247" s="23" t="inlineStr">
        <is>
          <t>K</t>
        </is>
      </c>
      <c r="D247" s="24" t="inlineStr">
        <is>
          <t>210800012</t>
        </is>
      </c>
      <c r="E247" s="24" t="inlineStr">
        <is>
          <t>Nové silnoproudé rozvody — vodiče CYKY 3×1.5 / 3×2.5 / 5×2.5 / 5×6 + krabice + instalační trubky</t>
        </is>
      </c>
      <c r="F247" s="23" t="inlineStr">
        <is>
          <t>bm</t>
        </is>
      </c>
      <c r="G247" s="25" t="n">
        <v>700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RD 219 m² × ~3.2 bm/m² standard ELI = 700 bm; vyjasnění #7 working assumption</t>
        </is>
      </c>
      <c r="F248" s="17" t="n"/>
      <c r="G248" s="30" t="n">
        <v>700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210810050</t>
        </is>
      </c>
      <c r="E249" s="24" t="inlineStr">
        <is>
          <t>Zásuvky a vypínače dodávka + montáž — ~70 ks (60-80 dle vyjasnění #7)</t>
        </is>
      </c>
      <c r="F249" s="23" t="inlineStr">
        <is>
          <t>ks</t>
        </is>
      </c>
      <c r="G249" s="25" t="n">
        <v>70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RD 219 m² × ~0.3 ks/m² standard 3-byt. dispozice = 70 ks</t>
        </is>
      </c>
      <c r="F250" s="17" t="n"/>
      <c r="G250" s="30" t="n">
        <v>70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210820002</t>
        </is>
      </c>
      <c r="E251" s="24" t="inlineStr">
        <is>
          <t>Svítidla dodávka + montáž — ~35 ks (30-40 dle vyjasnění #7) interiér + venkovní u vstupů</t>
        </is>
      </c>
      <c r="F251" s="23" t="inlineStr">
        <is>
          <t>ks</t>
        </is>
      </c>
      <c r="G251" s="25" t="n">
        <v>35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standard RD 220 m² = ~35 ks svítidel</t>
        </is>
      </c>
      <c r="F252" s="17" t="n"/>
      <c r="G252" s="30" t="n">
        <v>35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210800099</t>
        </is>
      </c>
      <c r="E253" s="24" t="inlineStr">
        <is>
          <t>Příprava na osazení FVE — rezerva v rozvaděči (jistič + zásuvka pro střídač) + trasy do střechy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— 'příprava na osazení FVE'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996019011</t>
        </is>
      </c>
      <c r="E255" s="24" t="inlineStr">
        <is>
          <t>Výchozí revize elektrické instalace dle ČSN 33 2000-6 + revizní zpráva pro kolaudaci</t>
        </is>
      </c>
      <c r="F255" s="23" t="inlineStr">
        <is>
          <t>kpl</t>
        </is>
      </c>
      <c r="G255" s="25" t="n">
        <v>1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ČSN 33 2000-6 — povinná revize před kolaudací</t>
        </is>
      </c>
      <c r="F256" s="17" t="n"/>
      <c r="G256" s="30" t="n">
        <v>1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/>
      <c r="E257" s="24" t="inlineStr">
        <is>
          <t>Hlavní vypínač elektrické energie TOTAL STOP + požární značení rozvodného zařízení a uzávěrů (voda/elektro)</t>
        </is>
      </c>
      <c r="F257" s="23" t="inlineStr">
        <is>
          <t>soubor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3" t="inlineStr">
        <is>
          <t>❌ MANUAL — KROS catalog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>
        <f> 1 soubor (PBŘ)</f>
        <v/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19" t="n"/>
      <c r="C259" s="20" t="inlineStr">
        <is>
          <t>D</t>
        </is>
      </c>
      <c r="D259" s="20" t="inlineStr">
        <is>
          <t>PSV</t>
        </is>
      </c>
      <c r="E259" s="20" t="inlineStr">
        <is>
          <t>Práce a dodávky PSV</t>
        </is>
      </c>
      <c r="F259" s="19" t="n"/>
      <c r="G259" s="19" t="n"/>
      <c r="H259" s="19" t="n"/>
      <c r="I259" s="19" t="n"/>
      <c r="J259" s="19" t="n"/>
      <c r="K259" s="19" t="n"/>
      <c r="L259" s="19" t="n"/>
    </row>
    <row r="260">
      <c r="B260" s="21" t="n"/>
      <c r="C260" s="22" t="inlineStr">
        <is>
          <t>D</t>
        </is>
      </c>
      <c r="D260" s="22" t="inlineStr">
        <is>
          <t>PSV-71</t>
        </is>
      </c>
      <c r="E260" s="22" t="inlineStr">
        <is>
          <t>PSV-71 Izolace HI</t>
        </is>
      </c>
      <c r="F260" s="21" t="n"/>
      <c r="G260" s="21" t="n"/>
      <c r="H260" s="21" t="n"/>
      <c r="I260" s="21" t="n"/>
      <c r="J260" s="21" t="n"/>
      <c r="K260" s="21" t="n"/>
      <c r="L260" s="21" t="n"/>
    </row>
    <row r="261">
      <c r="B261" s="23" t="n">
        <v>100</v>
      </c>
      <c r="C261" s="23" t="inlineStr">
        <is>
          <t>K</t>
        </is>
      </c>
      <c r="D261" s="24" t="inlineStr">
        <is>
          <t>712311101</t>
        </is>
      </c>
      <c r="E261" s="24" t="inlineStr">
        <is>
          <t>Hydroizolace pod ŽB deskou 1.NP — modifikované asfaltové pásy SBS 2× (zároveň protiradonová bariéra)</t>
        </is>
      </c>
      <c r="F261" s="23" t="inlineStr">
        <is>
          <t>m²</t>
        </is>
      </c>
      <c r="G261" s="25" t="n">
        <v>80.40000000000001</v>
      </c>
      <c r="H261" s="26" t="n"/>
      <c r="I261" s="26">
        <f>IF(H261="",0,G261*H261)</f>
        <v/>
      </c>
      <c r="J261" s="23" t="inlineStr">
        <is>
          <t>ÚRS 2026</t>
        </is>
      </c>
      <c r="K261" s="31" t="inlineStr">
        <is>
          <t>⚠ family OK, leaf KROS lookup [evidence: https://stavimbydlim.cz/postup-hydroizolace-zakladove-desky-]</t>
        </is>
      </c>
      <c r="L261" s="5" t="inlineStr">
        <is>
          <t>PSV-71 Izolace HI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(zastavena × 0.7 rozsah 1.NP) × 1.10 přesah = 80.4</t>
        </is>
      </c>
      <c r="F262" s="17" t="n"/>
      <c r="G262" s="30" t="n">
        <v>80.40000000000001</v>
      </c>
      <c r="H262" s="17" t="n"/>
      <c r="I262" s="17" t="n"/>
      <c r="J262" s="17" t="n"/>
      <c r="K262" s="17" t="n"/>
      <c r="L262" s="17" t="n"/>
    </row>
    <row r="263">
      <c r="B263" s="23" t="n">
        <v>101</v>
      </c>
      <c r="C263" s="23" t="inlineStr">
        <is>
          <t>K</t>
        </is>
      </c>
      <c r="D263" s="24" t="inlineStr">
        <is>
          <t>712381111</t>
        </is>
      </c>
      <c r="E263" s="24" t="inlineStr">
        <is>
          <t>Odvětrání radonu z podloží — perforované DN50 trubky v štěrkovém loži + výdech nad střechu</t>
        </is>
      </c>
      <c r="F263" s="23" t="inlineStr">
        <is>
          <t>bm</t>
        </is>
      </c>
      <c r="G263" s="25" t="n">
        <v>12</v>
      </c>
      <c r="H263" s="26" t="n"/>
      <c r="I263" s="26">
        <f>IF(H263="",0,G263*H263)</f>
        <v/>
      </c>
      <c r="J263" s="23" t="inlineStr">
        <is>
          <t>ÚRS 2026</t>
        </is>
      </c>
      <c r="K263" s="31" t="inlineStr">
        <is>
          <t>⚠ family OK, leaf KROS lookup [evidence: https://cze.sika.com/cs/produkty-pro-stavebnictvi/hydroizola]</t>
        </is>
      </c>
      <c r="L263" s="5" t="inlineStr">
        <is>
          <t>PSV-71 Izolace HI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podsanační síť ~12 bm (3 řady × 4 m pod podlahou 1.NP)</t>
        </is>
      </c>
      <c r="F264" s="17" t="n"/>
      <c r="G264" s="30" t="n">
        <v>12</v>
      </c>
      <c r="H264" s="17" t="n"/>
      <c r="I264" s="17" t="n"/>
      <c r="J264" s="17" t="n"/>
      <c r="K264" s="17" t="n"/>
      <c r="L264" s="17" t="n"/>
    </row>
    <row r="265">
      <c r="B265" s="23" t="n">
        <v>102</v>
      </c>
      <c r="C265" s="23" t="inlineStr">
        <is>
          <t>K</t>
        </is>
      </c>
      <c r="D265" s="24" t="inlineStr"/>
      <c r="E265" s="24" t="inlineStr">
        <is>
          <t>Hydroizolační stěrka koupelen 3 ks — podlaha + sokl 200 mm + sprchový kout výška 2.0 m</t>
        </is>
      </c>
      <c r="F265" s="23" t="inlineStr">
        <is>
          <t>m²</t>
        </is>
      </c>
      <c r="G265" s="25" t="n">
        <v>40.5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711 OK — leaf KROS lookup [evidence: https://cze.sika.com/cs/produkty-pro-stavebnictvi/hydroizola]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3 koupelny × (~5.5 m² podlaha + ~8 m² stěny v okolí sprchy) = 40.5</t>
        </is>
      </c>
      <c r="F266" s="17" t="n"/>
      <c r="G266" s="30" t="n">
        <v>40.5</v>
      </c>
      <c r="H266" s="17" t="n"/>
      <c r="I266" s="17" t="n"/>
      <c r="J266" s="17" t="n"/>
      <c r="K266" s="17" t="n"/>
      <c r="L266" s="17" t="n"/>
    </row>
    <row r="267">
      <c r="B267" s="21" t="n"/>
      <c r="C267" s="22" t="inlineStr">
        <is>
          <t>D</t>
        </is>
      </c>
      <c r="D267" s="22" t="inlineStr">
        <is>
          <t>PSV-71</t>
        </is>
      </c>
      <c r="E267" s="22" t="inlineStr">
        <is>
          <t>PSV-71 Izolace TI</t>
        </is>
      </c>
      <c r="F267" s="21" t="n"/>
      <c r="G267" s="21" t="n"/>
      <c r="H267" s="21" t="n"/>
      <c r="I267" s="21" t="n"/>
      <c r="J267" s="21" t="n"/>
      <c r="K267" s="21" t="n"/>
      <c r="L267" s="21" t="n"/>
    </row>
    <row r="268">
      <c r="B268" s="23" t="n">
        <v>103</v>
      </c>
      <c r="C268" s="23" t="inlineStr">
        <is>
          <t>K</t>
        </is>
      </c>
      <c r="D268" s="24" t="inlineStr"/>
      <c r="E268" s="24" t="inlineStr">
        <is>
          <t>Podlahový EPS 150 λ=0.035 tl. 120 mm — pod betonový potěr 1.NP a 3.NP</t>
        </is>
      </c>
      <c r="F268" s="23" t="inlineStr">
        <is>
          <t>m²</t>
        </is>
      </c>
      <c r="G268" s="25" t="n">
        <v>177.5</v>
      </c>
      <c r="H268" s="26" t="n"/>
      <c r="I268" s="26">
        <f>IF(H268="",0,G268*H268)</f>
        <v/>
      </c>
      <c r="J268" s="23" t="inlineStr">
        <is>
          <t>ÚRS 2026</t>
        </is>
      </c>
      <c r="K268" s="31" t="inlineStr">
        <is>
          <t>⚠ family 713121 OK — leaf KROS lookup [evidence: https://styrotrade.cz/cs/produkty/strechy/izolace-bezne-zati]</t>
        </is>
      </c>
      <c r="L268" s="5" t="inlineStr">
        <is>
          <t>PSV-71 Izolace TI</t>
        </is>
      </c>
    </row>
    <row r="269">
      <c r="B269" s="17" t="n"/>
      <c r="C269" s="28" t="inlineStr">
        <is>
          <t>VV</t>
        </is>
      </c>
      <c r="D269" s="17" t="n"/>
      <c r="E269" s="29" t="inlineStr">
        <is>
          <t>(rozsah 1.NP 73 m²) + (3.NP nadstavba 104 m²) = ~177 m²</t>
        </is>
      </c>
      <c r="F269" s="17" t="n"/>
      <c r="G269" s="30" t="n">
        <v>177.5</v>
      </c>
      <c r="H269" s="17" t="n"/>
      <c r="I269" s="17" t="n"/>
      <c r="J269" s="17" t="n"/>
      <c r="K269" s="17" t="n"/>
      <c r="L269" s="17" t="n"/>
    </row>
    <row r="270">
      <c r="B270" s="23" t="n">
        <v>104</v>
      </c>
      <c r="C270" s="23" t="inlineStr">
        <is>
          <t>K</t>
        </is>
      </c>
      <c r="D270" s="24" t="inlineStr"/>
      <c r="E270" s="24" t="inlineStr">
        <is>
          <t>Kročejová EPS 150 / 30 dB tl. 40 mm nad ocelobetonovým stropem 2.NP/3.NP</t>
        </is>
      </c>
      <c r="F270" s="23" t="inlineStr">
        <is>
          <t>m²</t>
        </is>
      </c>
      <c r="G270" s="25" t="n">
        <v>104.4</v>
      </c>
      <c r="H270" s="26" t="n"/>
      <c r="I270" s="26">
        <f>IF(H270="",0,G270*H270)</f>
        <v/>
      </c>
      <c r="J270" s="23" t="inlineStr">
        <is>
          <t>ÚRS 2026</t>
        </is>
      </c>
      <c r="K270" s="31" t="inlineStr">
        <is>
          <t>⚠ family 713121 OK — leaf KROS lookup [evidence: https://styrotrade.cz/cs/produkty/strechy/izolace-bezne-zati]</t>
        </is>
      </c>
      <c r="L270" s="5" t="inlineStr">
        <is>
          <t>PSV-71 Izolace TI</t>
        </is>
      </c>
    </row>
    <row r="271">
      <c r="B271" s="17" t="n"/>
      <c r="C271" s="28" t="inlineStr">
        <is>
          <t>VV</t>
        </is>
      </c>
      <c r="D271" s="17" t="n"/>
      <c r="E271" s="29">
        <f> zastavěna plocha 104.4 m² (strop 2.NP/3.NP)</f>
        <v/>
      </c>
      <c r="F271" s="17" t="n"/>
      <c r="G271" s="30" t="n">
        <v>104.4</v>
      </c>
      <c r="H271" s="17" t="n"/>
      <c r="I271" s="17" t="n"/>
      <c r="J271" s="17" t="n"/>
      <c r="K271" s="17" t="n"/>
      <c r="L271" s="17" t="n"/>
    </row>
    <row r="272">
      <c r="B272" s="21" t="n"/>
      <c r="C272" s="22" t="inlineStr">
        <is>
          <t>D</t>
        </is>
      </c>
      <c r="D272" s="22" t="inlineStr">
        <is>
          <t>PSV-72</t>
        </is>
      </c>
      <c r="E272" s="22" t="inlineStr">
        <is>
          <t>PSV-72 ZTI</t>
        </is>
      </c>
      <c r="F272" s="21" t="n"/>
      <c r="G272" s="21" t="n"/>
      <c r="H272" s="21" t="n"/>
      <c r="I272" s="21" t="n"/>
      <c r="J272" s="21" t="n"/>
      <c r="K272" s="21" t="n"/>
      <c r="L272" s="21" t="n"/>
    </row>
    <row r="273">
      <c r="B273" s="23" t="n">
        <v>105</v>
      </c>
      <c r="C273" s="23" t="inlineStr">
        <is>
          <t>K</t>
        </is>
      </c>
      <c r="D273" s="24" t="inlineStr">
        <is>
          <t>722290515</t>
        </is>
      </c>
      <c r="E273" s="24" t="inlineStr">
        <is>
          <t>Revize stávajícího napojení vodovodu + kanalizace na pozemku — kontrola stavu, čištění, tlaková zkouška</t>
        </is>
      </c>
      <c r="F273" s="23" t="inlineStr">
        <is>
          <t>kpl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1" t="inlineStr">
        <is>
          <t>⚠ family OK, leaf KROS lookup [evidence: https://www.sanitino.cz/vodovodni-baterie]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TZ ARS dům §4 — stávající přípojka zachována bez změny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722172011</t>
        </is>
      </c>
      <c r="E275" s="24" t="inlineStr">
        <is>
          <t>Nové rozvody studené + teplé vody do koupelen 1.NP + 2.NP + 3.NP a kuchyní (PEX/Cu, dimenze DN15-25)</t>
        </is>
      </c>
      <c r="F275" s="23" t="inlineStr">
        <is>
          <t>bm</t>
        </is>
      </c>
      <c r="G275" s="25" t="n">
        <v>80</v>
      </c>
      <c r="H275" s="26" t="n"/>
      <c r="I275" s="26">
        <f>IF(H275="",0,G275*H275)</f>
        <v/>
      </c>
      <c r="J275" s="23" t="inlineStr">
        <is>
          <t>ÚRS 2026</t>
        </is>
      </c>
      <c r="K275" s="31" t="inlineStr">
        <is>
          <t>⚠ family OK, leaf KROS lookup [evidence: https://www.ceskestavby.cz/jak-se-stavi-dum/sprchy-vany-vana]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3 patra × ~25 bm rozvodů (koupelny + kuchyně + bojler 3.NP) = 75 (round 80)</t>
        </is>
      </c>
      <c r="F276" s="17" t="n"/>
      <c r="G276" s="30" t="n">
        <v>80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721174021</t>
        </is>
      </c>
      <c r="E277" s="24" t="inlineStr">
        <is>
          <t>Nové odpadní rozvody PVC-HT DN40-DN110 ke koupelnám 1.NP, 2.NP, 3.NP a kuchyním + napojení na stávající</t>
        </is>
      </c>
      <c r="F277" s="23" t="inlineStr">
        <is>
          <t>bm</t>
        </is>
      </c>
      <c r="G277" s="25" t="n">
        <v>60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3 patra × ~20 bm odpadní + svislé propojení = 60</t>
        </is>
      </c>
      <c r="F278" s="17" t="n"/>
      <c r="G278" s="30" t="n">
        <v>60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725840111</t>
        </is>
      </c>
      <c r="E279" s="24" t="inlineStr">
        <is>
          <t>Kuchyňský dřez nerez + montáž — 2 ks (kuchyně 1.06 byt rodičů + kuchyně 3.05 byt 3.NP)</t>
        </is>
      </c>
      <c r="F279" s="23" t="inlineStr">
        <is>
          <t>ks</t>
        </is>
      </c>
      <c r="G279" s="25" t="n">
        <v>2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DXF rooms 1.06 + 3.05 kuchyně MTEXT (každá obytná místnost + kuchyně) = 2 dřezy</t>
        </is>
      </c>
      <c r="F280" s="17" t="n"/>
      <c r="G280" s="30" t="n">
        <v>2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725822611</t>
        </is>
      </c>
      <c r="E281" s="24" t="inlineStr">
        <is>
          <t>Vodovodní baterie (WC ventil + páková umyvadlová + sprchové + dřezové + termostat sprchové) — ~15 ks + drobné instalační materiály</t>
        </is>
      </c>
      <c r="F281" s="23" t="inlineStr">
        <is>
          <t>ks</t>
        </is>
      </c>
      <c r="G281" s="25" t="n">
        <v>15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12 sanit. zařízení × 1 baterie + 3 drobnosti (rohové ventily, sifony) = 15</t>
        </is>
      </c>
      <c r="F282" s="17" t="n"/>
      <c r="G282" s="30" t="n">
        <v>15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732419411</t>
        </is>
      </c>
      <c r="E283" s="24" t="inlineStr">
        <is>
          <t>Akumulační zásobník TUV ~300 l v 1.PP napojený na topný systém (sporáková kamna + krb + elektrokotel) — nepřímotop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TZ ARS — 'akumulační zásobník TUV v suterénu napojený na topný systém'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732429211</t>
        </is>
      </c>
      <c r="E285" s="24" t="inlineStr">
        <is>
          <t>Elektrický bojler ~80 l v koupelně 3.NP (nezávislý zdroj pro samostatný byt)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TZ ARS — 'elektrický bojler v koupelně 3.NP'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725211101</t>
        </is>
      </c>
      <c r="E287" s="24" t="inlineStr">
        <is>
          <t>Vana koupelnová obdélníková 170×70 cm — koupelna 1.05 1.NP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set split from 260219_dum.PSV72.004 per audit v2 GAP_005 — 1 fixture per item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725311111</t>
        </is>
      </c>
      <c r="E289" s="24" t="inlineStr">
        <is>
          <t>Umyvadlo bílé keramické se sloupcem 60 cm — koupelna 1.05 1.NP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set split from 260219_dum.PSV72.004 per audit v2 GAP_005 — 1 fixture per item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725111101</t>
        </is>
      </c>
      <c r="E291" s="24" t="inlineStr">
        <is>
          <t>WC kombi keramické bílé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725311111</t>
        </is>
      </c>
      <c r="E293" s="24" t="inlineStr">
        <is>
          <t>Umyvadlo bílé keramické se sloupcem 60 cm — koupelna 2.03 2.NP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260219_dum.PSV72.005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725221201</t>
        </is>
      </c>
      <c r="E295" s="24" t="inlineStr">
        <is>
          <t>Sprchový kout 90×90 cm vč. vaničky + skleněných dveří — koupelna 2.03 2.NP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260219_dum.PSV72.005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725111101</t>
        </is>
      </c>
      <c r="E297" s="24" t="inlineStr">
        <is>
          <t>WC kombi keramické bílé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725111101</t>
        </is>
      </c>
      <c r="E299" s="24" t="inlineStr">
        <is>
          <t>WC kombi keramické bílé — koupelna 3.04 3.NP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260219_dum.PSV72.006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725311111</t>
        </is>
      </c>
      <c r="E301" s="24" t="inlineStr">
        <is>
          <t>Umyvadlo bílé keramické se sloupcem 60 cm — koupelna 3.04 3.NP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260219_dum.PSV72.006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725221201</t>
        </is>
      </c>
      <c r="E303" s="24" t="inlineStr">
        <is>
          <t>Sprchový kout 90×90 cm vč. vaničky + skleněných dveří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1" t="n"/>
      <c r="C305" s="22" t="inlineStr">
        <is>
          <t>D</t>
        </is>
      </c>
      <c r="D305" s="22" t="inlineStr">
        <is>
          <t>PSV-73</t>
        </is>
      </c>
      <c r="E305" s="22" t="inlineStr">
        <is>
          <t>PSV-73 Vytápění</t>
        </is>
      </c>
      <c r="F305" s="21" t="n"/>
      <c r="G305" s="21" t="n"/>
      <c r="H305" s="21" t="n"/>
      <c r="I305" s="21" t="n"/>
      <c r="J305" s="21" t="n"/>
      <c r="K305" s="21" t="n"/>
      <c r="L305" s="21" t="n"/>
    </row>
    <row r="306">
      <c r="B306" s="23" t="n">
        <v>121</v>
      </c>
      <c r="C306" s="23" t="inlineStr">
        <is>
          <t>K</t>
        </is>
      </c>
      <c r="D306" s="24" t="inlineStr">
        <is>
          <t>733241011</t>
        </is>
      </c>
      <c r="E306" s="24" t="inlineStr">
        <is>
          <t>Sporáková kamna na tuhá paliva ~10 kW s akumulačním zásobníkem TUV — dodávka</t>
        </is>
      </c>
      <c r="F306" s="23" t="inlineStr">
        <is>
          <t>ks</t>
        </is>
      </c>
      <c r="G306" s="25" t="n">
        <v>1</v>
      </c>
      <c r="H306" s="26" t="n"/>
      <c r="I306" s="26">
        <f>IF(H306="",0,G306*H306)</f>
        <v/>
      </c>
      <c r="J306" s="23" t="inlineStr">
        <is>
          <t>ÚRS 2026</t>
        </is>
      </c>
      <c r="K306" s="32" t="inlineStr">
        <is>
          <t>? needs production lookup</t>
        </is>
      </c>
      <c r="L306" s="5" t="inlineStr">
        <is>
          <t>PSV-73 Vytápění</t>
        </is>
      </c>
    </row>
    <row r="307">
      <c r="B307" s="17" t="n"/>
      <c r="C307" s="28" t="inlineStr">
        <is>
          <t>VV</t>
        </is>
      </c>
      <c r="D307" s="17" t="n"/>
      <c r="E307" s="29" t="inlineStr">
        <is>
          <t>TZ ARS dům §4 — sporáková kamna v 1.PP/1.NP zóně</t>
        </is>
      </c>
      <c r="F307" s="17" t="n"/>
      <c r="G307" s="30" t="n">
        <v>1</v>
      </c>
      <c r="H307" s="17" t="n"/>
      <c r="I307" s="17" t="n"/>
      <c r="J307" s="17" t="n"/>
      <c r="K307" s="17" t="n"/>
      <c r="L307" s="17" t="n"/>
    </row>
    <row r="308">
      <c r="B308" s="23" t="n">
        <v>122</v>
      </c>
      <c r="C308" s="23" t="inlineStr">
        <is>
          <t>K</t>
        </is>
      </c>
      <c r="D308" s="24" t="inlineStr">
        <is>
          <t>733281011</t>
        </is>
      </c>
      <c r="E308" s="24" t="inlineStr">
        <is>
          <t>Sporáková kamna — montáž vč. napojení na komín + akumulační zásobník (cca 8 Nh)</t>
        </is>
      </c>
      <c r="F308" s="23" t="inlineStr">
        <is>
          <t>kpl</t>
        </is>
      </c>
      <c r="G308" s="25" t="n">
        <v>1</v>
      </c>
      <c r="H308" s="26" t="n"/>
      <c r="I308" s="26">
        <f>IF(H308="",0,G308*H308)</f>
        <v/>
      </c>
      <c r="J308" s="23" t="inlineStr">
        <is>
          <t>ÚRS 2026</t>
        </is>
      </c>
      <c r="K308" s="32" t="inlineStr">
        <is>
          <t>? needs production lookup</t>
        </is>
      </c>
      <c r="L308" s="5" t="inlineStr">
        <is>
          <t>PSV-73 Vytápění</t>
        </is>
      </c>
    </row>
    <row r="309">
      <c r="B309" s="17" t="n"/>
      <c r="C309" s="28" t="inlineStr">
        <is>
          <t>VV</t>
        </is>
      </c>
      <c r="D309" s="17" t="n"/>
      <c r="E309" s="29">
        <f> ks kamen</f>
        <v/>
      </c>
      <c r="F309" s="17" t="n"/>
      <c r="G309" s="30" t="n">
        <v>1</v>
      </c>
      <c r="H309" s="17" t="n"/>
      <c r="I309" s="17" t="n"/>
      <c r="J309" s="17" t="n"/>
      <c r="K309" s="17" t="n"/>
      <c r="L309" s="17" t="n"/>
    </row>
    <row r="310">
      <c r="B310" s="23" t="n">
        <v>123</v>
      </c>
      <c r="C310" s="23" t="inlineStr">
        <is>
          <t>K</t>
        </is>
      </c>
      <c r="D310" s="24" t="inlineStr">
        <is>
          <t>733131221</t>
        </is>
      </c>
      <c r="E310" s="24" t="inlineStr">
        <is>
          <t>Elektrokotel ~8 kW pro 3.NP samostatný byt — dodávka + montáž + napojení</t>
        </is>
      </c>
      <c r="F310" s="23" t="inlineStr">
        <is>
          <t>ks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 t="inlineStr">
        <is>
          <t>TZ ARS — elektrokotel pro 3.NP samostatný byt</t>
        </is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733241011</t>
        </is>
      </c>
      <c r="E312" s="24" t="inlineStr">
        <is>
          <t>Krb na tuhá paliva v 3.NP ~6 kW — dodávka + montáž s napojením na samostatný komín</t>
        </is>
      </c>
      <c r="F312" s="23" t="inlineStr">
        <is>
          <t>ks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TZ ARS — 'krbem na tuhá paliva' v 3.NP</t>
        </is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733425211</t>
        </is>
      </c>
      <c r="E314" s="24" t="inlineStr">
        <is>
          <t>Multisplit tepelné čerpadlo vzduch-vzduch — 1× venkovní jednotka ~10 kW (silent mode hl. tlaku ≤49 dBA)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multisplit TČ vzduch-vzduch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733425221</t>
        </is>
      </c>
      <c r="E316" s="24" t="inlineStr">
        <is>
          <t>Multisplit TČ — 5× vnitřní jednotka v obytných místnostech (1.NP, 2.NP, 3.NP — chlazení + vytápění)</t>
        </is>
      </c>
      <c r="F316" s="23" t="inlineStr">
        <is>
          <t>ks</t>
        </is>
      </c>
      <c r="G316" s="25" t="n">
        <v>5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'vnitřní jednotky v obytných místnostech', odhad 5 ks (3 patra × ~1.7 j/patro)</t>
        </is>
      </c>
      <c r="F317" s="17" t="n"/>
      <c r="G317" s="30" t="n">
        <v>5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734262122</t>
        </is>
      </c>
      <c r="E318" s="24" t="inlineStr">
        <is>
          <t>Revize stávajícího komínu — kontrola, čištění, vystrojení vložkou nerez DN160 pro kamna + krb 3.NP</t>
        </is>
      </c>
      <c r="F318" s="23" t="inlineStr">
        <is>
          <t>kpl</t>
        </is>
      </c>
      <c r="G318" s="25" t="n">
        <v>1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komín revize a úpravy stávajícího</t>
        </is>
      </c>
      <c r="F319" s="17" t="n"/>
      <c r="G319" s="30" t="n">
        <v>1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733111021</t>
        </is>
      </c>
      <c r="E320" s="24" t="inlineStr">
        <is>
          <t>Rozvody otopné soustavy Cu/PEX k vnitřním jednotkám TČ + radiátorům pro doplňkové (cca 100 bm odhad)</t>
        </is>
      </c>
      <c r="F320" s="23" t="inlineStr">
        <is>
          <t>bm</t>
        </is>
      </c>
      <c r="G320" s="25" t="n">
        <v>100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vyjasnění #6 working assumption, multisplit + doplň. radiátory</t>
        </is>
      </c>
      <c r="F321" s="17" t="n"/>
      <c r="G321" s="30" t="n">
        <v>100</v>
      </c>
      <c r="H321" s="17" t="n"/>
      <c r="I321" s="17" t="n"/>
      <c r="J321" s="17" t="n"/>
      <c r="K321" s="17" t="n"/>
      <c r="L321" s="17" t="n"/>
    </row>
    <row r="322">
      <c r="B322" s="21" t="n"/>
      <c r="C322" s="22" t="inlineStr">
        <is>
          <t>D</t>
        </is>
      </c>
      <c r="D322" s="22" t="inlineStr">
        <is>
          <t>PSV-76</t>
        </is>
      </c>
      <c r="E322" s="22" t="inlineStr">
        <is>
          <t>PSV-76 Klempíř</t>
        </is>
      </c>
      <c r="F322" s="21" t="n"/>
      <c r="G322" s="21" t="n"/>
      <c r="H322" s="21" t="n"/>
      <c r="I322" s="21" t="n"/>
      <c r="J322" s="21" t="n"/>
      <c r="K322" s="21" t="n"/>
      <c r="L322" s="21" t="n"/>
    </row>
    <row r="323">
      <c r="B323" s="23" t="n">
        <v>129</v>
      </c>
      <c r="C323" s="23" t="inlineStr">
        <is>
          <t>K</t>
        </is>
      </c>
      <c r="D323" s="24" t="inlineStr">
        <is>
          <t>764312235</t>
        </is>
      </c>
      <c r="E323" s="24" t="inlineStr">
        <is>
          <t>Klempířské oplechování krytiny — úžlabí, hřeben, štítové lemy (Al / Pzn lakovaný 0.55 mm)</t>
        </is>
      </c>
      <c r="F323" s="23" t="inlineStr">
        <is>
          <t>bm</t>
        </is>
      </c>
      <c r="G323" s="25" t="n">
        <v>69.5</v>
      </c>
      <c r="H323" s="26" t="n"/>
      <c r="I323" s="26">
        <f>IF(H323="",0,G323*H323)</f>
        <v/>
      </c>
      <c r="J323" s="23" t="inlineStr">
        <is>
          <t>ÚRS 2026</t>
        </is>
      </c>
      <c r="K323" s="31" t="inlineStr">
        <is>
          <t>⚠ chapter OK, leaf KROS lookup [evidence: https://www.cs-urs.cz/podminky/cu201/800-764-Konstrukce-klem]</t>
        </is>
      </c>
      <c r="L323" s="5" t="inlineStr">
        <is>
          <t>PSV-76 Klempíř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klempířina total 173.8 m × 0.40 (oplechování+úžlabí+hřeben+lemy) = 69.5 bm</t>
        </is>
      </c>
      <c r="F324" s="17" t="n"/>
      <c r="G324" s="30" t="n">
        <v>69.5</v>
      </c>
      <c r="H324" s="17" t="n"/>
      <c r="I324" s="17" t="n"/>
      <c r="J324" s="17" t="n"/>
      <c r="K324" s="17" t="n"/>
      <c r="L324" s="17" t="n"/>
    </row>
    <row r="325">
      <c r="B325" s="23" t="n">
        <v>130</v>
      </c>
      <c r="C325" s="23" t="inlineStr">
        <is>
          <t>K</t>
        </is>
      </c>
      <c r="D325" s="24" t="inlineStr">
        <is>
          <t>764218201</t>
        </is>
      </c>
      <c r="E325" s="24" t="inlineStr">
        <is>
          <t>Venkovní parapety oken — Pzn plech lakovaný 250 mm × tl. 0.55 mm × 16 ks oken</t>
        </is>
      </c>
      <c r="F325" s="23" t="inlineStr">
        <is>
          <t>bm</t>
        </is>
      </c>
      <c r="G325" s="25" t="n">
        <v>20.8</v>
      </c>
      <c r="H325" s="26" t="n"/>
      <c r="I325" s="26">
        <f>IF(H325="",0,G325*H325)</f>
        <v/>
      </c>
      <c r="J325" s="23" t="inlineStr">
        <is>
          <t>ÚRS 2026</t>
        </is>
      </c>
      <c r="K325" s="31" t="inlineStr">
        <is>
          <t>⚠ chapter OK, leaf KROS lookup [evidence: https://www.cs-urs.cz/podminky/cu201/800-764-Konstrukce-klem]</t>
        </is>
      </c>
      <c r="L325" s="5" t="inlineStr">
        <is>
          <t>PSV-76 Klempíř</t>
        </is>
      </c>
    </row>
    <row r="326">
      <c r="B326" s="17" t="n"/>
      <c r="C326" s="28" t="inlineStr">
        <is>
          <t>VV</t>
        </is>
      </c>
      <c r="D326" s="17" t="n"/>
      <c r="E326" s="29">
        <f> 16 oken (DXF INSERT) × průměrná šíře 1.3 m parapetu</f>
        <v/>
      </c>
      <c r="F326" s="17" t="n"/>
      <c r="G326" s="30" t="n">
        <v>20.8</v>
      </c>
      <c r="H326" s="17" t="n"/>
      <c r="I326" s="17" t="n"/>
      <c r="J326" s="17" t="n"/>
      <c r="K326" s="17" t="n"/>
      <c r="L326" s="17" t="n"/>
    </row>
    <row r="327">
      <c r="B327" s="23" t="n">
        <v>131</v>
      </c>
      <c r="C327" s="23" t="inlineStr">
        <is>
          <t>K</t>
        </is>
      </c>
      <c r="D327" s="24" t="inlineStr">
        <is>
          <t>764454802</t>
        </is>
      </c>
      <c r="E327" s="24" t="inlineStr">
        <is>
          <t>Dešťové svody Pzn 100 mm + žlaby — 4 svody × ~14 m + žlaby per obvod střechy</t>
        </is>
      </c>
      <c r="F327" s="23" t="inlineStr">
        <is>
          <t>bm</t>
        </is>
      </c>
      <c r="G327" s="25" t="n">
        <v>43.5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klempířina total 173.8 m × 0.25 (svody+žlaby) = 43.5 bm</t>
        </is>
      </c>
      <c r="F328" s="17" t="n"/>
      <c r="G328" s="30" t="n">
        <v>43.5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764315235</t>
        </is>
      </c>
      <c r="E329" s="24" t="inlineStr">
        <is>
          <t>Klempířské doplňky vikýřů + atika + závětrné lemy (4 vikýře komplexní detail)</t>
        </is>
      </c>
      <c r="F329" s="23" t="inlineStr">
        <is>
          <t>bm</t>
        </is>
      </c>
      <c r="G329" s="25" t="n">
        <v>26.1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klempířina total 173.8 m × 0.15 (vikýře+atika+lemy) = 26.1 bm</t>
        </is>
      </c>
      <c r="F330" s="17" t="n"/>
      <c r="G330" s="30" t="n">
        <v>26.1</v>
      </c>
      <c r="H330" s="17" t="n"/>
      <c r="I330" s="17" t="n"/>
      <c r="J330" s="17" t="n"/>
      <c r="K330" s="17" t="n"/>
      <c r="L330" s="17" t="n"/>
    </row>
    <row r="331">
      <c r="B331" s="21" t="n"/>
      <c r="C331" s="22" t="inlineStr">
        <is>
          <t>D</t>
        </is>
      </c>
      <c r="D331" s="22" t="inlineStr">
        <is>
          <t>PSV-76</t>
        </is>
      </c>
      <c r="E331" s="22" t="inlineStr">
        <is>
          <t>PSV-76 Truhlář</t>
        </is>
      </c>
      <c r="F331" s="21" t="n"/>
      <c r="G331" s="21" t="n"/>
      <c r="H331" s="21" t="n"/>
      <c r="I331" s="21" t="n"/>
      <c r="J331" s="21" t="n"/>
      <c r="K331" s="21" t="n"/>
      <c r="L331" s="21" t="n"/>
    </row>
    <row r="332">
      <c r="B332" s="23" t="n">
        <v>133</v>
      </c>
      <c r="C332" s="23" t="inlineStr">
        <is>
          <t>K</t>
        </is>
      </c>
      <c r="D332" s="24" t="inlineStr">
        <is>
          <t>766811111</t>
        </is>
      </c>
      <c r="E332" s="24" t="inlineStr">
        <is>
          <t>Dřevěné stupně ocelových schodišť (truhlářské, dub masiv tl. 40 mm)</t>
        </is>
      </c>
      <c r="F332" s="23" t="inlineStr">
        <is>
          <t>ks</t>
        </is>
      </c>
      <c r="G332" s="25" t="n">
        <v>16</v>
      </c>
      <c r="H332" s="26" t="n"/>
      <c r="I332" s="26">
        <f>IF(H332="",0,G332*H332)</f>
        <v/>
      </c>
      <c r="J332" s="23" t="inlineStr">
        <is>
          <t>ÚRS 2026</t>
        </is>
      </c>
      <c r="K332" s="32" t="inlineStr">
        <is>
          <t>? needs production lookup</t>
        </is>
      </c>
      <c r="L332" s="5" t="inlineStr">
        <is>
          <t>PSV-76 Truhlář</t>
        </is>
      </c>
    </row>
    <row r="333">
      <c r="B333" s="17" t="n"/>
      <c r="C333" s="28" t="inlineStr">
        <is>
          <t>VV</t>
        </is>
      </c>
      <c r="D333" s="17" t="n"/>
      <c r="E333" s="29" t="inlineStr">
        <is>
          <t>2 schodiště × ~8 stupňů = 16</t>
        </is>
      </c>
      <c r="F333" s="17" t="n"/>
      <c r="G333" s="30" t="n">
        <v>16</v>
      </c>
      <c r="H333" s="17" t="n"/>
      <c r="I333" s="17" t="n"/>
      <c r="J333" s="17" t="n"/>
      <c r="K333" s="17" t="n"/>
      <c r="L333" s="17" t="n"/>
    </row>
    <row r="334">
      <c r="B334" s="23" t="n">
        <v>134</v>
      </c>
      <c r="C334" s="23" t="inlineStr">
        <is>
          <t>K</t>
        </is>
      </c>
      <c r="D334" s="24" t="inlineStr"/>
      <c r="E334" s="24" t="inlineStr">
        <is>
          <t>Dřevěná terasa za opěrnou stěnou — prkna garapa 145×25 mm na dřevěném roštu z hranolů 50 mm na rektifikovatelných terčích (terče + podkladní skladba viz HSV1.005)</t>
        </is>
      </c>
      <c r="F334" s="23" t="inlineStr">
        <is>
          <t>m²</t>
        </is>
      </c>
      <c r="G334" s="25" t="n">
        <v>9.23</v>
      </c>
      <c r="H334" s="26" t="n"/>
      <c r="I334" s="26">
        <f>IF(H334="",0,G334*H334)</f>
        <v/>
      </c>
      <c r="J334" s="23" t="inlineStr">
        <is>
          <t>ÚRS 2026</t>
        </is>
      </c>
      <c r="K334" s="33" t="inlineStr">
        <is>
          <t>❌ MANUAL — KROS catalog lookup</t>
        </is>
      </c>
      <c r="L334" s="5" t="inlineStr">
        <is>
          <t>PSV-76 Truhlář</t>
        </is>
      </c>
    </row>
    <row r="335">
      <c r="B335" s="17" t="n"/>
      <c r="C335" s="28" t="inlineStr">
        <is>
          <t>VV</t>
        </is>
      </c>
      <c r="D335" s="17" t="n"/>
      <c r="E335" s="29" t="inlineStr">
        <is>
          <t>Situace měření 2026-05-29 — dřevěná terasa (line-hatch zpevněné plochy) = 9.23 m². Dříve ODHAD 30 m². Terče + podkladní skladba viz HSV1.005 (split-by-trade).</t>
        </is>
      </c>
      <c r="F335" s="17" t="n"/>
      <c r="G335" s="30" t="n">
        <v>9.23</v>
      </c>
      <c r="H335" s="17" t="n"/>
      <c r="I335" s="17" t="n"/>
      <c r="J335" s="17" t="n"/>
      <c r="K335" s="17" t="n"/>
      <c r="L335" s="17" t="n"/>
    </row>
    <row r="336">
      <c r="B336" s="21" t="n"/>
      <c r="C336" s="22" t="inlineStr">
        <is>
          <t>D</t>
        </is>
      </c>
      <c r="D336" s="22" t="inlineStr">
        <is>
          <t>PSV-76</t>
        </is>
      </c>
      <c r="E336" s="22" t="inlineStr">
        <is>
          <t>PSV-76 Výplně otvorů</t>
        </is>
      </c>
      <c r="F336" s="21" t="n"/>
      <c r="G336" s="21" t="n"/>
      <c r="H336" s="21" t="n"/>
      <c r="I336" s="21" t="n"/>
      <c r="J336" s="21" t="n"/>
      <c r="K336" s="21" t="n"/>
      <c r="L336" s="21" t="n"/>
    </row>
    <row r="337">
      <c r="B337" s="23" t="n">
        <v>135</v>
      </c>
      <c r="C337" s="23" t="inlineStr">
        <is>
          <t>K</t>
        </is>
      </c>
      <c r="D337" s="24" t="inlineStr">
        <is>
          <t>766621011</t>
        </is>
      </c>
      <c r="E337" s="24" t="inlineStr">
        <is>
          <t>Plastové okno izolačním trojsklem Uw=0.85 W/m²K — typ 'okno 1.NP' velikost 1185×1600 mm × 2 ks (fasáda ulice)</t>
        </is>
      </c>
      <c r="F337" s="23" t="inlineStr">
        <is>
          <t>ks</t>
        </is>
      </c>
      <c r="G337" s="25" t="n">
        <v>2</v>
      </c>
      <c r="H337" s="26" t="n"/>
      <c r="I337" s="26">
        <f>IF(H337="",0,G337*H337)</f>
        <v/>
      </c>
      <c r="J337" s="23" t="inlineStr">
        <is>
          <t>ÚRS 2026</t>
        </is>
      </c>
      <c r="K337" s="31" t="inlineStr">
        <is>
          <t>⚠ family OK, leaf KROS lookup [evidence: https://www.vekra.cz/radce/plastova-okna-s-trojsklem/]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DXF INSERT block name 'okno 1.NP' count = 2 ks × bbox 1185×1600 mm = 3.8 m² fasády</t>
        </is>
      </c>
      <c r="F338" s="17" t="n"/>
      <c r="G338" s="30" t="n">
        <v>2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766621011</t>
        </is>
      </c>
      <c r="E339" s="24" t="inlineStr">
        <is>
          <t>Plastové okno izolačním trojsklem Uw=0.85 W/m²K — typ 'okno 1.NP vzadu' velikost 920×1600 mm × 3 ks (fasáda zahrada)</t>
        </is>
      </c>
      <c r="F339" s="23" t="inlineStr">
        <is>
          <t>ks</t>
        </is>
      </c>
      <c r="G339" s="25" t="n">
        <v>3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INSERT block name 'okno 1.NP vzadu' count = 3 ks × bbox 920×1600 mm = 4.41 m² fasády</t>
        </is>
      </c>
      <c r="F340" s="17" t="n"/>
      <c r="G340" s="30" t="n">
        <v>3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2.NP' velikost 1160×1480 mm × 4 ks (fasáda ulice)</t>
        </is>
      </c>
      <c r="F341" s="23" t="inlineStr">
        <is>
          <t>ks</t>
        </is>
      </c>
      <c r="G341" s="25" t="n">
        <v>4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2.NP' count = 4 ks × bbox 1160×1480 mm = 6.88 m² fasády</t>
        </is>
      </c>
      <c r="F342" s="17" t="n"/>
      <c r="G342" s="30" t="n">
        <v>4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3.NP' velikost 1785×1241 mm × 3 ks (fasáda ulice)</t>
        </is>
      </c>
      <c r="F343" s="23" t="inlineStr">
        <is>
          <t>ks</t>
        </is>
      </c>
      <c r="G343" s="25" t="n">
        <v>3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3.NP' count = 3 ks × bbox 1785×1241 mm = 6.66 m² fasády</t>
        </is>
      </c>
      <c r="F344" s="17" t="n"/>
      <c r="G344" s="30" t="n">
        <v>3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3.NP vzadu' velikost 2075×1241 mm × 1 ks (fasáda zahrada)</t>
        </is>
      </c>
      <c r="F345" s="23" t="inlineStr">
        <is>
          <t>ks</t>
        </is>
      </c>
      <c r="G345" s="25" t="n">
        <v>1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3.NP vzadu' count = 1 ks × bbox 2075×1241 mm = 2.57 m² fasády</t>
        </is>
      </c>
      <c r="F346" s="17" t="n"/>
      <c r="G346" s="30" t="n">
        <v>1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male 3.NP vzadu' velikost 800×1241 mm × 1 ks (fasáda zahrada)</t>
        </is>
      </c>
      <c r="F347" s="23" t="inlineStr">
        <is>
          <t>ks</t>
        </is>
      </c>
      <c r="G347" s="25" t="n">
        <v>1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male 3.NP vzadu' count = 1 ks × bbox 800×1241 mm = 0.99 m² fasády</t>
        </is>
      </c>
      <c r="F348" s="17" t="n"/>
      <c r="G348" s="30" t="n">
        <v>1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malé vzadu' velikost 700×800 mm × 2 ks (fasáda zahrada)</t>
        </is>
      </c>
      <c r="F349" s="23" t="inlineStr">
        <is>
          <t>ks</t>
        </is>
      </c>
      <c r="G349" s="25" t="n">
        <v>2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malé vzadu' count = 2 ks × bbox 700×800 mm = 1.12 m² fasády</t>
        </is>
      </c>
      <c r="F350" s="17" t="n"/>
      <c r="G350" s="30" t="n">
        <v>2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766631211</t>
        </is>
      </c>
      <c r="E351" s="24" t="inlineStr">
        <is>
          <t>Integrované stínící venkovní žaluzie v kastlíku pod omítkou s purenitovou izolací — uliční fasáda Fibichova (9 ks)</t>
        </is>
      </c>
      <c r="F351" s="23" t="inlineStr">
        <is>
          <t>ks</t>
        </is>
      </c>
      <c r="G351" s="25" t="n">
        <v>9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Σ uličních oken (block names bez 'vzadu' = okno 1.NP 2 + okno 2.NP 4 + okno 3.NP 3) = 9 ks</t>
        </is>
      </c>
      <c r="F352" s="17" t="n"/>
      <c r="G352" s="30" t="n">
        <v>9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766682111</t>
        </is>
      </c>
      <c r="E353" s="24" t="inlineStr">
        <is>
          <t>Plastové vstupní dveře (ulice + zahrada) — 2 ks</t>
        </is>
      </c>
      <c r="F353" s="23" t="inlineStr">
        <is>
          <t>ks</t>
        </is>
      </c>
      <c r="G353" s="25" t="n">
        <v>2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TZ ARS — vstupní plastové dveře</t>
        </is>
      </c>
      <c r="F354" s="17" t="n"/>
      <c r="G354" s="30" t="n">
        <v>2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766660035</t>
        </is>
      </c>
      <c r="E355" s="24" t="inlineStr">
        <is>
          <t>Vnitřní dveře DTD laminované s obložkovou zárubní — odhad 15 ks</t>
        </is>
      </c>
      <c r="F355" s="23" t="inlineStr">
        <is>
          <t>ks</t>
        </is>
      </c>
      <c r="G355" s="25" t="n">
        <v>15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3 patra × ~5 dveří (4 pokoje + chodba): 1.NP byt + 2.NP děti + 3.NP nový byt</t>
        </is>
      </c>
      <c r="F356" s="17" t="n"/>
      <c r="G356" s="30" t="n">
        <v>15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766694112</t>
        </is>
      </c>
      <c r="E35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57" s="23" t="inlineStr">
        <is>
          <t>ks</t>
        </is>
      </c>
      <c r="G357" s="25" t="n">
        <v>1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1× dveře na vrcholu schodiště 1.PP/1.NP (room 1.08 → 0.01) per PBŘ TUSPO</t>
        </is>
      </c>
      <c r="F358" s="17" t="n"/>
      <c r="G358" s="30" t="n">
        <v>1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764811112</t>
        </is>
      </c>
      <c r="E359" s="24" t="inlineStr">
        <is>
          <t>Oplechování venkovních parapetů Pzn plech lakovaný 250 mm × tl. 0.55 mm, vč. okapnice + boční zakončení — 16 ks (per DXF INSERT okno × 16)</t>
        </is>
      </c>
      <c r="F359" s="23" t="inlineStr">
        <is>
          <t>ks</t>
        </is>
      </c>
      <c r="G359" s="25" t="n">
        <v>16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DXF okno × 16 ks (Path C Tier 4) = 16 parapetů</t>
        </is>
      </c>
      <c r="F360" s="17" t="n"/>
      <c r="G360" s="30" t="n">
        <v>16</v>
      </c>
      <c r="H360" s="17" t="n"/>
      <c r="I360" s="17" t="n"/>
      <c r="J360" s="17" t="n"/>
      <c r="K360" s="17" t="n"/>
      <c r="L360" s="17" t="n"/>
    </row>
    <row r="361">
      <c r="B361" s="21" t="n"/>
      <c r="C361" s="22" t="inlineStr">
        <is>
          <t>D</t>
        </is>
      </c>
      <c r="D361" s="22" t="inlineStr">
        <is>
          <t>PSV-76</t>
        </is>
      </c>
      <c r="E361" s="22" t="inlineStr">
        <is>
          <t>PSV-76 Zámečnictví</t>
        </is>
      </c>
      <c r="F361" s="21" t="n"/>
      <c r="G361" s="21" t="n"/>
      <c r="H361" s="21" t="n"/>
      <c r="I361" s="21" t="n"/>
      <c r="J361" s="21" t="n"/>
      <c r="K361" s="21" t="n"/>
      <c r="L361" s="21" t="n"/>
    </row>
    <row r="362">
      <c r="B362" s="23" t="n">
        <v>147</v>
      </c>
      <c r="C362" s="23" t="inlineStr">
        <is>
          <t>K</t>
        </is>
      </c>
      <c r="D362" s="24" t="inlineStr">
        <is>
          <t>767531111</t>
        </is>
      </c>
      <c r="E362" s="24" t="inlineStr">
        <is>
          <t>Ocelové schodiště ze zahrady na mezipodestu — UPE200 schodnice + dřevěné nášlapy, kotvené do koruny opěrné stěny a zdiva (TZ statika §4)</t>
        </is>
      </c>
      <c r="F362" s="23" t="inlineStr">
        <is>
          <t>kpl</t>
        </is>
      </c>
      <c r="G362" s="25" t="n">
        <v>1</v>
      </c>
      <c r="H362" s="26" t="n"/>
      <c r="I362" s="26">
        <f>IF(H362="",0,G362*H362)</f>
        <v/>
      </c>
      <c r="J362" s="23" t="inlineStr">
        <is>
          <t>ÚRS 2026</t>
        </is>
      </c>
      <c r="K362" s="31" t="inlineStr">
        <is>
          <t>⚠ family OK, leaf KROS lookup [evidence: https://www.obchodprodilnu.cz/produkty/stavebni-prvky-a-mate]</t>
        </is>
      </c>
      <c r="L362" s="5" t="inlineStr">
        <is>
          <t>PSV-76 Zámečnictví</t>
        </is>
      </c>
    </row>
    <row r="363">
      <c r="B363" s="17" t="n"/>
      <c r="C363" s="28" t="inlineStr">
        <is>
          <t>VV</t>
        </is>
      </c>
      <c r="D363" s="17" t="n"/>
      <c r="E363" s="29" t="inlineStr">
        <is>
          <t>1 schodiště (~8 stupňů × ~3 m výška)</t>
        </is>
      </c>
      <c r="F363" s="17" t="n"/>
      <c r="G363" s="30" t="n">
        <v>1</v>
      </c>
      <c r="H363" s="17" t="n"/>
      <c r="I363" s="17" t="n"/>
      <c r="J363" s="17" t="n"/>
      <c r="K363" s="17" t="n"/>
      <c r="L363" s="17" t="n"/>
    </row>
    <row r="364">
      <c r="B364" s="23" t="n">
        <v>148</v>
      </c>
      <c r="C364" s="23" t="inlineStr">
        <is>
          <t>K</t>
        </is>
      </c>
      <c r="D364" s="24" t="inlineStr">
        <is>
          <t>767531111</t>
        </is>
      </c>
      <c r="E364" s="24" t="inlineStr">
        <is>
          <t>Interní ocelové schodiště do spacího patra v 3.NP s dřevěnými stupni (truhlářské)</t>
        </is>
      </c>
      <c r="F364" s="23" t="inlineStr">
        <is>
          <t>kpl</t>
        </is>
      </c>
      <c r="G364" s="25" t="n">
        <v>1</v>
      </c>
      <c r="H364" s="26" t="n"/>
      <c r="I364" s="26">
        <f>IF(H364="",0,G364*H364)</f>
        <v/>
      </c>
      <c r="J364" s="23" t="inlineStr">
        <is>
          <t>ÚRS 2026</t>
        </is>
      </c>
      <c r="K364" s="31" t="inlineStr">
        <is>
          <t>⚠ family OK, leaf KROS lookup [evidence: https://www.obchodprodilnu.cz/produkty/stavebni-prvky-a-mate]</t>
        </is>
      </c>
      <c r="L364" s="5" t="inlineStr">
        <is>
          <t>PSV-76 Zámečnictví</t>
        </is>
      </c>
    </row>
    <row r="365">
      <c r="B365" s="17" t="n"/>
      <c r="C365" s="28" t="inlineStr">
        <is>
          <t>VV</t>
        </is>
      </c>
      <c r="D365" s="17" t="n"/>
      <c r="E365" s="29" t="inlineStr">
        <is>
          <t>1 schodiště do podkroví (TZ ARS)</t>
        </is>
      </c>
      <c r="F365" s="17" t="n"/>
      <c r="G365" s="30" t="n">
        <v>1</v>
      </c>
      <c r="H365" s="17" t="n"/>
      <c r="I365" s="17" t="n"/>
      <c r="J365" s="17" t="n"/>
      <c r="K365" s="17" t="n"/>
      <c r="L365" s="17" t="n"/>
    </row>
    <row r="366">
      <c r="B366" s="23" t="n">
        <v>149</v>
      </c>
      <c r="C366" s="23" t="inlineStr">
        <is>
          <t>K</t>
        </is>
      </c>
      <c r="D366" s="24" t="inlineStr">
        <is>
          <t>767532111</t>
        </is>
      </c>
      <c r="E366" s="24" t="inlineStr">
        <is>
          <t>Stříšky nad vstupy z ocelové konstrukce + Cetris desky + falcovaná krytina — 2 ks (ulice + zahrada)</t>
        </is>
      </c>
      <c r="F366" s="23" t="inlineStr">
        <is>
          <t>ks</t>
        </is>
      </c>
      <c r="G366" s="25" t="n">
        <v>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2 vstupy</t>
        </is>
      </c>
      <c r="F367" s="17" t="n"/>
      <c r="G367" s="30" t="n">
        <v>2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767163115</t>
        </is>
      </c>
      <c r="E368" s="24" t="inlineStr">
        <is>
          <t>Ocelové zábradlí svařované z jeklů + nerez výplň pZn antracit — schodiště interier + venkovní terasa</t>
        </is>
      </c>
      <c r="F368" s="23" t="inlineStr">
        <is>
          <t>bm</t>
        </is>
      </c>
      <c r="G368" s="25" t="n">
        <v>18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odhad 12 m interier (2 schodiště × 6 m) + 6 m terasa</t>
        </is>
      </c>
      <c r="F369" s="17" t="n"/>
      <c r="G369" s="30" t="n">
        <v>18</v>
      </c>
      <c r="H369" s="17" t="n"/>
      <c r="I369" s="17" t="n"/>
      <c r="J369" s="17" t="n"/>
      <c r="K369" s="17" t="n"/>
      <c r="L369" s="17" t="n"/>
    </row>
    <row r="370">
      <c r="B370" s="21" t="n"/>
      <c r="C370" s="22" t="inlineStr">
        <is>
          <t>D</t>
        </is>
      </c>
      <c r="D370" s="22" t="inlineStr">
        <is>
          <t>PSV-77</t>
        </is>
      </c>
      <c r="E370" s="22" t="inlineStr">
        <is>
          <t>PSV-77 Podlahy</t>
        </is>
      </c>
      <c r="F370" s="21" t="n"/>
      <c r="G370" s="21" t="n"/>
      <c r="H370" s="21" t="n"/>
      <c r="I370" s="21" t="n"/>
      <c r="J370" s="21" t="n"/>
      <c r="K370" s="21" t="n"/>
      <c r="L370" s="21" t="n"/>
    </row>
    <row r="371">
      <c r="B371" s="23" t="n">
        <v>151</v>
      </c>
      <c r="C371" s="23" t="inlineStr">
        <is>
          <t>K</t>
        </is>
      </c>
      <c r="D371" s="24" t="inlineStr">
        <is>
          <t>776511820</t>
        </is>
      </c>
      <c r="E371" s="24" t="inlineStr">
        <is>
          <t>Nášlapná vrstva vinyl tl. 4 mm na suchou skladbu — obytné místnosti (ložnice, obývák, kuchyně, chodby)</t>
        </is>
      </c>
      <c r="F371" s="23" t="inlineStr">
        <is>
          <t>m²</t>
        </is>
      </c>
      <c r="G371" s="25" t="n">
        <v>171.5</v>
      </c>
      <c r="H371" s="26" t="n"/>
      <c r="I371" s="26">
        <f>IF(H371="",0,G371*H371)</f>
        <v/>
      </c>
      <c r="J371" s="23" t="inlineStr">
        <is>
          <t>ÚRS 2026</t>
        </is>
      </c>
      <c r="K371" s="31" t="inlineStr">
        <is>
          <t>⚠ family OK, leaf KROS lookup [evidence: https://podminky.urs.cz/item/CS_URS_2021_02/776321212]</t>
        </is>
      </c>
      <c r="L371" s="5" t="inlineStr">
        <is>
          <t>PSV-77 Podlahy</t>
        </is>
      </c>
    </row>
    <row r="372">
      <c r="B372" s="17" t="n"/>
      <c r="C372" s="28" t="inlineStr">
        <is>
          <t>VV</t>
        </is>
      </c>
      <c r="D372" s="17" t="n"/>
      <c r="E372" s="29" t="inlineStr">
        <is>
          <t>1.01=12.4 + 1.02=3.6 + 1.06=24.0 + 1.07=9.4 + 1.08=3.8 + 2.01=7.3 + 2.02=5.9 + 2.04=15.5 + 2.05=14.1 + 2.06=15.8 + 3.01=7.6 + 3.02=4.1 + 3.03=2.4 + 3.05=32.8 + 3.06=12.8 = 171.5 m²</t>
        </is>
      </c>
      <c r="F372" s="17" t="n"/>
      <c r="G372" s="30" t="n">
        <v>171.5</v>
      </c>
      <c r="H372" s="17" t="n"/>
      <c r="I372" s="17" t="n"/>
      <c r="J372" s="17" t="n"/>
      <c r="K372" s="17" t="n"/>
      <c r="L372" s="17" t="n"/>
    </row>
    <row r="373">
      <c r="B373" s="23" t="n">
        <v>152</v>
      </c>
      <c r="C373" s="23" t="inlineStr">
        <is>
          <t>K</t>
        </is>
      </c>
      <c r="D373" s="24" t="inlineStr">
        <is>
          <t>771274102</t>
        </is>
      </c>
      <c r="E373" s="24" t="inlineStr">
        <is>
          <t>Nášlapná vrstva keramická dlažba lepená — koupelny + WC + spíž + komora (NÁDRŽ NP)</t>
        </is>
      </c>
      <c r="F373" s="23" t="inlineStr">
        <is>
          <t>m²</t>
        </is>
      </c>
      <c r="G373" s="25" t="n">
        <v>13.5</v>
      </c>
      <c r="H373" s="26" t="n"/>
      <c r="I373" s="26">
        <f>IF(H373="",0,G373*H373)</f>
        <v/>
      </c>
      <c r="J373" s="23" t="inlineStr">
        <is>
          <t>ÚRS 2026</t>
        </is>
      </c>
      <c r="K373" s="32" t="inlineStr">
        <is>
          <t>? needs production lookup</t>
        </is>
      </c>
      <c r="L373" s="5" t="inlineStr">
        <is>
          <t>PSV-77 Podlahy</t>
        </is>
      </c>
    </row>
    <row r="374">
      <c r="B374" s="17" t="n"/>
      <c r="C374" s="28" t="inlineStr">
        <is>
          <t>VV</t>
        </is>
      </c>
      <c r="D374" s="17" t="n"/>
      <c r="E374" s="29" t="inlineStr">
        <is>
          <t>1.03=0.7 + 1.04=1.5 + 1.05=4.1 + 2.03=2.4 + 3.04=4.8 = 13.5 m²</t>
        </is>
      </c>
      <c r="F374" s="17" t="n"/>
      <c r="G374" s="30" t="n">
        <v>13.5</v>
      </c>
      <c r="H374" s="17" t="n"/>
      <c r="I374" s="17" t="n"/>
      <c r="J374" s="17" t="n"/>
      <c r="K374" s="17" t="n"/>
      <c r="L374" s="17" t="n"/>
    </row>
    <row r="375">
      <c r="B375" s="23" t="n">
        <v>153</v>
      </c>
      <c r="C375" s="23" t="inlineStr">
        <is>
          <t>K</t>
        </is>
      </c>
      <c r="D375" s="24" t="inlineStr">
        <is>
          <t>771274102</t>
        </is>
      </c>
      <c r="E375" s="24" t="inlineStr">
        <is>
          <t>Nášlapná vrstva keramická dlažba — 1.PP technické místnosti (sušárna + sklepy + schodiště + chodba)</t>
        </is>
      </c>
      <c r="F375" s="23" t="inlineStr">
        <is>
          <t>m²</t>
        </is>
      </c>
      <c r="G375" s="25" t="n">
        <v>32.4</v>
      </c>
      <c r="H375" s="26" t="n"/>
      <c r="I375" s="26">
        <f>IF(H375="",0,G375*H375)</f>
        <v/>
      </c>
      <c r="J375" s="23" t="inlineStr">
        <is>
          <t>ÚRS 2026</t>
        </is>
      </c>
      <c r="K375" s="32" t="inlineStr">
        <is>
          <t>? needs production lookup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0.01=3.5 + 0.02=4.4 + 0.03=22.2 + 0.04=2.3 = 32.4 m²</t>
        </is>
      </c>
      <c r="F376" s="17" t="n"/>
      <c r="G376" s="30" t="n">
        <v>32.4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766411111</t>
        </is>
      </c>
      <c r="E377" s="24" t="inlineStr">
        <is>
          <t>Nášlapná vrstva biodeska (smrk masiv) nebo OSB v 3.NP spací části nad krovem</t>
        </is>
      </c>
      <c r="F377" s="23" t="inlineStr">
        <is>
          <t>m²</t>
        </is>
      </c>
      <c r="G377" s="25" t="n">
        <v>25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78" s="17" t="n"/>
      <c r="G378" s="30" t="n">
        <v>25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631321311</t>
        </is>
      </c>
      <c r="E379" s="24" t="inlineStr">
        <is>
          <t>Mokrá podlahová skladba — betonový potěr s kari síťkou 4/100/100 tl. 50 mm + samonivelační stěrka</t>
        </is>
      </c>
      <c r="F379" s="23" t="inlineStr">
        <is>
          <t>m²</t>
        </is>
      </c>
      <c r="G379" s="25" t="n">
        <v>126.4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vinyl 1.NP+3.NP + dlažba mokré (vyňato 2.NP suchá skladba) = 126.4 m²</t>
        </is>
      </c>
      <c r="F380" s="17" t="n"/>
      <c r="G380" s="30" t="n">
        <v>126.4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776511831</t>
        </is>
      </c>
      <c r="E381" s="24" t="inlineStr">
        <is>
          <t>Soklíky podlahové laminátové (dub) v obytných místnostech s vinyl podlahou</t>
        </is>
      </c>
      <c r="F381" s="23" t="inlineStr">
        <is>
          <t>bm</t>
        </is>
      </c>
      <c r="G381" s="25" t="n">
        <v>72.03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vinyl plocha 171.5 m² × 0.42 m soklíku/m² (typ. obvod/plocha ratio v Czech RD místnosti) = 72.03 bm</t>
        </is>
      </c>
      <c r="F382" s="17" t="n"/>
      <c r="G382" s="30" t="n">
        <v>72.03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771274107</t>
        </is>
      </c>
      <c r="E383" s="24" t="inlineStr">
        <is>
          <t>Soklíky keramické v místnostech s dlažbou (koupelny + WC + spíž + 1.PP)</t>
        </is>
      </c>
      <c r="F383" s="23" t="inlineStr">
        <is>
          <t>bm</t>
        </is>
      </c>
      <c r="G383" s="25" t="n">
        <v>19.28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(dlažba mokré 13.5 + dlažba sklep 32.4) × 0.42 m soklíku/m² = 19.28 bm</t>
        </is>
      </c>
      <c r="F384" s="17" t="n"/>
      <c r="G384" s="30" t="n">
        <v>19.28</v>
      </c>
      <c r="H384" s="17" t="n"/>
      <c r="I384" s="17" t="n"/>
      <c r="J384" s="17" t="n"/>
      <c r="K384" s="17" t="n"/>
      <c r="L384" s="17" t="n"/>
    </row>
    <row r="385">
      <c r="B385" s="21" t="n"/>
      <c r="C385" s="22" t="inlineStr">
        <is>
          <t>D</t>
        </is>
      </c>
      <c r="D385" s="22" t="inlineStr">
        <is>
          <t>PSV-78</t>
        </is>
      </c>
      <c r="E385" s="22" t="inlineStr">
        <is>
          <t>PSV-78 Povrchové úpravy</t>
        </is>
      </c>
      <c r="F385" s="21" t="n"/>
      <c r="G385" s="21" t="n"/>
      <c r="H385" s="21" t="n"/>
      <c r="I385" s="21" t="n"/>
      <c r="J385" s="21" t="n"/>
      <c r="K385" s="21" t="n"/>
      <c r="L385" s="21" t="n"/>
    </row>
    <row r="386">
      <c r="B386" s="23" t="n">
        <v>158</v>
      </c>
      <c r="C386" s="23" t="inlineStr">
        <is>
          <t>K</t>
        </is>
      </c>
      <c r="D386" s="24" t="inlineStr">
        <is>
          <t>612311311</t>
        </is>
      </c>
      <c r="E386" s="24" t="inlineStr">
        <is>
          <t>Omítka jádrová vápenocementová tl. 15 mm + štuková povrchová úprava na stěnách 1.PP (stávající vyspravené + nové zděné)</t>
        </is>
      </c>
      <c r="F386" s="23" t="inlineStr">
        <is>
          <t>m²</t>
        </is>
      </c>
      <c r="G386" s="25" t="n">
        <v>78.2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87" s="17" t="n"/>
      <c r="G387" s="30" t="n">
        <v>78.2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612311311</t>
        </is>
      </c>
      <c r="E388" s="24" t="inlineStr">
        <is>
          <t>Omítka jádrová vápenocementová tl. 15 mm + štuková povrchová úprava na stěnách 1.NP (stávající vyspravené + nové zděné)</t>
        </is>
      </c>
      <c r="F388" s="23" t="inlineStr">
        <is>
          <t>m²</t>
        </is>
      </c>
      <c r="G388" s="25" t="n">
        <v>208.4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89" s="17" t="n"/>
      <c r="G389" s="30" t="n">
        <v>208.4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2.NP (stávající vyspravené + nové zděné)</t>
        </is>
      </c>
      <c r="F390" s="23" t="inlineStr">
        <is>
          <t>m²</t>
        </is>
      </c>
      <c r="G390" s="25" t="n">
        <v>201.6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1" s="17" t="n"/>
      <c r="G391" s="30" t="n">
        <v>201.6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3.NP (stávající vyspravené + nové zděné)</t>
        </is>
      </c>
      <c r="F392" s="23" t="inlineStr">
        <is>
          <t>m²</t>
        </is>
      </c>
      <c r="G392" s="25" t="n">
        <v>179.1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3" s="17" t="n"/>
      <c r="G393" s="30" t="n">
        <v>179.1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612471141</t>
        </is>
      </c>
      <c r="E394" s="24" t="inlineStr">
        <is>
          <t>SDK podhled + případné předstěny — tmelení spojů Q3 + povrchová úprava před výmalbou (1.NP)</t>
        </is>
      </c>
      <c r="F394" s="23" t="inlineStr">
        <is>
          <t>m²</t>
        </is>
      </c>
      <c r="G394" s="25" t="n">
        <v>59.5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1.01=12.4 + 1.02=3.6 + 1.03=0.7 + 1.04=1.5 + 1.05=4.1 + 1.06=24.0 + 1.07=9.4 + 1.08=3.8 = 59.5 m²</t>
        </is>
      </c>
      <c r="F395" s="17" t="n"/>
      <c r="G395" s="30" t="n">
        <v>59.5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612471141</t>
        </is>
      </c>
      <c r="E396" s="24" t="inlineStr">
        <is>
          <t>SDK podhled + případné předstěny — tmelení spojů Q3 + povrchová úprava před výmalbou (2.NP)</t>
        </is>
      </c>
      <c r="F396" s="23" t="inlineStr">
        <is>
          <t>m²</t>
        </is>
      </c>
      <c r="G396" s="25" t="n">
        <v>61.1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2.01=7.3 + 2.02=5.9 + 2.03=2.4 + 2.04=15.5 + 2.05=14.1 + 2.06=15.8 = 61.1 m²</t>
        </is>
      </c>
      <c r="F397" s="17" t="n"/>
      <c r="G397" s="30" t="n">
        <v>61.1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(3.NP)</t>
        </is>
      </c>
      <c r="F398" s="23" t="inlineStr">
        <is>
          <t>m²</t>
        </is>
      </c>
      <c r="G398" s="25" t="n">
        <v>64.5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3.01=7.6 + 3.02=4.1 + 3.03=2.4 + 3.04=4.8 + 3.05=32.8 + 3.06=12.8 = 64.5 m²</t>
        </is>
      </c>
      <c r="F399" s="17" t="n"/>
      <c r="G399" s="30" t="n">
        <v>64.5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781447001</t>
        </is>
      </c>
      <c r="E400" s="24" t="inlineStr">
        <is>
          <t>Keramický obklad stěn koupelny 1.05 1.NP — výška obkladu 1.6 m (z DXF km Obklady layer)</t>
        </is>
      </c>
      <c r="F400" s="23" t="inlineStr">
        <is>
          <t>m²</t>
        </is>
      </c>
      <c r="G400" s="25" t="n">
        <v>13.4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DXF IP_obrysy místností room 1.05 perimeter 8.4 bm × DXF km Obklady layer výška 1.6 m (per-koupelna explicit, NE uniform 2.0 m fallback) = 13.4 m²</t>
        </is>
      </c>
      <c r="F401" s="17" t="n"/>
      <c r="G401" s="30" t="n">
        <v>13.4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781447001</t>
        </is>
      </c>
      <c r="E402" s="24" t="inlineStr">
        <is>
          <t>Keramický obklad stěn koupelny 2.03 2.NP — výška obkladu 2.45 m (z DXF km Obklady layer)</t>
        </is>
      </c>
      <c r="F402" s="23" t="inlineStr">
        <is>
          <t>m²</t>
        </is>
      </c>
      <c r="G402" s="25" t="n">
        <v>15.2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DXF IP_obrysy místností room 2.03 perimeter 6.2 bm × DXF km Obklady layer výška 2.45 m (per-koupelna explicit, NE uniform 2.0 m fallback) = 15.2 m²</t>
        </is>
      </c>
      <c r="F403" s="17" t="n"/>
      <c r="G403" s="30" t="n">
        <v>15.2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3.04 3.NP — výška obkladu 2.7 m (z DXF km Obklady layer)</t>
        </is>
      </c>
      <c r="F404" s="23" t="inlineStr">
        <is>
          <t>m²</t>
        </is>
      </c>
      <c r="G404" s="25" t="n">
        <v>24.3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3.04 perimeter 9.0 bm × DXF km Obklady layer výška 2.7 m (per-koupelna explicit, NE uniform 2.0 m fallback) = 24.3 m²</t>
        </is>
      </c>
      <c r="F405" s="17" t="n"/>
      <c r="G405" s="30" t="n">
        <v>24.3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za kuchyňskou linkou nad pracovní deskou — 2 kuchyně × ~5 m² (1.06 byt rodičů + 3.05 byt 3.NP)</t>
        </is>
      </c>
      <c r="F406" s="23" t="inlineStr">
        <is>
          <t>m²</t>
        </is>
      </c>
      <c r="G406" s="25" t="n">
        <v>10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dum_DPZ 2× kuchyně MTEXT (rooms 1.06 obyt+kuchyně + 3.05 obyt+kuchyně) × 5 m² obklad za linkou = 10 m²</t>
        </is>
      </c>
      <c r="F407" s="17" t="n"/>
      <c r="G407" s="30" t="n">
        <v>10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784121011</t>
        </is>
      </c>
      <c r="E408" s="24" t="inlineStr">
        <is>
          <t>Interiérová výmalba 1.PP — sklep stěny + klenba bílá vápenná 2×</t>
        </is>
      </c>
      <c r="F408" s="23" t="inlineStr">
        <is>
          <t>m²</t>
        </is>
      </c>
      <c r="G408" s="25" t="n">
        <v>78.2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omítka 1.PP 78.2 m² + SDK podhled 0 m² − obklad 0 m² = 78.2 m² (per-podlaží split per audit v2 GAP_007)</t>
        </is>
      </c>
      <c r="F409" s="17" t="n"/>
      <c r="G409" s="30" t="n">
        <v>78.2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784121011</t>
        </is>
      </c>
      <c r="E410" s="24" t="inlineStr">
        <is>
          <t>Interiérová výmalba 1.NP — stěny + SDK podhled − obklad koupelny 1.05 (1.6 m výška)</t>
        </is>
      </c>
      <c r="F410" s="23" t="inlineStr">
        <is>
          <t>m²</t>
        </is>
      </c>
      <c r="G410" s="25" t="n">
        <v>254.5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omítka 1.NP 208.4 m² + SDK podhled 59.5 m² − obklad 13.4 m² = 254.5 m² (per-podlaží split per audit v2 GAP_007)</t>
        </is>
      </c>
      <c r="F411" s="17" t="n"/>
      <c r="G411" s="30" t="n">
        <v>254.5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2.NP — stěny + SDK podhled − obklad koupelny 2.03 (2.45 m výška)</t>
        </is>
      </c>
      <c r="F412" s="23" t="inlineStr">
        <is>
          <t>m²</t>
        </is>
      </c>
      <c r="G412" s="25" t="n">
        <v>247.5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2.NP 201.6 m² + SDK podhled 61.1 m² − obklad 15.2 m² = 247.5 m² (per-podlaží split per audit v2 GAP_007)</t>
        </is>
      </c>
      <c r="F413" s="17" t="n"/>
      <c r="G413" s="30" t="n">
        <v>247.5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3.NP — stěny + SDK podhled − obklad koupelny 3.04 (2.7 m výška)</t>
        </is>
      </c>
      <c r="F414" s="23" t="inlineStr">
        <is>
          <t>m²</t>
        </is>
      </c>
      <c r="G414" s="25" t="n">
        <v>219.3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3.NP 179.1 m² + SDK podhled 64.5 m² − obklad 24.3 m² = 219.3 m² (per-podlaží split per audit v2 GAP_007)</t>
        </is>
      </c>
      <c r="F415" s="17" t="n"/>
      <c r="G415" s="30" t="n">
        <v>219.3</v>
      </c>
      <c r="H415" s="17" t="n"/>
      <c r="I415" s="17" t="n"/>
      <c r="J415" s="17" t="n"/>
      <c r="K415" s="17" t="n"/>
      <c r="L415" s="17" t="n"/>
    </row>
    <row r="416">
      <c r="B416" s="21" t="n"/>
      <c r="C416" s="22" t="inlineStr">
        <is>
          <t>D</t>
        </is>
      </c>
      <c r="D416" s="22" t="inlineStr">
        <is>
          <t>PSV-95</t>
        </is>
      </c>
      <c r="E416" s="22" t="inlineStr">
        <is>
          <t>PSV-95 Detekce požární</t>
        </is>
      </c>
      <c r="F416" s="21" t="n"/>
      <c r="G416" s="21" t="n"/>
      <c r="H416" s="21" t="n"/>
      <c r="I416" s="21" t="n"/>
      <c r="J416" s="21" t="n"/>
      <c r="K416" s="21" t="n"/>
      <c r="L416" s="21" t="n"/>
    </row>
    <row r="417">
      <c r="B417" s="23" t="n">
        <v>173</v>
      </c>
      <c r="C417" s="23" t="inlineStr">
        <is>
          <t>K</t>
        </is>
      </c>
      <c r="D417" s="24" t="inlineStr">
        <is>
          <t>375211101</t>
        </is>
      </c>
      <c r="E417" s="24" t="inlineStr">
        <is>
          <t>Autonomní hlásič kouře dle ČSN EN 14604 — 4 ks v místnostech 1.01, 1.02, 2.04, 3.03 dle PBŘ</t>
        </is>
      </c>
      <c r="F417" s="23" t="inlineStr">
        <is>
          <t>ks</t>
        </is>
      </c>
      <c r="G417" s="25" t="n">
        <v>4</v>
      </c>
      <c r="H417" s="26" t="n"/>
      <c r="I417" s="26">
        <f>IF(H417="",0,G417*H417)</f>
        <v/>
      </c>
      <c r="J417" s="23" t="inlineStr">
        <is>
          <t>ÚRS 2026</t>
        </is>
      </c>
      <c r="K417" s="31" t="inlineStr">
        <is>
          <t>⚠ family OK, leaf KROS lookup [evidence: https://www.technicke-normy-csn.cz/csn-en-14604-342711-18294]</t>
        </is>
      </c>
      <c r="L417" s="5" t="inlineStr">
        <is>
          <t>PSV-95 Detekce požární</t>
        </is>
      </c>
    </row>
    <row r="418">
      <c r="B418" s="17" t="n"/>
      <c r="C418" s="28" t="inlineStr">
        <is>
          <t>VV</t>
        </is>
      </c>
      <c r="D418" s="17" t="n"/>
      <c r="E418" s="29" t="inlineStr">
        <is>
          <t>TZ PBŘ — 4 hlásiče v daných místnostech</t>
        </is>
      </c>
      <c r="F418" s="17" t="n"/>
      <c r="G418" s="30" t="n">
        <v>4</v>
      </c>
      <c r="H418" s="17" t="n"/>
      <c r="I418" s="17" t="n"/>
      <c r="J418" s="17" t="n"/>
      <c r="K418" s="17" t="n"/>
      <c r="L418" s="17" t="n"/>
    </row>
    <row r="419">
      <c r="B419" s="23" t="n">
        <v>174</v>
      </c>
      <c r="C419" s="23" t="inlineStr">
        <is>
          <t>K</t>
        </is>
      </c>
      <c r="D419" s="24" t="inlineStr">
        <is>
          <t>966067121</t>
        </is>
      </c>
      <c r="E419" s="24" t="inlineStr">
        <is>
          <t>Přenosný hasicí přístroj 34A dle PBŘ — min. 1 ks na společné chodbě</t>
        </is>
      </c>
      <c r="F419" s="23" t="inlineStr">
        <is>
          <t>ks</t>
        </is>
      </c>
      <c r="G419" s="25" t="n">
        <v>1</v>
      </c>
      <c r="H419" s="26" t="n"/>
      <c r="I419" s="26">
        <f>IF(H419="",0,G419*H419)</f>
        <v/>
      </c>
      <c r="J419" s="23" t="inlineStr">
        <is>
          <t>ÚRS 2026</t>
        </is>
      </c>
      <c r="K419" s="32" t="inlineStr">
        <is>
          <t>? needs production lookup</t>
        </is>
      </c>
      <c r="L419" s="5" t="inlineStr">
        <is>
          <t>PSV-95 Detekce požární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TZ PBŘ — min. 1 ks 34A</t>
        </is>
      </c>
      <c r="F420" s="17" t="n"/>
      <c r="G420" s="30" t="n">
        <v>1</v>
      </c>
      <c r="H420" s="17" t="n"/>
      <c r="I420" s="17" t="n"/>
      <c r="J420" s="17" t="n"/>
      <c r="K420" s="17" t="n"/>
      <c r="L420" s="17" t="n"/>
    </row>
    <row r="421">
      <c r="B421" s="23" t="n">
        <v>175</v>
      </c>
      <c r="C421" s="23" t="inlineStr">
        <is>
          <t>K</t>
        </is>
      </c>
      <c r="D421" s="24" t="inlineStr"/>
      <c r="E421" s="24" t="inlineStr">
        <is>
          <t>Předávací protokol krbu na tuhá paliva + kontrola bezpečných vzdáleností (800 mm směr sálání / 400 mm strany, nehořlavá zóna podlahy) dle PBŘ</t>
        </is>
      </c>
      <c r="F421" s="23" t="inlineStr">
        <is>
          <t>soubor</t>
        </is>
      </c>
      <c r="G421" s="25" t="n">
        <v>1</v>
      </c>
      <c r="H421" s="26" t="n"/>
      <c r="I421" s="26">
        <f>IF(H421="",0,G421*H421)</f>
        <v/>
      </c>
      <c r="J421" s="23" t="inlineStr">
        <is>
          <t>ÚRS 2026</t>
        </is>
      </c>
      <c r="K421" s="33" t="inlineStr">
        <is>
          <t>❌ MANUAL — KROS catalog lookup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>
        <f> 1 soubor (PBŘ)</f>
        <v/>
      </c>
      <c r="F422" s="17" t="n"/>
      <c r="G422" s="30" t="n">
        <v>1</v>
      </c>
      <c r="H422" s="17" t="n"/>
      <c r="I422" s="17" t="n"/>
      <c r="J422" s="17" t="n"/>
      <c r="K422" s="17" t="n"/>
      <c r="L422" s="17" t="n"/>
    </row>
    <row r="423">
      <c r="B423" s="19" t="n"/>
      <c r="C423" s="20" t="inlineStr">
        <is>
          <t>D</t>
        </is>
      </c>
      <c r="D423" s="20" t="inlineStr">
        <is>
          <t>VRN</t>
        </is>
      </c>
      <c r="E423" s="20" t="inlineStr">
        <is>
          <t>Vedlejší rozpočtové náklady</t>
        </is>
      </c>
      <c r="F423" s="19" t="n"/>
      <c r="G423" s="19" t="n"/>
      <c r="H423" s="19" t="n"/>
      <c r="I423" s="19" t="n"/>
      <c r="J423" s="19" t="n"/>
      <c r="K423" s="19" t="n"/>
      <c r="L423" s="19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Zařízení staveniště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176</v>
      </c>
      <c r="C425" s="23" t="inlineStr">
        <is>
          <t>K</t>
        </is>
      </c>
      <c r="D425" s="24" t="inlineStr">
        <is>
          <t>030011000</t>
        </is>
      </c>
      <c r="E425" s="24" t="inlineStr">
        <is>
          <t>Zařízení staveniště — buňka kancelář + sociální buňka (WC + šatna), pronájem ~8 měsíců</t>
        </is>
      </c>
      <c r="F425" s="23" t="inlineStr">
        <is>
          <t>kpl-měs</t>
        </is>
      </c>
      <c r="G425" s="25" t="n">
        <v>8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Zařízení staveniště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realizace odhad 8 měs (demolice 1.5 + hrubá 2.5 + dokončování 4)</t>
        </is>
      </c>
      <c r="F426" s="17" t="n"/>
      <c r="G426" s="30" t="n">
        <v>8</v>
      </c>
      <c r="H426" s="17" t="n"/>
      <c r="I426" s="17" t="n"/>
      <c r="J426" s="17" t="n"/>
      <c r="K426" s="17" t="n"/>
      <c r="L426" s="17" t="n"/>
    </row>
    <row r="427">
      <c r="B427" s="23" t="n">
        <v>177</v>
      </c>
      <c r="C427" s="23" t="inlineStr">
        <is>
          <t>K</t>
        </is>
      </c>
      <c r="D427" s="24" t="inlineStr">
        <is>
          <t>030013000</t>
        </is>
      </c>
      <c r="E427" s="24" t="inlineStr">
        <is>
          <t>Mobilní chemické WC TOI TOI pro pracovníky — pronájem ~8 měsíců</t>
        </is>
      </c>
      <c r="F427" s="23" t="inlineStr">
        <is>
          <t>ks-měs</t>
        </is>
      </c>
      <c r="G427" s="25" t="n">
        <v>8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Zařízení staveniště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1 ks × 8 měs realizace</t>
        </is>
      </c>
      <c r="F428" s="17" t="n"/>
      <c r="G428" s="30" t="n">
        <v>8</v>
      </c>
      <c r="H428" s="17" t="n"/>
      <c r="I428" s="17" t="n"/>
      <c r="J428" s="17" t="n"/>
      <c r="K428" s="17" t="n"/>
      <c r="L428" s="17" t="n"/>
    </row>
    <row r="429">
      <c r="B429" s="23" t="n">
        <v>178</v>
      </c>
      <c r="C429" s="23" t="inlineStr">
        <is>
          <t>K</t>
        </is>
      </c>
      <c r="D429" s="24" t="inlineStr">
        <is>
          <t>031011000</t>
        </is>
      </c>
      <c r="E429" s="24" t="inlineStr">
        <is>
          <t>El. odběr stavby (zřízení staveništního rozvaděče + měřič) + vodovodní odběr (zřízení staveništní přípojky + vodoměr) — ~8 měsíců</t>
        </is>
      </c>
      <c r="F429" s="23" t="inlineStr">
        <is>
          <t>kpl</t>
        </is>
      </c>
      <c r="G429" s="25" t="n">
        <v>1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Komplexní zřízení + provoz po dobu stavby</t>
        </is>
      </c>
      <c r="F430" s="17" t="n"/>
      <c r="G430" s="30" t="n">
        <v>1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012103101</t>
        </is>
      </c>
      <c r="E43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1" s="23" t="inlineStr">
        <is>
          <t>kpl</t>
        </is>
      </c>
      <c r="G431" s="25" t="n">
        <v>1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paušál pro dobu výstavby (TZ B m.5 'Zásobování stavby vodou: stávající')</t>
        </is>
      </c>
      <c r="F432" s="17" t="n"/>
      <c r="G432" s="30" t="n">
        <v>1</v>
      </c>
      <c r="H432" s="17" t="n"/>
      <c r="I432" s="17" t="n"/>
      <c r="J432" s="17" t="n"/>
      <c r="K432" s="17" t="n"/>
      <c r="L432" s="17" t="n"/>
    </row>
    <row r="433">
      <c r="B433" s="21" t="n"/>
      <c r="C433" s="22" t="inlineStr">
        <is>
          <t>D</t>
        </is>
      </c>
      <c r="D433" s="22" t="inlineStr">
        <is>
          <t>VRN</t>
        </is>
      </c>
      <c r="E433" s="22" t="inlineStr">
        <is>
          <t>VRN — Přesun hmot</t>
        </is>
      </c>
      <c r="F433" s="21" t="n"/>
      <c r="G433" s="21" t="n"/>
      <c r="H433" s="21" t="n"/>
      <c r="I433" s="21" t="n"/>
      <c r="J433" s="21" t="n"/>
      <c r="K433" s="21" t="n"/>
      <c r="L433" s="21" t="n"/>
    </row>
    <row r="434">
      <c r="B434" s="23" t="n">
        <v>180</v>
      </c>
      <c r="C434" s="23" t="inlineStr">
        <is>
          <t>K</t>
        </is>
      </c>
      <c r="D434" s="24" t="inlineStr"/>
      <c r="E434" s="24" t="inlineStr">
        <is>
          <t>Přesun hmot pro budovu — vnitrostaveništní vertikální + horizontální doprava materiálu a hmot (rekonstrukce vícepodlažní RD + nástavba 3.NP)</t>
        </is>
      </c>
      <c r="F434" s="23" t="inlineStr">
        <is>
          <t>t</t>
        </is>
      </c>
      <c r="G434" s="25" t="n">
        <v>0</v>
      </c>
      <c r="H434" s="26" t="n"/>
      <c r="I434" s="26">
        <f>IF(H434="",0,G434*H434)</f>
        <v/>
      </c>
      <c r="J434" s="23" t="inlineStr">
        <is>
          <t>ÚRS 2026</t>
        </is>
      </c>
      <c r="K434" s="33" t="inlineStr">
        <is>
          <t>❌ MANUAL — KROS catalog lookup</t>
        </is>
      </c>
      <c r="L434" s="5" t="inlineStr">
        <is>
          <t>VRN — Přesun hmot</t>
        </is>
      </c>
    </row>
    <row r="435">
      <c r="B435" s="17" t="n"/>
      <c r="C435" s="28" t="inlineStr">
        <is>
          <t>VV</t>
        </is>
      </c>
      <c r="D435" s="17" t="n"/>
      <c r="E435" s="29" t="inlineStr">
        <is>
          <t>TBD — buď % z HSV nákladů (běžně 2-4 %) nebo dle celkové tonáže přesouvaných hmot; množství doplní rozpočtář při cenotvorbě</t>
        </is>
      </c>
      <c r="F435" s="17" t="n"/>
      <c r="G435" s="30" t="n">
        <v>0</v>
      </c>
      <c r="H435" s="17" t="n"/>
      <c r="I435" s="17" t="n"/>
      <c r="J435" s="17" t="n"/>
      <c r="K435" s="17" t="n"/>
      <c r="L435" s="17" t="n"/>
    </row>
    <row r="436">
      <c r="B436" s="21" t="n"/>
      <c r="C436" s="22" t="inlineStr">
        <is>
          <t>D</t>
        </is>
      </c>
      <c r="D436" s="22" t="inlineStr">
        <is>
          <t>VRN</t>
        </is>
      </c>
      <c r="E436" s="22" t="inlineStr">
        <is>
          <t>VRN — Lešení</t>
        </is>
      </c>
      <c r="F436" s="21" t="n"/>
      <c r="G436" s="21" t="n"/>
      <c r="H436" s="21" t="n"/>
      <c r="I436" s="21" t="n"/>
      <c r="J436" s="21" t="n"/>
      <c r="K436" s="21" t="n"/>
      <c r="L436" s="21" t="n"/>
    </row>
    <row r="437">
      <c r="B437" s="23" t="n">
        <v>181</v>
      </c>
      <c r="C437" s="23" t="inlineStr">
        <is>
          <t>K</t>
        </is>
      </c>
      <c r="D437" s="24" t="inlineStr"/>
      <c r="E437" s="24" t="inlineStr">
        <is>
          <t>Fasádní lešení trubkové/rámové vč. montáže + pronájmu + demontáže — pro provedení ETICS fasády, krovu a klempířiny po obvodu domu (výška 13 m)</t>
        </is>
      </c>
      <c r="F437" s="23" t="inlineStr">
        <is>
          <t>m²</t>
        </is>
      </c>
      <c r="G437" s="25" t="n">
        <v>503.1</v>
      </c>
      <c r="H437" s="26" t="n"/>
      <c r="I437" s="26">
        <f>IF(H437="",0,G437*H437)</f>
        <v/>
      </c>
      <c r="J437" s="23" t="inlineStr">
        <is>
          <t>ÚRS 2026</t>
        </is>
      </c>
      <c r="K437" s="33" t="inlineStr">
        <is>
          <t>❌ MANUAL — KROS catalog lookup</t>
        </is>
      </c>
      <c r="L437" s="5" t="inlineStr">
        <is>
          <t>VRN — Lešení</t>
        </is>
      </c>
    </row>
    <row r="438">
      <c r="B438" s="17" t="n"/>
      <c r="C438" s="28" t="inlineStr">
        <is>
          <t>VV</t>
        </is>
      </c>
      <c r="D438" s="17" t="n"/>
      <c r="E438" s="29" t="inlineStr">
        <is>
          <t>obvod domu 38.7 m × výška 13.0 m = 503.1 m² lešenné plochy (pro ETICS fasádu 276.7 m² + krov + klempířinu)</t>
        </is>
      </c>
      <c r="F438" s="17" t="n"/>
      <c r="G438" s="30" t="n">
        <v>503.1</v>
      </c>
      <c r="H438" s="17" t="n"/>
      <c r="I438" s="17" t="n"/>
      <c r="J438" s="17" t="n"/>
      <c r="K438" s="17" t="n"/>
      <c r="L438" s="17" t="n"/>
    </row>
    <row r="439">
      <c r="B439" s="21" t="n"/>
      <c r="C439" s="22" t="inlineStr">
        <is>
          <t>D</t>
        </is>
      </c>
      <c r="D439" s="22" t="inlineStr">
        <is>
          <t>VRN</t>
        </is>
      </c>
      <c r="E439" s="22" t="inlineStr">
        <is>
          <t>VRN — Doprava + odpad</t>
        </is>
      </c>
      <c r="F439" s="21" t="n"/>
      <c r="G439" s="21" t="n"/>
      <c r="H439" s="21" t="n"/>
      <c r="I439" s="21" t="n"/>
      <c r="J439" s="21" t="n"/>
      <c r="K439" s="21" t="n"/>
      <c r="L439" s="21" t="n"/>
    </row>
    <row r="440">
      <c r="B440" s="23" t="n">
        <v>182</v>
      </c>
      <c r="C440" s="23" t="inlineStr">
        <is>
          <t>K</t>
        </is>
      </c>
      <c r="D440" s="24" t="inlineStr">
        <is>
          <t>997013211</t>
        </is>
      </c>
      <c r="E440" s="24" t="inlineStr">
        <is>
          <t>Kontejnery na suť tříděnou velkoobjemové (beton/cihly, dřevo, kovy, EPS, sádra, směs) — pronájem + svozy</t>
        </is>
      </c>
      <c r="F440" s="23" t="inlineStr">
        <is>
          <t>ks</t>
        </is>
      </c>
      <c r="G440" s="25" t="n">
        <v>7</v>
      </c>
      <c r="H440" s="26" t="n"/>
      <c r="I440" s="26">
        <f>IF(H440="",0,G440*H440)</f>
        <v/>
      </c>
      <c r="J440" s="23" t="inlineStr">
        <is>
          <t>ÚRS 2026</t>
        </is>
      </c>
      <c r="K440" s="32" t="inlineStr">
        <is>
          <t>? needs production lookup</t>
        </is>
      </c>
      <c r="L440" s="5" t="inlineStr">
        <is>
          <t>VRN — Doprava + odpad</t>
        </is>
      </c>
    </row>
    <row r="441">
      <c r="B441" s="17" t="n"/>
      <c r="C441" s="28" t="inlineStr">
        <is>
          <t>VV</t>
        </is>
      </c>
      <c r="D441" s="17" t="n"/>
      <c r="E441" s="29" t="inlineStr">
        <is>
          <t>TZ B m.10.e: 56.9 t celkem → ~7 kontejnerů 8 m³ (beton/cihly hlavní hmota)</t>
        </is>
      </c>
      <c r="F441" s="17" t="n"/>
      <c r="G441" s="30" t="n">
        <v>7</v>
      </c>
      <c r="H441" s="17" t="n"/>
      <c r="I441" s="17" t="n"/>
      <c r="J441" s="17" t="n"/>
      <c r="K441" s="17" t="n"/>
      <c r="L441" s="17" t="n"/>
    </row>
    <row r="442">
      <c r="B442" s="23" t="n">
        <v>183</v>
      </c>
      <c r="C442" s="23" t="inlineStr">
        <is>
          <t>K</t>
        </is>
      </c>
      <c r="D442" s="24" t="inlineStr">
        <is>
          <t>031031000</t>
        </is>
      </c>
      <c r="E442" s="24" t="inlineStr">
        <is>
          <t>Doprava materiálu na stavbu (centrální koordinace) — paušál ~2-3 % z PN materiál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Doprava + odpad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paušální koeficient pro RD městská zástavba 2-3 % z PN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Likvidace stavební suti dle vyhl. 8/2021 Sb. — skládkovné + recyklace + třídění (56.9 t celkem per TZ B m.10.e)</t>
        </is>
      </c>
      <c r="F444" s="23" t="inlineStr">
        <is>
          <t>t</t>
        </is>
      </c>
      <c r="G444" s="25" t="n">
        <v>56.9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 bilance: 46+9+0.1+0.1+0.2+1.0 = 56.4 t (round 56.9 vč. drobných)</t>
        </is>
      </c>
      <c r="F445" s="17" t="n"/>
      <c r="G445" s="30" t="n">
        <v>56.9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Geodet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185</v>
      </c>
      <c r="C447" s="23" t="inlineStr">
        <is>
          <t>K</t>
        </is>
      </c>
      <c r="D447" s="24" t="inlineStr">
        <is>
          <t>030141000</t>
        </is>
      </c>
      <c r="E447" s="24" t="inlineStr">
        <is>
          <t>Geodetické zaměření před realizací (verifikace polohopis + výškopis) + po dokončení (zaměření skutečného provedení pro kolaudaci)</t>
        </is>
      </c>
      <c r="F447" s="23" t="inlineStr">
        <is>
          <t>kpl</t>
        </is>
      </c>
      <c r="G447" s="25" t="n">
        <v>2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Geodet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2 etapy geodet × 1 kpl</t>
        </is>
      </c>
      <c r="F448" s="17" t="n"/>
      <c r="G448" s="30" t="n">
        <v>2</v>
      </c>
      <c r="H448" s="17" t="n"/>
      <c r="I448" s="17" t="n"/>
      <c r="J448" s="17" t="n"/>
      <c r="K448" s="17" t="n"/>
      <c r="L448" s="17" t="n"/>
    </row>
    <row r="449">
      <c r="B449" s="21" t="n"/>
      <c r="C449" s="22" t="inlineStr">
        <is>
          <t>D</t>
        </is>
      </c>
      <c r="D449" s="22" t="inlineStr">
        <is>
          <t>VRN</t>
        </is>
      </c>
      <c r="E449" s="22" t="inlineStr">
        <is>
          <t>VRN — Průzkumy</t>
        </is>
      </c>
      <c r="F449" s="21" t="n"/>
      <c r="G449" s="21" t="n"/>
      <c r="H449" s="21" t="n"/>
      <c r="I449" s="21" t="n"/>
      <c r="J449" s="21" t="n"/>
      <c r="K449" s="21" t="n"/>
      <c r="L449" s="21" t="n"/>
    </row>
    <row r="450">
      <c r="B450" s="23" t="n">
        <v>186</v>
      </c>
      <c r="C450" s="23" t="inlineStr">
        <is>
          <t>K</t>
        </is>
      </c>
      <c r="D450" s="24" t="inlineStr">
        <is>
          <t>030131000</t>
        </is>
      </c>
      <c r="E45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0" s="23" t="inlineStr">
        <is>
          <t>kpl</t>
        </is>
      </c>
      <c r="G450" s="25" t="n">
        <v>1</v>
      </c>
      <c r="H450" s="26" t="n"/>
      <c r="I450" s="26">
        <f>IF(H450="",0,G450*H450)</f>
        <v/>
      </c>
      <c r="J450" s="23" t="inlineStr">
        <is>
          <t>ÚRS 2026</t>
        </is>
      </c>
      <c r="K450" s="32" t="inlineStr">
        <is>
          <t>? needs production lookup</t>
        </is>
      </c>
      <c r="L450" s="5" t="inlineStr">
        <is>
          <t>VRN — Průzkumy</t>
        </is>
      </c>
    </row>
    <row r="451">
      <c r="B451" s="17" t="n"/>
      <c r="C451" s="28" t="inlineStr">
        <is>
          <t>VV</t>
        </is>
      </c>
      <c r="D451" s="17" t="n"/>
      <c r="E451" s="29" t="inlineStr">
        <is>
          <t>TZ ARS §3.2.3 — 'při bourání bude proveden mykologický průzkum dřev. trámů (zhlaví)'</t>
        </is>
      </c>
      <c r="F451" s="17" t="n"/>
      <c r="G451" s="30" t="n">
        <v>1</v>
      </c>
      <c r="H451" s="17" t="n"/>
      <c r="I451" s="17" t="n"/>
      <c r="J451" s="17" t="n"/>
      <c r="K451" s="17" t="n"/>
      <c r="L451" s="17" t="n"/>
    </row>
    <row r="452">
      <c r="B452" s="23" t="n">
        <v>187</v>
      </c>
      <c r="C452" s="23" t="inlineStr">
        <is>
          <t>K</t>
        </is>
      </c>
      <c r="D452" s="24" t="inlineStr">
        <is>
          <t>030133000</t>
        </is>
      </c>
      <c r="E452" s="24" t="inlineStr">
        <is>
          <t>Azbestový průzkum podrobný před demolicí — laboratorní vzorky a posudek (B kap. m.7.a předběžně negativní, ale podrobný před bouráním povinný)</t>
        </is>
      </c>
      <c r="F452" s="23" t="inlineStr">
        <is>
          <t>kpl</t>
        </is>
      </c>
      <c r="G452" s="25" t="n">
        <v>1</v>
      </c>
      <c r="H452" s="26" t="n"/>
      <c r="I452" s="26">
        <f>IF(H452="",0,G452*H452)</f>
        <v/>
      </c>
      <c r="J452" s="23" t="inlineStr">
        <is>
          <t>ÚRS 2026</t>
        </is>
      </c>
      <c r="K452" s="32" t="inlineStr">
        <is>
          <t>? needs production lookup</t>
        </is>
      </c>
      <c r="L452" s="5" t="inlineStr">
        <is>
          <t>VRN — Průzkumy</t>
        </is>
      </c>
    </row>
    <row r="453">
      <c r="B453" s="17" t="n"/>
      <c r="C453" s="28" t="inlineStr">
        <is>
          <t>VV</t>
        </is>
      </c>
      <c r="D453" s="17" t="n"/>
      <c r="E453" s="29" t="inlineStr">
        <is>
          <t>TZ B m.7.a — 'předběžné ohledání negativní, podrobný průzkum před bouráním'</t>
        </is>
      </c>
      <c r="F453" s="17" t="n"/>
      <c r="G453" s="30" t="n">
        <v>1</v>
      </c>
      <c r="H453" s="17" t="n"/>
      <c r="I453" s="17" t="n"/>
      <c r="J453" s="17" t="n"/>
      <c r="K453" s="17" t="n"/>
      <c r="L453" s="17" t="n"/>
    </row>
    <row r="454">
      <c r="B454" s="21" t="n"/>
      <c r="C454" s="22" t="inlineStr">
        <is>
          <t>D</t>
        </is>
      </c>
      <c r="D454" s="22" t="inlineStr">
        <is>
          <t>VRN</t>
        </is>
      </c>
      <c r="E454" s="22" t="inlineStr">
        <is>
          <t>VRN — BOZP</t>
        </is>
      </c>
      <c r="F454" s="21" t="n"/>
      <c r="G454" s="21" t="n"/>
      <c r="H454" s="21" t="n"/>
      <c r="I454" s="21" t="n"/>
      <c r="J454" s="21" t="n"/>
      <c r="K454" s="21" t="n"/>
      <c r="L454" s="21" t="n"/>
    </row>
    <row r="455">
      <c r="B455" s="23" t="n">
        <v>188</v>
      </c>
      <c r="C455" s="23" t="inlineStr">
        <is>
          <t>K</t>
        </is>
      </c>
      <c r="D455" s="24" t="inlineStr">
        <is>
          <t>030091000</t>
        </is>
      </c>
      <c r="E455" s="24" t="inlineStr">
        <is>
          <t>Koordinátor BOZP na staveništi dle zákona 309/2006 Sb. — pro stavbu s více než jedním zhotovitelem</t>
        </is>
      </c>
      <c r="F455" s="23" t="inlineStr">
        <is>
          <t>kpl</t>
        </is>
      </c>
      <c r="G455" s="25" t="n">
        <v>1</v>
      </c>
      <c r="H455" s="26" t="n"/>
      <c r="I455" s="26">
        <f>IF(H455="",0,G455*H455)</f>
        <v/>
      </c>
      <c r="J455" s="23" t="inlineStr">
        <is>
          <t>ÚRS 2026</t>
        </is>
      </c>
      <c r="K455" s="32" t="inlineStr">
        <is>
          <t>? needs production lookup</t>
        </is>
      </c>
      <c r="L455" s="5" t="inlineStr">
        <is>
          <t>VRN — BOZP</t>
        </is>
      </c>
    </row>
    <row r="456">
      <c r="B456" s="17" t="n"/>
      <c r="C456" s="28" t="inlineStr">
        <is>
          <t>VV</t>
        </is>
      </c>
      <c r="D456" s="17" t="n"/>
      <c r="E456" s="29" t="inlineStr">
        <is>
          <t>realizace ~8 měs</t>
        </is>
      </c>
      <c r="F456" s="17" t="n"/>
      <c r="G456" s="30" t="n">
        <v>1</v>
      </c>
      <c r="H456" s="17" t="n"/>
      <c r="I456" s="17" t="n"/>
      <c r="J456" s="17" t="n"/>
      <c r="K456" s="17" t="n"/>
      <c r="L456" s="17" t="n"/>
    </row>
    <row r="457">
      <c r="B457" s="21" t="n"/>
      <c r="C457" s="22" t="inlineStr">
        <is>
          <t>D</t>
        </is>
      </c>
      <c r="D457" s="22" t="inlineStr">
        <is>
          <t>VRN</t>
        </is>
      </c>
      <c r="E457" s="22" t="inlineStr">
        <is>
          <t>VRN — Dokumentace</t>
        </is>
      </c>
      <c r="F457" s="21" t="n"/>
      <c r="G457" s="21" t="n"/>
      <c r="H457" s="21" t="n"/>
      <c r="I457" s="21" t="n"/>
      <c r="J457" s="21" t="n"/>
      <c r="K457" s="21" t="n"/>
      <c r="L457" s="21" t="n"/>
    </row>
    <row r="458">
      <c r="B458" s="23" t="n">
        <v>189</v>
      </c>
      <c r="C458" s="23" t="inlineStr">
        <is>
          <t>K</t>
        </is>
      </c>
      <c r="D458" s="24" t="inlineStr">
        <is>
          <t>030151000</t>
        </is>
      </c>
      <c r="E458" s="24" t="inlineStr">
        <is>
          <t>Předávací protokoly + Dokumentace skutečného provedení (DSP) — sestavení, vázání, dodávka 2× tiskem + elektronická verze</t>
        </is>
      </c>
      <c r="F458" s="23" t="inlineStr">
        <is>
          <t>kpl</t>
        </is>
      </c>
      <c r="G458" s="25" t="n">
        <v>1</v>
      </c>
      <c r="H458" s="26" t="n"/>
      <c r="I458" s="26">
        <f>IF(H458="",0,G458*H458)</f>
        <v/>
      </c>
      <c r="J458" s="23" t="inlineStr">
        <is>
          <t>ÚRS 2026</t>
        </is>
      </c>
      <c r="K458" s="32" t="inlineStr">
        <is>
          <t>? needs production lookup</t>
        </is>
      </c>
      <c r="L458" s="5" t="inlineStr">
        <is>
          <t>VRN — Dokumentace</t>
        </is>
      </c>
    </row>
    <row r="459">
      <c r="B459" s="17" t="n"/>
      <c r="C459" s="28" t="inlineStr">
        <is>
          <t>VV</t>
        </is>
      </c>
      <c r="D459" s="17" t="n"/>
      <c r="E459" s="29" t="inlineStr">
        <is>
          <t>Standard — DSP pro kolaudaci</t>
        </is>
      </c>
      <c r="F459" s="17" t="n"/>
      <c r="G459" s="30" t="n">
        <v>1</v>
      </c>
      <c r="H459" s="17" t="n"/>
      <c r="I459" s="17" t="n"/>
      <c r="J459" s="17" t="n"/>
      <c r="K459" s="17" t="n"/>
      <c r="L459" s="17" t="n"/>
    </row>
    <row r="460">
      <c r="B460" s="21" t="n"/>
      <c r="C460" s="22" t="inlineStr">
        <is>
          <t>D</t>
        </is>
      </c>
      <c r="D460" s="22" t="inlineStr">
        <is>
          <t>VRN</t>
        </is>
      </c>
      <c r="E460" s="22" t="inlineStr">
        <is>
          <t>VRN — Kolaudace</t>
        </is>
      </c>
      <c r="F460" s="21" t="n"/>
      <c r="G460" s="21" t="n"/>
      <c r="H460" s="21" t="n"/>
      <c r="I460" s="21" t="n"/>
      <c r="J460" s="21" t="n"/>
      <c r="K460" s="21" t="n"/>
      <c r="L460" s="21" t="n"/>
    </row>
    <row r="461">
      <c r="B461" s="23" t="n">
        <v>190</v>
      </c>
      <c r="C461" s="23" t="inlineStr">
        <is>
          <t>K</t>
        </is>
      </c>
      <c r="D461" s="24" t="inlineStr">
        <is>
          <t>030171000</t>
        </is>
      </c>
      <c r="E461" s="24" t="inlineStr">
        <is>
          <t>Kolaudační řízení — paušál (správní poplatky + součinnost) dle zákona 183/2006 Sb.</t>
        </is>
      </c>
      <c r="F461" s="23" t="inlineStr">
        <is>
          <t>paušál</t>
        </is>
      </c>
      <c r="G461" s="25" t="n">
        <v>1</v>
      </c>
      <c r="H461" s="26" t="n"/>
      <c r="I461" s="26">
        <f>IF(H461="",0,G461*H461)</f>
        <v/>
      </c>
      <c r="J461" s="23" t="inlineStr">
        <is>
          <t>ÚRS 2026</t>
        </is>
      </c>
      <c r="K461" s="32" t="inlineStr">
        <is>
          <t>? needs production lookup</t>
        </is>
      </c>
      <c r="L461" s="5" t="inlineStr">
        <is>
          <t>VRN — Kolaudace</t>
        </is>
      </c>
    </row>
    <row r="462">
      <c r="B462" s="17" t="n"/>
      <c r="C462" s="28" t="inlineStr">
        <is>
          <t>VV</t>
        </is>
      </c>
      <c r="D462" s="17" t="n"/>
      <c r="E462" s="29" t="inlineStr">
        <is>
          <t>Standard — paušál kolaudace</t>
        </is>
      </c>
      <c r="F462" s="17" t="n"/>
      <c r="G462" s="30" t="n">
        <v>1</v>
      </c>
      <c r="H462" s="17" t="n"/>
      <c r="I462" s="17" t="n"/>
      <c r="J462" s="17" t="n"/>
      <c r="K462" s="17" t="n"/>
      <c r="L462" s="17" t="n"/>
    </row>
    <row r="463">
      <c r="B463" s="21" t="n"/>
      <c r="C463" s="22" t="inlineStr">
        <is>
          <t>D</t>
        </is>
      </c>
      <c r="D463" s="22" t="inlineStr">
        <is>
          <t>VRN</t>
        </is>
      </c>
      <c r="E463" s="22" t="inlineStr">
        <is>
          <t>VRN — Pojištění + zábory</t>
        </is>
      </c>
      <c r="F463" s="21" t="n"/>
      <c r="G463" s="21" t="n"/>
      <c r="H463" s="21" t="n"/>
      <c r="I463" s="21" t="n"/>
      <c r="J463" s="21" t="n"/>
      <c r="K463" s="21" t="n"/>
      <c r="L463" s="21" t="n"/>
    </row>
    <row r="464">
      <c r="B464" s="23" t="n">
        <v>191</v>
      </c>
      <c r="C464" s="23" t="inlineStr">
        <is>
          <t>K</t>
        </is>
      </c>
      <c r="D464" s="24" t="inlineStr">
        <is>
          <t>030081000</t>
        </is>
      </c>
      <c r="E464" s="24" t="inlineStr">
        <is>
          <t>Montážní pojištění stavby (CAR) + pojištění odpovědnosti za škodu (zhotovitel) — paušál cca 0.3-0.5 % z PN</t>
        </is>
      </c>
      <c r="F464" s="23" t="inlineStr">
        <is>
          <t>paušál</t>
        </is>
      </c>
      <c r="G464" s="25" t="n">
        <v>1</v>
      </c>
      <c r="H464" s="26" t="n"/>
      <c r="I464" s="26">
        <f>IF(H464="",0,G464*H464)</f>
        <v/>
      </c>
      <c r="J464" s="23" t="inlineStr">
        <is>
          <t>ÚRS 2026</t>
        </is>
      </c>
      <c r="K464" s="32" t="inlineStr">
        <is>
          <t>? needs production lookup</t>
        </is>
      </c>
      <c r="L464" s="5" t="inlineStr">
        <is>
          <t>VRN — Pojištění + zábory</t>
        </is>
      </c>
    </row>
    <row r="465">
      <c r="B465" s="17" t="n"/>
      <c r="C465" s="28" t="inlineStr">
        <is>
          <t>VV</t>
        </is>
      </c>
      <c r="D465" s="17" t="n"/>
      <c r="E465" s="29" t="inlineStr">
        <is>
          <t>Standard pojistná sazba 0.3-0.5 % z přímých nákladů</t>
        </is>
      </c>
      <c r="F465" s="17" t="n"/>
      <c r="G465" s="30" t="n">
        <v>1</v>
      </c>
      <c r="H465" s="17" t="n"/>
      <c r="I465" s="17" t="n"/>
      <c r="J465" s="17" t="n"/>
      <c r="K465" s="17" t="n"/>
      <c r="L465" s="17" t="n"/>
    </row>
    <row r="466">
      <c r="B466" s="23" t="n">
        <v>192</v>
      </c>
      <c r="C466" s="23" t="inlineStr">
        <is>
          <t>K</t>
        </is>
      </c>
      <c r="D466" s="24" t="inlineStr">
        <is>
          <t>030083000</t>
        </is>
      </c>
      <c r="E466" s="24" t="inlineStr">
        <is>
          <t>Krátkodobé zábory ulice Fibichova pro materiál a kontejnery (povolení MU Jáchymov + DI) — odhad 30 dnů kumulativně</t>
        </is>
      </c>
      <c r="F466" s="23" t="inlineStr">
        <is>
          <t>kpl</t>
        </is>
      </c>
      <c r="G466" s="25" t="n">
        <v>1</v>
      </c>
      <c r="H466" s="26" t="n"/>
      <c r="I466" s="26">
        <f>IF(H466="",0,G466*H466)</f>
        <v/>
      </c>
      <c r="J466" s="23" t="inlineStr">
        <is>
          <t>ÚRS 2026</t>
        </is>
      </c>
      <c r="K466" s="32" t="inlineStr">
        <is>
          <t>? needs production lookup</t>
        </is>
      </c>
      <c r="L466" s="5" t="inlineStr">
        <is>
          <t>VRN — Pojištění + zábory</t>
        </is>
      </c>
    </row>
    <row r="467">
      <c r="B467" s="17" t="n"/>
      <c r="C467" s="28" t="inlineStr">
        <is>
          <t>VV</t>
        </is>
      </c>
      <c r="D467" s="17" t="n"/>
      <c r="E467" s="29" t="inlineStr">
        <is>
          <t>Řadová zástavba úzká ulice — opakované krátkodobé zábory cumulative ~30 dnů</t>
        </is>
      </c>
      <c r="F467" s="17" t="n"/>
      <c r="G467" s="30" t="n">
        <v>1</v>
      </c>
      <c r="H467" s="17" t="n"/>
      <c r="I467" s="17" t="n"/>
      <c r="J467" s="17" t="n"/>
      <c r="K467" s="17" t="n"/>
      <c r="L467" s="17" t="n"/>
    </row>
    <row r="468">
      <c r="B468" s="21" t="n"/>
      <c r="C468" s="22" t="inlineStr">
        <is>
          <t>D</t>
        </is>
      </c>
      <c r="D468" s="22" t="inlineStr">
        <is>
          <t>VRN</t>
        </is>
      </c>
      <c r="E468" s="22" t="inlineStr">
        <is>
          <t>VRN — Revize</t>
        </is>
      </c>
      <c r="F468" s="21" t="n"/>
      <c r="G468" s="21" t="n"/>
      <c r="H468" s="21" t="n"/>
      <c r="I468" s="21" t="n"/>
      <c r="J468" s="21" t="n"/>
      <c r="K468" s="21" t="n"/>
      <c r="L468" s="21" t="n"/>
    </row>
    <row r="469">
      <c r="B469" s="23" t="n">
        <v>193</v>
      </c>
      <c r="C469" s="23" t="inlineStr">
        <is>
          <t>K</t>
        </is>
      </c>
      <c r="D469" s="24" t="inlineStr">
        <is>
          <t>030161000</t>
        </is>
      </c>
      <c r="E469" s="24" t="inlineStr">
        <is>
          <t>Revize vnějšího hydrantu pro požární zabezpečení (DN min. 80, vzdálenost 100 m dle TZ PBŘ) — periodická kontrola</t>
        </is>
      </c>
      <c r="F469" s="23" t="inlineStr">
        <is>
          <t>kpl</t>
        </is>
      </c>
      <c r="G469" s="25" t="n">
        <v>1</v>
      </c>
      <c r="H469" s="26" t="n"/>
      <c r="I469" s="26">
        <f>IF(H469="",0,G469*H469)</f>
        <v/>
      </c>
      <c r="J469" s="23" t="inlineStr">
        <is>
          <t>ÚRS 2026</t>
        </is>
      </c>
      <c r="K469" s="32" t="inlineStr">
        <is>
          <t>? needs production lookup</t>
        </is>
      </c>
      <c r="L469" s="5" t="inlineStr">
        <is>
          <t>VRN — Revize</t>
        </is>
      </c>
    </row>
    <row r="470">
      <c r="B470" s="17" t="n"/>
      <c r="C470" s="28" t="inlineStr">
        <is>
          <t>VV</t>
        </is>
      </c>
      <c r="D470" s="17" t="n"/>
      <c r="E470" s="29" t="inlineStr">
        <is>
          <t>TZ PBŘ dům — vnější hydrant DN min. 80, vzdálenost 100 m</t>
        </is>
      </c>
      <c r="F470" s="17" t="n"/>
      <c r="G470" s="30" t="n">
        <v>1</v>
      </c>
      <c r="H470" s="17" t="n"/>
      <c r="I470" s="17" t="n"/>
      <c r="J470" s="17" t="n"/>
      <c r="K470" s="17" t="n"/>
      <c r="L47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5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SUMIFS(I32:I115,L32:L115,C16)</f>
        <v/>
      </c>
    </row>
    <row r="17">
      <c r="B17" s="17" t="n"/>
      <c r="C17" s="5" t="inlineStr">
        <is>
          <t>HSV-2 Základové a ŽB</t>
        </is>
      </c>
      <c r="D17" s="7">
        <f>SUMIFS(I32:I115,L32:L115,C17)</f>
        <v/>
      </c>
    </row>
    <row r="18">
      <c r="B18" s="17" t="n"/>
      <c r="C18" s="5" t="inlineStr">
        <is>
          <t>HSV-3 Svislé konstrukce</t>
        </is>
      </c>
      <c r="D18" s="7">
        <f>SUMIFS(I32:I115,L32:L115,C18)</f>
        <v/>
      </c>
    </row>
    <row r="19">
      <c r="B19" s="17" t="n"/>
      <c r="C19" s="5" t="inlineStr">
        <is>
          <t>HSV-4 Vodorovné</t>
        </is>
      </c>
      <c r="D19" s="7">
        <f>SUMIFS(I32:I115,L32:L115,C19)</f>
        <v/>
      </c>
    </row>
    <row r="20">
      <c r="B20" s="17" t="n"/>
      <c r="C20" s="5" t="inlineStr">
        <is>
          <t>HSV-5 Komunikace + schodiště</t>
        </is>
      </c>
      <c r="D20" s="7">
        <f>SUMIFS(I32:I115,L32:L115,C20)</f>
        <v/>
      </c>
    </row>
    <row r="21">
      <c r="B21" s="17" t="n"/>
      <c r="C21" s="5" t="inlineStr">
        <is>
          <t>PSV-76 Výplně otvorů</t>
        </is>
      </c>
      <c r="D21" s="7">
        <f>SUMIFS(I32:I115,L32:L115,C21)</f>
        <v/>
      </c>
    </row>
    <row r="22">
      <c r="B22" s="17" t="n"/>
      <c r="C22" s="5" t="inlineStr">
        <is>
          <t>PSV-76 Zámečnictví</t>
        </is>
      </c>
      <c r="D22" s="7">
        <f>SUMIFS(I32:I115,L32:L115,C22)</f>
        <v/>
      </c>
    </row>
    <row r="23">
      <c r="B23" s="17" t="n"/>
      <c r="C23" s="5" t="inlineStr">
        <is>
          <t>PSV-77 Podlahy</t>
        </is>
      </c>
      <c r="D23" s="7">
        <f>SUMIFS(I32:I115,L32:L115,C23)</f>
        <v/>
      </c>
    </row>
    <row r="24">
      <c r="B24" s="17" t="n"/>
      <c r="C24" s="5" t="inlineStr">
        <is>
          <t>VRN — Společné</t>
        </is>
      </c>
      <c r="D24" s="7">
        <f>SUMIFS(I32:I115,L32:L115,C24)</f>
        <v/>
      </c>
    </row>
    <row r="25">
      <c r="B25" s="17" t="n"/>
      <c r="C25" s="5" t="inlineStr">
        <is>
          <t>VRN — Doprava + odpad</t>
        </is>
      </c>
      <c r="D25" s="7">
        <f>SUMIFS(I32:I115,L32:L115,C25)</f>
        <v/>
      </c>
    </row>
    <row r="26">
      <c r="B26" s="17" t="n"/>
      <c r="C26" s="5" t="inlineStr">
        <is>
          <t>VRN — Geodet</t>
        </is>
      </c>
      <c r="D26" s="7">
        <f>SUMIFS(I32:I115,L32:L115,C26)</f>
        <v/>
      </c>
    </row>
    <row r="27">
      <c r="B27" s="18" t="n"/>
      <c r="C27" s="8" t="inlineStr">
        <is>
          <t>Celkem objekt</t>
        </is>
      </c>
      <c r="D27" s="9">
        <f>SUM(D16:D26)</f>
        <v/>
      </c>
    </row>
    <row r="30">
      <c r="B30" s="16" t="inlineStr">
        <is>
          <t>SOUPIS PRACÍ</t>
        </is>
      </c>
    </row>
    <row r="31">
      <c r="B31" s="4" t="inlineStr">
        <is>
          <t>PČ</t>
        </is>
      </c>
      <c r="C31" s="4" t="inlineStr">
        <is>
          <t>Typ</t>
        </is>
      </c>
      <c r="D31" s="4" t="inlineStr">
        <is>
          <t>Kód</t>
        </is>
      </c>
      <c r="E31" s="4" t="inlineStr">
        <is>
          <t>Popis</t>
        </is>
      </c>
      <c r="F31" s="4" t="inlineStr">
        <is>
          <t>MJ</t>
        </is>
      </c>
      <c r="G31" s="4" t="inlineStr">
        <is>
          <t>Množství</t>
        </is>
      </c>
      <c r="H31" s="4" t="inlineStr">
        <is>
          <t>J.cena [Kč]</t>
        </is>
      </c>
      <c r="I31" s="4" t="inlineStr">
        <is>
          <t>Cena celkem [Kč]</t>
        </is>
      </c>
      <c r="J31" s="4" t="inlineStr">
        <is>
          <t>Cenová soustava</t>
        </is>
      </c>
      <c r="K31" s="4" t="inlineStr">
        <is>
          <t>Pozn.</t>
        </is>
      </c>
      <c r="L31" s="4" t="inlineStr">
        <is>
          <t>_kap_tag</t>
        </is>
      </c>
    </row>
    <row r="32">
      <c r="B32" s="19" t="n"/>
      <c r="C32" s="20" t="inlineStr">
        <is>
          <t>D</t>
        </is>
      </c>
      <c r="D32" s="20" t="inlineStr">
        <is>
          <t>HSV</t>
        </is>
      </c>
      <c r="E32" s="20" t="inlineStr">
        <is>
          <t>Práce a dodávky HSV</t>
        </is>
      </c>
      <c r="F32" s="19" t="n"/>
      <c r="G32" s="19" t="n"/>
      <c r="H32" s="19" t="n"/>
      <c r="I32" s="19" t="n"/>
      <c r="J32" s="19" t="n"/>
      <c r="K32" s="19" t="n"/>
      <c r="L32" s="19" t="n"/>
    </row>
    <row r="33">
      <c r="B33" s="21" t="n"/>
      <c r="C33" s="22" t="inlineStr">
        <is>
          <t>D</t>
        </is>
      </c>
      <c r="D33" s="22" t="inlineStr">
        <is>
          <t>HSV-1</t>
        </is>
      </c>
      <c r="E33" s="22" t="inlineStr">
        <is>
          <t>HSV-1 Zemní práce</t>
        </is>
      </c>
      <c r="F33" s="21" t="n"/>
      <c r="G33" s="21" t="n"/>
      <c r="H33" s="21" t="n"/>
      <c r="I33" s="21" t="n"/>
      <c r="J33" s="21" t="n"/>
      <c r="K33" s="21" t="n"/>
      <c r="L33" s="21" t="n"/>
    </row>
    <row r="34">
      <c r="B34" s="23" t="n">
        <v>1</v>
      </c>
      <c r="C34" s="23" t="inlineStr">
        <is>
          <t>K</t>
        </is>
      </c>
      <c r="D34" s="24" t="inlineStr">
        <is>
          <t>962031132</t>
        </is>
      </c>
      <c r="E34" s="24" t="inlineStr">
        <is>
          <t>Sejmutí ornice a demolice stávajících kamenných zídek a schodiště v místě nového skladu+parkingu</t>
        </is>
      </c>
      <c r="F34" s="23" t="inlineStr">
        <is>
          <t>m³</t>
        </is>
      </c>
      <c r="G34" s="25" t="n">
        <v>8</v>
      </c>
      <c r="H34" s="26" t="n"/>
      <c r="I34" s="26">
        <f>IF(H34="",0,G34*H34)</f>
        <v/>
      </c>
      <c r="J34" s="23" t="inlineStr">
        <is>
          <t>ÚRS 2026</t>
        </is>
      </c>
      <c r="K34" s="27" t="inlineStr">
        <is>
          <t>✓ cross-discipline OK [evidence: https://www.cs-urs.cz/podminky/cu202/801-3-Budovy-a-haly---b]</t>
        </is>
      </c>
      <c r="L34" s="5" t="inlineStr">
        <is>
          <t>HSV-1 Zemní práce</t>
        </is>
      </c>
    </row>
    <row r="35">
      <c r="B35" s="17" t="n"/>
      <c r="C35" s="28" t="inlineStr">
        <is>
          <t>VV</t>
        </is>
      </c>
      <c r="D35" s="17" t="n"/>
      <c r="E35" s="29" t="inlineStr">
        <is>
          <t>TZ ARS sklad §3 — odstranění stávajících kamenných prvků (odhad)</t>
        </is>
      </c>
      <c r="F35" s="17" t="n"/>
      <c r="G35" s="30" t="n">
        <v>8</v>
      </c>
      <c r="H35" s="17" t="n"/>
      <c r="I35" s="17" t="n"/>
      <c r="J35" s="17" t="n"/>
      <c r="K35" s="17" t="n"/>
      <c r="L35" s="17" t="n"/>
    </row>
    <row r="36">
      <c r="B36" s="23" t="n">
        <v>2</v>
      </c>
      <c r="C36" s="23" t="inlineStr">
        <is>
          <t>K</t>
        </is>
      </c>
      <c r="D36" s="24" t="inlineStr">
        <is>
          <t>131201101</t>
        </is>
      </c>
      <c r="E36" s="24" t="inlineStr">
        <is>
          <t>Hloubení jam nezapažených pro objekt skladu v lichoběžníku 6,35 × 3,34 m, hl. do 1,2 m, hornina tř. 3</t>
        </is>
      </c>
      <c r="F36" s="23" t="inlineStr">
        <is>
          <t>m³</t>
        </is>
      </c>
      <c r="G36" s="25" t="n">
        <v>25.5</v>
      </c>
      <c r="H36" s="26" t="n"/>
      <c r="I36" s="26">
        <f>IF(H36="",0,G36*H36)</f>
        <v/>
      </c>
      <c r="J36" s="23" t="inlineStr">
        <is>
          <t>ÚRS 2026</t>
        </is>
      </c>
      <c r="K36" s="32" t="inlineStr">
        <is>
          <t>? needs production lookup</t>
        </is>
      </c>
      <c r="L36" s="5" t="inlineStr">
        <is>
          <t>HSV-1 Zemní práce</t>
        </is>
      </c>
    </row>
    <row r="37">
      <c r="B37" s="17" t="n"/>
      <c r="C37" s="28" t="inlineStr">
        <is>
          <t>VV</t>
        </is>
      </c>
      <c r="D37" s="17" t="n"/>
      <c r="E37" s="29" t="inlineStr">
        <is>
          <t>DXF: L=6.350 × W=3.340 × H=1.2 (DXF DIMENSION ověřeno)</t>
        </is>
      </c>
      <c r="F37" s="17" t="n"/>
      <c r="G37" s="30" t="n">
        <v>25.5</v>
      </c>
      <c r="H37" s="17" t="n"/>
      <c r="I37" s="17" t="n"/>
      <c r="J37" s="17" t="n"/>
      <c r="K37" s="17" t="n"/>
      <c r="L37" s="17" t="n"/>
    </row>
    <row r="38">
      <c r="B38" s="23" t="n">
        <v>3</v>
      </c>
      <c r="C38" s="23" t="inlineStr">
        <is>
          <t>K</t>
        </is>
      </c>
      <c r="D38" s="24" t="inlineStr">
        <is>
          <t>132201101</t>
        </is>
      </c>
      <c r="E38" s="24" t="inlineStr">
        <is>
          <t>Hloubení rýh pro betonové základové pasy 500×500 mm po obvodu skladu (nezámrzná hl. 1.0 m)</t>
        </is>
      </c>
      <c r="F38" s="23" t="inlineStr">
        <is>
          <t>m³</t>
        </is>
      </c>
      <c r="G38" s="25" t="n">
        <v>4.85</v>
      </c>
      <c r="H38" s="26" t="n"/>
      <c r="I38" s="26">
        <f>IF(H38="",0,G38*H38)</f>
        <v/>
      </c>
      <c r="J38" s="23" t="inlineStr">
        <is>
          <t>ÚRS 2026</t>
        </is>
      </c>
      <c r="K38" s="32" t="inlineStr">
        <is>
          <t>? needs production lookup</t>
        </is>
      </c>
      <c r="L38" s="5" t="inlineStr">
        <is>
          <t>HSV-1 Zemní práce</t>
        </is>
      </c>
    </row>
    <row r="39">
      <c r="B39" s="17" t="n"/>
      <c r="C39" s="28" t="inlineStr">
        <is>
          <t>VV</t>
        </is>
      </c>
      <c r="D39" s="17" t="n"/>
      <c r="E39" s="29" t="inlineStr">
        <is>
          <t>obvod 2×(6.35+3.34) × W=0.5 × H=0.5</t>
        </is>
      </c>
      <c r="F39" s="17" t="n"/>
      <c r="G39" s="30" t="n">
        <v>4.85</v>
      </c>
      <c r="H39" s="17" t="n"/>
      <c r="I39" s="17" t="n"/>
      <c r="J39" s="17" t="n"/>
      <c r="K39" s="17" t="n"/>
      <c r="L39" s="17" t="n"/>
    </row>
    <row r="40">
      <c r="B40" s="23" t="n">
        <v>4</v>
      </c>
      <c r="C40" s="23" t="inlineStr">
        <is>
          <t>K</t>
        </is>
      </c>
      <c r="D40" s="24" t="inlineStr">
        <is>
          <t>132211101</t>
        </is>
      </c>
      <c r="E40" s="24" t="inlineStr">
        <is>
          <t>Hloubení patek pro stojky IPE180 zastřešení parkingu, 500×500 mm × 1.0 m hl. × 6 ks</t>
        </is>
      </c>
      <c r="F40" s="23" t="inlineStr">
        <is>
          <t>m³</t>
        </is>
      </c>
      <c r="G40" s="25" t="n">
        <v>1.5</v>
      </c>
      <c r="H40" s="26" t="n"/>
      <c r="I40" s="26">
        <f>IF(H40="",0,G40*H40)</f>
        <v/>
      </c>
      <c r="J40" s="23" t="inlineStr">
        <is>
          <t>ÚRS 2026</t>
        </is>
      </c>
      <c r="K40" s="32" t="inlineStr">
        <is>
          <t>? needs production lookup</t>
        </is>
      </c>
      <c r="L40" s="5" t="inlineStr">
        <is>
          <t>HSV-1 Zemní práce</t>
        </is>
      </c>
    </row>
    <row r="41">
      <c r="B41" s="17" t="n"/>
      <c r="C41" s="28" t="inlineStr">
        <is>
          <t>VV</t>
        </is>
      </c>
      <c r="D41" s="17" t="n"/>
      <c r="E41" s="29" t="inlineStr">
        <is>
          <t>6 patek × 0.5 × 0.5 × 1.0 m hl. = 1.5 m³</t>
        </is>
      </c>
      <c r="F41" s="17" t="n"/>
      <c r="G41" s="30" t="n">
        <v>1.5</v>
      </c>
      <c r="H41" s="17" t="n"/>
      <c r="I41" s="17" t="n"/>
      <c r="J41" s="17" t="n"/>
      <c r="K41" s="17" t="n"/>
      <c r="L41" s="17" t="n"/>
    </row>
    <row r="42">
      <c r="B42" s="23" t="n">
        <v>5</v>
      </c>
      <c r="C42" s="23" t="inlineStr">
        <is>
          <t>K</t>
        </is>
      </c>
      <c r="D42" s="24" t="inlineStr">
        <is>
          <t>174101101</t>
        </is>
      </c>
      <c r="E42" s="24" t="inlineStr">
        <is>
          <t>Zhutněný štěrkopískový násyp pod podlahu skladu + štěrkopísek pro IPE patky</t>
        </is>
      </c>
      <c r="F42" s="23" t="inlineStr">
        <is>
          <t>m³</t>
        </is>
      </c>
      <c r="G42" s="25" t="n">
        <v>3.54</v>
      </c>
      <c r="H42" s="26" t="n"/>
      <c r="I42" s="26">
        <f>IF(H42="",0,G42*H42)</f>
        <v/>
      </c>
      <c r="J42" s="23" t="inlineStr">
        <is>
          <t>ÚRS 2026</t>
        </is>
      </c>
      <c r="K42" s="32" t="inlineStr">
        <is>
          <t>? needs production lookup</t>
        </is>
      </c>
      <c r="L42" s="5" t="inlineStr">
        <is>
          <t>HSV-1 Zemní práce</t>
        </is>
      </c>
    </row>
    <row r="43">
      <c r="B43" s="17" t="n"/>
      <c r="C43" s="28" t="inlineStr">
        <is>
          <t>VV</t>
        </is>
      </c>
      <c r="D43" s="17" t="n"/>
      <c r="E43" s="29" t="inlineStr">
        <is>
          <t>S01 plocha 23.6 m² (místnost 17.6 + vynos za stěnu 6.0 dle řezu) × 0.15 m podkladní drť 4-8 = 3.54 m³</t>
        </is>
      </c>
      <c r="F43" s="17" t="n"/>
      <c r="G43" s="30" t="n">
        <v>3.54</v>
      </c>
      <c r="H43" s="17" t="n"/>
      <c r="I43" s="17" t="n"/>
      <c r="J43" s="17" t="n"/>
      <c r="K43" s="17" t="n"/>
      <c r="L43" s="17" t="n"/>
    </row>
    <row r="44">
      <c r="B44" s="23" t="n">
        <v>6</v>
      </c>
      <c r="C44" s="23" t="inlineStr">
        <is>
          <t>K</t>
        </is>
      </c>
      <c r="D44" s="24" t="inlineStr"/>
      <c r="E44" s="24" t="inlineStr">
        <is>
          <t>Odvoz výkopku z hloubení skladu + figur + patek na deponii do 8 km</t>
        </is>
      </c>
      <c r="F44" s="23" t="inlineStr">
        <is>
          <t>m³</t>
        </is>
      </c>
      <c r="G44" s="25" t="n">
        <v>31.85</v>
      </c>
      <c r="H44" s="26" t="n"/>
      <c r="I44" s="26">
        <f>IF(H44="",0,G44*H44)</f>
        <v/>
      </c>
      <c r="J44" s="23" t="inlineStr">
        <is>
          <t>ÚRS 2026</t>
        </is>
      </c>
      <c r="K44" s="33" t="inlineStr">
        <is>
          <t>❌ MANUAL — KROS catalog lookup</t>
        </is>
      </c>
      <c r="L44" s="5" t="inlineStr">
        <is>
          <t>HSV-1 Zemní práce</t>
        </is>
      </c>
    </row>
    <row r="45">
      <c r="B45" s="17" t="n"/>
      <c r="C45" s="28" t="inlineStr">
        <is>
          <t>VV</t>
        </is>
      </c>
      <c r="D45" s="17" t="n"/>
      <c r="E45" s="29">
        <f> součet hloubení sklad + figura + patky (25.5+4.85+1.5)</f>
        <v/>
      </c>
      <c r="F45" s="17" t="n"/>
      <c r="G45" s="30" t="n">
        <v>31.85</v>
      </c>
      <c r="H45" s="17" t="n"/>
      <c r="I45" s="17" t="n"/>
      <c r="J45" s="17" t="n"/>
      <c r="K45" s="17" t="n"/>
      <c r="L45" s="17" t="n"/>
    </row>
    <row r="46">
      <c r="B46" s="23" t="n">
        <v>7</v>
      </c>
      <c r="C46" s="23" t="inlineStr">
        <is>
          <t>K</t>
        </is>
      </c>
      <c r="D46" s="24" t="inlineStr">
        <is>
          <t>564231111</t>
        </is>
      </c>
      <c r="E46" s="24" t="inlineStr">
        <is>
          <t>Kladecí lože z kamenné drti 4-8 mm tl. 40 mm pod betonovou dlažbu skladu</t>
        </is>
      </c>
      <c r="F46" s="23" t="inlineStr">
        <is>
          <t>m³</t>
        </is>
      </c>
      <c r="G46" s="25" t="n">
        <v>0.9399999999999999</v>
      </c>
      <c r="H46" s="26" t="n"/>
      <c r="I46" s="26">
        <f>IF(H46="",0,G46*H46)</f>
        <v/>
      </c>
      <c r="J46" s="23" t="inlineStr">
        <is>
          <t>ÚRS 2026</t>
        </is>
      </c>
      <c r="K46" s="32" t="inlineStr">
        <is>
          <t>? needs production lookup</t>
        </is>
      </c>
      <c r="L46" s="5" t="inlineStr">
        <is>
          <t>HSV-1 Zemní práce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S01 plocha 23.6 m² × 0.04 m = 0.94 m³</t>
        </is>
      </c>
      <c r="F47" s="17" t="n"/>
      <c r="G47" s="30" t="n">
        <v>0.9399999999999999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174101101</t>
        </is>
      </c>
      <c r="E48" s="24" t="inlineStr">
        <is>
          <t>Zásyp za prefabrikovanou opěrnou stěnou S04 — materiál dle PD (NEuveden v legendě, OVĚŘIT)</t>
        </is>
      </c>
      <c r="F48" s="23" t="inlineStr">
        <is>
          <t>m³</t>
        </is>
      </c>
      <c r="G48" s="25" t="n">
        <v>23.5</v>
      </c>
      <c r="H48" s="26" t="n"/>
      <c r="I48" s="26">
        <f>IF(H48="",0,G48*H48)</f>
        <v/>
      </c>
      <c r="J48" s="23" t="inlineStr">
        <is>
          <t>ÚRS 2026</t>
        </is>
      </c>
      <c r="K48" s="32" t="inlineStr">
        <is>
          <t>? needs production lookup</t>
        </is>
      </c>
      <c r="L48" s="5" t="inlineStr">
        <is>
          <t>HSV-1 Zemní práce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průřez zásypu 3.61 m² (řez A-A) × délka 6.5 m = 23.5 m³</t>
        </is>
      </c>
      <c r="F49" s="17" t="n"/>
      <c r="G49" s="30" t="n">
        <v>23.5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/>
      <c r="E50" s="24" t="inlineStr">
        <is>
          <t>Trubka Ø ~150 mm v štěrkovém obsypu podél vysokého pasu — drenáž/odvětrání radonu (OVĚŘIT)</t>
        </is>
      </c>
      <c r="F50" s="23" t="inlineStr">
        <is>
          <t>bm</t>
        </is>
      </c>
      <c r="G50" s="25" t="n">
        <v>6.35</v>
      </c>
      <c r="H50" s="26" t="n"/>
      <c r="I50" s="26">
        <f>IF(H50="",0,G50*H50)</f>
        <v/>
      </c>
      <c r="J50" s="23" t="inlineStr">
        <is>
          <t>ÚRS 2026</t>
        </is>
      </c>
      <c r="K50" s="33" t="inlineStr">
        <is>
          <t>❌ MANUAL — KROS catalog lookup</t>
        </is>
      </c>
      <c r="L50" s="5" t="inlineStr">
        <is>
          <t>HSV-1 Zemní práce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délka jako prefa stěna ≈ 6.35 m; Ø ~150 mm (měřeno z řezu, nepopsáno)</t>
        </is>
      </c>
      <c r="F51" s="17" t="n"/>
      <c r="G51" s="30" t="n">
        <v>6.35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/>
      <c r="E52" s="24" t="inlineStr">
        <is>
          <t>Trubka Ø 120-130 mm v štěrkovém obsypu podél stěny — drenáž/odvětrání radonu (OVĚŘIT)</t>
        </is>
      </c>
      <c r="F52" s="23" t="inlineStr">
        <is>
          <t>bm</t>
        </is>
      </c>
      <c r="G52" s="25" t="n">
        <v>6.01</v>
      </c>
      <c r="H52" s="26" t="n"/>
      <c r="I52" s="26">
        <f>IF(H52="",0,G52*H52)</f>
        <v/>
      </c>
      <c r="J52" s="23" t="inlineStr">
        <is>
          <t>ÚRS 2026</t>
        </is>
      </c>
      <c r="K52" s="33" t="inlineStr">
        <is>
          <t>❌ MANUAL — KROS catalog lookup</t>
        </is>
      </c>
      <c r="L52" s="5" t="inlineStr">
        <is>
          <t>HSV-1 Zemní práce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délka 6010 mm; Ø 120-130 mm (měřeno z řezu, nepopsáno)</t>
        </is>
      </c>
      <c r="F53" s="17" t="n"/>
      <c r="G53" s="30" t="n">
        <v>6.01</v>
      </c>
      <c r="H53" s="17" t="n"/>
      <c r="I53" s="17" t="n"/>
      <c r="J53" s="17" t="n"/>
      <c r="K53" s="17" t="n"/>
      <c r="L53" s="17" t="n"/>
    </row>
    <row r="54">
      <c r="B54" s="21" t="n"/>
      <c r="C54" s="22" t="inlineStr">
        <is>
          <t>D</t>
        </is>
      </c>
      <c r="D54" s="22" t="inlineStr">
        <is>
          <t>HSV-2</t>
        </is>
      </c>
      <c r="E54" s="22" t="inlineStr">
        <is>
          <t>HSV-2 Základové a ŽB</t>
        </is>
      </c>
      <c r="F54" s="21" t="n"/>
      <c r="G54" s="21" t="n"/>
      <c r="H54" s="21" t="n"/>
      <c r="I54" s="21" t="n"/>
      <c r="J54" s="21" t="n"/>
      <c r="K54" s="21" t="n"/>
      <c r="L54" s="21" t="n"/>
    </row>
    <row r="55">
      <c r="B55" s="23" t="n">
        <v>11</v>
      </c>
      <c r="C55" s="23" t="inlineStr">
        <is>
          <t>K</t>
        </is>
      </c>
      <c r="D55" s="24" t="inlineStr"/>
      <c r="E55" s="24" t="inlineStr">
        <is>
          <t>Základové pasy z prostého betonu C16/20 XC0, 500×500 mm po obvodu skladu (nezámrzná hl.)</t>
        </is>
      </c>
      <c r="F55" s="23" t="inlineStr">
        <is>
          <t>m³</t>
        </is>
      </c>
      <c r="G55" s="25" t="n">
        <v>4.84</v>
      </c>
      <c r="H55" s="26" t="n"/>
      <c r="I55" s="26">
        <f>IF(H55="",0,G55*H55)</f>
        <v/>
      </c>
      <c r="J55" s="23" t="inlineStr">
        <is>
          <t>ÚRS 2026</t>
        </is>
      </c>
      <c r="K55" s="33" t="inlineStr">
        <is>
          <t>❌ MANUAL — KROS catalog lookup</t>
        </is>
      </c>
      <c r="L55" s="5" t="inlineStr">
        <is>
          <t>HSV-2 Základové a ŽB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0.5 × 0.5 × 19.4 obvod = 4.85</t>
        </is>
      </c>
      <c r="F56" s="17" t="n"/>
      <c r="G56" s="30" t="n">
        <v>4.84</v>
      </c>
      <c r="H56" s="17" t="n"/>
      <c r="I56" s="17" t="n"/>
      <c r="J56" s="17" t="n"/>
      <c r="K56" s="17" t="n"/>
      <c r="L56" s="17" t="n"/>
    </row>
    <row r="57">
      <c r="B57" s="23" t="n">
        <v>12</v>
      </c>
      <c r="C57" s="23" t="inlineStr">
        <is>
          <t>K</t>
        </is>
      </c>
      <c r="D57" s="24" t="inlineStr">
        <is>
          <t>273313811</t>
        </is>
      </c>
      <c r="E57" s="24" t="inlineStr">
        <is>
          <t>Dvoustupňové patky pro IPE180 zastřešení parkingu — spodní část prostý beton C16/20 500×500×500 mm × 6 ks</t>
        </is>
      </c>
      <c r="F57" s="23" t="inlineStr">
        <is>
          <t>ks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https://www.cs-urs.cz/podminky/cu202/801-1-Budovy-a-haly---z]</t>
        </is>
      </c>
      <c r="L57" s="5" t="inlineStr">
        <is>
          <t>HSV-2 Základové a ŽB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6 ks (výkres D.1.1.02 — 6 štvercových patek pod IPE180)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13</v>
      </c>
      <c r="C59" s="23" t="inlineStr">
        <is>
          <t>K</t>
        </is>
      </c>
      <c r="D59" s="24" t="inlineStr">
        <is>
          <t>311233812</t>
        </is>
      </c>
      <c r="E59" s="24" t="inlineStr">
        <is>
          <t>Patky parking horní část — zdivo z tvárnic ztraceného bednění 300×300 mm (lost formwork, zůstává v konstrukci), 6 patek á 300×300×500 mm</t>
        </is>
      </c>
      <c r="F59" s="23" t="inlineStr">
        <is>
          <t>ks</t>
        </is>
      </c>
      <c r="G59" s="25" t="n">
        <v>6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HSV-2 Základové a ŽB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6 patek horní á 300×300×500 mm = 6 sloupků z tvárnic ZB 300×300 (á 2 řady po 250 = 12 tvárnic); zálivka C25/30 + výztuž samostatně (HSV2.004 / HSV3.003)</t>
        </is>
      </c>
      <c r="F60" s="17" t="n"/>
      <c r="G60" s="30" t="n">
        <v>6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273321321</t>
        </is>
      </c>
      <c r="E61" s="24" t="inlineStr">
        <is>
          <t>Beton C25/30 XC3 XF1 XA1 pro zalití tvarovek ZB patek + lemujících zídek parkingu</t>
        </is>
      </c>
      <c r="F61" s="23" t="inlineStr">
        <is>
          <t>m³</t>
        </is>
      </c>
      <c r="G61" s="25" t="n">
        <v>1.75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HSV-2 Základové a ŽB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patky horní (0.3×0.3×0.5×6 = 0.27) + věnec nad patkami 2 řady ztrac.bednění (0.5 v × 6.35 d × 0.3 š = 0.95) + zídka lemující (~0.5) = ~1.72 ≈ 1.75 m³</t>
        </is>
      </c>
      <c r="F62" s="17" t="n"/>
      <c r="G62" s="30" t="n">
        <v>1.75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174101101</t>
        </is>
      </c>
      <c r="E63" s="24" t="inlineStr">
        <is>
          <t>Štěrkopískové lože pod podlahu skladu + pod schodišťovou desku</t>
        </is>
      </c>
      <c r="F63" s="23" t="inlineStr">
        <is>
          <t>m³</t>
        </is>
      </c>
      <c r="G63" s="25" t="n">
        <v>1.76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cross-discipline OK [evidence: https://www.cs-urs.cz/podminky/cu201/800-1-Zemni-prace-(2020]</t>
        </is>
      </c>
      <c r="L63" s="5" t="inlineStr">
        <is>
          <t>HSV-2 Základové a ŽB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podlaha sklad 17.6 m² (legenda) × 0.10 m kladecí kamenná drť</t>
        </is>
      </c>
      <c r="F64" s="17" t="n"/>
      <c r="G64" s="30" t="n">
        <v>1.76</v>
      </c>
      <c r="H64" s="17" t="n"/>
      <c r="I64" s="17" t="n"/>
      <c r="J64" s="17" t="n"/>
      <c r="K64" s="17" t="n"/>
      <c r="L64" s="17" t="n"/>
    </row>
    <row r="65">
      <c r="B65" s="23" t="n">
        <v>16</v>
      </c>
      <c r="C65" s="23" t="inlineStr">
        <is>
          <t>K</t>
        </is>
      </c>
      <c r="D65" s="24" t="inlineStr">
        <is>
          <t>273361821</t>
        </is>
      </c>
      <c r="E65" s="24" t="inlineStr">
        <is>
          <t>ŽB schodišťová deska ve sklonu + základový pas — beton C25/30 XC3 (terén ke skladu)</t>
        </is>
      </c>
      <c r="F65" s="23" t="inlineStr">
        <is>
          <t>m³</t>
        </is>
      </c>
      <c r="G65" s="25" t="n">
        <v>0.8</v>
      </c>
      <c r="H65" s="26" t="n"/>
      <c r="I65" s="26">
        <f>IF(H65="",0,G65*H65)</f>
        <v/>
      </c>
      <c r="J65" s="23" t="inlineStr">
        <is>
          <t>ÚRS 2026</t>
        </is>
      </c>
      <c r="K65" s="32" t="inlineStr">
        <is>
          <t>? needs production lookup</t>
        </is>
      </c>
      <c r="L65" s="5" t="inlineStr">
        <is>
          <t>HSV-2 Základové a ŽB</t>
        </is>
      </c>
    </row>
    <row r="66">
      <c r="B66" s="17" t="n"/>
      <c r="C66" s="28" t="inlineStr">
        <is>
          <t>VV</t>
        </is>
      </c>
      <c r="D66" s="17" t="n"/>
      <c r="E66" s="29" t="inlineStr">
        <is>
          <t>odhad 3 m schodů × 0.8 × 0.30 = 0.72 (ručně)</t>
        </is>
      </c>
      <c r="F66" s="17" t="n"/>
      <c r="G66" s="30" t="n">
        <v>0.8</v>
      </c>
      <c r="H66" s="17" t="n"/>
      <c r="I66" s="17" t="n"/>
      <c r="J66" s="17" t="n"/>
      <c r="K66" s="17" t="n"/>
      <c r="L66" s="17" t="n"/>
    </row>
    <row r="67">
      <c r="B67" s="21" t="n"/>
      <c r="C67" s="22" t="inlineStr">
        <is>
          <t>D</t>
        </is>
      </c>
      <c r="D67" s="22" t="inlineStr">
        <is>
          <t>HSV-3</t>
        </is>
      </c>
      <c r="E67" s="22" t="inlineStr">
        <is>
          <t>HSV-3 Svislé konstrukce</t>
        </is>
      </c>
      <c r="F67" s="21" t="n"/>
      <c r="G67" s="21" t="n"/>
      <c r="H67" s="21" t="n"/>
      <c r="I67" s="21" t="n"/>
      <c r="J67" s="21" t="n"/>
      <c r="K67" s="21" t="n"/>
      <c r="L67" s="21" t="n"/>
    </row>
    <row r="68">
      <c r="B68" s="23" t="n">
        <v>17</v>
      </c>
      <c r="C68" s="23" t="inlineStr">
        <is>
          <t>K</t>
        </is>
      </c>
      <c r="D68" s="24" t="inlineStr">
        <is>
          <t>311233815</t>
        </is>
      </c>
      <c r="E68" s="24" t="inlineStr">
        <is>
          <t>Zadní opěrná stěna — prefabrikované betonové bloky Herkul H-BLOK Standard, vazba běhounová s posunem 0.5</t>
        </is>
      </c>
      <c r="F68" s="23" t="inlineStr">
        <is>
          <t>ks</t>
        </is>
      </c>
      <c r="G68" s="25" t="n">
        <v>18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HSV-3 Svislé konstrukce</t>
        </is>
      </c>
    </row>
    <row r="69">
      <c r="B69" s="17" t="n"/>
      <c r="C69" s="28" t="inlineStr">
        <is>
          <t>VV</t>
        </is>
      </c>
      <c r="D69" s="17" t="n"/>
      <c r="E69" s="29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F69" s="17" t="n"/>
      <c r="G69" s="30" t="n">
        <v>18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311233811</t>
        </is>
      </c>
      <c r="E70" s="24" t="inlineStr">
        <is>
          <t>Obvodové stěny skladu S03a/b — tvarovky ztraceného bednění tl. 250 mm, výška 14 řad × 250 = 3.5 m + zalití C25/30</t>
        </is>
      </c>
      <c r="F70" s="23" t="inlineStr">
        <is>
          <t>m²</t>
        </is>
      </c>
      <c r="G70" s="25" t="n">
        <v>62.5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HSV-3 Svislé konstrukce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3 strany trapézu (6010-1000 dveře)+(7000-600 prefa)+(7033-600 prefa)=17843 mm = 17.84 m × výška 14 řad×0.25 = 3.5 m = 62.5 m²</t>
        </is>
      </c>
      <c r="F71" s="17" t="n"/>
      <c r="G71" s="30" t="n">
        <v>62.5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273361821</t>
        </is>
      </c>
      <c r="E72" s="24" t="inlineStr">
        <is>
          <t>Výztuž B500B do tvarovek ztraceného bednění (~30 kg/m² stěny při zalití C25/30)</t>
        </is>
      </c>
      <c r="F72" s="23" t="inlineStr">
        <is>
          <t>kg</t>
        </is>
      </c>
      <c r="G72" s="25" t="n">
        <v>1875</v>
      </c>
      <c r="H72" s="26" t="n"/>
      <c r="I72" s="26">
        <f>IF(H72="",0,G72*H72)</f>
        <v/>
      </c>
      <c r="J72" s="23" t="inlineStr">
        <is>
          <t>ÚRS 2026</t>
        </is>
      </c>
      <c r="K72" s="31" t="inlineStr">
        <is>
          <t>⚠ family OK, leaf KROS lookup [evidence: https://www.cs-urs.cz/cenova-soustava-urs/]</t>
        </is>
      </c>
      <c r="L72" s="5" t="inlineStr">
        <is>
          <t>HSV-3 Svislé konstrukce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62.5 m² × 30 kg/m² (zalití C25/30) = 1875 kg</t>
        </is>
      </c>
      <c r="F73" s="17" t="n"/>
      <c r="G73" s="30" t="n">
        <v>1875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/>
      <c r="E74" s="24" t="inlineStr">
        <is>
          <t>Hydroizolace + protiradonová ochrana obvodových stěn (S03a) + opěrné stěny (S04) pod úrovní terénu — asfaltová penetrace + 2× HI a protiradonový pás z modif. asfaltu 2×4 mm</t>
        </is>
      </c>
      <c r="F74" s="23" t="inlineStr">
        <is>
          <t>m²</t>
        </is>
      </c>
      <c r="G74" s="25" t="n">
        <v>33</v>
      </c>
      <c r="H74" s="26" t="n"/>
      <c r="I74" s="26">
        <f>IF(H74="",0,G74*H74)</f>
        <v/>
      </c>
      <c r="J74" s="23" t="inlineStr">
        <is>
          <t>ÚRS 2026</t>
        </is>
      </c>
      <c r="K74" s="33" t="inlineStr">
        <is>
          <t>❌ MANUAL — KROS catalog lookup</t>
        </is>
      </c>
      <c r="L74" s="5" t="inlineStr">
        <is>
          <t>HSV-3 Svislé konstrukce</t>
        </is>
      </c>
    </row>
    <row r="75">
      <c r="B75" s="17" t="n"/>
      <c r="C75" s="28" t="inlineStr">
        <is>
          <t>VV</t>
        </is>
      </c>
      <c r="D75" s="17" t="n"/>
      <c r="E75" s="29">
        <f> S04 6.35×3.0 ≈19 + S03a 2×3.6×~2.0 ≈14 = 33 m² (řez D.1.1.03/04, OVĚŘIT)</f>
        <v/>
      </c>
      <c r="F75" s="17" t="n"/>
      <c r="G75" s="30" t="n">
        <v>33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/>
      <c r="E76" s="24" t="inlineStr">
        <is>
          <t>Drenážní vrstva — nopová folie tl. 20 mm na obvodové stěny (S03a) + opěrnou stěnu (S04) pod úrovní terénu</t>
        </is>
      </c>
      <c r="F76" s="23" t="inlineStr">
        <is>
          <t>m²</t>
        </is>
      </c>
      <c r="G76" s="25" t="n">
        <v>33</v>
      </c>
      <c r="H76" s="26" t="n"/>
      <c r="I76" s="26">
        <f>IF(H76="",0,G76*H76)</f>
        <v/>
      </c>
      <c r="J76" s="23" t="inlineStr">
        <is>
          <t>ÚRS 2026</t>
        </is>
      </c>
      <c r="K76" s="33" t="inlineStr">
        <is>
          <t>❌ MANUAL — KROS catalog lookup</t>
        </is>
      </c>
      <c r="L76" s="5" t="inlineStr">
        <is>
          <t>HSV-3 Svislé konstrukce</t>
        </is>
      </c>
    </row>
    <row r="77">
      <c r="B77" s="17" t="n"/>
      <c r="C77" s="28" t="inlineStr">
        <is>
          <t>VV</t>
        </is>
      </c>
      <c r="D77" s="17" t="n"/>
      <c r="E77" s="29">
        <f> plocha stěn pod terénem 33 m² (řez D.1.1.03/04, OVĚŘIT)</f>
        <v/>
      </c>
      <c r="F77" s="17" t="n"/>
      <c r="G77" s="30" t="n">
        <v>33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HSV-4</t>
        </is>
      </c>
      <c r="E78" s="22" t="inlineStr">
        <is>
          <t>HSV-4 Vodorovné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762341110</t>
        </is>
      </c>
      <c r="E79" s="24" t="inlineStr">
        <is>
          <t>Dřevěné stropnice 100/160 mm á 625 mm primární zastřešení skladu — rezivo C24 fungicidní</t>
        </is>
      </c>
      <c r="F79" s="23" t="inlineStr">
        <is>
          <t>bm</t>
        </is>
      </c>
      <c r="G79" s="25" t="n">
        <v>31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HSV-4 Vodorovné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10 ks (počítáno na výkrese D.1.1.02, rozteč 625 mm po 5850) × 3.1 m rozpon = 31 bm</t>
        </is>
      </c>
      <c r="F80" s="17" t="n"/>
      <c r="G80" s="30" t="n">
        <v>31</v>
      </c>
      <c r="H80" s="17" t="n"/>
      <c r="I80" s="17" t="n"/>
      <c r="J80" s="17" t="n"/>
      <c r="K80" s="17" t="n"/>
      <c r="L80" s="17" t="n"/>
    </row>
    <row r="81">
      <c r="B81" s="23" t="n">
        <v>23</v>
      </c>
      <c r="C81" s="23" t="inlineStr">
        <is>
          <t>K</t>
        </is>
      </c>
      <c r="D81" s="24" t="inlineStr">
        <is>
          <t>762331110</t>
        </is>
      </c>
      <c r="E81" s="24" t="inlineStr">
        <is>
          <t>Prkenný záklop stropnic skladu tl. 20 mm + impregnace</t>
        </is>
      </c>
      <c r="F81" s="23" t="inlineStr">
        <is>
          <t>m²</t>
        </is>
      </c>
      <c r="G81" s="25" t="n">
        <v>18.1</v>
      </c>
      <c r="H81" s="26" t="n"/>
      <c r="I81" s="26">
        <f>IF(H81="",0,G81*H81)</f>
        <v/>
      </c>
      <c r="J81" s="23" t="inlineStr">
        <is>
          <t>ÚRS 2026</t>
        </is>
      </c>
      <c r="K81" s="32" t="inlineStr">
        <is>
          <t>? needs production lookup</t>
        </is>
      </c>
      <c r="L81" s="5" t="inlineStr">
        <is>
          <t>HSV-4 Vodorovné</t>
        </is>
      </c>
    </row>
    <row r="82">
      <c r="B82" s="17" t="n"/>
      <c r="C82" s="28" t="inlineStr">
        <is>
          <t>VV</t>
        </is>
      </c>
      <c r="D82" s="17" t="n"/>
      <c r="E82" s="29" t="inlineStr">
        <is>
          <t>strop skladu nad trámy = 5.85 × 3.1 = 18.1 m² (báze 10 trámů)</t>
        </is>
      </c>
      <c r="F82" s="17" t="n"/>
      <c r="G82" s="30" t="n">
        <v>18.1</v>
      </c>
      <c r="H82" s="17" t="n"/>
      <c r="I82" s="17" t="n"/>
      <c r="J82" s="17" t="n"/>
      <c r="K82" s="17" t="n"/>
      <c r="L82" s="17" t="n"/>
    </row>
    <row r="83">
      <c r="B83" s="23" t="n">
        <v>24</v>
      </c>
      <c r="C83" s="23" t="inlineStr">
        <is>
          <t>K</t>
        </is>
      </c>
      <c r="D83" s="24" t="inlineStr">
        <is>
          <t>712331101</t>
        </is>
      </c>
      <c r="E83" s="24" t="inlineStr">
        <is>
          <t>Hydroizolační střešní souvrství skladu (modifikovaný asfaltový pás SBS + ochranná vrstva)</t>
        </is>
      </c>
      <c r="F83" s="23" t="inlineStr">
        <is>
          <t>m²</t>
        </is>
      </c>
      <c r="G83" s="25" t="n">
        <v>19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HSV-4 Vodorovné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18.1 × 1.05 přesah = 19.0 m²</t>
        </is>
      </c>
      <c r="F84" s="17" t="n"/>
      <c r="G84" s="30" t="n">
        <v>19</v>
      </c>
      <c r="H84" s="17" t="n"/>
      <c r="I84" s="17" t="n"/>
      <c r="J84" s="17" t="n"/>
      <c r="K84" s="17" t="n"/>
      <c r="L84" s="17" t="n"/>
    </row>
    <row r="85">
      <c r="B85" s="23" t="n">
        <v>25</v>
      </c>
      <c r="C85" s="23" t="inlineStr">
        <is>
          <t>K</t>
        </is>
      </c>
      <c r="D85" s="24" t="inlineStr">
        <is>
          <t>411321414</t>
        </is>
      </c>
      <c r="E85" s="24" t="inlineStr">
        <is>
          <t>Sekundární zastřešení parkingu — IPE180 v rozteči 1000 mm × délka 6 m × 6 ks</t>
        </is>
      </c>
      <c r="F85" s="23" t="inlineStr">
        <is>
          <t>kg</t>
        </is>
      </c>
      <c r="G85" s="25" t="n">
        <v>790</v>
      </c>
      <c r="H85" s="26" t="n"/>
      <c r="I85" s="26">
        <f>IF(H85="",0,G85*H85)</f>
        <v/>
      </c>
      <c r="J85" s="23" t="inlineStr">
        <is>
          <t>ÚRS 2026</t>
        </is>
      </c>
      <c r="K85" s="32" t="inlineStr">
        <is>
          <t>? needs production lookup</t>
        </is>
      </c>
      <c r="L85" s="5" t="inlineStr">
        <is>
          <t>HSV-4 Vodorovné</t>
        </is>
      </c>
    </row>
    <row r="86">
      <c r="B86" s="17" t="n"/>
      <c r="C86" s="28" t="inlineStr">
        <is>
          <t>VV</t>
        </is>
      </c>
      <c r="D86" s="17" t="n"/>
      <c r="E86" s="29" t="inlineStr">
        <is>
          <t>6 ks IPE180 × 7.0 m × 18.8 kg/m = 789.6 → 790 kg (výkres D.1.1.02: 6 nosníků)</t>
        </is>
      </c>
      <c r="F86" s="17" t="n"/>
      <c r="G86" s="30" t="n">
        <v>790</v>
      </c>
      <c r="H86" s="17" t="n"/>
      <c r="I86" s="17" t="n"/>
      <c r="J86" s="17" t="n"/>
      <c r="K86" s="17" t="n"/>
      <c r="L86" s="17" t="n"/>
    </row>
    <row r="87">
      <c r="B87" s="23" t="n">
        <v>26</v>
      </c>
      <c r="C87" s="23" t="inlineStr">
        <is>
          <t>K</t>
        </is>
      </c>
      <c r="D87" s="24" t="inlineStr">
        <is>
          <t>411321515</t>
        </is>
      </c>
      <c r="E87" s="24" t="inlineStr">
        <is>
          <t>Pojezdové ocelové pororošty demontovatelné — povrch parkingu (žárově zinkováno)</t>
        </is>
      </c>
      <c r="F87" s="23" t="inlineStr">
        <is>
          <t>m²</t>
        </is>
      </c>
      <c r="G87" s="25" t="n">
        <v>44.6</v>
      </c>
      <c r="H87" s="26" t="n"/>
      <c r="I87" s="26">
        <f>IF(H87="",0,G87*H87)</f>
        <v/>
      </c>
      <c r="J87" s="23" t="inlineStr">
        <is>
          <t>ÚRS 2026</t>
        </is>
      </c>
      <c r="K87" s="31" t="inlineStr">
        <is>
          <t>⚠ family OK, leaf KROS lookup [evidence: https://www.cs-urs.cz/cenova-soustava-urs/]</t>
        </is>
      </c>
      <c r="L87" s="5" t="inlineStr">
        <is>
          <t>HSV-4 Vodorovné</t>
        </is>
      </c>
    </row>
    <row r="88">
      <c r="B88" s="17" t="n"/>
      <c r="C88" s="28" t="inlineStr">
        <is>
          <t>VV</t>
        </is>
      </c>
      <c r="D88" s="17" t="n"/>
      <c r="E88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88" s="17" t="n"/>
      <c r="G88" s="30" t="n">
        <v>44.6</v>
      </c>
      <c r="H88" s="17" t="n"/>
      <c r="I88" s="17" t="n"/>
      <c r="J88" s="17" t="n"/>
      <c r="K88" s="17" t="n"/>
      <c r="L88" s="17" t="n"/>
    </row>
    <row r="89">
      <c r="B89" s="23" t="n">
        <v>27</v>
      </c>
      <c r="C89" s="23" t="inlineStr">
        <is>
          <t>K</t>
        </is>
      </c>
      <c r="D89" s="24" t="inlineStr">
        <is>
          <t>783201001</t>
        </is>
      </c>
      <c r="E89" s="24" t="inlineStr">
        <is>
          <t>Žárově zinková povrchová úprava IPE180 + pororoštů dle ČSN EN ISO 12944 (C3 prostředí)</t>
        </is>
      </c>
      <c r="F89" s="23" t="inlineStr">
        <is>
          <t>kg</t>
        </is>
      </c>
      <c r="G89" s="25" t="n">
        <v>1420</v>
      </c>
      <c r="H89" s="26" t="n"/>
      <c r="I89" s="26">
        <f>IF(H89="",0,G89*H89)</f>
        <v/>
      </c>
      <c r="J89" s="23" t="inlineStr">
        <is>
          <t>ÚRS 2026</t>
        </is>
      </c>
      <c r="K89" s="32" t="inlineStr">
        <is>
          <t>? needs production lookup</t>
        </is>
      </c>
      <c r="L89" s="5" t="inlineStr">
        <is>
          <t>HSV-4 Vodorovné</t>
        </is>
      </c>
    </row>
    <row r="90">
      <c r="B90" s="17" t="n"/>
      <c r="C90" s="28" t="inlineStr">
        <is>
          <t>VV</t>
        </is>
      </c>
      <c r="D90" s="17" t="n"/>
      <c r="E90" s="29" t="inlineStr">
        <is>
          <t>IPE 790 kg + pororošt 630 kg = 1420 kg žárově zinkováno (IPE 6 ks)</t>
        </is>
      </c>
      <c r="F90" s="17" t="n"/>
      <c r="G90" s="30" t="n">
        <v>1420</v>
      </c>
      <c r="H90" s="17" t="n"/>
      <c r="I90" s="17" t="n"/>
      <c r="J90" s="17" t="n"/>
      <c r="K90" s="17" t="n"/>
      <c r="L90" s="17" t="n"/>
    </row>
    <row r="91">
      <c r="B91" s="21" t="n"/>
      <c r="C91" s="22" t="inlineStr">
        <is>
          <t>D</t>
        </is>
      </c>
      <c r="D91" s="22" t="inlineStr">
        <is>
          <t>HSV-5</t>
        </is>
      </c>
      <c r="E91" s="22" t="inlineStr">
        <is>
          <t>HSV-5 Komunikace + schodiště</t>
        </is>
      </c>
      <c r="F91" s="21" t="n"/>
      <c r="G91" s="21" t="n"/>
      <c r="H91" s="21" t="n"/>
      <c r="I91" s="21" t="n"/>
      <c r="J91" s="21" t="n"/>
      <c r="K91" s="21" t="n"/>
      <c r="L91" s="21" t="n"/>
    </row>
    <row r="92">
      <c r="B92" s="23" t="n">
        <v>28</v>
      </c>
      <c r="C92" s="23" t="inlineStr">
        <is>
          <t>K</t>
        </is>
      </c>
      <c r="D92" s="24" t="inlineStr">
        <is>
          <t>121301101</t>
        </is>
      </c>
      <c r="E92" s="24" t="inlineStr">
        <is>
          <t>Schodiště S05 — prefabrikované betonové stupně (2× 9 stupňů 179.5×250 + mezipodesta)</t>
        </is>
      </c>
      <c r="F92" s="23" t="inlineStr">
        <is>
          <t>m²</t>
        </is>
      </c>
      <c r="G92" s="25" t="n">
        <v>5.5</v>
      </c>
      <c r="H92" s="26" t="n"/>
      <c r="I92" s="26">
        <f>IF(H92="",0,G92*H92)</f>
        <v/>
      </c>
      <c r="J92" s="23" t="inlineStr">
        <is>
          <t>ÚRS 2026</t>
        </is>
      </c>
      <c r="K92" s="32" t="inlineStr">
        <is>
          <t>? needs production lookup</t>
        </is>
      </c>
      <c r="L92" s="5" t="inlineStr">
        <is>
          <t>HSV-5 Komunikace + schodiště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DXF sklad_DPZ km_tabulka místností: room 1.02 schodiště plocha = 5.50 m². 9 stupňů 179.5×250 mm vyznačené v půdoryse parking sheet (Phase 3.5 cross-check)</t>
        </is>
      </c>
      <c r="F93" s="17" t="n"/>
      <c r="G93" s="30" t="n">
        <v>5.5</v>
      </c>
      <c r="H93" s="17" t="n"/>
      <c r="I93" s="17" t="n"/>
      <c r="J93" s="17" t="n"/>
      <c r="K93" s="17" t="n"/>
      <c r="L93" s="17" t="n"/>
    </row>
    <row r="94">
      <c r="B94" s="19" t="n"/>
      <c r="C94" s="20" t="inlineStr">
        <is>
          <t>D</t>
        </is>
      </c>
      <c r="D94" s="20" t="inlineStr">
        <is>
          <t>PSV</t>
        </is>
      </c>
      <c r="E94" s="20" t="inlineStr">
        <is>
          <t>Práce a dodávky PSV</t>
        </is>
      </c>
      <c r="F94" s="19" t="n"/>
      <c r="G94" s="19" t="n"/>
      <c r="H94" s="19" t="n"/>
      <c r="I94" s="19" t="n"/>
      <c r="J94" s="19" t="n"/>
      <c r="K94" s="19" t="n"/>
      <c r="L94" s="19" t="n"/>
    </row>
    <row r="95">
      <c r="B95" s="21" t="n"/>
      <c r="C95" s="22" t="inlineStr">
        <is>
          <t>D</t>
        </is>
      </c>
      <c r="D95" s="22" t="inlineStr">
        <is>
          <t>PSV-76</t>
        </is>
      </c>
      <c r="E95" s="22" t="inlineStr">
        <is>
          <t>PSV-76 Výplně otvorů</t>
        </is>
      </c>
      <c r="F95" s="21" t="n"/>
      <c r="G95" s="21" t="n"/>
      <c r="H95" s="21" t="n"/>
      <c r="I95" s="21" t="n"/>
      <c r="J95" s="21" t="n"/>
      <c r="K95" s="21" t="n"/>
      <c r="L95" s="21" t="n"/>
    </row>
    <row r="96">
      <c r="B96" s="23" t="n">
        <v>29</v>
      </c>
      <c r="C96" s="23" t="inlineStr">
        <is>
          <t>K</t>
        </is>
      </c>
      <c r="D96" s="24" t="inlineStr">
        <is>
          <t>766682111</t>
        </is>
      </c>
      <c r="E96" s="24" t="inlineStr">
        <is>
          <t>Bezpečnostní dveře RC3 v ocelové zárubni — vrata skladu (TZ statika §1.4 RC3 certifikované)</t>
        </is>
      </c>
      <c r="F96" s="23" t="inlineStr">
        <is>
          <t>ks</t>
        </is>
      </c>
      <c r="G96" s="25" t="n">
        <v>1</v>
      </c>
      <c r="H96" s="26" t="n"/>
      <c r="I96" s="26">
        <f>IF(H96="",0,G96*H96)</f>
        <v/>
      </c>
      <c r="J96" s="23" t="inlineStr">
        <is>
          <t>ÚRS 2026</t>
        </is>
      </c>
      <c r="K96" s="32" t="inlineStr">
        <is>
          <t>? needs production lookup</t>
        </is>
      </c>
      <c r="L96" s="5" t="inlineStr">
        <is>
          <t>PSV-76 Výplně otvorů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 ks vstupní dveře skladu</t>
        </is>
      </c>
      <c r="F97" s="17" t="n"/>
      <c r="G97" s="30" t="n">
        <v>1</v>
      </c>
      <c r="H97" s="17" t="n"/>
      <c r="I97" s="17" t="n"/>
      <c r="J97" s="17" t="n"/>
      <c r="K97" s="17" t="n"/>
      <c r="L97" s="17" t="n"/>
    </row>
    <row r="98">
      <c r="B98" s="21" t="n"/>
      <c r="C98" s="22" t="inlineStr">
        <is>
          <t>D</t>
        </is>
      </c>
      <c r="D98" s="22" t="inlineStr">
        <is>
          <t>PSV-76</t>
        </is>
      </c>
      <c r="E98" s="22" t="inlineStr">
        <is>
          <t>PSV-76 Zámečnictví</t>
        </is>
      </c>
      <c r="F98" s="21" t="n"/>
      <c r="G98" s="21" t="n"/>
      <c r="H98" s="21" t="n"/>
      <c r="I98" s="21" t="n"/>
      <c r="J98" s="21" t="n"/>
      <c r="K98" s="21" t="n"/>
      <c r="L98" s="21" t="n"/>
    </row>
    <row r="99">
      <c r="B99" s="23" t="n">
        <v>30</v>
      </c>
      <c r="C99" s="23" t="inlineStr">
        <is>
          <t>K</t>
        </is>
      </c>
      <c r="D99" s="24" t="inlineStr"/>
      <c r="E99" s="24" t="inlineStr">
        <is>
          <t>Vjezdová brána na pozemku investora (ocelová) — dodávka + montáž</t>
        </is>
      </c>
      <c r="F99" s="23" t="inlineStr">
        <is>
          <t>ks</t>
        </is>
      </c>
      <c r="G99" s="25" t="n">
        <v>1</v>
      </c>
      <c r="H99" s="26" t="n"/>
      <c r="I99" s="26">
        <f>IF(H99="",0,G99*H99)</f>
        <v/>
      </c>
      <c r="J99" s="23" t="inlineStr">
        <is>
          <t>ÚRS 2026</t>
        </is>
      </c>
      <c r="K99" s="33" t="inlineStr">
        <is>
          <t>❌ MANUAL — KROS catalog lookup</t>
        </is>
      </c>
      <c r="L99" s="5" t="inlineStr">
        <is>
          <t>PSV-76 Zámečnictví</t>
        </is>
      </c>
    </row>
    <row r="100">
      <c r="B100" s="17" t="n"/>
      <c r="C100" s="28" t="inlineStr">
        <is>
          <t>VV</t>
        </is>
      </c>
      <c r="D100" s="17" t="n"/>
      <c r="E100" s="29">
        <f> 1 brána (Dodatek PD č.1)</f>
        <v/>
      </c>
      <c r="F100" s="17" t="n"/>
      <c r="G100" s="30" t="n">
        <v>1</v>
      </c>
      <c r="H100" s="17" t="n"/>
      <c r="I100" s="17" t="n"/>
      <c r="J100" s="17" t="n"/>
      <c r="K100" s="17" t="n"/>
      <c r="L100" s="17" t="n"/>
    </row>
    <row r="101">
      <c r="B101" s="21" t="n"/>
      <c r="C101" s="22" t="inlineStr">
        <is>
          <t>D</t>
        </is>
      </c>
      <c r="D101" s="22" t="inlineStr">
        <is>
          <t>PSV-77</t>
        </is>
      </c>
      <c r="E101" s="22" t="inlineStr">
        <is>
          <t>PSV-77 Podlahy</t>
        </is>
      </c>
      <c r="F101" s="21" t="n"/>
      <c r="G101" s="21" t="n"/>
      <c r="H101" s="21" t="n"/>
      <c r="I101" s="21" t="n"/>
      <c r="J101" s="21" t="n"/>
      <c r="K101" s="21" t="n"/>
      <c r="L101" s="21" t="n"/>
    </row>
    <row r="102">
      <c r="B102" s="23" t="n">
        <v>31</v>
      </c>
      <c r="C102" s="23" t="inlineStr">
        <is>
          <t>K</t>
        </is>
      </c>
      <c r="D102" s="24" t="inlineStr"/>
      <c r="E102" s="24" t="inlineStr">
        <is>
          <t>Betonová dlažba 50 mm do kladecího lože — podlaha skladu + vynos za stěnu</t>
        </is>
      </c>
      <c r="F102" s="23" t="inlineStr">
        <is>
          <t>m²</t>
        </is>
      </c>
      <c r="G102" s="25" t="n">
        <v>23.6</v>
      </c>
      <c r="H102" s="26" t="n"/>
      <c r="I102" s="26">
        <f>IF(H102="",0,G102*H102)</f>
        <v/>
      </c>
      <c r="J102" s="23" t="inlineStr">
        <is>
          <t>ÚRS 2026</t>
        </is>
      </c>
      <c r="K102" s="33" t="inlineStr">
        <is>
          <t>❌ MANUAL — KROS catalog lookup</t>
        </is>
      </c>
      <c r="L102" s="5" t="inlineStr">
        <is>
          <t>PSV-77 Podlahy</t>
        </is>
      </c>
    </row>
    <row r="103">
      <c r="B103" s="17" t="n"/>
      <c r="C103" s="28" t="inlineStr">
        <is>
          <t>VV</t>
        </is>
      </c>
      <c r="D103" s="17" t="n"/>
      <c r="E103" s="29" t="inlineStr">
        <is>
          <t>plocha S01 = místnost 17.6 (legenda) + vynos za stěnu 6.0 (6010×1000 řez) = 23.6 m²</t>
        </is>
      </c>
      <c r="F103" s="17" t="n"/>
      <c r="G103" s="30" t="n">
        <v>23.6</v>
      </c>
      <c r="H103" s="17" t="n"/>
      <c r="I103" s="17" t="n"/>
      <c r="J103" s="17" t="n"/>
      <c r="K103" s="17" t="n"/>
      <c r="L103" s="17" t="n"/>
    </row>
    <row r="104">
      <c r="B104" s="19" t="n"/>
      <c r="C104" s="20" t="inlineStr">
        <is>
          <t>D</t>
        </is>
      </c>
      <c r="D104" s="20" t="inlineStr">
        <is>
          <t>VRN</t>
        </is>
      </c>
      <c r="E104" s="20" t="inlineStr">
        <is>
          <t>Vedlejší rozpočtové náklady</t>
        </is>
      </c>
      <c r="F104" s="19" t="n"/>
      <c r="G104" s="19" t="n"/>
      <c r="H104" s="19" t="n"/>
      <c r="I104" s="19" t="n"/>
      <c r="J104" s="19" t="n"/>
      <c r="K104" s="19" t="n"/>
      <c r="L104" s="19" t="n"/>
    </row>
    <row r="105">
      <c r="B105" s="21" t="n"/>
      <c r="C105" s="22" t="inlineStr">
        <is>
          <t>D</t>
        </is>
      </c>
      <c r="D105" s="22" t="inlineStr">
        <is>
          <t>VRN</t>
        </is>
      </c>
      <c r="E105" s="22" t="inlineStr">
        <is>
          <t>VRN — Společné</t>
        </is>
      </c>
      <c r="F105" s="21" t="n"/>
      <c r="G105" s="21" t="n"/>
      <c r="H105" s="21" t="n"/>
      <c r="I105" s="21" t="n"/>
      <c r="J105" s="21" t="n"/>
      <c r="K105" s="21" t="n"/>
      <c r="L105" s="21" t="n"/>
    </row>
    <row r="106">
      <c r="B106" s="23" t="n">
        <v>32</v>
      </c>
      <c r="C106" s="23" t="inlineStr">
        <is>
          <t>K</t>
        </is>
      </c>
      <c r="D106" s="24" t="inlineStr">
        <is>
          <t>030001000</t>
        </is>
      </c>
      <c r="E106" s="24" t="inlineStr">
        <is>
          <t>Podíl na obecných VRN domu (buňky, BOZP, pojištění, kolaudace) — paušál ~10 % nákladů sklad nebo % alokace</t>
        </is>
      </c>
      <c r="F106" s="23" t="inlineStr">
        <is>
          <t>paušál</t>
        </is>
      </c>
      <c r="G106" s="25" t="n">
        <v>1</v>
      </c>
      <c r="H106" s="26" t="n"/>
      <c r="I106" s="26">
        <f>IF(H106="",0,G106*H106)</f>
        <v/>
      </c>
      <c r="J106" s="23" t="inlineStr">
        <is>
          <t>ÚRS 2026</t>
        </is>
      </c>
      <c r="K106" s="32" t="inlineStr">
        <is>
          <t>? needs production lookup</t>
        </is>
      </c>
      <c r="L106" s="5" t="inlineStr">
        <is>
          <t>VRN — Společné</t>
        </is>
      </c>
    </row>
    <row r="107">
      <c r="B107" s="17" t="n"/>
      <c r="C107" s="28" t="inlineStr">
        <is>
          <t>VV</t>
        </is>
      </c>
      <c r="D107" s="17" t="n"/>
      <c r="E107" s="29" t="inlineStr">
        <is>
          <t>Standard paušální alokace VRN pro paralelně realizovaný menší objekt</t>
        </is>
      </c>
      <c r="F107" s="17" t="n"/>
      <c r="G107" s="30" t="n">
        <v>1</v>
      </c>
      <c r="H107" s="17" t="n"/>
      <c r="I107" s="17" t="n"/>
      <c r="J107" s="17" t="n"/>
      <c r="K107" s="17" t="n"/>
      <c r="L107" s="17" t="n"/>
    </row>
    <row r="108">
      <c r="B108" s="21" t="n"/>
      <c r="C108" s="22" t="inlineStr">
        <is>
          <t>D</t>
        </is>
      </c>
      <c r="D108" s="22" t="inlineStr">
        <is>
          <t>VRN</t>
        </is>
      </c>
      <c r="E108" s="22" t="inlineStr">
        <is>
          <t>VRN — Doprava + odpad</t>
        </is>
      </c>
      <c r="F108" s="21" t="n"/>
      <c r="G108" s="21" t="n"/>
      <c r="H108" s="21" t="n"/>
      <c r="I108" s="21" t="n"/>
      <c r="J108" s="21" t="n"/>
      <c r="K108" s="21" t="n"/>
      <c r="L108" s="21" t="n"/>
    </row>
    <row r="109">
      <c r="B109" s="23" t="n">
        <v>33</v>
      </c>
      <c r="C109" s="23" t="inlineStr">
        <is>
          <t>K</t>
        </is>
      </c>
      <c r="D109" s="24" t="inlineStr">
        <is>
          <t>031032000</t>
        </is>
      </c>
      <c r="E109" s="24" t="inlineStr">
        <is>
          <t>Doprava prefa H-BLOK Standard z výrobny Herkul (Obrnice) auto s hydraulickou rukou — celkem ~60 ks bloků</t>
        </is>
      </c>
      <c r="F109" s="23" t="inlineStr">
        <is>
          <t>kpl</t>
        </is>
      </c>
      <c r="G109" s="25" t="n">
        <v>1</v>
      </c>
      <c r="H109" s="26" t="n"/>
      <c r="I109" s="26">
        <f>IF(H109="",0,G109*H109)</f>
        <v/>
      </c>
      <c r="J109" s="23" t="inlineStr">
        <is>
          <t>ÚRS 2026</t>
        </is>
      </c>
      <c r="K109" s="32" t="inlineStr">
        <is>
          <t>? needs production lookup</t>
        </is>
      </c>
      <c r="L109" s="5" t="inlineStr">
        <is>
          <t>VRN — Doprava + odpad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Standard doprava prefa Herkul autem s hyd. rukou pro lokální distribuci</t>
        </is>
      </c>
      <c r="F110" s="17" t="n"/>
      <c r="G110" s="30" t="n">
        <v>1</v>
      </c>
      <c r="H110" s="17" t="n"/>
      <c r="I110" s="17" t="n"/>
      <c r="J110" s="17" t="n"/>
      <c r="K110" s="17" t="n"/>
      <c r="L110" s="17" t="n"/>
    </row>
    <row r="111">
      <c r="B111" s="23" t="n">
        <v>34</v>
      </c>
      <c r="C111" s="23" t="inlineStr">
        <is>
          <t>K</t>
        </is>
      </c>
      <c r="D111" s="24" t="inlineStr">
        <is>
          <t>997013211</t>
        </is>
      </c>
      <c r="E111" s="24" t="inlineStr">
        <is>
          <t>Likvidace odpadu sklad — kameny ze zídek + výkop + dřevo (drobné množství)</t>
        </is>
      </c>
      <c r="F111" s="23" t="inlineStr">
        <is>
          <t>t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2" t="inlineStr">
        <is>
          <t>? needs production lookup</t>
        </is>
      </c>
      <c r="L111" s="5" t="inlineStr">
        <is>
          <t>VRN — Doprava + odpad</t>
        </is>
      </c>
    </row>
    <row r="112">
      <c r="B112" s="17" t="n"/>
      <c r="C112" s="28" t="inlineStr">
        <is>
          <t>VV</t>
        </is>
      </c>
      <c r="D112" s="17" t="n"/>
      <c r="E112" s="29" t="inlineStr">
        <is>
          <t>Odhad: kamenné zídky ~6 t + dřevo+výkop ~2 t = 8 t</t>
        </is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1" t="n"/>
      <c r="C113" s="22" t="inlineStr">
        <is>
          <t>D</t>
        </is>
      </c>
      <c r="D113" s="22" t="inlineStr">
        <is>
          <t>VRN</t>
        </is>
      </c>
      <c r="E113" s="22" t="inlineStr">
        <is>
          <t>VRN — Geodet</t>
        </is>
      </c>
      <c r="F113" s="21" t="n"/>
      <c r="G113" s="21" t="n"/>
      <c r="H113" s="21" t="n"/>
      <c r="I113" s="21" t="n"/>
      <c r="J113" s="21" t="n"/>
      <c r="K113" s="21" t="n"/>
      <c r="L113" s="21" t="n"/>
    </row>
    <row r="114">
      <c r="B114" s="23" t="n">
        <v>35</v>
      </c>
      <c r="C114" s="23" t="inlineStr">
        <is>
          <t>K</t>
        </is>
      </c>
      <c r="D114" s="24" t="inlineStr">
        <is>
          <t>030141000</t>
        </is>
      </c>
      <c r="E114" s="24" t="inlineStr">
        <is>
          <t>Geodetické vytýčení sklad+parking+schodiště ze situace (před realizací)</t>
        </is>
      </c>
      <c r="F114" s="23" t="inlineStr">
        <is>
          <t>kpl</t>
        </is>
      </c>
      <c r="G114" s="25" t="n">
        <v>1</v>
      </c>
      <c r="H114" s="26" t="n"/>
      <c r="I114" s="26">
        <f>IF(H114="",0,G114*H114)</f>
        <v/>
      </c>
      <c r="J114" s="23" t="inlineStr">
        <is>
          <t>ÚRS 2026</t>
        </is>
      </c>
      <c r="K114" s="32" t="inlineStr">
        <is>
          <t>? needs production lookup</t>
        </is>
      </c>
      <c r="L114" s="5" t="inlineStr">
        <is>
          <t>VRN — Geodet</t>
        </is>
      </c>
    </row>
    <row r="115">
      <c r="B115" s="17" t="n"/>
      <c r="C115" s="28" t="inlineStr">
        <is>
          <t>VV</t>
        </is>
      </c>
      <c r="D115" s="17" t="n"/>
      <c r="E115" s="29" t="inlineStr">
        <is>
          <t>Standard geodet vytýčení pro nový objekt</t>
        </is>
      </c>
      <c r="F115" s="17" t="n"/>
      <c r="G115" s="30" t="n">
        <v>1</v>
      </c>
      <c r="H115" s="17" t="n"/>
      <c r="I115" s="17" t="n"/>
      <c r="J115" s="17" t="n"/>
      <c r="K115" s="17" t="n"/>
      <c r="L115" s="17" t="n"/>
    </row>
  </sheetData>
  <mergeCells count="11">
    <mergeCell ref="C7:K7"/>
    <mergeCell ref="C11:K11"/>
    <mergeCell ref="B14:K14"/>
    <mergeCell ref="C10:K10"/>
    <mergeCell ref="C5:K5"/>
    <mergeCell ref="B30:K30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66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50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180</v>
      </c>
    </row>
    <row r="10">
      <c r="B10" s="8" t="inlineStr">
        <is>
          <t>CELKEM AKTIVNÍ</t>
        </is>
      </c>
      <c r="C10" s="34" t="n">
        <v>243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260219_dum.HSV7.006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622521111</t>
        </is>
      </c>
      <c r="F56" s="24" t="inlineStr"/>
      <c r="G56" s="24" t="inlineStr">
        <is>
          <t>Tenkovrstvá pastovitá probarvená omítka, lomená bílá NCS NZÚ — finální</t>
        </is>
      </c>
      <c r="H56" s="24" t="inlineStr">
        <is>
          <t>⚠ family OK, leaf KROS lookup [evidence: https://www.cz.weber/ncs-odstiny-dle-nzu-2023]</t>
        </is>
      </c>
    </row>
    <row r="57">
      <c r="B57" s="24" t="inlineStr">
        <is>
          <t>260219_dum.PSV71.001</t>
        </is>
      </c>
      <c r="C57" s="24" t="inlineStr">
        <is>
          <t>260219_dum</t>
        </is>
      </c>
      <c r="D57" s="24" t="inlineStr">
        <is>
          <t>PSV-71 Izolace HI</t>
        </is>
      </c>
      <c r="E57" s="24" t="inlineStr">
        <is>
          <t>712311101</t>
        </is>
      </c>
      <c r="F57" s="24" t="inlineStr"/>
      <c r="G57" s="24" t="inlineStr">
        <is>
          <t>Hydroizolace pod ŽB deskou 1.NP — modifikované asfaltové pásy SBS 2× (</t>
        </is>
      </c>
      <c r="H57" s="24" t="inlineStr">
        <is>
          <t>⚠ family OK, leaf KROS lookup [evidence: https://stavimbydlim.cz/postup-hydroizolace-zakladove-desky-]</t>
        </is>
      </c>
    </row>
    <row r="58">
      <c r="B58" s="24" t="inlineStr">
        <is>
          <t>260219_dum.PSV71.002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712381111</t>
        </is>
      </c>
      <c r="F58" s="24" t="inlineStr"/>
      <c r="G58" s="24" t="inlineStr">
        <is>
          <t xml:space="preserve">Odvětrání radonu z podloží — perforované DN50 trubky v štěrkovém loži </t>
        </is>
      </c>
      <c r="H58" s="24" t="inlineStr">
        <is>
          <t>⚠ family OK, leaf KROS lookup [evidence: https://cze.sika.com/cs/produkty-pro-stavebnictvi/hydroizola]</t>
        </is>
      </c>
    </row>
    <row r="59">
      <c r="B59" s="24" t="inlineStr">
        <is>
          <t>260219_dum.PSV71.003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/>
      <c r="F59" s="24" t="inlineStr">
        <is>
          <t>711</t>
        </is>
      </c>
      <c r="G59" s="24" t="inlineStr">
        <is>
          <t xml:space="preserve">Hydroizolační stěrka koupelen 3 ks — podlaha + sokl 200 mm + sprchový </t>
        </is>
      </c>
      <c r="H59" s="24" t="inlineStr">
        <is>
          <t>⚠ family 711 OK — leaf KROS lookup [evidence: https://cze.sika.com/cs/produkty-pro-stavebnictvi/hydroizola]</t>
        </is>
      </c>
    </row>
    <row r="60">
      <c r="B60" s="24" t="inlineStr">
        <is>
          <t>260219_dum.PSV71.101</t>
        </is>
      </c>
      <c r="C60" s="24" t="inlineStr">
        <is>
          <t>260219_dum</t>
        </is>
      </c>
      <c r="D60" s="24" t="inlineStr">
        <is>
          <t>PSV-71 Izolace TI</t>
        </is>
      </c>
      <c r="E60" s="24" t="inlineStr"/>
      <c r="F60" s="24" t="inlineStr">
        <is>
          <t>713121</t>
        </is>
      </c>
      <c r="G60" s="24" t="inlineStr">
        <is>
          <t>Podlahový EPS 150 λ=0.035 tl. 120 mm — pod betonový potěr 1.NP a 3.NP</t>
        </is>
      </c>
      <c r="H60" s="24" t="inlineStr">
        <is>
          <t>⚠ family 713121 OK — leaf KROS lookup [evidence: https://styrotrade.cz/cs/produkty/strechy/izolace-bezne-zati]</t>
        </is>
      </c>
    </row>
    <row r="61">
      <c r="B61" s="24" t="inlineStr">
        <is>
          <t>260219_dum.PSV71.102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Kročejová EPS 150 / 30 dB tl. 40 mm nad ocelobetonovým stropem 2.NP/3.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260219_dum.PSV76.001</t>
        </is>
      </c>
      <c r="C62" s="24" t="inlineStr">
        <is>
          <t>260219_dum</t>
        </is>
      </c>
      <c r="D62" s="24" t="inlineStr">
        <is>
          <t>PSV-76 Výplně otvorů</t>
        </is>
      </c>
      <c r="E62" s="24" t="inlineStr">
        <is>
          <t>766621011</t>
        </is>
      </c>
      <c r="F62" s="24" t="inlineStr"/>
      <c r="G62" s="24" t="inlineStr">
        <is>
          <t>Plastové okno izolačním trojsklem Uw=0.85 W/m²K — typ 'okno 1.NP' veli</t>
        </is>
      </c>
      <c r="H62" s="24" t="inlineStr">
        <is>
          <t>⚠ family OK, leaf KROS lookup [evidence: https://www.vekra.cz/radce/plastova-okna-s-trojsklem/]</t>
        </is>
      </c>
    </row>
    <row r="63">
      <c r="B63" s="24" t="inlineStr">
        <is>
          <t>260219_dum.PSV76.101</t>
        </is>
      </c>
      <c r="C63" s="24" t="inlineStr">
        <is>
          <t>260219_dum</t>
        </is>
      </c>
      <c r="D63" s="24" t="inlineStr">
        <is>
          <t>PSV-76 Klempíř</t>
        </is>
      </c>
      <c r="E63" s="24" t="inlineStr">
        <is>
          <t>764312235</t>
        </is>
      </c>
      <c r="F63" s="24" t="inlineStr"/>
      <c r="G63" s="24" t="inlineStr">
        <is>
          <t>Klempířské oplechování krytiny — úžlabí, hřeben, štítové lemy (Al / Pz</t>
        </is>
      </c>
      <c r="H63" s="24" t="inlineStr">
        <is>
          <t>⚠ chapter OK, leaf KROS lookup [evidence: https://www.cs-urs.cz/podminky/cu201/800-764-Konstrukce-klem]</t>
        </is>
      </c>
    </row>
    <row r="64">
      <c r="B64" s="24" t="inlineStr">
        <is>
          <t>260219_dum.PSV76.102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764218201</t>
        </is>
      </c>
      <c r="F64" s="24" t="inlineStr"/>
      <c r="G64" s="24" t="inlineStr">
        <is>
          <t xml:space="preserve">Venkovní parapety oken — Pzn plech lakovaný 250 mm × tl. 0.55 mm × 16 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260219_dum.PSV76.103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764454802</t>
        </is>
      </c>
      <c r="F65" s="24" t="inlineStr"/>
      <c r="G65" s="24" t="inlineStr">
        <is>
          <t>Dešťové svody Pzn 100 mm + žlaby — 4 svody × ~14 m + žlaby per obvod s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260219_dum.PSV76.104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764315235</t>
        </is>
      </c>
      <c r="F66" s="24" t="inlineStr"/>
      <c r="G66" s="24" t="inlineStr">
        <is>
          <t xml:space="preserve">Klempířské doplňky vikýřů + atika + závětrné lemy (4 vikýře komplexní 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260219_dum.PSV76.201</t>
        </is>
      </c>
      <c r="C67" s="24" t="inlineStr">
        <is>
          <t>260219_dum</t>
        </is>
      </c>
      <c r="D67" s="24" t="inlineStr">
        <is>
          <t>PSV-76 Zámečnictví</t>
        </is>
      </c>
      <c r="E67" s="24" t="inlineStr">
        <is>
          <t>767531111</t>
        </is>
      </c>
      <c r="F67" s="24" t="inlineStr"/>
      <c r="G67" s="24" t="inlineStr">
        <is>
          <t>Ocelové schodiště ze zahrady na mezipodestu — UPE200 schodnice + dřevě</t>
        </is>
      </c>
      <c r="H67" s="24" t="inlineStr">
        <is>
          <t>⚠ family OK, leaf KROS lookup [evidence: https://www.obchodprodilnu.cz/produkty/stavebni-prvky-a-mate]</t>
        </is>
      </c>
    </row>
    <row r="68">
      <c r="B68" s="24" t="inlineStr">
        <is>
          <t>260219_dum.PSV76.202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Interní ocelové schodiště do spacího patra v 3.NP s dřevěnými stupni (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260219_dum.PSV77.001</t>
        </is>
      </c>
      <c r="C69" s="24" t="inlineStr">
        <is>
          <t>260219_dum</t>
        </is>
      </c>
      <c r="D69" s="24" t="inlineStr">
        <is>
          <t>PSV-77 Podlahy</t>
        </is>
      </c>
      <c r="E69" s="24" t="inlineStr">
        <is>
          <t>776511820</t>
        </is>
      </c>
      <c r="F69" s="24" t="inlineStr"/>
      <c r="G69" s="24" t="inlineStr">
        <is>
          <t>Nášlapná vrstva vinyl tl. 4 mm na suchou skladbu — obytné místnosti (l</t>
        </is>
      </c>
      <c r="H69" s="24" t="inlineStr">
        <is>
          <t>⚠ family OK, leaf KROS lookup [evidence: https://podminky.urs.cz/item/CS_URS_2021_02/776321212]</t>
        </is>
      </c>
    </row>
    <row r="70">
      <c r="B70" s="24" t="inlineStr">
        <is>
          <t>260219_dum.PSV95.001</t>
        </is>
      </c>
      <c r="C70" s="24" t="inlineStr">
        <is>
          <t>260219_dum</t>
        </is>
      </c>
      <c r="D70" s="24" t="inlineStr">
        <is>
          <t>PSV-95 Detekce požární</t>
        </is>
      </c>
      <c r="E70" s="24" t="inlineStr">
        <is>
          <t>375211101</t>
        </is>
      </c>
      <c r="F70" s="24" t="inlineStr"/>
      <c r="G70" s="24" t="inlineStr">
        <is>
          <t>Autonomní hlásič kouře dle ČSN EN 14604 — 4 ks v místnostech 1.01, 1.0</t>
        </is>
      </c>
      <c r="H70" s="24" t="inlineStr">
        <is>
          <t>⚠ family OK, leaf KROS lookup [evidence: https://www.technicke-normy-csn.cz/csn-en-14604-342711-18294]</t>
        </is>
      </c>
    </row>
    <row r="71">
      <c r="B71" s="24" t="inlineStr">
        <is>
          <t>260219_dum.PSV72.001</t>
        </is>
      </c>
      <c r="C71" s="24" t="inlineStr">
        <is>
          <t>260219_dum</t>
        </is>
      </c>
      <c r="D71" s="24" t="inlineStr">
        <is>
          <t>PSV-72 ZTI</t>
        </is>
      </c>
      <c r="E71" s="24" t="inlineStr">
        <is>
          <t>722290515</t>
        </is>
      </c>
      <c r="F71" s="24" t="inlineStr"/>
      <c r="G71" s="24" t="inlineStr">
        <is>
          <t>Revize stávajícího napojení vodovodu + kanalizace na pozemku — kontrol</t>
        </is>
      </c>
      <c r="H71" s="24" t="inlineStr">
        <is>
          <t>⚠ family OK, leaf KROS lookup [evidence: https://www.sanitino.cz/vodovodni-baterie]</t>
        </is>
      </c>
    </row>
    <row r="72">
      <c r="B72" s="24" t="inlineStr">
        <is>
          <t>260219_dum.PSV72.002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722172011</t>
        </is>
      </c>
      <c r="F72" s="24" t="inlineStr"/>
      <c r="G72" s="24" t="inlineStr">
        <is>
          <t>Nové rozvody studené + teplé vody do koupelen 1.NP + 2.NP + 3.NP a kuc</t>
        </is>
      </c>
      <c r="H72" s="24" t="inlineStr">
        <is>
          <t>⚠ family OK, leaf KROS lookup [evidence: https://www.ceskestavby.cz/jak-se-stavi-dum/sprchy-vany-vana]</t>
        </is>
      </c>
    </row>
    <row r="73">
      <c r="B73" s="24" t="inlineStr">
        <is>
          <t>260219_dum.HSV6.016</t>
        </is>
      </c>
      <c r="C73" s="24" t="inlineStr">
        <is>
          <t>260219_dum</t>
        </is>
      </c>
      <c r="D73" s="24" t="inlineStr">
        <is>
          <t>HSV-6 Bourací práce</t>
        </is>
      </c>
      <c r="E73" s="24" t="inlineStr">
        <is>
          <t>962024141</t>
        </is>
      </c>
      <c r="F73" s="24" t="inlineStr"/>
      <c r="G73" s="24" t="inlineStr">
        <is>
          <t>Bourání vrchní části stávajícího komínu v posledním podlaží (cihelné z</t>
        </is>
      </c>
      <c r="H73" s="24" t="inlineStr">
        <is>
          <t>⚠ family OK, leaf KROS lookup [evidence: https://www.cs-urs.cz/podminky/cu202/801-3-Budovy-a-haly---b]</t>
        </is>
      </c>
    </row>
    <row r="74">
      <c r="B74" s="24" t="inlineStr">
        <is>
          <t>260219_dum.HSV6.017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961044111</t>
        </is>
      </c>
      <c r="F74" s="24" t="inlineStr"/>
      <c r="G74" s="24" t="inlineStr">
        <is>
          <t>Bourání stávajících opěrných zídek a venkovního schodiště v zahradě/dv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260219_dum.HSV1.015</t>
        </is>
      </c>
      <c r="C75" s="24" t="inlineStr">
        <is>
          <t>260219_dum</t>
        </is>
      </c>
      <c r="D75" s="24" t="inlineStr">
        <is>
          <t>HSV-1 Zemní práce</t>
        </is>
      </c>
      <c r="E75" s="24" t="inlineStr">
        <is>
          <t>877315111</t>
        </is>
      </c>
      <c r="F75" s="24" t="inlineStr"/>
      <c r="G75" s="24" t="inlineStr">
        <is>
          <t xml:space="preserve">Drenáž za opěrnou stěnou (bílou vanou) — drenážní trubka DN100 vlnitá </t>
        </is>
      </c>
      <c r="H75" s="24" t="inlineStr">
        <is>
          <t>⚠ family OK, leaf KROS lookup [evidence: https://www.cs-urs.cz/cenova-soustava-urs/]</t>
        </is>
      </c>
    </row>
    <row r="77">
      <c r="B77" s="16" t="inlineStr">
        <is>
          <t>❌ MANUAL LOOKUP (no Phase 5B verdict, blank code)</t>
        </is>
      </c>
    </row>
    <row r="78">
      <c r="B78" s="4" t="inlineStr">
        <is>
          <t>ID</t>
        </is>
      </c>
      <c r="C78" s="4" t="inlineStr">
        <is>
          <t>Objekt</t>
        </is>
      </c>
      <c r="D78" s="4" t="inlineStr">
        <is>
          <t>Kapitola</t>
        </is>
      </c>
      <c r="E78" s="4" t="inlineStr">
        <is>
          <t>Kód proposed</t>
        </is>
      </c>
      <c r="F78" s="4" t="inlineStr">
        <is>
          <t>Family</t>
        </is>
      </c>
      <c r="G78" s="4" t="inlineStr">
        <is>
          <t>Popis</t>
        </is>
      </c>
      <c r="H78" s="4" t="inlineStr">
        <is>
          <t>Pozn. / hint</t>
        </is>
      </c>
    </row>
    <row r="79">
      <c r="B79" s="24" t="inlineStr">
        <is>
          <t>260217_sklad.HSV1.006</t>
        </is>
      </c>
      <c r="C79" s="24" t="inlineStr">
        <is>
          <t>260217_sklad</t>
        </is>
      </c>
      <c r="D79" s="24" t="inlineStr">
        <is>
          <t>HSV-1 Zemní práce</t>
        </is>
      </c>
      <c r="E79" s="24" t="inlineStr"/>
      <c r="F79" s="24" t="inlineStr">
        <is>
          <t>162701</t>
        </is>
      </c>
      <c r="G79" s="24" t="inlineStr">
        <is>
          <t>Odvoz výkopku z hloubení skladu + figur + patek na deponii do 8 km</t>
        </is>
      </c>
      <c r="H79" s="24" t="inlineStr">
        <is>
          <t>❌ MANUAL — KROS catalog lookup</t>
        </is>
      </c>
    </row>
    <row r="80">
      <c r="B80" s="24" t="inlineStr">
        <is>
          <t>260219_dum.HSV2.005</t>
        </is>
      </c>
      <c r="C80" s="24" t="inlineStr">
        <is>
          <t>260219_dum</t>
        </is>
      </c>
      <c r="D80" s="24" t="inlineStr">
        <is>
          <t>HSV-2 Základové a ŽB</t>
        </is>
      </c>
      <c r="E80" s="24" t="inlineStr"/>
      <c r="F80" s="24" t="inlineStr">
        <is>
          <t>711141</t>
        </is>
      </c>
      <c r="G80" s="24" t="inlineStr">
        <is>
          <t>Separační PE fólie pod základovou patou bílé vany (povinná dle ČBS 02)</t>
        </is>
      </c>
      <c r="H80" s="24" t="inlineStr">
        <is>
          <t>❌ MANUAL — KROS catalog lookup</t>
        </is>
      </c>
    </row>
    <row r="81">
      <c r="B81" s="24" t="inlineStr">
        <is>
          <t>260217_sklad.HSV2.001</t>
        </is>
      </c>
      <c r="C81" s="24" t="inlineStr">
        <is>
          <t>260217_sklad</t>
        </is>
      </c>
      <c r="D81" s="24" t="inlineStr">
        <is>
          <t>HSV-2 Základové a ŽB</t>
        </is>
      </c>
      <c r="E81" s="24" t="inlineStr"/>
      <c r="F81" s="24" t="inlineStr">
        <is>
          <t>271313</t>
        </is>
      </c>
      <c r="G81" s="24" t="inlineStr">
        <is>
          <t>Základové pasy z prostého betonu C16/20 XC0, 500×500 mm po obvodu skla</t>
        </is>
      </c>
      <c r="H81" s="24" t="inlineStr">
        <is>
          <t>❌ MANUAL — KROS catalog lookup</t>
        </is>
      </c>
    </row>
    <row r="82">
      <c r="B82" s="24" t="inlineStr">
        <is>
          <t>260219_dum.HSV6.002</t>
        </is>
      </c>
      <c r="C82" s="24" t="inlineStr">
        <is>
          <t>260219_dum</t>
        </is>
      </c>
      <c r="D82" s="24" t="inlineStr">
        <is>
          <t>HSV-6 Bourací práce</t>
        </is>
      </c>
      <c r="E82" s="24" t="inlineStr"/>
      <c r="F82" s="24" t="inlineStr">
        <is>
          <t>762</t>
        </is>
      </c>
      <c r="G82" s="24" t="inlineStr">
        <is>
          <t>Bourání stávající plechové krytiny (manuálně, recyklace plechu)</t>
        </is>
      </c>
      <c r="H82" s="24" t="inlineStr">
        <is>
          <t>❌ MANUAL — KROS catalog lookup</t>
        </is>
      </c>
    </row>
    <row r="83">
      <c r="B83" s="24" t="inlineStr">
        <is>
          <t>260217_sklad.PSV77.001</t>
        </is>
      </c>
      <c r="C83" s="24" t="inlineStr">
        <is>
          <t>260217_sklad</t>
        </is>
      </c>
      <c r="D83" s="24" t="inlineStr">
        <is>
          <t>PSV-77 Podlahy</t>
        </is>
      </c>
      <c r="E83" s="24" t="inlineStr"/>
      <c r="F83" s="24" t="inlineStr">
        <is>
          <t>596</t>
        </is>
      </c>
      <c r="G83" s="24" t="inlineStr">
        <is>
          <t>Betonová dlažba 50 mm do kladecího lože — podlaha skladu + vynos za st</t>
        </is>
      </c>
      <c r="H83" s="24" t="inlineStr">
        <is>
          <t>❌ MANUAL — KROS catalog lookup</t>
        </is>
      </c>
    </row>
    <row r="85">
      <c r="B85" s="16" t="inlineStr">
        <is>
          <t>? needs_production_lookup (default)</t>
        </is>
      </c>
    </row>
    <row r="86">
      <c r="B86" s="4" t="inlineStr">
        <is>
          <t>ID</t>
        </is>
      </c>
      <c r="C86" s="4" t="inlineStr">
        <is>
          <t>Objekt</t>
        </is>
      </c>
      <c r="D86" s="4" t="inlineStr">
        <is>
          <t>Kapitola</t>
        </is>
      </c>
      <c r="E86" s="4" t="inlineStr">
        <is>
          <t>Kód proposed</t>
        </is>
      </c>
      <c r="F86" s="4" t="inlineStr">
        <is>
          <t>Family</t>
        </is>
      </c>
      <c r="G86" s="4" t="inlineStr">
        <is>
          <t>Popis</t>
        </is>
      </c>
      <c r="H86" s="4" t="inlineStr">
        <is>
          <t>Pozn. / hint</t>
        </is>
      </c>
    </row>
    <row r="87">
      <c r="B87" s="24" t="inlineStr">
        <is>
          <t>260219_dum.HSV1.004</t>
        </is>
      </c>
      <c r="C87" s="24" t="inlineStr">
        <is>
          <t>260219_dum</t>
        </is>
      </c>
      <c r="D87" s="24" t="inlineStr">
        <is>
          <t>HSV-1 Zemní práce</t>
        </is>
      </c>
      <c r="E87" s="24" t="inlineStr">
        <is>
          <t>596811220</t>
        </is>
      </c>
      <c r="F87" s="24" t="inlineStr">
        <is>
          <t>596</t>
        </is>
      </c>
      <c r="G87" s="24" t="inlineStr">
        <is>
          <t>Anglický dvorek: betonová dlažba 50 mm + kladecí vrstva kamenná drť 4-</t>
        </is>
      </c>
      <c r="H87" s="24" t="inlineStr">
        <is>
          <t>? needs production lookup</t>
        </is>
      </c>
    </row>
    <row r="88">
      <c r="B88" s="24" t="inlineStr">
        <is>
          <t>260219_dum.HSV1.005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/>
      <c r="F88" s="24" t="inlineStr">
        <is>
          <t>564</t>
        </is>
      </c>
      <c r="G88" s="24" t="inlineStr">
        <is>
          <t>Terasa za opěrnou stěnou — PODKLADNÍ SKLADBA pod dřevěnou pochozí vrst</t>
        </is>
      </c>
      <c r="H88" s="24" t="inlineStr">
        <is>
          <t>❌ MANUAL — KROS catalog lookup</t>
        </is>
      </c>
    </row>
    <row r="89">
      <c r="B89" s="24" t="inlineStr">
        <is>
          <t>260217_sklad.HSV1.002</t>
        </is>
      </c>
      <c r="C89" s="24" t="inlineStr">
        <is>
          <t>260217_sklad</t>
        </is>
      </c>
      <c r="D89" s="24" t="inlineStr">
        <is>
          <t>HSV-1 Zemní práce</t>
        </is>
      </c>
      <c r="E89" s="24" t="inlineStr">
        <is>
          <t>131201101</t>
        </is>
      </c>
      <c r="F89" s="24" t="inlineStr"/>
      <c r="G89" s="24" t="inlineStr">
        <is>
          <t>Hloubení jam nezapažených pro objekt skladu v lichoběžníku 6,35 × 3,34</t>
        </is>
      </c>
      <c r="H89" s="24" t="inlineStr">
        <is>
          <t>? needs production lookup</t>
        </is>
      </c>
    </row>
    <row r="90">
      <c r="B90" s="24" t="inlineStr">
        <is>
          <t>260217_sklad.HSV1.003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132201101</t>
        </is>
      </c>
      <c r="F90" s="24" t="inlineStr"/>
      <c r="G90" s="24" t="inlineStr">
        <is>
          <t>Hloubení rýh pro betonové základové pasy 500×500 mm po obvodu skladu (</t>
        </is>
      </c>
      <c r="H90" s="24" t="inlineStr">
        <is>
          <t>? needs production lookup</t>
        </is>
      </c>
    </row>
    <row r="91">
      <c r="B91" s="24" t="inlineStr">
        <is>
          <t>260217_sklad.HSV1.004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132211101</t>
        </is>
      </c>
      <c r="F91" s="24" t="inlineStr"/>
      <c r="G91" s="24" t="inlineStr">
        <is>
          <t>Hloubení patek pro stojky IPE180 zastřešení parkingu, 500×500 mm × 1.0</t>
        </is>
      </c>
      <c r="H91" s="24" t="inlineStr">
        <is>
          <t>? needs production lookup</t>
        </is>
      </c>
    </row>
    <row r="92">
      <c r="B92" s="24" t="inlineStr">
        <is>
          <t>260217_sklad.HSV1.005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174101101</t>
        </is>
      </c>
      <c r="F92" s="24" t="inlineStr"/>
      <c r="G92" s="24" t="inlineStr">
        <is>
          <t xml:space="preserve">Zhutněný štěrkopískový násyp pod podlahu skladu + štěrkopísek pro IPE </t>
        </is>
      </c>
      <c r="H92" s="24" t="inlineStr">
        <is>
          <t>? needs production lookup</t>
        </is>
      </c>
    </row>
    <row r="93">
      <c r="B93" s="24" t="inlineStr">
        <is>
          <t>260219_dum.HSV2.002</t>
        </is>
      </c>
      <c r="C93" s="24" t="inlineStr">
        <is>
          <t>260219_dum</t>
        </is>
      </c>
      <c r="D93" s="24" t="inlineStr">
        <is>
          <t>HSV-2 Základové a ŽB</t>
        </is>
      </c>
      <c r="E93" s="24" t="inlineStr">
        <is>
          <t>274321321</t>
        </is>
      </c>
      <c r="F93" s="24" t="inlineStr"/>
      <c r="G93" s="24" t="inlineStr">
        <is>
          <t>Bílá vana ČBS 02 — stěna úhlová tl. 250 mm × výška 2050 mm × L=10 m, b</t>
        </is>
      </c>
      <c r="H93" s="24" t="inlineStr">
        <is>
          <t>? needs production lookup</t>
        </is>
      </c>
    </row>
    <row r="94">
      <c r="B94" s="24" t="inlineStr">
        <is>
          <t>260219_dum.HSV2.003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/>
      <c r="F94" s="24" t="inlineStr">
        <is>
          <t>274</t>
        </is>
      </c>
      <c r="G94" s="24" t="inlineStr">
        <is>
          <t>Systémové oboustranné bednění bílé vany — DOKA Framax / PERI MAXIMO, v</t>
        </is>
      </c>
      <c r="H94" s="24" t="inlineStr">
        <is>
          <t>❌ MANUAL — KROS catalog lookup</t>
        </is>
      </c>
    </row>
    <row r="95">
      <c r="B95" s="24" t="inlineStr">
        <is>
          <t>260219_dum.HSV2.006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>
        <is>
          <t>279351102</t>
        </is>
      </c>
      <c r="F95" s="24" t="inlineStr"/>
      <c r="G95" s="24" t="inlineStr">
        <is>
          <t>Mokré ošetřování betonu bílé vany min. 7 dní dle ČSN EN 13670 + ČBS 02</t>
        </is>
      </c>
      <c r="H95" s="24" t="inlineStr">
        <is>
          <t>? needs production lookup</t>
        </is>
      </c>
    </row>
    <row r="96">
      <c r="B96" s="24" t="inlineStr">
        <is>
          <t>260219_dum.HSV2.008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/>
      <c r="F96" s="24" t="inlineStr">
        <is>
          <t>274</t>
        </is>
      </c>
      <c r="G96" s="24" t="inlineStr">
        <is>
          <t>Bednění pozedního věnce systémové oboustranné</t>
        </is>
      </c>
      <c r="H96" s="24" t="inlineStr">
        <is>
          <t>❌ MANUAL — KROS catalog lookup</t>
        </is>
      </c>
    </row>
    <row r="97">
      <c r="B97" s="24" t="inlineStr">
        <is>
          <t>260219_dum.HSV2.009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>
        <is>
          <t>273361821</t>
        </is>
      </c>
      <c r="F97" s="24" t="inlineStr"/>
      <c r="G97" s="24" t="inlineStr">
        <is>
          <t>Výztuž B500B věnce 100 kg/m³ (Methvin sazba pro pozední věnce)</t>
        </is>
      </c>
      <c r="H97" s="24" t="inlineStr">
        <is>
          <t>? needs production lookup</t>
        </is>
      </c>
    </row>
    <row r="98">
      <c r="B98" s="24" t="inlineStr">
        <is>
          <t>260219_dum.HSV2.011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273362441</t>
        </is>
      </c>
      <c r="F98" s="24" t="inlineStr"/>
      <c r="G98" s="24" t="inlineStr">
        <is>
          <t>Výztuž nabetonávky kari síť 5/100/100 (cca 4.4 kg/m²)</t>
        </is>
      </c>
      <c r="H98" s="24" t="inlineStr">
        <is>
          <t>? needs production lookup</t>
        </is>
      </c>
    </row>
    <row r="99">
      <c r="B99" s="24" t="inlineStr">
        <is>
          <t>260219_dum.HSV2.013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273361821</t>
        </is>
      </c>
      <c r="F99" s="24" t="inlineStr"/>
      <c r="G99" s="24" t="inlineStr">
        <is>
          <t>Výztuž ŽB desky 1.NP — kari 6/150/150 + B500B okrajové pruty (~75 kg/m</t>
        </is>
      </c>
      <c r="H99" s="24" t="inlineStr">
        <is>
          <t>? needs production lookup</t>
        </is>
      </c>
    </row>
    <row r="100">
      <c r="B100" s="24" t="inlineStr">
        <is>
          <t>260217_sklad.HSV2.003</t>
        </is>
      </c>
      <c r="C100" s="24" t="inlineStr">
        <is>
          <t>260217_sklad</t>
        </is>
      </c>
      <c r="D100" s="24" t="inlineStr">
        <is>
          <t>HSV-2 Základové a ŽB</t>
        </is>
      </c>
      <c r="E100" s="24" t="inlineStr">
        <is>
          <t>311233812</t>
        </is>
      </c>
      <c r="F100" s="24" t="inlineStr"/>
      <c r="G100" s="24" t="inlineStr">
        <is>
          <t xml:space="preserve">Patky parking horní část — zdivo z tvárnic ztraceného bednění 300×300 </t>
        </is>
      </c>
      <c r="H100" s="24" t="inlineStr">
        <is>
          <t>? needs production lookup</t>
        </is>
      </c>
    </row>
    <row r="101">
      <c r="B101" s="24" t="inlineStr">
        <is>
          <t>260217_sklad.HSV2.004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273321321</t>
        </is>
      </c>
      <c r="F101" s="24" t="inlineStr"/>
      <c r="G101" s="24" t="inlineStr">
        <is>
          <t>Beton C25/30 XC3 XF1 XA1 pro zalití tvarovek ZB patek + lemujících zíd</t>
        </is>
      </c>
      <c r="H101" s="24" t="inlineStr">
        <is>
          <t>? needs production lookup</t>
        </is>
      </c>
    </row>
    <row r="102">
      <c r="B102" s="24" t="inlineStr">
        <is>
          <t>260217_sklad.HSV2.006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273361821</t>
        </is>
      </c>
      <c r="F102" s="24" t="inlineStr"/>
      <c r="G102" s="24" t="inlineStr">
        <is>
          <t>ŽB schodišťová deska ve sklonu + základový pas — beton C25/30 XC3 (ter</t>
        </is>
      </c>
      <c r="H102" s="24" t="inlineStr">
        <is>
          <t>? needs production lookup</t>
        </is>
      </c>
    </row>
    <row r="103">
      <c r="B103" s="24" t="inlineStr">
        <is>
          <t>260219_dum.HSV3.001</t>
        </is>
      </c>
      <c r="C103" s="24" t="inlineStr">
        <is>
          <t>260219_dum</t>
        </is>
      </c>
      <c r="D103" s="24" t="inlineStr">
        <is>
          <t>HSV-3 Svislé konstrukce</t>
        </is>
      </c>
      <c r="E103" s="24" t="inlineStr">
        <is>
          <t>311232511</t>
        </is>
      </c>
      <c r="F103" s="24" t="inlineStr"/>
      <c r="G103" s="24" t="inlineStr">
        <is>
          <t>Lokální dozdívky a přizdívky z cihel plných pálených P10 na MVC M10 (u</t>
        </is>
      </c>
      <c r="H103" s="24" t="inlineStr">
        <is>
          <t>? needs production lookup</t>
        </is>
      </c>
    </row>
    <row r="104">
      <c r="B104" s="24" t="inlineStr">
        <is>
          <t>260219_dum.HSV3.004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317242421</t>
        </is>
      </c>
      <c r="F104" s="24" t="inlineStr"/>
      <c r="G104" s="24" t="inlineStr">
        <is>
          <t xml:space="preserve">Maltové uložení překladů IPN160 — MC25 tl. 50 mm + kari 5/100/100 (po </t>
        </is>
      </c>
      <c r="H104" s="24" t="inlineStr">
        <is>
          <t>? needs production lookup</t>
        </is>
      </c>
    </row>
    <row r="105">
      <c r="B105" s="24" t="inlineStr">
        <is>
          <t>260217_sklad.HSV3.001</t>
        </is>
      </c>
      <c r="C105" s="24" t="inlineStr">
        <is>
          <t>260217_sklad</t>
        </is>
      </c>
      <c r="D105" s="24" t="inlineStr">
        <is>
          <t>HSV-3 Svislé konstrukce</t>
        </is>
      </c>
      <c r="E105" s="24" t="inlineStr">
        <is>
          <t>311233815</t>
        </is>
      </c>
      <c r="F105" s="24" t="inlineStr"/>
      <c r="G105" s="24" t="inlineStr">
        <is>
          <t>Zadní opěrná stěna — prefabrikované betonové bloky Herkul H-BLOK Stand</t>
        </is>
      </c>
      <c r="H105" s="24" t="inlineStr">
        <is>
          <t>? needs production lookup</t>
        </is>
      </c>
    </row>
    <row r="106">
      <c r="B106" s="24" t="inlineStr">
        <is>
          <t>260217_sklad.HSV3.002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311233811</t>
        </is>
      </c>
      <c r="F106" s="24" t="inlineStr"/>
      <c r="G106" s="24" t="inlineStr">
        <is>
          <t>Obvodové stěny skladu S03a/b — tvarovky ztraceného bednění tl. 250 mm,</t>
        </is>
      </c>
      <c r="H106" s="24" t="inlineStr">
        <is>
          <t>? needs production lookup</t>
        </is>
      </c>
    </row>
    <row r="107">
      <c r="B107" s="24" t="inlineStr">
        <is>
          <t>260219_dum.HSV4.004</t>
        </is>
      </c>
      <c r="C107" s="24" t="inlineStr">
        <is>
          <t>260219_dum</t>
        </is>
      </c>
      <c r="D107" s="24" t="inlineStr">
        <is>
          <t>HSV-4 Vodorovné</t>
        </is>
      </c>
      <c r="E107" s="24" t="inlineStr">
        <is>
          <t>411321414</t>
        </is>
      </c>
      <c r="F107" s="24" t="inlineStr"/>
      <c r="G107" s="24" t="inlineStr">
        <is>
          <t>Ocelobetonový strop — výztuha HEA200 dvorní trakt, dl. ~10 m</t>
        </is>
      </c>
      <c r="H107" s="24" t="inlineStr">
        <is>
          <t>? needs production lookup</t>
        </is>
      </c>
    </row>
    <row r="108">
      <c r="B108" s="24" t="inlineStr">
        <is>
          <t>260219_dum.HSV4.008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271223111</t>
        </is>
      </c>
      <c r="F108" s="24" t="inlineStr"/>
      <c r="G108" s="24" t="inlineStr">
        <is>
          <t>Nový zásyp klenby 1.PP/1.NP — perlitbeton (lehký zásyp) tl. 100 mm</t>
        </is>
      </c>
      <c r="H108" s="24" t="inlineStr">
        <is>
          <t>? needs production lookup</t>
        </is>
      </c>
    </row>
    <row r="109">
      <c r="B109" s="24" t="inlineStr">
        <is>
          <t>260219_dum.HSV4.009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631321311</t>
        </is>
      </c>
      <c r="F109" s="24" t="inlineStr"/>
      <c r="G109" s="24" t="inlineStr">
        <is>
          <t>Plastická perlitbetonová roznášecí vrstva tl. 50 mm nad zásypem klenby</t>
        </is>
      </c>
      <c r="H109" s="24" t="inlineStr">
        <is>
          <t>? needs production lookup</t>
        </is>
      </c>
    </row>
    <row r="110">
      <c r="B110" s="24" t="inlineStr">
        <is>
          <t>260219_dum.HSV4.010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974041141</t>
        </is>
      </c>
      <c r="F110" s="24" t="inlineStr"/>
      <c r="G110" s="24" t="inlineStr">
        <is>
          <t>Strop trámový 1.NP/2.NP — sejmutí podlah, demontáž záklopu a zásypu sh</t>
        </is>
      </c>
      <c r="H110" s="24" t="inlineStr">
        <is>
          <t>? needs production lookup</t>
        </is>
      </c>
    </row>
    <row r="111">
      <c r="B111" s="24" t="inlineStr">
        <is>
          <t>260219_dum.HSV4.012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342213131</t>
        </is>
      </c>
      <c r="F111" s="24" t="inlineStr"/>
      <c r="G111" s="24" t="inlineStr">
        <is>
          <t>Protipožární SDK podhled zespodu trámového stropu (EI 30 dle PBŘ)</t>
        </is>
      </c>
      <c r="H111" s="24" t="inlineStr">
        <is>
          <t>? needs production lookup</t>
        </is>
      </c>
    </row>
    <row r="112">
      <c r="B112" s="24" t="inlineStr">
        <is>
          <t>260219_dum.HSV4.013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631311114</t>
        </is>
      </c>
      <c r="F112" s="24" t="inlineStr"/>
      <c r="G112" s="24" t="inlineStr">
        <is>
          <t xml:space="preserve">Suchá podlahová skladba 1.NP/2.NP — zásyp Liapor pro vyrovnání tl. 50 </t>
        </is>
      </c>
      <c r="H112" s="24" t="inlineStr">
        <is>
          <t>? needs production lookup</t>
        </is>
      </c>
    </row>
    <row r="113">
      <c r="B113" s="24" t="inlineStr">
        <is>
          <t>260219_dum.HSV4.014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771421111</t>
        </is>
      </c>
      <c r="F113" s="24" t="inlineStr"/>
      <c r="G113" s="24" t="inlineStr">
        <is>
          <t>Suchá podlahová skladba — sádrovláknité dílce Fermacell tl. 25 mm (dva</t>
        </is>
      </c>
      <c r="H113" s="24" t="inlineStr">
        <is>
          <t>? needs production lookup</t>
        </is>
      </c>
    </row>
    <row r="114">
      <c r="B114" s="24" t="inlineStr">
        <is>
          <t>260217_sklad.HSV4.001</t>
        </is>
      </c>
      <c r="C114" s="24" t="inlineStr">
        <is>
          <t>260217_sklad</t>
        </is>
      </c>
      <c r="D114" s="24" t="inlineStr">
        <is>
          <t>HSV-4 Vodorovné</t>
        </is>
      </c>
      <c r="E114" s="24" t="inlineStr">
        <is>
          <t>762341110</t>
        </is>
      </c>
      <c r="F114" s="24" t="inlineStr"/>
      <c r="G114" s="24" t="inlineStr">
        <is>
          <t>Dřevěné stropnice 100/160 mm á 625 mm primární zastřešení skladu — rez</t>
        </is>
      </c>
      <c r="H114" s="24" t="inlineStr">
        <is>
          <t>? needs production lookup</t>
        </is>
      </c>
    </row>
    <row r="115">
      <c r="B115" s="24" t="inlineStr">
        <is>
          <t>260217_sklad.HSV4.002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762331110</t>
        </is>
      </c>
      <c r="F115" s="24" t="inlineStr"/>
      <c r="G115" s="24" t="inlineStr">
        <is>
          <t>Prkenný záklop stropnic skladu tl. 20 mm + impregnace</t>
        </is>
      </c>
      <c r="H115" s="24" t="inlineStr">
        <is>
          <t>? needs production lookup</t>
        </is>
      </c>
    </row>
    <row r="116">
      <c r="B116" s="24" t="inlineStr">
        <is>
          <t>260217_sklad.HSV4.003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712331101</t>
        </is>
      </c>
      <c r="F116" s="24" t="inlineStr"/>
      <c r="G116" s="24" t="inlineStr">
        <is>
          <t>Hydroizolační střešní souvrství skladu (modifikovaný asfaltový pás SBS</t>
        </is>
      </c>
      <c r="H116" s="24" t="inlineStr">
        <is>
          <t>? needs production lookup</t>
        </is>
      </c>
    </row>
    <row r="117">
      <c r="B117" s="24" t="inlineStr">
        <is>
          <t>260217_sklad.HSV4.004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411321414</t>
        </is>
      </c>
      <c r="F117" s="24" t="inlineStr"/>
      <c r="G117" s="24" t="inlineStr">
        <is>
          <t xml:space="preserve">Sekundární zastřešení parkingu — IPE180 v rozteči 1000 mm × délka 6 m </t>
        </is>
      </c>
      <c r="H117" s="24" t="inlineStr">
        <is>
          <t>? needs production lookup</t>
        </is>
      </c>
    </row>
    <row r="118">
      <c r="B118" s="24" t="inlineStr">
        <is>
          <t>260217_sklad.HSV4.006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783201001</t>
        </is>
      </c>
      <c r="F118" s="24" t="inlineStr"/>
      <c r="G118" s="24" t="inlineStr">
        <is>
          <t>Žárově zinková povrchová úprava IPE180 + pororoštů dle ČSN EN ISO 1294</t>
        </is>
      </c>
      <c r="H118" s="24" t="inlineStr">
        <is>
          <t>? needs production lookup</t>
        </is>
      </c>
    </row>
    <row r="119">
      <c r="B119" s="24" t="inlineStr">
        <is>
          <t>260219_dum.HSV5.004</t>
        </is>
      </c>
      <c r="C119" s="24" t="inlineStr">
        <is>
          <t>260219_dum</t>
        </is>
      </c>
      <c r="D119" s="24" t="inlineStr">
        <is>
          <t>HSV-5 Krov + střecha</t>
        </is>
      </c>
      <c r="E119" s="24" t="inlineStr">
        <is>
          <t>762332121</t>
        </is>
      </c>
      <c r="F119" s="24" t="inlineStr">
        <is>
          <t>762332</t>
        </is>
      </c>
      <c r="G119" s="24" t="inlineStr">
        <is>
          <t>Tesařský krov — námětky 60/100 v dolní koncové části pro přesah střech</t>
        </is>
      </c>
      <c r="H119" s="24" t="inlineStr">
        <is>
          <t>? needs production lookup</t>
        </is>
      </c>
    </row>
    <row r="120">
      <c r="B120" s="24" t="inlineStr">
        <is>
          <t>260219_dum.HSV5.006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411321414</t>
        </is>
      </c>
      <c r="F120" s="24" t="inlineStr"/>
      <c r="G120" s="24" t="inlineStr">
        <is>
          <t>Ocelové sloupky uzavřený profil 100×100×4 mm pod vaznice HEA160 (~6 ks</t>
        </is>
      </c>
      <c r="H120" s="24" t="inlineStr">
        <is>
          <t>? needs production lookup</t>
        </is>
      </c>
    </row>
    <row r="121">
      <c r="B121" s="24" t="inlineStr">
        <is>
          <t>260219_dum.HSV5.007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762341711</t>
        </is>
      </c>
      <c r="F121" s="24" t="inlineStr"/>
      <c r="G121" s="24" t="inlineStr">
        <is>
          <t>Bednění z prken tl. 20 mm pod nadkrokevní PIR (biodeska/palubka)</t>
        </is>
      </c>
      <c r="H121" s="24" t="inlineStr">
        <is>
          <t>? needs production lookup</t>
        </is>
      </c>
    </row>
    <row r="122">
      <c r="B122" s="24" t="inlineStr">
        <is>
          <t>260219_dum.HSV5.008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712311101</t>
        </is>
      </c>
      <c r="F122" s="24" t="inlineStr"/>
      <c r="G122" s="24" t="inlineStr">
        <is>
          <t>Parotěsná folie nad bedněním pod nadkrokevní PIR (např. Isover Vario n</t>
        </is>
      </c>
      <c r="H122" s="24" t="inlineStr">
        <is>
          <t>? needs production lookup</t>
        </is>
      </c>
    </row>
    <row r="123">
      <c r="B123" s="24" t="inlineStr">
        <is>
          <t>260219_dum.HSV5.010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712311111</t>
        </is>
      </c>
      <c r="F123" s="24" t="inlineStr"/>
      <c r="G123" s="24" t="inlineStr">
        <is>
          <t>Doplňková hydroizolační difuzně otevřená folie nad PIR pod kontralatě</t>
        </is>
      </c>
      <c r="H123" s="24" t="inlineStr">
        <is>
          <t>? needs production lookup</t>
        </is>
      </c>
    </row>
    <row r="124">
      <c r="B124" s="24" t="inlineStr">
        <is>
          <t>260219_dum.HSV5.011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762331923</t>
        </is>
      </c>
      <c r="F124" s="24" t="inlineStr"/>
      <c r="G124" s="24" t="inlineStr">
        <is>
          <t>Distanční kontralatě 40×60 mm pro vzduchovou mezeru nad PIR</t>
        </is>
      </c>
      <c r="H124" s="24" t="inlineStr">
        <is>
          <t>? needs production lookup</t>
        </is>
      </c>
    </row>
    <row r="125">
      <c r="B125" s="24" t="inlineStr">
        <is>
          <t>260219_dum.HSV5.014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762341711</t>
        </is>
      </c>
      <c r="F125" s="24" t="inlineStr"/>
      <c r="G125" s="24" t="inlineStr">
        <is>
          <t>Patro pro přespání v krovu — biodeska / OSB desky tl. 22 mm nad klešti</t>
        </is>
      </c>
      <c r="H125" s="24" t="inlineStr">
        <is>
          <t>? needs production lookup</t>
        </is>
      </c>
    </row>
    <row r="126">
      <c r="B126" s="24" t="inlineStr">
        <is>
          <t>260219_dum.HSV5.015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311321411</t>
        </is>
      </c>
      <c r="F126" s="24" t="inlineStr"/>
      <c r="G126" s="24" t="inlineStr">
        <is>
          <t>Vikýře — zděná čela z Porotherm 30 (odhad 4 ks × ~3 m² stěna)</t>
        </is>
      </c>
      <c r="H126" s="24" t="inlineStr">
        <is>
          <t>? needs production lookup</t>
        </is>
      </c>
    </row>
    <row r="127">
      <c r="B127" s="24" t="inlineStr">
        <is>
          <t>260219_dum.HSV5.016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765791121</t>
        </is>
      </c>
      <c r="F127" s="24" t="inlineStr"/>
      <c r="G127" s="24" t="inlineStr">
        <is>
          <t>Vikýře — provětrávaná fasáda min. vata + plech falcovaný hliník (4 vik</t>
        </is>
      </c>
      <c r="H127" s="24" t="inlineStr">
        <is>
          <t>? needs production lookup</t>
        </is>
      </c>
    </row>
    <row r="128">
      <c r="B128" s="24" t="inlineStr">
        <is>
          <t>260219_dum.HSV6.003</t>
        </is>
      </c>
      <c r="C128" s="24" t="inlineStr">
        <is>
          <t>260219_dum</t>
        </is>
      </c>
      <c r="D128" s="24" t="inlineStr">
        <is>
          <t>HSV-6 Bourací práce</t>
        </is>
      </c>
      <c r="E128" s="24" t="inlineStr">
        <is>
          <t>962031132</t>
        </is>
      </c>
      <c r="F128" s="24" t="inlineStr"/>
      <c r="G128" s="24" t="inlineStr">
        <is>
          <t>Bourání zděných nadezdívek nad stropem 2.NP (mimo štítových stěn) — ci</t>
        </is>
      </c>
      <c r="H128" s="24" t="inlineStr">
        <is>
          <t>? needs production lookup</t>
        </is>
      </c>
    </row>
    <row r="129">
      <c r="B129" s="24" t="inlineStr">
        <is>
          <t>260219_dum.HSV6.004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962041141</t>
        </is>
      </c>
      <c r="F129" s="24" t="inlineStr"/>
      <c r="G129" s="24" t="inlineStr">
        <is>
          <t>Bourání trámového stropu 2.NP/podkroví — kompletně (vč. zajištění scho</t>
        </is>
      </c>
      <c r="H129" s="24" t="inlineStr">
        <is>
          <t>? needs production lookup</t>
        </is>
      </c>
    </row>
    <row r="130">
      <c r="B130" s="24" t="inlineStr">
        <is>
          <t>260219_dum.HSV6.005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962031132</t>
        </is>
      </c>
      <c r="F130" s="24" t="inlineStr"/>
      <c r="G130" s="24" t="inlineStr">
        <is>
          <t>Bourání stávajících lehkých příček (cihla, sádrokarton, dřevo)</t>
        </is>
      </c>
      <c r="H130" s="24" t="inlineStr">
        <is>
          <t>? needs production lookup</t>
        </is>
      </c>
    </row>
    <row r="131">
      <c r="B131" s="24" t="inlineStr">
        <is>
          <t>260219_dum.HSV6.006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8 nových otvorů v nosných cihelných zdech pro dveře/okna (~1.0</t>
        </is>
      </c>
      <c r="H131" s="24" t="inlineStr">
        <is>
          <t>? needs production lookup</t>
        </is>
      </c>
    </row>
    <row r="132">
      <c r="B132" s="24" t="inlineStr">
        <is>
          <t>260219_dum.HSV6.008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974031132</t>
        </is>
      </c>
      <c r="F132" s="24" t="inlineStr"/>
      <c r="G132" s="24" t="inlineStr">
        <is>
          <t>Sejmutí podlah 1.NP a 2.NP — vč. nášlapů, podkladních vrstev</t>
        </is>
      </c>
      <c r="H132" s="24" t="inlineStr">
        <is>
          <t>? needs production lookup</t>
        </is>
      </c>
    </row>
    <row r="133">
      <c r="B133" s="24" t="inlineStr">
        <is>
          <t>260219_dum.HSV6.009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974041151</t>
        </is>
      </c>
      <c r="F133" s="24" t="inlineStr"/>
      <c r="G133" s="24" t="inlineStr">
        <is>
          <t>Demontáž záklopu a zásypů stropu 1.NP (prkenný záklop na trámech zacho</t>
        </is>
      </c>
      <c r="H133" s="24" t="inlineStr">
        <is>
          <t>? needs production lookup</t>
        </is>
      </c>
    </row>
    <row r="134">
      <c r="B134" s="24" t="inlineStr">
        <is>
          <t>260219_dum.HSV6.011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725900001</t>
        </is>
      </c>
      <c r="F134" s="24" t="inlineStr"/>
      <c r="G134" s="24" t="inlineStr">
        <is>
          <t>Demontáž všech sanitárních zařizovacích předmětů (WC, umyvadla, bateri</t>
        </is>
      </c>
      <c r="H134" s="24" t="inlineStr">
        <is>
          <t>? needs production lookup</t>
        </is>
      </c>
    </row>
    <row r="135">
      <c r="B135" s="24" t="inlineStr">
        <is>
          <t>260219_dum.HSV6.012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997013501</t>
        </is>
      </c>
      <c r="F135" s="24" t="inlineStr"/>
      <c r="G135" s="24" t="inlineStr">
        <is>
          <t>Odvoz a likvidace stavební suti dle vyhl. 8/2021 Sb. — celková tonáž o</t>
        </is>
      </c>
      <c r="H135" s="24" t="inlineStr">
        <is>
          <t>? needs production lookup</t>
        </is>
      </c>
    </row>
    <row r="136">
      <c r="B136" s="24" t="inlineStr">
        <is>
          <t>260219_dum.HSV7.001</t>
        </is>
      </c>
      <c r="C136" s="24" t="inlineStr">
        <is>
          <t>260219_dum</t>
        </is>
      </c>
      <c r="D136" s="24" t="inlineStr">
        <is>
          <t>HSV-7 Fasáda ETICS</t>
        </is>
      </c>
      <c r="E136" s="24" t="inlineStr">
        <is>
          <t>622401110</t>
        </is>
      </c>
      <c r="F136" s="24" t="inlineStr"/>
      <c r="G136" s="24" t="inlineStr">
        <is>
          <t>Příprava fasádního podkladu — očištění tlakovou vodou, vyspravení omít</t>
        </is>
      </c>
      <c r="H136" s="24" t="inlineStr">
        <is>
          <t>? needs production lookup</t>
        </is>
      </c>
    </row>
    <row r="137">
      <c r="B137" s="24" t="inlineStr">
        <is>
          <t>260219_dum.HSV7.004</t>
        </is>
      </c>
      <c r="C137" s="24" t="inlineStr">
        <is>
          <t>260219_dum</t>
        </is>
      </c>
      <c r="D137" s="24" t="inlineStr">
        <is>
          <t>HSV-7 Fasáda ETICS</t>
        </is>
      </c>
      <c r="E137" s="24" t="inlineStr">
        <is>
          <t>622221221</t>
        </is>
      </c>
      <c r="F137" s="24" t="inlineStr"/>
      <c r="G137" s="24" t="inlineStr">
        <is>
          <t>Špalety oken — EPS přesah 35-40 mm + síťka + omítka</t>
        </is>
      </c>
      <c r="H137" s="24" t="inlineStr">
        <is>
          <t>? needs production lookup</t>
        </is>
      </c>
    </row>
    <row r="138">
      <c r="B138" s="24" t="inlineStr">
        <is>
          <t>260219_dum.HSV7.005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622221221</t>
        </is>
      </c>
      <c r="F138" s="24" t="inlineStr"/>
      <c r="G138" s="24" t="inlineStr">
        <is>
          <t>Profilace fasády — různé tloušťky EPS (kordony, šambrány, rámování oke</t>
        </is>
      </c>
      <c r="H138" s="24" t="inlineStr">
        <is>
          <t>? needs production lookup</t>
        </is>
      </c>
    </row>
    <row r="139">
      <c r="B139" s="24" t="inlineStr">
        <is>
          <t>260219_dum.PSV76.002</t>
        </is>
      </c>
      <c r="C139" s="24" t="inlineStr">
        <is>
          <t>260219_dum</t>
        </is>
      </c>
      <c r="D139" s="24" t="inlineStr">
        <is>
          <t>PSV-76 Výplně otvorů</t>
        </is>
      </c>
      <c r="E139" s="24" t="inlineStr">
        <is>
          <t>766621011</t>
        </is>
      </c>
      <c r="F139" s="24" t="inlineStr"/>
      <c r="G139" s="24" t="inlineStr">
        <is>
          <t>Plastové okno izolačním trojsklem Uw=0.85 W/m²K — typ 'okno 1.NP vzadu</t>
        </is>
      </c>
      <c r="H139" s="24" t="inlineStr">
        <is>
          <t>? needs production lookup</t>
        </is>
      </c>
    </row>
    <row r="140">
      <c r="B140" s="24" t="inlineStr">
        <is>
          <t>260219_dum.PSV76.003</t>
        </is>
      </c>
      <c r="C140" s="24" t="inlineStr">
        <is>
          <t>260219_dum</t>
        </is>
      </c>
      <c r="D140" s="24" t="inlineStr">
        <is>
          <t>PSV-76 Výplně otvorů</t>
        </is>
      </c>
      <c r="E140" s="24" t="inlineStr">
        <is>
          <t>766621011</t>
        </is>
      </c>
      <c r="F140" s="24" t="inlineStr"/>
      <c r="G140" s="24" t="inlineStr">
        <is>
          <t>Plastové okno izolačním trojsklem Uw=0.85 W/m²K — typ 'okno 2.NP' veli</t>
        </is>
      </c>
      <c r="H140" s="24" t="inlineStr">
        <is>
          <t>? needs production lookup</t>
        </is>
      </c>
    </row>
    <row r="141">
      <c r="B141" s="24" t="inlineStr">
        <is>
          <t>260219_dum.PSV76.004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3.NP' veli</t>
        </is>
      </c>
      <c r="H141" s="24" t="inlineStr">
        <is>
          <t>? needs production lookup</t>
        </is>
      </c>
    </row>
    <row r="142">
      <c r="B142" s="24" t="inlineStr">
        <is>
          <t>260219_dum.PSV76.005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3.NP vzadu</t>
        </is>
      </c>
      <c r="H142" s="24" t="inlineStr">
        <is>
          <t>? needs production lookup</t>
        </is>
      </c>
    </row>
    <row r="143">
      <c r="B143" s="24" t="inlineStr">
        <is>
          <t>260219_dum.PSV76.006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 xml:space="preserve">Plastové okno izolačním trojsklem Uw=0.85 W/m²K — typ 'okno male 3.NP </t>
        </is>
      </c>
      <c r="H143" s="24" t="inlineStr">
        <is>
          <t>? needs production lookup</t>
        </is>
      </c>
    </row>
    <row r="144">
      <c r="B144" s="24" t="inlineStr">
        <is>
          <t>260219_dum.PSV76.007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malé vzadu</t>
        </is>
      </c>
      <c r="H144" s="24" t="inlineStr">
        <is>
          <t>? needs production lookup</t>
        </is>
      </c>
    </row>
    <row r="145">
      <c r="B145" s="24" t="inlineStr">
        <is>
          <t>260219_dum.PSV76.008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766631211</t>
        </is>
      </c>
      <c r="F145" s="24" t="inlineStr"/>
      <c r="G145" s="24" t="inlineStr">
        <is>
          <t>Integrované stínící venkovní žaluzie v kastlíku pod omítkou s purenito</t>
        </is>
      </c>
      <c r="H145" s="24" t="inlineStr">
        <is>
          <t>? needs production lookup</t>
        </is>
      </c>
    </row>
    <row r="146">
      <c r="B146" s="24" t="inlineStr">
        <is>
          <t>260219_dum.PSV76.009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766682111</t>
        </is>
      </c>
      <c r="F146" s="24" t="inlineStr"/>
      <c r="G146" s="24" t="inlineStr">
        <is>
          <t>Plastové vstupní dveře (ulice + zahrada) — 2 ks</t>
        </is>
      </c>
      <c r="H146" s="24" t="inlineStr">
        <is>
          <t>? needs production lookup</t>
        </is>
      </c>
    </row>
    <row r="147">
      <c r="B147" s="24" t="inlineStr">
        <is>
          <t>260219_dum.PSV76.010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766660035</t>
        </is>
      </c>
      <c r="F147" s="24" t="inlineStr"/>
      <c r="G147" s="24" t="inlineStr">
        <is>
          <t>Vnitřní dveře DTD laminované s obložkovou zárubní — odhad 15 ks</t>
        </is>
      </c>
      <c r="H147" s="24" t="inlineStr">
        <is>
          <t>? needs production lookup</t>
        </is>
      </c>
    </row>
    <row r="148">
      <c r="B148" s="24" t="inlineStr">
        <is>
          <t>260219_dum.PSV76.203</t>
        </is>
      </c>
      <c r="C148" s="24" t="inlineStr">
        <is>
          <t>260219_dum</t>
        </is>
      </c>
      <c r="D148" s="24" t="inlineStr">
        <is>
          <t>PSV-76 Zámečnictví</t>
        </is>
      </c>
      <c r="E148" s="24" t="inlineStr">
        <is>
          <t>767532111</t>
        </is>
      </c>
      <c r="F148" s="24" t="inlineStr"/>
      <c r="G148" s="24" t="inlineStr">
        <is>
          <t>Stříšky nad vstupy z ocelové konstrukce + Cetris desky + falcovaná kry</t>
        </is>
      </c>
      <c r="H148" s="24" t="inlineStr">
        <is>
          <t>? needs production lookup</t>
        </is>
      </c>
    </row>
    <row r="149">
      <c r="B149" s="24" t="inlineStr">
        <is>
          <t>260219_dum.PSV76.204</t>
        </is>
      </c>
      <c r="C149" s="24" t="inlineStr">
        <is>
          <t>260219_dum</t>
        </is>
      </c>
      <c r="D149" s="24" t="inlineStr">
        <is>
          <t>PSV-76 Zámečnictví</t>
        </is>
      </c>
      <c r="E149" s="24" t="inlineStr">
        <is>
          <t>767163115</t>
        </is>
      </c>
      <c r="F149" s="24" t="inlineStr"/>
      <c r="G149" s="24" t="inlineStr">
        <is>
          <t>Ocelové zábradlí svařované z jeklů + nerez výplň pZn antracit — schodi</t>
        </is>
      </c>
      <c r="H149" s="24" t="inlineStr">
        <is>
          <t>? needs production lookup</t>
        </is>
      </c>
    </row>
    <row r="150">
      <c r="B150" s="24" t="inlineStr">
        <is>
          <t>260219_dum.PSV76.301</t>
        </is>
      </c>
      <c r="C150" s="24" t="inlineStr">
        <is>
          <t>260219_dum</t>
        </is>
      </c>
      <c r="D150" s="24" t="inlineStr">
        <is>
          <t>PSV-76 Truhlář</t>
        </is>
      </c>
      <c r="E150" s="24" t="inlineStr">
        <is>
          <t>766811111</t>
        </is>
      </c>
      <c r="F150" s="24" t="inlineStr"/>
      <c r="G150" s="24" t="inlineStr">
        <is>
          <t>Dřevěné stupně ocelových schodišť (truhlářské, dub masiv tl. 40 mm)</t>
        </is>
      </c>
      <c r="H150" s="24" t="inlineStr">
        <is>
          <t>? needs production lookup</t>
        </is>
      </c>
    </row>
    <row r="151">
      <c r="B151" s="24" t="inlineStr">
        <is>
          <t>260219_dum.PSV76.302</t>
        </is>
      </c>
      <c r="C151" s="24" t="inlineStr">
        <is>
          <t>260219_dum</t>
        </is>
      </c>
      <c r="D151" s="24" t="inlineStr">
        <is>
          <t>PSV-76 Truhlář</t>
        </is>
      </c>
      <c r="E151" s="24" t="inlineStr"/>
      <c r="F151" s="24" t="inlineStr">
        <is>
          <t>762</t>
        </is>
      </c>
      <c r="G151" s="24" t="inlineStr">
        <is>
          <t xml:space="preserve">Dřevěná terasa za opěrnou stěnou — prkna garapa 145×25 mm na dřevěném </t>
        </is>
      </c>
      <c r="H151" s="24" t="inlineStr">
        <is>
          <t>❌ MANUAL — KROS catalog lookup</t>
        </is>
      </c>
    </row>
    <row r="152">
      <c r="B152" s="24" t="inlineStr">
        <is>
          <t>260219_dum.PSV77.002</t>
        </is>
      </c>
      <c r="C152" s="24" t="inlineStr">
        <is>
          <t>260219_dum</t>
        </is>
      </c>
      <c r="D152" s="24" t="inlineStr">
        <is>
          <t>PSV-77 Podlahy</t>
        </is>
      </c>
      <c r="E152" s="24" t="inlineStr">
        <is>
          <t>771274102</t>
        </is>
      </c>
      <c r="F152" s="24" t="inlineStr"/>
      <c r="G152" s="24" t="inlineStr">
        <is>
          <t>Nášlapná vrstva keramická dlažba lepená — koupelny + WC + spíž + komor</t>
        </is>
      </c>
      <c r="H152" s="24" t="inlineStr">
        <is>
          <t>? needs production lookup</t>
        </is>
      </c>
    </row>
    <row r="153">
      <c r="B153" s="24" t="inlineStr">
        <is>
          <t>260219_dum.PSV77.003</t>
        </is>
      </c>
      <c r="C153" s="24" t="inlineStr">
        <is>
          <t>260219_dum</t>
        </is>
      </c>
      <c r="D153" s="24" t="inlineStr">
        <is>
          <t>PSV-77 Podlahy</t>
        </is>
      </c>
      <c r="E153" s="24" t="inlineStr">
        <is>
          <t>771274102</t>
        </is>
      </c>
      <c r="F153" s="24" t="inlineStr"/>
      <c r="G153" s="24" t="inlineStr">
        <is>
          <t>Nášlapná vrstva keramická dlažba — 1.PP technické místnosti (sušárna +</t>
        </is>
      </c>
      <c r="H153" s="24" t="inlineStr">
        <is>
          <t>? needs production lookup</t>
        </is>
      </c>
    </row>
    <row r="154">
      <c r="B154" s="24" t="inlineStr">
        <is>
          <t>260219_dum.PSV77.004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766411111</t>
        </is>
      </c>
      <c r="F154" s="24" t="inlineStr"/>
      <c r="G154" s="24" t="inlineStr">
        <is>
          <t xml:space="preserve">Nášlapná vrstva biodeska (smrk masiv) nebo OSB v 3.NP spací části nad </t>
        </is>
      </c>
      <c r="H154" s="24" t="inlineStr">
        <is>
          <t>? needs production lookup</t>
        </is>
      </c>
    </row>
    <row r="155">
      <c r="B155" s="24" t="inlineStr">
        <is>
          <t>260219_dum.PSV77.005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631321311</t>
        </is>
      </c>
      <c r="F155" s="24" t="inlineStr"/>
      <c r="G155" s="24" t="inlineStr">
        <is>
          <t>Mokrá podlahová skladba — betonový potěr s kari síťkou 4/100/100 tl. 5</t>
        </is>
      </c>
      <c r="H155" s="24" t="inlineStr">
        <is>
          <t>? needs production lookup</t>
        </is>
      </c>
    </row>
    <row r="156">
      <c r="B156" s="24" t="inlineStr">
        <is>
          <t>260219_dum.PSV77.006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776511831</t>
        </is>
      </c>
      <c r="F156" s="24" t="inlineStr"/>
      <c r="G156" s="24" t="inlineStr">
        <is>
          <t>Soklíky podlahové laminátové (dub) v obytných místnostech s vinyl podl</t>
        </is>
      </c>
      <c r="H156" s="24" t="inlineStr">
        <is>
          <t>? needs production lookup</t>
        </is>
      </c>
    </row>
    <row r="157">
      <c r="B157" s="24" t="inlineStr">
        <is>
          <t>260219_dum.PSV77.007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771274107</t>
        </is>
      </c>
      <c r="F157" s="24" t="inlineStr"/>
      <c r="G157" s="24" t="inlineStr">
        <is>
          <t>Soklíky keramické v místnostech s dlažbou (koupelny + WC + spíž + 1.PP</t>
        </is>
      </c>
      <c r="H157" s="24" t="inlineStr">
        <is>
          <t>? needs production lookup</t>
        </is>
      </c>
    </row>
    <row r="158">
      <c r="B158" s="24" t="inlineStr">
        <is>
          <t>260219_dum.PSV78.001</t>
        </is>
      </c>
      <c r="C158" s="24" t="inlineStr">
        <is>
          <t>260219_dum</t>
        </is>
      </c>
      <c r="D158" s="24" t="inlineStr">
        <is>
          <t>PSV-78 Povrchové úpravy</t>
        </is>
      </c>
      <c r="E158" s="24" t="inlineStr">
        <is>
          <t>612311311</t>
        </is>
      </c>
      <c r="F158" s="24" t="inlineStr"/>
      <c r="G158" s="24" t="inlineStr">
        <is>
          <t>Omítka jádrová vápenocementová tl. 15 mm + štuková povrchová úprava na</t>
        </is>
      </c>
      <c r="H158" s="24" t="inlineStr">
        <is>
          <t>? needs production lookup</t>
        </is>
      </c>
    </row>
    <row r="159">
      <c r="B159" s="24" t="inlineStr">
        <is>
          <t>260219_dum.PSV78.002</t>
        </is>
      </c>
      <c r="C159" s="24" t="inlineStr">
        <is>
          <t>260219_dum</t>
        </is>
      </c>
      <c r="D159" s="24" t="inlineStr">
        <is>
          <t>PSV-78 Povrchové úpravy</t>
        </is>
      </c>
      <c r="E159" s="24" t="inlineStr">
        <is>
          <t>612311311</t>
        </is>
      </c>
      <c r="F159" s="24" t="inlineStr"/>
      <c r="G159" s="24" t="inlineStr">
        <is>
          <t>Omítka jádrová vápenocementová tl. 15 mm + štuková povrchová úprava na</t>
        </is>
      </c>
      <c r="H159" s="24" t="inlineStr">
        <is>
          <t>? needs production lookup</t>
        </is>
      </c>
    </row>
    <row r="160">
      <c r="B160" s="24" t="inlineStr">
        <is>
          <t>260219_dum.PSV78.003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260219_dum.PSV78.004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260219_dum.PSV78.005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612471141</t>
        </is>
      </c>
      <c r="F162" s="24" t="inlineStr"/>
      <c r="G162" s="24" t="inlineStr">
        <is>
          <t>SDK podhled + případné předstěny — tmelení spojů Q3 + povrchová úprava</t>
        </is>
      </c>
      <c r="H162" s="24" t="inlineStr">
        <is>
          <t>? needs production lookup</t>
        </is>
      </c>
    </row>
    <row r="163">
      <c r="B163" s="24" t="inlineStr">
        <is>
          <t>260219_dum.PSV78.006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612471141</t>
        </is>
      </c>
      <c r="F163" s="24" t="inlineStr"/>
      <c r="G163" s="24" t="inlineStr">
        <is>
          <t>SDK podhled + případné předstěny — tmelení spojů Q3 + povrchová úprava</t>
        </is>
      </c>
      <c r="H163" s="24" t="inlineStr">
        <is>
          <t>? needs production lookup</t>
        </is>
      </c>
    </row>
    <row r="164">
      <c r="B164" s="24" t="inlineStr">
        <is>
          <t>260219_dum.PSV78.007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260219_dum.PSV78.008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781447001</t>
        </is>
      </c>
      <c r="F165" s="24" t="inlineStr"/>
      <c r="G165" s="24" t="inlineStr">
        <is>
          <t xml:space="preserve">Keramický obklad stěn koupelny 1.05 1.NP — výška obkladu 1.6 m (z DXF </t>
        </is>
      </c>
      <c r="H165" s="24" t="inlineStr">
        <is>
          <t>? needs production lookup</t>
        </is>
      </c>
    </row>
    <row r="166">
      <c r="B166" s="24" t="inlineStr">
        <is>
          <t>260219_dum.PSV78.009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781447001</t>
        </is>
      </c>
      <c r="F166" s="24" t="inlineStr"/>
      <c r="G166" s="24" t="inlineStr">
        <is>
          <t>Keramický obklad stěn koupelny 2.03 2.NP — výška obkladu 2.45 m (z DXF</t>
        </is>
      </c>
      <c r="H166" s="24" t="inlineStr">
        <is>
          <t>? needs production lookup</t>
        </is>
      </c>
    </row>
    <row r="167">
      <c r="B167" s="24" t="inlineStr">
        <is>
          <t>260219_dum.PSV78.010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3.04 3.NP — výška obkladu 2.7 m (z DXF </t>
        </is>
      </c>
      <c r="H167" s="24" t="inlineStr">
        <is>
          <t>? needs production lookup</t>
        </is>
      </c>
    </row>
    <row r="168">
      <c r="B168" s="24" t="inlineStr">
        <is>
          <t>260219_dum.PSV78.011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 xml:space="preserve">Keramický obklad za kuchyňskou linkou nad pracovní deskou — 2 kuchyně </t>
        </is>
      </c>
      <c r="H168" s="24" t="inlineStr">
        <is>
          <t>? needs production lookup</t>
        </is>
      </c>
    </row>
    <row r="169">
      <c r="B169" s="24" t="inlineStr">
        <is>
          <t>260219_dum.PSV95.002</t>
        </is>
      </c>
      <c r="C169" s="24" t="inlineStr">
        <is>
          <t>260219_dum</t>
        </is>
      </c>
      <c r="D169" s="24" t="inlineStr">
        <is>
          <t>PSV-95 Detekce požární</t>
        </is>
      </c>
      <c r="E169" s="24" t="inlineStr">
        <is>
          <t>966067121</t>
        </is>
      </c>
      <c r="F169" s="24" t="inlineStr"/>
      <c r="G169" s="24" t="inlineStr">
        <is>
          <t>Přenosný hasicí přístroj 34A dle PBŘ — min. 1 ks na společné chodbě</t>
        </is>
      </c>
      <c r="H169" s="24" t="inlineStr">
        <is>
          <t>? needs production lookup</t>
        </is>
      </c>
    </row>
    <row r="170">
      <c r="B170" s="24" t="inlineStr">
        <is>
          <t>260217_sklad.PSV76.001</t>
        </is>
      </c>
      <c r="C170" s="24" t="inlineStr">
        <is>
          <t>260217_sklad</t>
        </is>
      </c>
      <c r="D170" s="24" t="inlineStr">
        <is>
          <t>PSV-76 Výplně otvorů</t>
        </is>
      </c>
      <c r="E170" s="24" t="inlineStr">
        <is>
          <t>766682111</t>
        </is>
      </c>
      <c r="F170" s="24" t="inlineStr"/>
      <c r="G170" s="24" t="inlineStr">
        <is>
          <t>Bezpečnostní dveře RC3 v ocelové zárubni — vrata skladu (TZ statika §1</t>
        </is>
      </c>
      <c r="H170" s="24" t="inlineStr">
        <is>
          <t>? needs production lookup</t>
        </is>
      </c>
    </row>
    <row r="171">
      <c r="B171" s="24" t="inlineStr">
        <is>
          <t>260219_dum.PSV72.003</t>
        </is>
      </c>
      <c r="C171" s="24" t="inlineStr">
        <is>
          <t>260219_dum</t>
        </is>
      </c>
      <c r="D171" s="24" t="inlineStr">
        <is>
          <t>PSV-72 ZTI</t>
        </is>
      </c>
      <c r="E171" s="24" t="inlineStr">
        <is>
          <t>721174021</t>
        </is>
      </c>
      <c r="F171" s="24" t="inlineStr"/>
      <c r="G171" s="24" t="inlineStr">
        <is>
          <t>Nové odpadní rozvody PVC-HT DN40-DN110 ke koupelnám 1.NP, 2.NP, 3.NP a</t>
        </is>
      </c>
      <c r="H171" s="24" t="inlineStr">
        <is>
          <t>? needs production lookup</t>
        </is>
      </c>
    </row>
    <row r="172">
      <c r="B172" s="24" t="inlineStr">
        <is>
          <t>260219_dum.PSV72.007</t>
        </is>
      </c>
      <c r="C172" s="24" t="inlineStr">
        <is>
          <t>260219_dum</t>
        </is>
      </c>
      <c r="D172" s="24" t="inlineStr">
        <is>
          <t>PSV-72 ZTI</t>
        </is>
      </c>
      <c r="E172" s="24" t="inlineStr">
        <is>
          <t>725840111</t>
        </is>
      </c>
      <c r="F172" s="24" t="inlineStr"/>
      <c r="G172" s="24" t="inlineStr">
        <is>
          <t>Kuchyňský dřez nerez + montáž — 2 ks (kuchyně 1.06 byt rodičů + kuchyn</t>
        </is>
      </c>
      <c r="H172" s="24" t="inlineStr">
        <is>
          <t>? needs production lookup</t>
        </is>
      </c>
    </row>
    <row r="173">
      <c r="B173" s="24" t="inlineStr">
        <is>
          <t>260219_dum.PSV72.008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725822611</t>
        </is>
      </c>
      <c r="F173" s="24" t="inlineStr"/>
      <c r="G173" s="24" t="inlineStr">
        <is>
          <t xml:space="preserve">Vodovodní baterie (WC ventil + páková umyvadlová + sprchové + dřezové </t>
        </is>
      </c>
      <c r="H173" s="24" t="inlineStr">
        <is>
          <t>? needs production lookup</t>
        </is>
      </c>
    </row>
    <row r="174">
      <c r="B174" s="24" t="inlineStr">
        <is>
          <t>260219_dum.PSV72.009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732419411</t>
        </is>
      </c>
      <c r="F174" s="24" t="inlineStr"/>
      <c r="G174" s="24" t="inlineStr">
        <is>
          <t>Akumulační zásobník TUV ~300 l v 1.PP napojený na topný systém (sporák</t>
        </is>
      </c>
      <c r="H174" s="24" t="inlineStr">
        <is>
          <t>? needs production lookup</t>
        </is>
      </c>
    </row>
    <row r="175">
      <c r="B175" s="24" t="inlineStr">
        <is>
          <t>260219_dum.PSV72.010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732429211</t>
        </is>
      </c>
      <c r="F175" s="24" t="inlineStr"/>
      <c r="G175" s="24" t="inlineStr">
        <is>
          <t>Elektrický bojler ~80 l v koupelně 3.NP (nezávislý zdroj pro samostatn</t>
        </is>
      </c>
      <c r="H175" s="24" t="inlineStr">
        <is>
          <t>? needs production lookup</t>
        </is>
      </c>
    </row>
    <row r="176">
      <c r="B176" s="24" t="inlineStr">
        <is>
          <t>260219_dum.PSV73.001</t>
        </is>
      </c>
      <c r="C176" s="24" t="inlineStr">
        <is>
          <t>260219_dum</t>
        </is>
      </c>
      <c r="D176" s="24" t="inlineStr">
        <is>
          <t>PSV-73 Vytápění</t>
        </is>
      </c>
      <c r="E176" s="24" t="inlineStr">
        <is>
          <t>733241011</t>
        </is>
      </c>
      <c r="F176" s="24" t="inlineStr"/>
      <c r="G176" s="24" t="inlineStr">
        <is>
          <t>Sporáková kamna na tuhá paliva ~10 kW s akumulačním zásobníkem TUV — d</t>
        </is>
      </c>
      <c r="H176" s="24" t="inlineStr">
        <is>
          <t>? needs production lookup</t>
        </is>
      </c>
    </row>
    <row r="177">
      <c r="B177" s="24" t="inlineStr">
        <is>
          <t>260219_dum.PSV73.002</t>
        </is>
      </c>
      <c r="C177" s="24" t="inlineStr">
        <is>
          <t>260219_dum</t>
        </is>
      </c>
      <c r="D177" s="24" t="inlineStr">
        <is>
          <t>PSV-73 Vytápění</t>
        </is>
      </c>
      <c r="E177" s="24" t="inlineStr">
        <is>
          <t>733281011</t>
        </is>
      </c>
      <c r="F177" s="24" t="inlineStr"/>
      <c r="G177" s="24" t="inlineStr">
        <is>
          <t>Sporáková kamna — montáž vč. napojení na komín + akumulační zásobník (</t>
        </is>
      </c>
      <c r="H177" s="24" t="inlineStr">
        <is>
          <t>? needs production lookup</t>
        </is>
      </c>
    </row>
    <row r="178">
      <c r="B178" s="24" t="inlineStr">
        <is>
          <t>260219_dum.PSV73.003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733131221</t>
        </is>
      </c>
      <c r="F178" s="24" t="inlineStr"/>
      <c r="G178" s="24" t="inlineStr">
        <is>
          <t>Elektrokotel ~8 kW pro 3.NP samostatný byt — dodávka + montáž + napoje</t>
        </is>
      </c>
      <c r="H178" s="24" t="inlineStr">
        <is>
          <t>? needs production lookup</t>
        </is>
      </c>
    </row>
    <row r="179">
      <c r="B179" s="24" t="inlineStr">
        <is>
          <t>260219_dum.PSV73.004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733241011</t>
        </is>
      </c>
      <c r="F179" s="24" t="inlineStr"/>
      <c r="G179" s="24" t="inlineStr">
        <is>
          <t>Krb na tuhá paliva v 3.NP ~6 kW — dodávka + montáž s napojením na samo</t>
        </is>
      </c>
      <c r="H179" s="24" t="inlineStr">
        <is>
          <t>? needs production lookup</t>
        </is>
      </c>
    </row>
    <row r="180">
      <c r="B180" s="24" t="inlineStr">
        <is>
          <t>260219_dum.PSV73.005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733425211</t>
        </is>
      </c>
      <c r="F180" s="24" t="inlineStr"/>
      <c r="G180" s="24" t="inlineStr">
        <is>
          <t>Multisplit tepelné čerpadlo vzduch-vzduch — 1× venkovní jednotka ~10 k</t>
        </is>
      </c>
      <c r="H180" s="24" t="inlineStr">
        <is>
          <t>? needs production lookup</t>
        </is>
      </c>
    </row>
    <row r="181">
      <c r="B181" s="24" t="inlineStr">
        <is>
          <t>260219_dum.PSV73.006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733425221</t>
        </is>
      </c>
      <c r="F181" s="24" t="inlineStr"/>
      <c r="G181" s="24" t="inlineStr">
        <is>
          <t>Multisplit TČ — 5× vnitřní jednotka v obytných místnostech (1.NP, 2.NP</t>
        </is>
      </c>
      <c r="H181" s="24" t="inlineStr">
        <is>
          <t>? needs production lookup</t>
        </is>
      </c>
    </row>
    <row r="182">
      <c r="B182" s="24" t="inlineStr">
        <is>
          <t>260219_dum.PSV73.007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734262122</t>
        </is>
      </c>
      <c r="F182" s="24" t="inlineStr"/>
      <c r="G182" s="24" t="inlineStr">
        <is>
          <t>Revize stávajícího komínu — kontrola, čištění, vystrojení vložkou nere</t>
        </is>
      </c>
      <c r="H182" s="24" t="inlineStr">
        <is>
          <t>? needs production lookup</t>
        </is>
      </c>
    </row>
    <row r="183">
      <c r="B183" s="24" t="inlineStr">
        <is>
          <t>260219_dum.PSV73.008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733111021</t>
        </is>
      </c>
      <c r="F183" s="24" t="inlineStr"/>
      <c r="G183" s="24" t="inlineStr">
        <is>
          <t>Rozvody otopné soustavy Cu/PEX k vnitřním jednotkám TČ + radiátorům pr</t>
        </is>
      </c>
      <c r="H183" s="24" t="inlineStr">
        <is>
          <t>? needs production lookup</t>
        </is>
      </c>
    </row>
    <row r="184">
      <c r="B184" s="24" t="inlineStr">
        <is>
          <t>260219_dum.M21.001</t>
        </is>
      </c>
      <c r="C184" s="24" t="inlineStr">
        <is>
          <t>260219_dum</t>
        </is>
      </c>
      <c r="D184" s="24" t="inlineStr">
        <is>
          <t>M-21 ELI silnoproud</t>
        </is>
      </c>
      <c r="E184" s="24" t="inlineStr">
        <is>
          <t>210010011</t>
        </is>
      </c>
      <c r="F184" s="24" t="inlineStr"/>
      <c r="G184" s="24" t="inlineStr">
        <is>
          <t>Demontáž stávající elektroinstalace v celém domě (vodiče, rozvaděč, zá</t>
        </is>
      </c>
      <c r="H184" s="24" t="inlineStr">
        <is>
          <t>? needs production lookup</t>
        </is>
      </c>
    </row>
    <row r="185">
      <c r="B185" s="24" t="inlineStr">
        <is>
          <t>260219_dum.M21.002</t>
        </is>
      </c>
      <c r="C185" s="24" t="inlineStr">
        <is>
          <t>260219_dum</t>
        </is>
      </c>
      <c r="D185" s="24" t="inlineStr">
        <is>
          <t>M-21 ELI silnoproud</t>
        </is>
      </c>
      <c r="E185" s="24" t="inlineStr">
        <is>
          <t>210110023</t>
        </is>
      </c>
      <c r="F185" s="24" t="inlineStr"/>
      <c r="G185" s="24" t="inlineStr">
        <is>
          <t>Nová pojistková skříň + 3× podružný rozvaděč pro každé patro (1.NP, 2.</t>
        </is>
      </c>
      <c r="H185" s="24" t="inlineStr">
        <is>
          <t>? needs production lookup</t>
        </is>
      </c>
    </row>
    <row r="186">
      <c r="B186" s="24" t="inlineStr">
        <is>
          <t>260219_dum.M21.003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210800012</t>
        </is>
      </c>
      <c r="F186" s="24" t="inlineStr"/>
      <c r="G186" s="24" t="inlineStr">
        <is>
          <t>Nové silnoproudé rozvody — vodiče CYKY 3×1.5 / 3×2.5 / 5×2.5 / 5×6 + k</t>
        </is>
      </c>
      <c r="H186" s="24" t="inlineStr">
        <is>
          <t>? needs production lookup</t>
        </is>
      </c>
    </row>
    <row r="187">
      <c r="B187" s="24" t="inlineStr">
        <is>
          <t>260219_dum.M21.004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210810050</t>
        </is>
      </c>
      <c r="F187" s="24" t="inlineStr"/>
      <c r="G187" s="24" t="inlineStr">
        <is>
          <t>Zásuvky a vypínače dodávka + montáž — ~70 ks (60-80 dle vyjasnění #7)</t>
        </is>
      </c>
      <c r="H187" s="24" t="inlineStr">
        <is>
          <t>? needs production lookup</t>
        </is>
      </c>
    </row>
    <row r="188">
      <c r="B188" s="24" t="inlineStr">
        <is>
          <t>260219_dum.M21.005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210820002</t>
        </is>
      </c>
      <c r="F188" s="24" t="inlineStr"/>
      <c r="G188" s="24" t="inlineStr">
        <is>
          <t>Svítidla dodávka + montáž — ~35 ks (30-40 dle vyjasnění #7) interiér +</t>
        </is>
      </c>
      <c r="H188" s="24" t="inlineStr">
        <is>
          <t>? needs production lookup</t>
        </is>
      </c>
    </row>
    <row r="189">
      <c r="B189" s="24" t="inlineStr">
        <is>
          <t>260219_dum.M21.006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210800099</t>
        </is>
      </c>
      <c r="F189" s="24" t="inlineStr"/>
      <c r="G189" s="24" t="inlineStr">
        <is>
          <t>Příprava na osazení FVE — rezerva v rozvaděči (jistič + zásuvka pro st</t>
        </is>
      </c>
      <c r="H189" s="24" t="inlineStr">
        <is>
          <t>? needs production lookup</t>
        </is>
      </c>
    </row>
    <row r="190">
      <c r="B190" s="24" t="inlineStr">
        <is>
          <t>260219_dum.M21.007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996019011</t>
        </is>
      </c>
      <c r="F190" s="24" t="inlineStr"/>
      <c r="G190" s="24" t="inlineStr">
        <is>
          <t>Výchozí revize elektrické instalace dle ČSN 33 2000-6 + revizní zpráva</t>
        </is>
      </c>
      <c r="H190" s="24" t="inlineStr">
        <is>
          <t>? needs production lookup</t>
        </is>
      </c>
    </row>
    <row r="191">
      <c r="B191" s="24" t="inlineStr">
        <is>
          <t>260219_dum.VRN.001</t>
        </is>
      </c>
      <c r="C191" s="24" t="inlineStr">
        <is>
          <t>260219_dum</t>
        </is>
      </c>
      <c r="D191" s="24" t="inlineStr">
        <is>
          <t>VRN — Zařízení staveniště</t>
        </is>
      </c>
      <c r="E191" s="24" t="inlineStr">
        <is>
          <t>030011000</t>
        </is>
      </c>
      <c r="F191" s="24" t="inlineStr"/>
      <c r="G191" s="24" t="inlineStr">
        <is>
          <t>Zařízení staveniště — buňka kancelář + sociální buňka (WC + šatna), pr</t>
        </is>
      </c>
      <c r="H191" s="24" t="inlineStr">
        <is>
          <t>? needs production lookup</t>
        </is>
      </c>
    </row>
    <row r="192">
      <c r="B192" s="24" t="inlineStr">
        <is>
          <t>260219_dum.VRN.002</t>
        </is>
      </c>
      <c r="C192" s="24" t="inlineStr">
        <is>
          <t>260219_dum</t>
        </is>
      </c>
      <c r="D192" s="24" t="inlineStr">
        <is>
          <t>VRN — Zařízení staveniště</t>
        </is>
      </c>
      <c r="E192" s="24" t="inlineStr">
        <is>
          <t>030013000</t>
        </is>
      </c>
      <c r="F192" s="24" t="inlineStr"/>
      <c r="G192" s="24" t="inlineStr">
        <is>
          <t>Mobilní chemické WC TOI TOI pro pracovníky — pronájem ~8 měsíců</t>
        </is>
      </c>
      <c r="H192" s="24" t="inlineStr">
        <is>
          <t>? needs production lookup</t>
        </is>
      </c>
    </row>
    <row r="193">
      <c r="B193" s="24" t="inlineStr">
        <is>
          <t>260219_dum.VRN.003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031011000</t>
        </is>
      </c>
      <c r="F193" s="24" t="inlineStr"/>
      <c r="G193" s="24" t="inlineStr">
        <is>
          <t>El. odběr stavby (zřízení staveništního rozvaděče + měřič) + vodovodní</t>
        </is>
      </c>
      <c r="H193" s="24" t="inlineStr">
        <is>
          <t>? needs production lookup</t>
        </is>
      </c>
    </row>
    <row r="194">
      <c r="B194" s="24" t="inlineStr">
        <is>
          <t>260219_dum.VRN.101</t>
        </is>
      </c>
      <c r="C194" s="24" t="inlineStr">
        <is>
          <t>260219_dum</t>
        </is>
      </c>
      <c r="D194" s="24" t="inlineStr">
        <is>
          <t>VRN — Doprava + odpad</t>
        </is>
      </c>
      <c r="E194" s="24" t="inlineStr">
        <is>
          <t>997013211</t>
        </is>
      </c>
      <c r="F194" s="24" t="inlineStr"/>
      <c r="G194" s="24" t="inlineStr">
        <is>
          <t>Kontejnery na suť tříděnou velkoobjemové (beton/cihly, dřevo, kovy, EP</t>
        </is>
      </c>
      <c r="H194" s="24" t="inlineStr">
        <is>
          <t>? needs production lookup</t>
        </is>
      </c>
    </row>
    <row r="195">
      <c r="B195" s="24" t="inlineStr">
        <is>
          <t>260219_dum.VRN.201</t>
        </is>
      </c>
      <c r="C195" s="24" t="inlineStr">
        <is>
          <t>260219_dum</t>
        </is>
      </c>
      <c r="D195" s="24" t="inlineStr">
        <is>
          <t>VRN — BOZP</t>
        </is>
      </c>
      <c r="E195" s="24" t="inlineStr">
        <is>
          <t>030091000</t>
        </is>
      </c>
      <c r="F195" s="24" t="inlineStr"/>
      <c r="G195" s="24" t="inlineStr">
        <is>
          <t xml:space="preserve">Koordinátor BOZP na staveništi dle zákona 309/2006 Sb. — pro stavbu s </t>
        </is>
      </c>
      <c r="H195" s="24" t="inlineStr">
        <is>
          <t>? needs production lookup</t>
        </is>
      </c>
    </row>
    <row r="196">
      <c r="B196" s="24" t="inlineStr">
        <is>
          <t>260219_dum.VRN.301</t>
        </is>
      </c>
      <c r="C196" s="24" t="inlineStr">
        <is>
          <t>260219_dum</t>
        </is>
      </c>
      <c r="D196" s="24" t="inlineStr">
        <is>
          <t>VRN — Pojištění + zábory</t>
        </is>
      </c>
      <c r="E196" s="24" t="inlineStr">
        <is>
          <t>030081000</t>
        </is>
      </c>
      <c r="F196" s="24" t="inlineStr"/>
      <c r="G196" s="24" t="inlineStr">
        <is>
          <t>Montážní pojištění stavby (CAR) + pojištění odpovědnosti za škodu (zho</t>
        </is>
      </c>
      <c r="H196" s="24" t="inlineStr">
        <is>
          <t>? needs production lookup</t>
        </is>
      </c>
    </row>
    <row r="197">
      <c r="B197" s="24" t="inlineStr">
        <is>
          <t>260219_dum.VRN.302</t>
        </is>
      </c>
      <c r="C197" s="24" t="inlineStr">
        <is>
          <t>260219_dum</t>
        </is>
      </c>
      <c r="D197" s="24" t="inlineStr">
        <is>
          <t>VRN — Pojištění + zábory</t>
        </is>
      </c>
      <c r="E197" s="24" t="inlineStr">
        <is>
          <t>030083000</t>
        </is>
      </c>
      <c r="F197" s="24" t="inlineStr"/>
      <c r="G197" s="24" t="inlineStr">
        <is>
          <t xml:space="preserve">Krátkodobé zábory ulice Fibichova pro materiál a kontejnery (povolení </t>
        </is>
      </c>
      <c r="H197" s="24" t="inlineStr">
        <is>
          <t>? needs production lookup</t>
        </is>
      </c>
    </row>
    <row r="198">
      <c r="B198" s="24" t="inlineStr">
        <is>
          <t>260219_dum.VRN.401</t>
        </is>
      </c>
      <c r="C198" s="24" t="inlineStr">
        <is>
          <t>260219_dum</t>
        </is>
      </c>
      <c r="D198" s="24" t="inlineStr">
        <is>
          <t>VRN — Průzkumy</t>
        </is>
      </c>
      <c r="E198" s="24" t="inlineStr">
        <is>
          <t>030131000</t>
        </is>
      </c>
      <c r="F198" s="24" t="inlineStr"/>
      <c r="G198" s="24" t="inlineStr">
        <is>
          <t>Mykologický průzkum + průzkum výskytu dřevokazného hmyzu stávajícího k</t>
        </is>
      </c>
      <c r="H198" s="24" t="inlineStr">
        <is>
          <t>? needs production lookup</t>
        </is>
      </c>
    </row>
    <row r="199">
      <c r="B199" s="24" t="inlineStr">
        <is>
          <t>260219_dum.VRN.402</t>
        </is>
      </c>
      <c r="C199" s="24" t="inlineStr">
        <is>
          <t>260219_dum</t>
        </is>
      </c>
      <c r="D199" s="24" t="inlineStr">
        <is>
          <t>VRN — Průzkumy</t>
        </is>
      </c>
      <c r="E199" s="24" t="inlineStr">
        <is>
          <t>030133000</t>
        </is>
      </c>
      <c r="F199" s="24" t="inlineStr"/>
      <c r="G199" s="24" t="inlineStr">
        <is>
          <t>Azbestový průzkum podrobný před demolicí — laboratorní vzorky a posude</t>
        </is>
      </c>
      <c r="H199" s="24" t="inlineStr">
        <is>
          <t>? needs production lookup</t>
        </is>
      </c>
    </row>
    <row r="200">
      <c r="B200" s="24" t="inlineStr">
        <is>
          <t>260219_dum.VRN.501</t>
        </is>
      </c>
      <c r="C200" s="24" t="inlineStr">
        <is>
          <t>260219_dum</t>
        </is>
      </c>
      <c r="D200" s="24" t="inlineStr">
        <is>
          <t>VRN — Geodet</t>
        </is>
      </c>
      <c r="E200" s="24" t="inlineStr">
        <is>
          <t>030141000</t>
        </is>
      </c>
      <c r="F200" s="24" t="inlineStr"/>
      <c r="G200" s="24" t="inlineStr">
        <is>
          <t>Geodetické zaměření před realizací (verifikace polohopis + výškopis) +</t>
        </is>
      </c>
      <c r="H200" s="24" t="inlineStr">
        <is>
          <t>? needs production lookup</t>
        </is>
      </c>
    </row>
    <row r="201">
      <c r="B201" s="24" t="inlineStr">
        <is>
          <t>260219_dum.VRN.601</t>
        </is>
      </c>
      <c r="C201" s="24" t="inlineStr">
        <is>
          <t>260219_dum</t>
        </is>
      </c>
      <c r="D201" s="24" t="inlineStr">
        <is>
          <t>VRN — Dokumentace</t>
        </is>
      </c>
      <c r="E201" s="24" t="inlineStr">
        <is>
          <t>030151000</t>
        </is>
      </c>
      <c r="F201" s="24" t="inlineStr"/>
      <c r="G201" s="24" t="inlineStr">
        <is>
          <t>Předávací protokoly + Dokumentace skutečného provedení (DSP) — sestave</t>
        </is>
      </c>
      <c r="H201" s="24" t="inlineStr">
        <is>
          <t>? needs production lookup</t>
        </is>
      </c>
    </row>
    <row r="202">
      <c r="B202" s="24" t="inlineStr">
        <is>
          <t>260219_dum.VRN.701</t>
        </is>
      </c>
      <c r="C202" s="24" t="inlineStr">
        <is>
          <t>260219_dum</t>
        </is>
      </c>
      <c r="D202" s="24" t="inlineStr">
        <is>
          <t>VRN — Revize</t>
        </is>
      </c>
      <c r="E202" s="24" t="inlineStr">
        <is>
          <t>030161000</t>
        </is>
      </c>
      <c r="F202" s="24" t="inlineStr"/>
      <c r="G202" s="24" t="inlineStr">
        <is>
          <t>Revize vnějšího hydrantu pro požární zabezpečení (DN min. 80, vzdáleno</t>
        </is>
      </c>
      <c r="H202" s="24" t="inlineStr">
        <is>
          <t>? needs production lookup</t>
        </is>
      </c>
    </row>
    <row r="203">
      <c r="B203" s="24" t="inlineStr">
        <is>
          <t>260219_dum.VRN.801</t>
        </is>
      </c>
      <c r="C203" s="24" t="inlineStr">
        <is>
          <t>260219_dum</t>
        </is>
      </c>
      <c r="D203" s="24" t="inlineStr">
        <is>
          <t>VRN — Kolaudace</t>
        </is>
      </c>
      <c r="E203" s="24" t="inlineStr">
        <is>
          <t>030171000</t>
        </is>
      </c>
      <c r="F203" s="24" t="inlineStr"/>
      <c r="G203" s="24" t="inlineStr">
        <is>
          <t xml:space="preserve">Kolaudační řízení — paušál (správní poplatky + součinnost) dle zákona </t>
        </is>
      </c>
      <c r="H203" s="24" t="inlineStr">
        <is>
          <t>? needs production lookup</t>
        </is>
      </c>
    </row>
    <row r="204">
      <c r="B204" s="24" t="inlineStr">
        <is>
          <t>260219_dum.VRN.102</t>
        </is>
      </c>
      <c r="C204" s="24" t="inlineStr">
        <is>
          <t>260219_dum</t>
        </is>
      </c>
      <c r="D204" s="24" t="inlineStr">
        <is>
          <t>VRN — Doprava + odpad</t>
        </is>
      </c>
      <c r="E204" s="24" t="inlineStr">
        <is>
          <t>031031000</t>
        </is>
      </c>
      <c r="F204" s="24" t="inlineStr"/>
      <c r="G204" s="24" t="inlineStr">
        <is>
          <t>Doprava materiálu na stavbu (centrální koordinace) — paušál ~2-3 % z P</t>
        </is>
      </c>
      <c r="H204" s="24" t="inlineStr">
        <is>
          <t>? needs production lookup</t>
        </is>
      </c>
    </row>
    <row r="205">
      <c r="B205" s="24" t="inlineStr">
        <is>
          <t>260219_dum.VRN.103</t>
        </is>
      </c>
      <c r="C205" s="24" t="inlineStr">
        <is>
          <t>260219_dum</t>
        </is>
      </c>
      <c r="D205" s="24" t="inlineStr">
        <is>
          <t>VRN — Doprava + odpad</t>
        </is>
      </c>
      <c r="E205" s="24" t="inlineStr">
        <is>
          <t>997013211</t>
        </is>
      </c>
      <c r="F205" s="24" t="inlineStr"/>
      <c r="G205" s="24" t="inlineStr">
        <is>
          <t xml:space="preserve">Likvidace stavební suti dle vyhl. 8/2021 Sb. — skládkovné + recyklace </t>
        </is>
      </c>
      <c r="H205" s="24" t="inlineStr">
        <is>
          <t>? needs production lookup</t>
        </is>
      </c>
    </row>
    <row r="206">
      <c r="B206" s="24" t="inlineStr">
        <is>
          <t>260217_sklad.VRN.001</t>
        </is>
      </c>
      <c r="C206" s="24" t="inlineStr">
        <is>
          <t>260217_sklad</t>
        </is>
      </c>
      <c r="D206" s="24" t="inlineStr">
        <is>
          <t>VRN — Doprava + odpad</t>
        </is>
      </c>
      <c r="E206" s="24" t="inlineStr">
        <is>
          <t>031032000</t>
        </is>
      </c>
      <c r="F206" s="24" t="inlineStr"/>
      <c r="G206" s="24" t="inlineStr">
        <is>
          <t>Doprava prefa H-BLOK Standard z výrobny Herkul (Obrnice) auto s hydrau</t>
        </is>
      </c>
      <c r="H206" s="24" t="inlineStr">
        <is>
          <t>? needs production lookup</t>
        </is>
      </c>
    </row>
    <row r="207">
      <c r="B207" s="24" t="inlineStr">
        <is>
          <t>260217_sklad.VRN.002</t>
        </is>
      </c>
      <c r="C207" s="24" t="inlineStr">
        <is>
          <t>260217_sklad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>Likvidace odpadu sklad — kameny ze zídek + výkop + dřevo (drobné množs</t>
        </is>
      </c>
      <c r="H207" s="24" t="inlineStr">
        <is>
          <t>? needs production lookup</t>
        </is>
      </c>
    </row>
    <row r="208">
      <c r="B208" s="24" t="inlineStr">
        <is>
          <t>260217_sklad.VRN.101</t>
        </is>
      </c>
      <c r="C208" s="24" t="inlineStr">
        <is>
          <t>260217_sklad</t>
        </is>
      </c>
      <c r="D208" s="24" t="inlineStr">
        <is>
          <t>VRN — Geodet</t>
        </is>
      </c>
      <c r="E208" s="24" t="inlineStr">
        <is>
          <t>030141000</t>
        </is>
      </c>
      <c r="F208" s="24" t="inlineStr"/>
      <c r="G208" s="24" t="inlineStr">
        <is>
          <t>Geodetické vytýčení sklad+parking+schodiště ze situace (před realizací</t>
        </is>
      </c>
      <c r="H208" s="24" t="inlineStr">
        <is>
          <t>? needs production lookup</t>
        </is>
      </c>
    </row>
    <row r="209">
      <c r="B209" s="24" t="inlineStr">
        <is>
          <t>260217_sklad.VRN.201</t>
        </is>
      </c>
      <c r="C209" s="24" t="inlineStr">
        <is>
          <t>260217_sklad</t>
        </is>
      </c>
      <c r="D209" s="24" t="inlineStr">
        <is>
          <t>VRN — Společné</t>
        </is>
      </c>
      <c r="E209" s="24" t="inlineStr">
        <is>
          <t>030001000</t>
        </is>
      </c>
      <c r="F209" s="24" t="inlineStr"/>
      <c r="G209" s="24" t="inlineStr">
        <is>
          <t>Podíl na obecných VRN domu (buňky, BOZP, pojištění, kolaudace) — paušá</t>
        </is>
      </c>
      <c r="H209" s="24" t="inlineStr">
        <is>
          <t>? needs production lookup</t>
        </is>
      </c>
    </row>
    <row r="210">
      <c r="B210" s="24" t="inlineStr">
        <is>
          <t>260219_dum.HSV6.013</t>
        </is>
      </c>
      <c r="C210" s="24" t="inlineStr">
        <is>
          <t>260219_dum</t>
        </is>
      </c>
      <c r="D210" s="24" t="inlineStr">
        <is>
          <t>HSV-6 Bourací práce</t>
        </is>
      </c>
      <c r="E210" s="24" t="inlineStr">
        <is>
          <t>978013181</t>
        </is>
      </c>
      <c r="F210" s="24" t="inlineStr"/>
      <c r="G210" s="24" t="inlineStr">
        <is>
          <t>Demontáž stávajících dřevěných oken vč. rámů a parapetů — 16 ks (návrh</t>
        </is>
      </c>
      <c r="H210" s="24" t="inlineStr">
        <is>
          <t>? needs production lookup</t>
        </is>
      </c>
    </row>
    <row r="211">
      <c r="B211" s="24" t="inlineStr">
        <is>
          <t>260219_dum.HSV6.014</t>
        </is>
      </c>
      <c r="C211" s="24" t="inlineStr">
        <is>
          <t>260219_dum</t>
        </is>
      </c>
      <c r="D211" s="24" t="inlineStr">
        <is>
          <t>HSV-6 Bourací práce</t>
        </is>
      </c>
      <c r="E211" s="24" t="inlineStr">
        <is>
          <t>978013181</t>
        </is>
      </c>
      <c r="F211" s="24" t="inlineStr"/>
      <c r="G211" s="24" t="inlineStr">
        <is>
          <t>Demontáž stávajících vstupních dveří + rámů — 2 ks (1× ulice Fibichova</t>
        </is>
      </c>
      <c r="H211" s="24" t="inlineStr">
        <is>
          <t>? needs production lookup</t>
        </is>
      </c>
    </row>
    <row r="212">
      <c r="B212" s="24" t="inlineStr">
        <is>
          <t>260219_dum.HSV6.015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968072456</t>
        </is>
      </c>
      <c r="F212" s="24" t="inlineStr"/>
      <c r="G212" s="24" t="inlineStr">
        <is>
          <t>Demontáž stávajících vnitřních dveří vč. ocelových/dřevěných zárubní —</t>
        </is>
      </c>
      <c r="H212" s="24" t="inlineStr">
        <is>
          <t>? needs production lookup</t>
        </is>
      </c>
    </row>
    <row r="213">
      <c r="B213" s="24" t="inlineStr">
        <is>
          <t>260219_dum.PSV76.013</t>
        </is>
      </c>
      <c r="C213" s="24" t="inlineStr">
        <is>
          <t>260219_dum</t>
        </is>
      </c>
      <c r="D213" s="24" t="inlineStr">
        <is>
          <t>PSV-76 Výplně otvorů</t>
        </is>
      </c>
      <c r="E213" s="24" t="inlineStr">
        <is>
          <t>766694112</t>
        </is>
      </c>
      <c r="F213" s="24" t="inlineStr"/>
      <c r="G213" s="24" t="inlineStr">
        <is>
          <t>Požárně odolné jednokřídlové dveře EI 30 DP3 na vrcholu schodiště mezi</t>
        </is>
      </c>
      <c r="H213" s="24" t="inlineStr">
        <is>
          <t>? needs production lookup</t>
        </is>
      </c>
    </row>
    <row r="214">
      <c r="B214" s="24" t="inlineStr">
        <is>
          <t>260219_dum.VRN.020</t>
        </is>
      </c>
      <c r="C214" s="24" t="inlineStr">
        <is>
          <t>260219_dum</t>
        </is>
      </c>
      <c r="D214" s="24" t="inlineStr">
        <is>
          <t>VRN — Zařízení staveniště</t>
        </is>
      </c>
      <c r="E214" s="24" t="inlineStr">
        <is>
          <t>012103101</t>
        </is>
      </c>
      <c r="F214" s="24" t="inlineStr"/>
      <c r="G214" s="24" t="inlineStr">
        <is>
          <t>Voda staveniště — napojení na stávající vodovodní přípojku, dočasné ro</t>
        </is>
      </c>
      <c r="H214" s="24" t="inlineStr">
        <is>
          <t>? needs production lookup</t>
        </is>
      </c>
    </row>
    <row r="215">
      <c r="B215" s="24" t="inlineStr">
        <is>
          <t>260219_dum.PSV76.014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764811112</t>
        </is>
      </c>
      <c r="F215" s="24" t="inlineStr"/>
      <c r="G215" s="24" t="inlineStr">
        <is>
          <t>Oplechování venkovních parapetů Pzn plech lakovaný 250 mm × tl. 0.55 m</t>
        </is>
      </c>
      <c r="H215" s="24" t="inlineStr">
        <is>
          <t>? needs production lookup</t>
        </is>
      </c>
    </row>
    <row r="216">
      <c r="B216" s="24" t="inlineStr">
        <is>
          <t>260219_dum.PSV72.004.A</t>
        </is>
      </c>
      <c r="C216" s="24" t="inlineStr">
        <is>
          <t>260219_dum</t>
        </is>
      </c>
      <c r="D216" s="24" t="inlineStr">
        <is>
          <t>PSV-72 ZTI</t>
        </is>
      </c>
      <c r="E216" s="24" t="inlineStr">
        <is>
          <t>725211101</t>
        </is>
      </c>
      <c r="F216" s="24" t="inlineStr"/>
      <c r="G216" s="24" t="inlineStr">
        <is>
          <t>Vana koupelnová obdélníková 170×70 cm — koupelna 1.05 1.NP</t>
        </is>
      </c>
      <c r="H216" s="24" t="inlineStr">
        <is>
          <t>? needs production lookup</t>
        </is>
      </c>
    </row>
    <row r="217">
      <c r="B217" s="24" t="inlineStr">
        <is>
          <t>260219_dum.PSV72.004.B</t>
        </is>
      </c>
      <c r="C217" s="24" t="inlineStr">
        <is>
          <t>260219_dum</t>
        </is>
      </c>
      <c r="D217" s="24" t="inlineStr">
        <is>
          <t>PSV-72 ZTI</t>
        </is>
      </c>
      <c r="E217" s="24" t="inlineStr">
        <is>
          <t>725311111</t>
        </is>
      </c>
      <c r="F217" s="24" t="inlineStr"/>
      <c r="G217" s="24" t="inlineStr">
        <is>
          <t>Umyvadlo bílé keramické se sloupcem 60 cm — koupelna 1.05 1.NP</t>
        </is>
      </c>
      <c r="H217" s="24" t="inlineStr">
        <is>
          <t>? needs production lookup</t>
        </is>
      </c>
    </row>
    <row r="218">
      <c r="B218" s="24" t="inlineStr">
        <is>
          <t>260219_dum.PSV72.004.C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725111101</t>
        </is>
      </c>
      <c r="F218" s="24" t="inlineStr"/>
      <c r="G218" s="24" t="inlineStr">
        <is>
          <t>WC kombi keramické bílé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260219_dum.PSV72.005.A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2.03 2.NP</t>
        </is>
      </c>
      <c r="H219" s="24" t="inlineStr">
        <is>
          <t>? needs production lookup</t>
        </is>
      </c>
    </row>
    <row r="220">
      <c r="B220" s="24" t="inlineStr">
        <is>
          <t>260219_dum.PSV72.005.B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725221201</t>
        </is>
      </c>
      <c r="F220" s="24" t="inlineStr"/>
      <c r="G220" s="24" t="inlineStr">
        <is>
          <t xml:space="preserve">Sprchový kout 90×90 cm vč. vaničky + skleněných dveří — koupelna 2.03 </t>
        </is>
      </c>
      <c r="H220" s="24" t="inlineStr">
        <is>
          <t>? needs production lookup</t>
        </is>
      </c>
    </row>
    <row r="221">
      <c r="B221" s="24" t="inlineStr">
        <is>
          <t>260219_dum.PSV72.005.C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725111101</t>
        </is>
      </c>
      <c r="F221" s="24" t="inlineStr"/>
      <c r="G221" s="24" t="inlineStr">
        <is>
          <t>WC kombi keramické bílé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260219_dum.PSV72.006.A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725111101</t>
        </is>
      </c>
      <c r="F222" s="24" t="inlineStr"/>
      <c r="G222" s="24" t="inlineStr">
        <is>
          <t>WC kombi keramické bílé — koupelna 3.04 3.NP</t>
        </is>
      </c>
      <c r="H222" s="24" t="inlineStr">
        <is>
          <t>? needs production lookup</t>
        </is>
      </c>
    </row>
    <row r="223">
      <c r="B223" s="24" t="inlineStr">
        <is>
          <t>260219_dum.PSV72.006.B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725311111</t>
        </is>
      </c>
      <c r="F223" s="24" t="inlineStr"/>
      <c r="G223" s="24" t="inlineStr">
        <is>
          <t>Umyvadlo bílé keramické se sloupcem 60 cm — koupelna 3.04 3.NP</t>
        </is>
      </c>
      <c r="H223" s="24" t="inlineStr">
        <is>
          <t>? needs production lookup</t>
        </is>
      </c>
    </row>
    <row r="224">
      <c r="B224" s="24" t="inlineStr">
        <is>
          <t>260219_dum.PSV72.006.C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725221201</t>
        </is>
      </c>
      <c r="F224" s="24" t="inlineStr"/>
      <c r="G224" s="24" t="inlineStr">
        <is>
          <t xml:space="preserve">Sprchový kout 90×90 cm vč. vaničky + skleněných dveří — koupelna 3.04 </t>
        </is>
      </c>
      <c r="H224" s="24" t="inlineStr">
        <is>
          <t>? needs production lookup</t>
        </is>
      </c>
    </row>
    <row r="225">
      <c r="B225" s="24" t="inlineStr">
        <is>
          <t>260219_dum.PSV78.012.1_PP</t>
        </is>
      </c>
      <c r="C225" s="24" t="inlineStr">
        <is>
          <t>260219_dum</t>
        </is>
      </c>
      <c r="D225" s="24" t="inlineStr">
        <is>
          <t>PSV-78 Povrchové úpravy</t>
        </is>
      </c>
      <c r="E225" s="24" t="inlineStr">
        <is>
          <t>784121011</t>
        </is>
      </c>
      <c r="F225" s="24" t="inlineStr"/>
      <c r="G225" s="24" t="inlineStr">
        <is>
          <t>Interiérová výmalba 1.PP — sklep stěny + klenba bílá vápenná 2×</t>
        </is>
      </c>
      <c r="H225" s="24" t="inlineStr">
        <is>
          <t>? needs production lookup</t>
        </is>
      </c>
    </row>
    <row r="226">
      <c r="B226" s="24" t="inlineStr">
        <is>
          <t>260219_dum.PSV78.012.1_NP</t>
        </is>
      </c>
      <c r="C226" s="24" t="inlineStr">
        <is>
          <t>260219_dum</t>
        </is>
      </c>
      <c r="D226" s="24" t="inlineStr">
        <is>
          <t>PSV-78 Povrchové úpravy</t>
        </is>
      </c>
      <c r="E226" s="24" t="inlineStr">
        <is>
          <t>784121011</t>
        </is>
      </c>
      <c r="F226" s="24" t="inlineStr"/>
      <c r="G226" s="24" t="inlineStr">
        <is>
          <t xml:space="preserve">Interiérová výmalba 1.NP — stěny + SDK podhled − obklad koupelny 1.05 </t>
        </is>
      </c>
      <c r="H226" s="24" t="inlineStr">
        <is>
          <t>? needs production lookup</t>
        </is>
      </c>
    </row>
    <row r="227">
      <c r="B227" s="24" t="inlineStr">
        <is>
          <t>260219_dum.PSV78.012.2_NP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 xml:space="preserve">Interiérová výmalba 2.NP — stěny + SDK podhled − obklad koupelny 2.03 </t>
        </is>
      </c>
      <c r="H227" s="24" t="inlineStr">
        <is>
          <t>? needs production lookup</t>
        </is>
      </c>
    </row>
    <row r="228">
      <c r="B228" s="24" t="inlineStr">
        <is>
          <t>260219_dum.PSV78.012.3_NP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3.NP — stěny + SDK podhled − obklad koupelny 3.04 </t>
        </is>
      </c>
      <c r="H228" s="24" t="inlineStr">
        <is>
          <t>? needs production lookup</t>
        </is>
      </c>
    </row>
    <row r="229">
      <c r="B229" s="24" t="inlineStr">
        <is>
          <t>260217_sklad.HSV5.001</t>
        </is>
      </c>
      <c r="C229" s="24" t="inlineStr">
        <is>
          <t>260217_sklad</t>
        </is>
      </c>
      <c r="D229" s="24" t="inlineStr">
        <is>
          <t>HSV-5 Komunikace + schodiště</t>
        </is>
      </c>
      <c r="E229" s="24" t="inlineStr">
        <is>
          <t>121301101</t>
        </is>
      </c>
      <c r="F229" s="24" t="inlineStr"/>
      <c r="G229" s="24" t="inlineStr">
        <is>
          <t xml:space="preserve">Schodiště S05 — prefabrikované betonové stupně (2× 9 stupňů 179.5×250 </t>
        </is>
      </c>
      <c r="H229" s="24" t="inlineStr">
        <is>
          <t>? needs production lookup</t>
        </is>
      </c>
    </row>
    <row r="230">
      <c r="B230" s="24" t="inlineStr">
        <is>
          <t>260219_dum.VRN.PM01</t>
        </is>
      </c>
      <c r="C230" s="24" t="inlineStr">
        <is>
          <t>260219_dum</t>
        </is>
      </c>
      <c r="D230" s="24" t="inlineStr">
        <is>
          <t>VRN — Přesun hmot</t>
        </is>
      </c>
      <c r="E230" s="24" t="inlineStr"/>
      <c r="F230" s="24" t="inlineStr"/>
      <c r="G230" s="24" t="inlineStr">
        <is>
          <t>Přesun hmot pro budovu — vnitrostaveništní vertikální + horizontální d</t>
        </is>
      </c>
      <c r="H230" s="24" t="inlineStr">
        <is>
          <t>❌ MANUAL — KROS catalog lookup</t>
        </is>
      </c>
    </row>
    <row r="231">
      <c r="B231" s="24" t="inlineStr">
        <is>
          <t>260219_dum.VRN.PM02</t>
        </is>
      </c>
      <c r="C231" s="24" t="inlineStr">
        <is>
          <t>260219_dum</t>
        </is>
      </c>
      <c r="D231" s="24" t="inlineStr">
        <is>
          <t>VRN — Lešení</t>
        </is>
      </c>
      <c r="E231" s="24" t="inlineStr"/>
      <c r="F231" s="24" t="inlineStr"/>
      <c r="G231" s="24" t="inlineStr">
        <is>
          <t>Fasádní lešení trubkové/rámové vč. montáže + pronájmu + demontáže — pr</t>
        </is>
      </c>
      <c r="H231" s="24" t="inlineStr">
        <is>
          <t>❌ MANUAL — KROS catalog lookup</t>
        </is>
      </c>
    </row>
    <row r="232">
      <c r="B232" s="24" t="inlineStr">
        <is>
          <t>260219_dum.HSV1.016</t>
        </is>
      </c>
      <c r="C232" s="24" t="inlineStr">
        <is>
          <t>260219_dum</t>
        </is>
      </c>
      <c r="D232" s="24" t="inlineStr">
        <is>
          <t>HSV-1 Zemní práce</t>
        </is>
      </c>
      <c r="E232" s="24" t="inlineStr"/>
      <c r="F232" s="24" t="inlineStr"/>
      <c r="G232" s="24" t="inlineStr">
        <is>
          <t>Venkovní schody na terénu z betonových dílců do betonového lože — rame</t>
        </is>
      </c>
      <c r="H232" s="24" t="inlineStr">
        <is>
          <t>❌ MANUAL — KROS catalog lookup</t>
        </is>
      </c>
    </row>
    <row r="233">
      <c r="B233" s="24" t="inlineStr">
        <is>
          <t>260219_dum.HSV5.017</t>
        </is>
      </c>
      <c r="C233" s="24" t="inlineStr">
        <is>
          <t>260219_dum</t>
        </is>
      </c>
      <c r="D233" s="24" t="inlineStr">
        <is>
          <t>HSV-5 Krov + střecha</t>
        </is>
      </c>
      <c r="E233" s="24" t="inlineStr">
        <is>
          <t>762085112</t>
        </is>
      </c>
      <c r="F233" s="24" t="inlineStr">
        <is>
          <t>762085</t>
        </is>
      </c>
      <c r="G233" s="24" t="inlineStr">
        <is>
          <t xml:space="preserve">Montáž svorníků / šroubů tesařských spojů krovu délky přes 150 do 300 </t>
        </is>
      </c>
      <c r="H233" s="24" t="inlineStr">
        <is>
          <t>? needs production lookup</t>
        </is>
      </c>
    </row>
    <row r="234">
      <c r="B234" s="24" t="inlineStr">
        <is>
          <t>260219_dum.HSV4.015</t>
        </is>
      </c>
      <c r="C234" s="24" t="inlineStr">
        <is>
          <t>260219_dum</t>
        </is>
      </c>
      <c r="D234" s="24" t="inlineStr">
        <is>
          <t>HSV-4 Vodorovné</t>
        </is>
      </c>
      <c r="E234" s="24" t="inlineStr">
        <is>
          <t>713191</t>
        </is>
      </c>
      <c r="F234" s="24" t="inlineStr"/>
      <c r="G234" s="24" t="inlineStr">
        <is>
          <t>Desky kročejové izolace (Isover T-P) tl. 30 mm — trámový strop 1.NP/2.</t>
        </is>
      </c>
      <c r="H234" s="24" t="inlineStr">
        <is>
          <t>? needs production lookup</t>
        </is>
      </c>
    </row>
    <row r="235">
      <c r="B235" s="24" t="inlineStr">
        <is>
          <t>260219_dum.HSV4.016</t>
        </is>
      </c>
      <c r="C235" s="24" t="inlineStr">
        <is>
          <t>260219_dum</t>
        </is>
      </c>
      <c r="D235" s="24" t="inlineStr">
        <is>
          <t>HSV-4 Vodorovné</t>
        </is>
      </c>
      <c r="E235" s="24" t="inlineStr"/>
      <c r="F235" s="24" t="inlineStr"/>
      <c r="G235" s="24" t="inlineStr">
        <is>
          <t>Separační geotextilie pod suchý podsyp — trámový strop 1.NP/2.NP</t>
        </is>
      </c>
      <c r="H235" s="24" t="inlineStr">
        <is>
          <t>❌ MANUAL — KROS catalog lookup</t>
        </is>
      </c>
    </row>
    <row r="236">
      <c r="B236" s="24" t="inlineStr">
        <is>
          <t>260219_dum.HSV4.017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713121</t>
        </is>
      </c>
      <c r="F236" s="24" t="inlineStr"/>
      <c r="G236" s="24" t="inlineStr">
        <is>
          <t>Tepelná/akustická izolace minerální vata výplň mezi ocelové nosníky st</t>
        </is>
      </c>
      <c r="H236" s="24" t="inlineStr">
        <is>
          <t>? needs production lookup</t>
        </is>
      </c>
    </row>
    <row r="237">
      <c r="B237" s="24" t="inlineStr">
        <is>
          <t>260219_dum.HSV4.018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Roznášecí sádrovláknité dílce Fermacell 2E22 tl. 25 mm — suchá skladba</t>
        </is>
      </c>
      <c r="H237" s="24" t="inlineStr">
        <is>
          <t>❌ MANUAL — KROS catalog lookup</t>
        </is>
      </c>
    </row>
    <row r="238">
      <c r="B238" s="24" t="inlineStr">
        <is>
          <t>260219_dum.HSV4.019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713191</t>
        </is>
      </c>
      <c r="F238" s="24" t="inlineStr"/>
      <c r="G238" s="24" t="inlineStr">
        <is>
          <t>Desky kročejové izolace (Isover T-P) tl. 30 mm — suchá skladba nad kle</t>
        </is>
      </c>
      <c r="H238" s="24" t="inlineStr">
        <is>
          <t>? needs production lookup</t>
        </is>
      </c>
    </row>
    <row r="239">
      <c r="B239" s="24" t="inlineStr">
        <is>
          <t>260219_dum.HSV4.020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Vyrovnávací suchý podsyp keramzit/liapor + dřevěný rošt tl. 50 mm — na</t>
        </is>
      </c>
      <c r="H239" s="24" t="inlineStr">
        <is>
          <t>❌ MANUAL — KROS catalog lookup</t>
        </is>
      </c>
    </row>
    <row r="240">
      <c r="B240" s="24" t="inlineStr">
        <is>
          <t>260219_dum.HSV4.021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/>
      <c r="F240" s="24" t="inlineStr"/>
      <c r="G240" s="24" t="inlineStr">
        <is>
          <t>Separační vrstva pod suchý podsyp — nad cihelnou klembou S08</t>
        </is>
      </c>
      <c r="H240" s="24" t="inlineStr">
        <is>
          <t>❌ MANUAL — KROS catalog lookup</t>
        </is>
      </c>
    </row>
    <row r="241">
      <c r="B241" s="24" t="inlineStr">
        <is>
          <t>260219_dum.HSV7.007</t>
        </is>
      </c>
      <c r="C241" s="24" t="inlineStr">
        <is>
          <t>260219_dum</t>
        </is>
      </c>
      <c r="D241" s="24" t="inlineStr">
        <is>
          <t>HSV-7 Fasáda + zateplení</t>
        </is>
      </c>
      <c r="E241" s="24" t="inlineStr"/>
      <c r="F241" s="24" t="inlineStr"/>
      <c r="G241" s="24" t="inlineStr">
        <is>
          <t xml:space="preserve">Sanační zateplení soklu — sanační izolační deska Styrcon 200 + lepící </t>
        </is>
      </c>
      <c r="H241" s="24" t="inlineStr">
        <is>
          <t>❌ MANUAL — KROS catalog lookup</t>
        </is>
      </c>
    </row>
    <row r="242">
      <c r="B242" s="24" t="inlineStr">
        <is>
          <t>260219_dum.HSV7.008</t>
        </is>
      </c>
      <c r="C242" s="24" t="inlineStr">
        <is>
          <t>260219_dum</t>
        </is>
      </c>
      <c r="D242" s="24" t="inlineStr">
        <is>
          <t>HSV-7 Fasáda + zateplení</t>
        </is>
      </c>
      <c r="E242" s="24" t="inlineStr"/>
      <c r="F242" s="24" t="inlineStr"/>
      <c r="G242" s="24" t="inlineStr">
        <is>
          <t>Drenážní vrstva — nopová folie tl. 20 mm na suterénní stěnu pod úrovní</t>
        </is>
      </c>
      <c r="H242" s="24" t="inlineStr">
        <is>
          <t>❌ MANUAL — KROS catalog lookup</t>
        </is>
      </c>
    </row>
    <row r="243">
      <c r="B243" s="24" t="inlineStr">
        <is>
          <t>260219_dum.HSV7.009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>Provětrávaná mezera s kotevním roštem 40 mm + keramický obklad 20 mm —</t>
        </is>
      </c>
      <c r="H243" s="24" t="inlineStr">
        <is>
          <t>❌ MANUAL — KROS catalog lookup</t>
        </is>
      </c>
    </row>
    <row r="244">
      <c r="B244" s="24" t="inlineStr">
        <is>
          <t>260219_dum.HSV5.018</t>
        </is>
      </c>
      <c r="C244" s="24" t="inlineStr">
        <is>
          <t>260219_dum</t>
        </is>
      </c>
      <c r="D244" s="24" t="inlineStr">
        <is>
          <t>HSV-5 Krov + střecha</t>
        </is>
      </c>
      <c r="E244" s="24" t="inlineStr"/>
      <c r="F244" s="24" t="inlineStr"/>
      <c r="G244" s="24" t="inlineStr">
        <is>
          <t>Pojistná hydroizolační folie pod hliníkovou falcovanou krytinu (nad ce</t>
        </is>
      </c>
      <c r="H244" s="24" t="inlineStr">
        <is>
          <t>❌ MANUAL — KROS catalog lookup</t>
        </is>
      </c>
    </row>
    <row r="245">
      <c r="B245" s="24" t="inlineStr">
        <is>
          <t>260219_dum.HSV6.018</t>
        </is>
      </c>
      <c r="C245" s="24" t="inlineStr">
        <is>
          <t>260219_dum</t>
        </is>
      </c>
      <c r="D245" s="24" t="inlineStr">
        <is>
          <t>HSV-6 Bourací práce</t>
        </is>
      </c>
      <c r="E245" s="24" t="inlineStr"/>
      <c r="F245" s="24" t="inlineStr"/>
      <c r="G245" s="24" t="inlineStr">
        <is>
          <t>Demontáž stávajícího vnějšího keramického obkladu suterénní stěny (sok</t>
        </is>
      </c>
      <c r="H245" s="24" t="inlineStr">
        <is>
          <t>❌ MANUAL — KROS catalog lookup</t>
        </is>
      </c>
    </row>
    <row r="246">
      <c r="B246" s="24" t="inlineStr">
        <is>
          <t>260217_sklad.HSV5.002</t>
        </is>
      </c>
      <c r="C246" s="24" t="inlineStr">
        <is>
          <t>260217_sklad</t>
        </is>
      </c>
      <c r="D246" s="24" t="inlineStr">
        <is>
          <t>HSV-5 Komunikace + vjezd</t>
        </is>
      </c>
      <c r="E246" s="24" t="inlineStr"/>
      <c r="F246" s="24" t="inlineStr"/>
      <c r="G246" s="24" t="inlineStr">
        <is>
          <t xml:space="preserve">Vjezd Dvořákova (POZN 01) — zpevněná plocha z hladké betonové dlažby, </t>
        </is>
      </c>
      <c r="H246" s="24" t="inlineStr">
        <is>
          <t>❌ MANUAL — KROS catalog lookup</t>
        </is>
      </c>
    </row>
    <row r="247">
      <c r="B247" s="24" t="inlineStr">
        <is>
          <t>260217_sklad.PSV76.002</t>
        </is>
      </c>
      <c r="C247" s="24" t="inlineStr">
        <is>
          <t>260217_sklad</t>
        </is>
      </c>
      <c r="D247" s="24" t="inlineStr">
        <is>
          <t>PSV-76 Zámečnictví</t>
        </is>
      </c>
      <c r="E247" s="24" t="inlineStr"/>
      <c r="F247" s="24" t="inlineStr"/>
      <c r="G247" s="24" t="inlineStr">
        <is>
          <t>Vjezdová brána na pozemku investora (ocelová) — dodávka + montáž</t>
        </is>
      </c>
      <c r="H247" s="24" t="inlineStr">
        <is>
          <t>❌ MANUAL — KROS catalog lookup</t>
        </is>
      </c>
    </row>
    <row r="248">
      <c r="B248" s="24" t="inlineStr">
        <is>
          <t>260217_sklad.VRN.003</t>
        </is>
      </c>
      <c r="C248" s="24" t="inlineStr">
        <is>
          <t>260217_sklad</t>
        </is>
      </c>
      <c r="D248" s="24" t="inlineStr">
        <is>
          <t>VRN — Geodet / PČR</t>
        </is>
      </c>
      <c r="E248" s="24" t="inlineStr"/>
      <c r="F248" s="24" t="inlineStr"/>
      <c r="G248" s="24" t="inlineStr">
        <is>
          <t>Vytyčení + kontrola rozhledových trojúhelníků (Vn=40 km/h, Dz=25 m) dl</t>
        </is>
      </c>
      <c r="H248" s="24" t="inlineStr">
        <is>
          <t>❌ MANUAL — KROS catalog lookup</t>
        </is>
      </c>
    </row>
    <row r="249">
      <c r="B249" s="24" t="inlineStr">
        <is>
          <t>260219_dum.M24.001</t>
        </is>
      </c>
      <c r="C249" s="24" t="inlineStr">
        <is>
          <t>260219_dum</t>
        </is>
      </c>
      <c r="D249" s="24" t="inlineStr">
        <is>
          <t>M-24 VZT</t>
        </is>
      </c>
      <c r="E249" s="24" t="inlineStr"/>
      <c r="F249" s="24" t="inlineStr"/>
      <c r="G249" s="24" t="inlineStr">
        <is>
          <t>Lokální odtah digestoří kuchyní (1.NP + 3.NP) — dodávka + montáž diges</t>
        </is>
      </c>
      <c r="H249" s="24" t="inlineStr">
        <is>
          <t>❌ MANUAL — KROS catalog lookup</t>
        </is>
      </c>
    </row>
    <row r="250">
      <c r="B250" s="24" t="inlineStr">
        <is>
          <t>260219_dum.M21.008</t>
        </is>
      </c>
      <c r="C250" s="24" t="inlineStr">
        <is>
          <t>260219_dum</t>
        </is>
      </c>
      <c r="D250" s="24" t="inlineStr">
        <is>
          <t>M-21 ELI silnoproud</t>
        </is>
      </c>
      <c r="E250" s="24" t="inlineStr"/>
      <c r="F250" s="24" t="inlineStr"/>
      <c r="G250" s="24" t="inlineStr">
        <is>
          <t>Hlavní vypínač elektrické energie TOTAL STOP + požární značení rozvodn</t>
        </is>
      </c>
      <c r="H250" s="24" t="inlineStr">
        <is>
          <t>❌ MANUAL — KROS catalog lookup</t>
        </is>
      </c>
    </row>
    <row r="251">
      <c r="B251" s="24" t="inlineStr">
        <is>
          <t>260219_dum.PSV95.003</t>
        </is>
      </c>
      <c r="C251" s="24" t="inlineStr">
        <is>
          <t>260219_dum</t>
        </is>
      </c>
      <c r="D251" s="24" t="inlineStr">
        <is>
          <t>PSV-95 Detekce požární</t>
        </is>
      </c>
      <c r="E251" s="24" t="inlineStr"/>
      <c r="F251" s="24" t="inlineStr"/>
      <c r="G251" s="24" t="inlineStr">
        <is>
          <t>Předávací protokol krbu na tuhá paliva + kontrola bezpečných vzdálenos</t>
        </is>
      </c>
      <c r="H251" s="24" t="inlineStr">
        <is>
          <t>❌ MANUAL — KROS catalog lookup</t>
        </is>
      </c>
    </row>
    <row r="252">
      <c r="B252" s="24" t="inlineStr">
        <is>
          <t>260217_sklad.HSV3.004</t>
        </is>
      </c>
      <c r="C252" s="24" t="inlineStr">
        <is>
          <t>260217_sklad</t>
        </is>
      </c>
      <c r="D252" s="24" t="inlineStr">
        <is>
          <t>HSV-3 Svislé konstrukce</t>
        </is>
      </c>
      <c r="E252" s="24" t="inlineStr"/>
      <c r="F252" s="24" t="inlineStr"/>
      <c r="G252" s="24" t="inlineStr">
        <is>
          <t>Hydroizolace + protiradonová ochrana obvodových stěn (S03a) + opěrné s</t>
        </is>
      </c>
      <c r="H252" s="24" t="inlineStr">
        <is>
          <t>❌ MANUAL — KROS catalog lookup</t>
        </is>
      </c>
    </row>
    <row r="253">
      <c r="B253" s="24" t="inlineStr">
        <is>
          <t>260217_sklad.HSV3.005</t>
        </is>
      </c>
      <c r="C253" s="24" t="inlineStr">
        <is>
          <t>260217_sklad</t>
        </is>
      </c>
      <c r="D253" s="24" t="inlineStr">
        <is>
          <t>HSV-3 Svislé konstrukce</t>
        </is>
      </c>
      <c r="E253" s="24" t="inlineStr"/>
      <c r="F253" s="24" t="inlineStr"/>
      <c r="G253" s="24" t="inlineStr">
        <is>
          <t>Drenážní vrstva — nopová folie tl. 20 mm na obvodové stěny (S03a) + op</t>
        </is>
      </c>
      <c r="H253" s="24" t="inlineStr">
        <is>
          <t>❌ MANUAL — KROS catalog lookup</t>
        </is>
      </c>
    </row>
    <row r="254">
      <c r="B254" s="24" t="inlineStr">
        <is>
          <t>260217_sklad.HSV1.007</t>
        </is>
      </c>
      <c r="C254" s="24" t="inlineStr">
        <is>
          <t>260217_sklad</t>
        </is>
      </c>
      <c r="D254" s="24" t="inlineStr">
        <is>
          <t>HSV-1 Zemní práce</t>
        </is>
      </c>
      <c r="E254" s="24" t="inlineStr">
        <is>
          <t>564231111</t>
        </is>
      </c>
      <c r="F254" s="24" t="inlineStr"/>
      <c r="G254" s="24" t="inlineStr">
        <is>
          <t>Kladecí lože z kamenné drti 4-8 mm tl. 40 mm pod betonovou dlažbu skla</t>
        </is>
      </c>
      <c r="H254" s="24" t="inlineStr">
        <is>
          <t>? needs production lookup</t>
        </is>
      </c>
    </row>
    <row r="255">
      <c r="B255" s="24" t="inlineStr">
        <is>
          <t>260217_sklad.HSV1.008</t>
        </is>
      </c>
      <c r="C255" s="24" t="inlineStr">
        <is>
          <t>260217_sklad</t>
        </is>
      </c>
      <c r="D255" s="24" t="inlineStr">
        <is>
          <t>HSV-1 Zemní práce</t>
        </is>
      </c>
      <c r="E255" s="24" t="inlineStr">
        <is>
          <t>174101101</t>
        </is>
      </c>
      <c r="F255" s="24" t="inlineStr"/>
      <c r="G255" s="24" t="inlineStr">
        <is>
          <t>Zásyp za prefabrikovanou opěrnou stěnou S04 — materiál dle PD (NEuvede</t>
        </is>
      </c>
      <c r="H255" s="24" t="inlineStr">
        <is>
          <t>? needs production lookup</t>
        </is>
      </c>
    </row>
    <row r="256">
      <c r="B256" s="24" t="inlineStr">
        <is>
          <t>260217_sklad.PSV76.003</t>
        </is>
      </c>
      <c r="C256" s="24" t="inlineStr">
        <is>
          <t>260217_sklad</t>
        </is>
      </c>
      <c r="D256" s="24" t="inlineStr">
        <is>
          <t>PSV-76 Zámečnické konstrukce</t>
        </is>
      </c>
      <c r="E256" s="24" t="inlineStr"/>
      <c r="F256" s="24" t="inlineStr"/>
      <c r="G256" s="24" t="inlineStr">
        <is>
          <t xml:space="preserve">Oplocení podél vjezdu — délka dle situace, materiál OVĚŘIT (kov/dřevo </t>
        </is>
      </c>
      <c r="H256" s="24" t="inlineStr">
        <is>
          <t>❌ MANUAL — KROS catalog lookup</t>
        </is>
      </c>
    </row>
    <row r="257">
      <c r="B257" s="24" t="inlineStr">
        <is>
          <t>260217_sklad.PSV76.004</t>
        </is>
      </c>
      <c r="C257" s="24" t="inlineStr">
        <is>
          <t>260217_sklad</t>
        </is>
      </c>
      <c r="D257" s="24" t="inlineStr">
        <is>
          <t>PSV-76 Zámečnické konstrukce</t>
        </is>
      </c>
      <c r="E257" s="24" t="inlineStr"/>
      <c r="F257" s="24" t="inlineStr"/>
      <c r="G257" s="24" t="inlineStr">
        <is>
          <t>Zábradlí v. 1.0 m kolem části stání — materiál OVĚŘIT (kov/dřevo neuve</t>
        </is>
      </c>
      <c r="H257" s="24" t="inlineStr">
        <is>
          <t>❌ MANUAL — KROS catalog lookup</t>
        </is>
      </c>
    </row>
    <row r="258">
      <c r="B258" s="24" t="inlineStr">
        <is>
          <t>260217_sklad.HSV5.003</t>
        </is>
      </c>
      <c r="C258" s="24" t="inlineStr">
        <is>
          <t>260217_sklad</t>
        </is>
      </c>
      <c r="D258" s="24" t="inlineStr">
        <is>
          <t>HSV-5 Komunikace + zpevněné plochy</t>
        </is>
      </c>
      <c r="E258" s="24" t="inlineStr">
        <is>
          <t>564751111</t>
        </is>
      </c>
      <c r="F258" s="24" t="inlineStr"/>
      <c r="G258" s="24" t="inlineStr">
        <is>
          <t>Pískové lože pod dlažbu vjezdu tl. 40 mm (POZN 01)</t>
        </is>
      </c>
      <c r="H258" s="24" t="inlineStr">
        <is>
          <t>? needs production lookup</t>
        </is>
      </c>
    </row>
    <row r="259">
      <c r="B259" s="24" t="inlineStr">
        <is>
          <t>260217_sklad.HSV5.004</t>
        </is>
      </c>
      <c r="C259" s="24" t="inlineStr">
        <is>
          <t>260217_sklad</t>
        </is>
      </c>
      <c r="D259" s="24" t="inlineStr">
        <is>
          <t>HSV-5 Komunikace + zpevněné plochy</t>
        </is>
      </c>
      <c r="E259" s="24" t="inlineStr">
        <is>
          <t>564861111</t>
        </is>
      </c>
      <c r="F259" s="24" t="inlineStr"/>
      <c r="G259" s="24" t="inlineStr">
        <is>
          <t>Štěrkový zhutněný podklad pod dlažbu vjezdu tl. 150 mm (POZN 01)</t>
        </is>
      </c>
      <c r="H259" s="24" t="inlineStr">
        <is>
          <t>? needs production lookup</t>
        </is>
      </c>
    </row>
    <row r="260">
      <c r="B260" s="24" t="inlineStr">
        <is>
          <t>260217_sklad.HSV5.005</t>
        </is>
      </c>
      <c r="C260" s="24" t="inlineStr">
        <is>
          <t>260217_sklad</t>
        </is>
      </c>
      <c r="D260" s="24" t="inlineStr">
        <is>
          <t>HSV-5 Komunikace + zpevněné plochy</t>
        </is>
      </c>
      <c r="E260" s="24" t="inlineStr"/>
      <c r="F260" s="24" t="inlineStr"/>
      <c r="G260" s="24" t="inlineStr">
        <is>
          <t>Liniový odvodňovací žlab (prefa žlabovka š. 160 mm) podél vjezdu</t>
        </is>
      </c>
      <c r="H260" s="24" t="inlineStr">
        <is>
          <t>❌ MANUAL — KROS catalog lookup</t>
        </is>
      </c>
    </row>
    <row r="261">
      <c r="B261" s="24" t="inlineStr">
        <is>
          <t>260217_sklad.HSV5.006</t>
        </is>
      </c>
      <c r="C261" s="24" t="inlineStr">
        <is>
          <t>260217_sklad</t>
        </is>
      </c>
      <c r="D261" s="24" t="inlineStr">
        <is>
          <t>HSV-5 Komunikace + zpevněné plochy</t>
        </is>
      </c>
      <c r="E261" s="24" t="inlineStr">
        <is>
          <t>273321411</t>
        </is>
      </c>
      <c r="F261" s="24" t="inlineStr"/>
      <c r="G261" s="24" t="inlineStr">
        <is>
          <t>Podkladní beton pod odvodňovací žlab (průřez 0.06 m²)</t>
        </is>
      </c>
      <c r="H261" s="24" t="inlineStr">
        <is>
          <t>? needs production lookup</t>
        </is>
      </c>
    </row>
    <row r="262">
      <c r="B262" s="24" t="inlineStr">
        <is>
          <t>260217_sklad.HSV5.007</t>
        </is>
      </c>
      <c r="C262" s="24" t="inlineStr">
        <is>
          <t>260217_sklad</t>
        </is>
      </c>
      <c r="D262" s="24" t="inlineStr">
        <is>
          <t>HSV-5 Komunikace + zpevněné plochy</t>
        </is>
      </c>
      <c r="E262" s="24" t="inlineStr"/>
      <c r="F262" s="24" t="inlineStr"/>
      <c r="G262" s="24" t="inlineStr">
        <is>
          <t>Okapový/odvodňovací žlab na straně 6010 mm — typ OVĚŘIT</t>
        </is>
      </c>
      <c r="H262" s="24" t="inlineStr">
        <is>
          <t>❌ MANUAL — KROS catalog lookup</t>
        </is>
      </c>
    </row>
    <row r="263">
      <c r="B263" s="24" t="inlineStr">
        <is>
          <t>260217_sklad.HSV1.009</t>
        </is>
      </c>
      <c r="C263" s="24" t="inlineStr">
        <is>
          <t>260217_sklad</t>
        </is>
      </c>
      <c r="D263" s="24" t="inlineStr">
        <is>
          <t>HSV-1 Zemní práce</t>
        </is>
      </c>
      <c r="E263" s="24" t="inlineStr"/>
      <c r="F263" s="24" t="inlineStr"/>
      <c r="G263" s="24" t="inlineStr">
        <is>
          <t>Trubka Ø ~150 mm v štěrkovém obsypu podél vysokého pasu — drenáž/odvět</t>
        </is>
      </c>
      <c r="H263" s="24" t="inlineStr">
        <is>
          <t>❌ MANUAL — KROS catalog lookup</t>
        </is>
      </c>
    </row>
    <row r="264">
      <c r="B264" s="24" t="inlineStr">
        <is>
          <t>260217_sklad.HSV1.010</t>
        </is>
      </c>
      <c r="C264" s="24" t="inlineStr">
        <is>
          <t>260217_sklad</t>
        </is>
      </c>
      <c r="D264" s="24" t="inlineStr">
        <is>
          <t>HSV-1 Zemní práce</t>
        </is>
      </c>
      <c r="E264" s="24" t="inlineStr"/>
      <c r="F264" s="24" t="inlineStr"/>
      <c r="G264" s="24" t="inlineStr">
        <is>
          <t xml:space="preserve">Trubka Ø 120-130 mm v štěrkovém obsypu podél stěny — drenáž/odvětrání </t>
        </is>
      </c>
      <c r="H264" s="24" t="inlineStr">
        <is>
          <t>❌ MANUAL — KROS catalog lookup</t>
        </is>
      </c>
    </row>
    <row r="265">
      <c r="B265" s="24" t="inlineStr">
        <is>
          <t>260217_sklad.HSV5.008</t>
        </is>
      </c>
      <c r="C265" s="24" t="inlineStr">
        <is>
          <t>260217_sklad</t>
        </is>
      </c>
      <c r="D265" s="24" t="inlineStr">
        <is>
          <t>HSV-5 Komunikace + zpevněné plochy</t>
        </is>
      </c>
      <c r="E265" s="24" t="inlineStr">
        <is>
          <t>273313611</t>
        </is>
      </c>
      <c r="F265" s="24" t="inlineStr"/>
      <c r="G265" s="24" t="inlineStr">
        <is>
          <t>Podkladní betonová deska pod prefa schodiště S05</t>
        </is>
      </c>
      <c r="H265" s="24" t="inlineStr">
        <is>
          <t>? needs production lookup</t>
        </is>
      </c>
    </row>
    <row r="266">
      <c r="B266" s="24" t="inlineStr">
        <is>
          <t>260217_sklad.HSV5.009</t>
        </is>
      </c>
      <c r="C266" s="24" t="inlineStr">
        <is>
          <t>260217_sklad</t>
        </is>
      </c>
      <c r="D266" s="24" t="inlineStr">
        <is>
          <t>HSV-5 Komunikace + zpevněné plochy</t>
        </is>
      </c>
      <c r="E266" s="24" t="inlineStr"/>
      <c r="F266" s="24" t="inlineStr"/>
      <c r="G266" s="24" t="inlineStr">
        <is>
          <t>Kladecí vrstva ze zavlhlého betonu pod prefa stupně S05</t>
        </is>
      </c>
      <c r="H266" s="24" t="inlineStr">
        <is>
          <t>❌ MANUAL — KROS catalog lookup</t>
        </is>
      </c>
    </row>
  </sheetData>
  <mergeCells count="9">
    <mergeCell ref="B85:H85"/>
    <mergeCell ref="B8"/>
    <mergeCell ref="B9"/>
    <mergeCell ref="B13:H13"/>
    <mergeCell ref="B7"/>
    <mergeCell ref="B77:H77"/>
    <mergeCell ref="B6"/>
    <mergeCell ref="B24:H24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6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Patky parking horní část — zdivo z tvárnic ztraceného bednění 300×300 mm (lost f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 xml:space="preserve">Obvodové stěny skladu S03a/b — tvarovky ztraceného bednění tl. 250 mm, výška 14 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6 m × 6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260219_dum.HSV6.011</t>
        </is>
      </c>
      <c r="C93" s="24" t="inlineStr">
        <is>
          <t>HSV-6 Bourací práce</t>
        </is>
      </c>
      <c r="D93" s="24" t="inlineStr">
        <is>
          <t>Demontáž všech sanitárních zařizovacích předmětů (WC, umyvadla, baterie, sprcha)</t>
        </is>
      </c>
      <c r="E93" s="24" t="inlineStr">
        <is>
          <t>725900001</t>
        </is>
      </c>
      <c r="F93" s="24" t="inlineStr">
        <is>
          <t>971033211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260219_dum.HSV6.012</t>
        </is>
      </c>
      <c r="C94" s="24" t="inlineStr">
        <is>
          <t>HSV-6 Bourací práce</t>
        </is>
      </c>
      <c r="D94" s="24" t="inlineStr">
        <is>
          <t>Odvoz a likvidace stavební suti dle vyhl. 8/2021 Sb. — celková tonáž odpadů</t>
        </is>
      </c>
      <c r="E94" s="24" t="inlineStr">
        <is>
          <t>997013501</t>
        </is>
      </c>
      <c r="F94" s="24" t="inlineStr">
        <is>
          <t>997013211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260219_dum.HSV7.001</t>
        </is>
      </c>
      <c r="C95" s="24" t="inlineStr">
        <is>
          <t>HSV-7 Fasáda ETICS</t>
        </is>
      </c>
      <c r="D95" s="24" t="inlineStr">
        <is>
          <t>Příprava fasádního podkladu — očištění tlakovou vodou, vyspravení omítek, fungic</t>
        </is>
      </c>
      <c r="E95" s="24" t="inlineStr">
        <is>
          <t>622401110</t>
        </is>
      </c>
      <c r="F95" s="24" t="inlineStr">
        <is>
          <t>622201001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260219_dum.HSV7.002</t>
        </is>
      </c>
      <c r="C96" s="24" t="inlineStr">
        <is>
          <t>HSV-7 Fasáda ETICS</t>
        </is>
      </c>
      <c r="D96" s="24" t="inlineStr">
        <is>
          <t xml:space="preserve">ETICS kontaktní zateplení — EPS 70F grey λ=0.032 tl. 160 mm + síťka + lepidlo + </t>
        </is>
      </c>
      <c r="E96" s="24" t="inlineStr">
        <is>
          <t>622221121</t>
        </is>
      </c>
      <c r="F96" s="24" t="inlineStr">
        <is>
          <t>622221001</t>
        </is>
      </c>
      <c r="G96" s="24" t="inlineStr"/>
      <c r="H96" s="24" t="inlineStr">
        <is>
          <t>family_verified_leaf_needs_production_lookup</t>
        </is>
      </c>
      <c r="I96" s="35" t="n">
        <v>0.8</v>
      </c>
      <c r="J96" s="31" t="inlineStr">
        <is>
          <t>FAMILY_VERIFIED</t>
        </is>
      </c>
      <c r="K96" s="24" t="inlineStr">
        <is>
          <t>https://www.isover.cz/produkty/eps/isover-eps-70f</t>
        </is>
      </c>
      <c r="L96" s="24" t="inlineStr"/>
      <c r="M96" s="24" t="inlineStr"/>
      <c r="N96" s="24" t="inlineStr"/>
    </row>
    <row r="97">
      <c r="B97" s="24" t="inlineStr">
        <is>
          <t>260219_dum.HSV7.004</t>
        </is>
      </c>
      <c r="C97" s="24" t="inlineStr">
        <is>
          <t>HSV-7 Fasáda ETICS</t>
        </is>
      </c>
      <c r="D97" s="24" t="inlineStr">
        <is>
          <t>Špalety oken — EPS přesah 35-40 mm + síťka + omítka</t>
        </is>
      </c>
      <c r="E97" s="24" t="inlineStr">
        <is>
          <t>622221221</t>
        </is>
      </c>
      <c r="F97" s="24" t="inlineStr">
        <is>
          <t>622221111</t>
        </is>
      </c>
      <c r="G97" s="24" t="inlineStr"/>
      <c r="H97" s="24" t="inlineStr">
        <is>
          <t>needs_production_lookup</t>
        </is>
      </c>
      <c r="I97" s="35" t="n">
        <v>0.65</v>
      </c>
      <c r="J97" s="32" t="inlineStr"/>
      <c r="K97" s="24" t="inlineStr"/>
      <c r="L97" s="24" t="inlineStr"/>
      <c r="M97" s="24" t="inlineStr"/>
      <c r="N97" s="24" t="inlineStr"/>
    </row>
    <row r="98">
      <c r="B98" s="24" t="inlineStr">
        <is>
          <t>260219_dum.HSV7.005</t>
        </is>
      </c>
      <c r="C98" s="24" t="inlineStr">
        <is>
          <t>HSV-7 Fasáda ETICS</t>
        </is>
      </c>
      <c r="D98" s="24" t="inlineStr">
        <is>
          <t>Profilace fasády — různé tloušťky EPS (kordony, šambrány, rámování oken) — paušá</t>
        </is>
      </c>
      <c r="E98" s="24" t="inlineStr">
        <is>
          <t>622221221</t>
        </is>
      </c>
      <c r="F98" s="24" t="inlineStr">
        <is>
          <t>622221121</t>
        </is>
      </c>
      <c r="G98" s="24" t="inlineStr"/>
      <c r="H98" s="24" t="inlineStr">
        <is>
          <t>needs_production_lookup</t>
        </is>
      </c>
      <c r="I98" s="35" t="n">
        <v>0.65</v>
      </c>
      <c r="J98" s="32" t="inlineStr"/>
      <c r="K98" s="24" t="inlineStr"/>
      <c r="L98" s="24" t="inlineStr"/>
      <c r="M98" s="24" t="inlineStr"/>
      <c r="N98" s="24" t="inlineStr"/>
    </row>
    <row r="99">
      <c r="B99" s="24" t="inlineStr">
        <is>
          <t>260219_dum.HSV7.006</t>
        </is>
      </c>
      <c r="C99" s="24" t="inlineStr">
        <is>
          <t>HSV-7 Fasáda ETICS</t>
        </is>
      </c>
      <c r="D99" s="24" t="inlineStr">
        <is>
          <t>Tenkovrstvá pastovitá probarvená omítka, lomená bílá NCS NZÚ — finální vrstva ET</t>
        </is>
      </c>
      <c r="E99" s="24" t="inlineStr">
        <is>
          <t>622521111</t>
        </is>
      </c>
      <c r="F99" s="24" t="inlineStr">
        <is>
          <t>622511111</t>
        </is>
      </c>
      <c r="G99" s="24" t="inlineStr"/>
      <c r="H99" s="24" t="inlineStr">
        <is>
          <t>family_verified_leaf_needs_production_lookup</t>
        </is>
      </c>
      <c r="I99" s="35" t="n">
        <v>0.8</v>
      </c>
      <c r="J99" s="31" t="inlineStr">
        <is>
          <t>FAMILY_VERIFIED</t>
        </is>
      </c>
      <c r="K99" s="24" t="inlineStr">
        <is>
          <t>https://www.cz.weber/ncs-odstiny-dle-nzu-2023</t>
        </is>
      </c>
      <c r="L99" s="24" t="inlineStr"/>
      <c r="M99" s="24" t="inlineStr"/>
      <c r="N99" s="24" t="inlineStr"/>
    </row>
    <row r="100">
      <c r="B100" s="24" t="inlineStr">
        <is>
          <t>260219_dum.PSV71.001</t>
        </is>
      </c>
      <c r="C100" s="24" t="inlineStr">
        <is>
          <t>PSV-71 Izolace HI</t>
        </is>
      </c>
      <c r="D100" s="24" t="inlineStr">
        <is>
          <t>Hydroizolace pod ŽB deskou 1.NP — modifikované asfaltové pásy SBS 2× (zároveň pr</t>
        </is>
      </c>
      <c r="E100" s="24" t="inlineStr">
        <is>
          <t>712311101</t>
        </is>
      </c>
      <c r="F100" s="24" t="inlineStr">
        <is>
          <t>712331101, 711332101</t>
        </is>
      </c>
      <c r="G100" s="24" t="inlineStr"/>
      <c r="H100" s="24" t="inlineStr">
        <is>
          <t>family_verified_leaf_needs_production_lookup</t>
        </is>
      </c>
      <c r="I100" s="35" t="n">
        <v>0.8</v>
      </c>
      <c r="J100" s="31" t="inlineStr">
        <is>
          <t>FAMILY_VERIFIED</t>
        </is>
      </c>
      <c r="K100" s="24" t="inlineStr">
        <is>
          <t>https://stavimbydlim.cz/postup-hydroizolace-zakladove-desky-v-6-krocich/</t>
        </is>
      </c>
      <c r="L100" s="24" t="inlineStr"/>
      <c r="M100" s="24" t="inlineStr"/>
      <c r="N100" s="24" t="inlineStr"/>
    </row>
    <row r="101">
      <c r="B101" s="24" t="inlineStr">
        <is>
          <t>260219_dum.PSV71.002</t>
        </is>
      </c>
      <c r="C101" s="24" t="inlineStr">
        <is>
          <t>PSV-71 Izolace HI</t>
        </is>
      </c>
      <c r="D101" s="24" t="inlineStr">
        <is>
          <t>Odvětrání radonu z podloží — perforované DN50 trubky v štěrkovém loži + výdech n</t>
        </is>
      </c>
      <c r="E101" s="24" t="inlineStr">
        <is>
          <t>712381111</t>
        </is>
      </c>
      <c r="F101" s="24" t="inlineStr">
        <is>
          <t>713381111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https://cze.sika.com/cs/produkty-pro-stavebnictvi/hydroizolaci.html</t>
        </is>
      </c>
      <c r="L101" s="24" t="inlineStr"/>
      <c r="M101" s="24" t="inlineStr"/>
      <c r="N101" s="24" t="inlineStr"/>
    </row>
    <row r="102">
      <c r="B102" s="24" t="inlineStr">
        <is>
          <t>260219_dum.PSV71.003</t>
        </is>
      </c>
      <c r="C102" s="24" t="inlineStr">
        <is>
          <t>PSV-71 Izolace HI</t>
        </is>
      </c>
      <c r="D102" s="24" t="inlineStr">
        <is>
          <t>Hydroizolační stěrka koupelen 3 ks — podlaha + sokl 200 mm + sprchový kout výška</t>
        </is>
      </c>
      <c r="E102" s="24" t="inlineStr"/>
      <c r="F102" s="24" t="inlineStr">
        <is>
          <t>771274102, 711161xxx_sterka</t>
        </is>
      </c>
      <c r="G102" s="24" t="inlineStr">
        <is>
          <t>711</t>
        </is>
      </c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https://cze.sika.com/cs/produkty-pro-stavebnictvi/hydroizolaci.html</t>
        </is>
      </c>
      <c r="L102" s="24" t="inlineStr">
        <is>
          <t>711132101</t>
        </is>
      </c>
      <c r="M102" s="24" t="inlineStr"/>
      <c r="N102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3">
      <c r="B103" s="24" t="inlineStr">
        <is>
          <t>260219_dum.PSV71.101</t>
        </is>
      </c>
      <c r="C103" s="24" t="inlineStr">
        <is>
          <t>PSV-71 Izolace TI</t>
        </is>
      </c>
      <c r="D103" s="24" t="inlineStr">
        <is>
          <t>Podlahový EPS 150 λ=0.035 tl. 120 mm — pod betonový potěr 1.NP a 3.NP</t>
        </is>
      </c>
      <c r="E103" s="24" t="inlineStr"/>
      <c r="F103" s="24" t="inlineStr">
        <is>
          <t>713121121, 713121122</t>
        </is>
      </c>
      <c r="G103" s="24" t="inlineStr">
        <is>
          <t>713121</t>
        </is>
      </c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https://styrotrade.cz/cs/produkty/strechy/izolace-bezne-zatizenych-plochych-strech/styro-eps-150/</t>
        </is>
      </c>
      <c r="L103" s="24" t="inlineStr">
        <is>
          <t>713141121</t>
        </is>
      </c>
      <c r="M103" s="24" t="inlineStr"/>
      <c r="N103" s="24" t="inlineStr">
        <is>
          <t>WebSearch verified WRONG LEAF: URS leaf = izolace STŘECH plochých, item = PODLAHA EPS. Hint: Podlahy = TKP 713-12 (vrstvy podlah), NOT 713-14 (střechy).</t>
        </is>
      </c>
    </row>
    <row r="104">
      <c r="B104" s="24" t="inlineStr">
        <is>
          <t>260219_dum.PSV71.102</t>
        </is>
      </c>
      <c r="C104" s="24" t="inlineStr">
        <is>
          <t>PSV-71 Izolace TI</t>
        </is>
      </c>
      <c r="D104" s="24" t="inlineStr">
        <is>
          <t>Kročejová EPS 150 / 30 dB tl. 40 mm nad ocelobetonovým stropem 2.NP/3.NP</t>
        </is>
      </c>
      <c r="E104" s="24" t="inlineStr"/>
      <c r="F104" s="24" t="inlineStr">
        <is>
          <t>713121121, 713121111</t>
        </is>
      </c>
      <c r="G104" s="24" t="inlineStr">
        <is>
          <t>713121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https://styrotrade.cz/cs/produkty/strechy/izolace-bezne-zatizenych-plochych-strech/styro-eps-150/</t>
        </is>
      </c>
      <c r="L104" s="24" t="inlineStr">
        <is>
          <t>713141111</t>
        </is>
      </c>
      <c r="M104" s="24" t="inlineStr"/>
      <c r="N104" s="24" t="inlineStr">
        <is>
          <t>WebSearch verified WRONG LEAF: Same wrong-family — kročejová EPS podlaha, not střecha. Hint: Kročejová izolace mezi vrstvy podlahy = TKP 713-12.</t>
        </is>
      </c>
    </row>
    <row r="105">
      <c r="B105" s="24" t="inlineStr">
        <is>
          <t>260219_dum.PSV76.001</t>
        </is>
      </c>
      <c r="C105" s="24" t="inlineStr">
        <is>
          <t>PSV-76 Výplně otvorů</t>
        </is>
      </c>
      <c r="D105" s="24" t="inlineStr">
        <is>
          <t>Plastové okno izolačním trojsklem Uw=0.85 W/m²K — typ 'okno 1.NP' velikost 1185×</t>
        </is>
      </c>
      <c r="E105" s="24" t="inlineStr">
        <is>
          <t>766621011</t>
        </is>
      </c>
      <c r="F105" s="24" t="inlineStr">
        <is>
          <t>766629011, 766629111</t>
        </is>
      </c>
      <c r="G105" s="24" t="inlineStr"/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https://www.vekra.cz/radce/plastova-okna-s-trojsklem/</t>
        </is>
      </c>
      <c r="L105" s="24" t="inlineStr"/>
      <c r="M105" s="24" t="inlineStr"/>
      <c r="N105" s="24" t="inlineStr"/>
    </row>
    <row r="106">
      <c r="B106" s="24" t="inlineStr">
        <is>
          <t>260219_dum.PSV76.002</t>
        </is>
      </c>
      <c r="C106" s="24" t="inlineStr">
        <is>
          <t>PSV-76 Výplně otvorů</t>
        </is>
      </c>
      <c r="D106" s="24" t="inlineStr">
        <is>
          <t>Plastové okno izolačním trojsklem Uw=0.85 W/m²K — typ 'okno 1.NP vzadu' velikost</t>
        </is>
      </c>
      <c r="E106" s="24" t="inlineStr">
        <is>
          <t>766621011</t>
        </is>
      </c>
      <c r="F106" s="24" t="inlineStr">
        <is>
          <t>766629011, 766629111</t>
        </is>
      </c>
      <c r="G106" s="24" t="inlineStr"/>
      <c r="H106" s="24" t="inlineStr">
        <is>
          <t>needs_production_lookup</t>
        </is>
      </c>
      <c r="I106" s="35" t="n">
        <v>0.65</v>
      </c>
      <c r="J106" s="32" t="inlineStr"/>
      <c r="K106" s="24" t="inlineStr"/>
      <c r="L106" s="24" t="inlineStr"/>
      <c r="M106" s="24" t="inlineStr"/>
      <c r="N106" s="24" t="inlineStr"/>
    </row>
    <row r="107">
      <c r="B107" s="24" t="inlineStr">
        <is>
          <t>260219_dum.PSV76.003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2.NP' velikost 1160×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needs_production_lookup</t>
        </is>
      </c>
      <c r="I107" s="35" t="n">
        <v>0.65</v>
      </c>
      <c r="J107" s="32" t="inlineStr"/>
      <c r="K107" s="24" t="inlineStr"/>
      <c r="L107" s="24" t="inlineStr"/>
      <c r="M107" s="24" t="inlineStr"/>
      <c r="N107" s="24" t="inlineStr"/>
    </row>
    <row r="108">
      <c r="B108" s="24" t="inlineStr">
        <is>
          <t>260219_dum.PSV76.004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3.NP' velikost 1785×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260219_dum.PSV76.005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3.NP vzadu' velikost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260219_dum.PSV76.006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male 3.NP vzadu' vel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260219_dum.PSV76.007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malé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260219_dum.PSV76.008</t>
        </is>
      </c>
      <c r="C112" s="24" t="inlineStr">
        <is>
          <t>PSV-76 Výplně otvorů</t>
        </is>
      </c>
      <c r="D112" s="24" t="inlineStr">
        <is>
          <t>Integrované stínící venkovní žaluzie v kastlíku pod omítkou s purenitovou izolac</t>
        </is>
      </c>
      <c r="E112" s="24" t="inlineStr">
        <is>
          <t>766631211</t>
        </is>
      </c>
      <c r="F112" s="24" t="inlineStr">
        <is>
          <t>766632111, 767531111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260219_dum.PSV76.009</t>
        </is>
      </c>
      <c r="C113" s="24" t="inlineStr">
        <is>
          <t>PSV-76 Výplně otvorů</t>
        </is>
      </c>
      <c r="D113" s="24" t="inlineStr">
        <is>
          <t>Plastové vstupní dveře (ulice + zahrada) — 2 ks</t>
        </is>
      </c>
      <c r="E113" s="24" t="inlineStr">
        <is>
          <t>766682111</t>
        </is>
      </c>
      <c r="F113" s="24" t="inlineStr">
        <is>
          <t>766682112, 766681111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260219_dum.PSV76.010</t>
        </is>
      </c>
      <c r="C114" s="24" t="inlineStr">
        <is>
          <t>PSV-76 Výplně otvorů</t>
        </is>
      </c>
      <c r="D114" s="24" t="inlineStr">
        <is>
          <t>Vnitřní dveře DTD laminované s obložkovou zárubní — odhad 15 ks</t>
        </is>
      </c>
      <c r="E114" s="24" t="inlineStr">
        <is>
          <t>766660035</t>
        </is>
      </c>
      <c r="F114" s="24" t="inlineStr">
        <is>
          <t>766660036, 766660031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260219_dum.PSV76.101</t>
        </is>
      </c>
      <c r="C115" s="24" t="inlineStr">
        <is>
          <t>PSV-76 Klempíř</t>
        </is>
      </c>
      <c r="D115" s="24" t="inlineStr">
        <is>
          <t>Klempířské oplechování krytiny — úžlabí, hřeben, štítové lemy (Al / Pzn lakovaný</t>
        </is>
      </c>
      <c r="E115" s="24" t="inlineStr">
        <is>
          <t>764312235</t>
        </is>
      </c>
      <c r="F115" s="24" t="inlineStr">
        <is>
          <t>764315235, 764312245</t>
        </is>
      </c>
      <c r="G115" s="24" t="inlineStr"/>
      <c r="H115" s="24" t="inlineStr">
        <is>
          <t>family_verified_leaf_needs_production_lookup</t>
        </is>
      </c>
      <c r="I115" s="35" t="n">
        <v>0.75</v>
      </c>
      <c r="J115" s="31" t="inlineStr">
        <is>
          <t>FAMILY_VERIFIED_CHAPTER_MATCH</t>
        </is>
      </c>
      <c r="K115" s="24" t="inlineStr">
        <is>
          <t>https://www.cs-urs.cz/podminky/cu201/800-764-Konstrukce-klempirske-(2020-I)/16/</t>
        </is>
      </c>
      <c r="L115" s="24" t="inlineStr"/>
      <c r="M115" s="24" t="inlineStr"/>
      <c r="N115" s="24" t="inlineStr"/>
    </row>
    <row r="116">
      <c r="B116" s="24" t="inlineStr">
        <is>
          <t>260219_dum.PSV76.102</t>
        </is>
      </c>
      <c r="C116" s="24" t="inlineStr">
        <is>
          <t>PSV-76 Klempíř</t>
        </is>
      </c>
      <c r="D116" s="24" t="inlineStr">
        <is>
          <t>Venkovní parapety oken — Pzn plech lakovaný 250 mm × tl. 0.55 mm × 16 ks oken</t>
        </is>
      </c>
      <c r="E116" s="24" t="inlineStr">
        <is>
          <t>764218201</t>
        </is>
      </c>
      <c r="F116" s="24" t="inlineStr">
        <is>
          <t>764218205, 764218210</t>
        </is>
      </c>
      <c r="G116" s="24" t="inlineStr"/>
      <c r="H116" s="24" t="inlineStr">
        <is>
          <t>family_verified_leaf_needs_production_lookup</t>
        </is>
      </c>
      <c r="I116" s="35" t="n">
        <v>0.75</v>
      </c>
      <c r="J116" s="31" t="inlineStr">
        <is>
          <t>FAMILY_VERIFIED_CHAPTER_MATCH</t>
        </is>
      </c>
      <c r="K116" s="24" t="inlineStr">
        <is>
          <t>https://www.cs-urs.cz/podminky/cu201/800-764-Konstrukce-klempirske-(2020-I)/16/</t>
        </is>
      </c>
      <c r="L116" s="24" t="inlineStr"/>
      <c r="M116" s="24" t="inlineStr"/>
      <c r="N116" s="24" t="inlineStr"/>
    </row>
    <row r="117">
      <c r="B117" s="24" t="inlineStr">
        <is>
          <t>260219_dum.PSV76.103</t>
        </is>
      </c>
      <c r="C117" s="24" t="inlineStr">
        <is>
          <t>PSV-76 Klempíř</t>
        </is>
      </c>
      <c r="D117" s="24" t="inlineStr">
        <is>
          <t>Dešťové svody Pzn 100 mm + žlaby — 4 svody × ~14 m + žlaby per obvod střechy</t>
        </is>
      </c>
      <c r="E117" s="24" t="inlineStr">
        <is>
          <t>764454802</t>
        </is>
      </c>
      <c r="F117" s="24" t="inlineStr">
        <is>
          <t>764451802, 764454805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260219_dum.PSV76.104</t>
        </is>
      </c>
      <c r="C118" s="24" t="inlineStr">
        <is>
          <t>PSV-76 Klempíř</t>
        </is>
      </c>
      <c r="D118" s="24" t="inlineStr">
        <is>
          <t>Klempířské doplňky vikýřů + atika + závětrné lemy (4 vikýře komplexní detail)</t>
        </is>
      </c>
      <c r="E118" s="24" t="inlineStr">
        <is>
          <t>764315235</t>
        </is>
      </c>
      <c r="F118" s="24" t="inlineStr">
        <is>
          <t>764312235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260219_dum.PSV76.201</t>
        </is>
      </c>
      <c r="C119" s="24" t="inlineStr">
        <is>
          <t>PSV-76 Zámečnictví</t>
        </is>
      </c>
      <c r="D119" s="24" t="inlineStr">
        <is>
          <t>Ocelové schodiště ze zahrady na mezipodestu — UPE200 schodnice + dřevěné nášlapy</t>
        </is>
      </c>
      <c r="E119" s="24" t="inlineStr">
        <is>
          <t>767531111</t>
        </is>
      </c>
      <c r="F119" s="24" t="inlineStr">
        <is>
          <t>767542111</t>
        </is>
      </c>
      <c r="G119" s="24" t="inlineStr"/>
      <c r="H119" s="24" t="inlineStr">
        <is>
          <t>family_verified_leaf_needs_production_lookup</t>
        </is>
      </c>
      <c r="I119" s="35" t="n">
        <v>0.8</v>
      </c>
      <c r="J119" s="31" t="inlineStr">
        <is>
          <t>FAMILY_VERIFIED</t>
        </is>
      </c>
      <c r="K119" s="24" t="inlineStr">
        <is>
          <t>https://www.obchodprodilnu.cz/produkty/stavebni-prvky-a-materialy/rosty-schodnice/schodnice-ocelove.html</t>
        </is>
      </c>
      <c r="L119" s="24" t="inlineStr"/>
      <c r="M119" s="24" t="inlineStr"/>
      <c r="N119" s="24" t="inlineStr"/>
    </row>
    <row r="120">
      <c r="B120" s="24" t="inlineStr">
        <is>
          <t>260219_dum.PSV76.202</t>
        </is>
      </c>
      <c r="C120" s="24" t="inlineStr">
        <is>
          <t>PSV-76 Zámečnictví</t>
        </is>
      </c>
      <c r="D120" s="24" t="inlineStr">
        <is>
          <t>Interní ocelové schodiště do spacího patra v 3.NP s dřevěnými stupni (truhlářské</t>
        </is>
      </c>
      <c r="E120" s="24" t="inlineStr">
        <is>
          <t>767531111</t>
        </is>
      </c>
      <c r="F120" s="24" t="inlineStr">
        <is>
          <t>767542111</t>
        </is>
      </c>
      <c r="G120" s="24" t="inlineStr"/>
      <c r="H120" s="24" t="inlineStr">
        <is>
          <t>family_verified_leaf_needs_production_lookup</t>
        </is>
      </c>
      <c r="I120" s="35" t="n">
        <v>0.8</v>
      </c>
      <c r="J120" s="31" t="inlineStr">
        <is>
          <t>FAMILY_VERIFIED</t>
        </is>
      </c>
      <c r="K120" s="24" t="inlineStr">
        <is>
          <t>https://www.obchodprodilnu.cz/produkty/stavebni-prvky-a-materialy/rosty-schodnice/schodnice-ocelove.html</t>
        </is>
      </c>
      <c r="L120" s="24" t="inlineStr"/>
      <c r="M120" s="24" t="inlineStr"/>
      <c r="N120" s="24" t="inlineStr"/>
    </row>
    <row r="121">
      <c r="B121" s="24" t="inlineStr">
        <is>
          <t>260219_dum.PSV76.203</t>
        </is>
      </c>
      <c r="C121" s="24" t="inlineStr">
        <is>
          <t>PSV-76 Zámečnictví</t>
        </is>
      </c>
      <c r="D121" s="24" t="inlineStr">
        <is>
          <t>Stříšky nad vstupy z ocelové konstrukce + Cetris desky + falcovaná krytina — 2 k</t>
        </is>
      </c>
      <c r="E121" s="24" t="inlineStr">
        <is>
          <t>767532111</t>
        </is>
      </c>
      <c r="F121" s="24" t="inlineStr">
        <is>
          <t>767531111</t>
        </is>
      </c>
      <c r="G121" s="24" t="inlineStr"/>
      <c r="H121" s="24" t="inlineStr">
        <is>
          <t>needs_production_lookup</t>
        </is>
      </c>
      <c r="I121" s="35" t="n">
        <v>0.65</v>
      </c>
      <c r="J121" s="32" t="inlineStr"/>
      <c r="K121" s="24" t="inlineStr"/>
      <c r="L121" s="24" t="inlineStr"/>
      <c r="M121" s="24" t="inlineStr"/>
      <c r="N121" s="24" t="inlineStr"/>
    </row>
    <row r="122">
      <c r="B122" s="24" t="inlineStr">
        <is>
          <t>260219_dum.PSV76.204</t>
        </is>
      </c>
      <c r="C122" s="24" t="inlineStr">
        <is>
          <t>PSV-76 Zámečnictví</t>
        </is>
      </c>
      <c r="D122" s="24" t="inlineStr">
        <is>
          <t>Ocelové zábradlí svařované z jeklů + nerez výplň pZn antracit — schodiště interi</t>
        </is>
      </c>
      <c r="E122" s="24" t="inlineStr">
        <is>
          <t>767163115</t>
        </is>
      </c>
      <c r="F122" s="24" t="inlineStr">
        <is>
          <t>767161115</t>
        </is>
      </c>
      <c r="G122" s="24" t="inlineStr"/>
      <c r="H122" s="24" t="inlineStr">
        <is>
          <t>needs_production_lookup</t>
        </is>
      </c>
      <c r="I122" s="35" t="n">
        <v>0.65</v>
      </c>
      <c r="J122" s="32" t="inlineStr"/>
      <c r="K122" s="24" t="inlineStr"/>
      <c r="L122" s="24" t="inlineStr"/>
      <c r="M122" s="24" t="inlineStr"/>
      <c r="N122" s="24" t="inlineStr"/>
    </row>
    <row r="123">
      <c r="B123" s="24" t="inlineStr">
        <is>
          <t>260219_dum.PSV76.301</t>
        </is>
      </c>
      <c r="C123" s="24" t="inlineStr">
        <is>
          <t>PSV-76 Truhlář</t>
        </is>
      </c>
      <c r="D123" s="24" t="inlineStr">
        <is>
          <t>Dřevěné stupně ocelových schodišť (truhlářské, dub masiv tl. 40 mm)</t>
        </is>
      </c>
      <c r="E123" s="24" t="inlineStr">
        <is>
          <t>766811111</t>
        </is>
      </c>
      <c r="F123" s="24" t="inlineStr">
        <is>
          <t>766812111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260219_dum.PSV76.302</t>
        </is>
      </c>
      <c r="C124" s="24" t="inlineStr">
        <is>
          <t>PSV-76 Truhlář</t>
        </is>
      </c>
      <c r="D124" s="24" t="inlineStr">
        <is>
          <t>Dřevěná terasa za opěrnou stěnou — prkna garapa 145×25 mm na dřevěném roštu z hr</t>
        </is>
      </c>
      <c r="E124" s="24" t="inlineStr"/>
      <c r="F124" s="24" t="inlineStr">
        <is>
          <t>766811111</t>
        </is>
      </c>
      <c r="G124" s="24" t="inlineStr">
        <is>
          <t>762</t>
        </is>
      </c>
      <c r="H124" s="24" t="inlineStr">
        <is>
          <t>family_762_leaf_lookup_required</t>
        </is>
      </c>
      <c r="I124" s="35" t="n">
        <v>0.65</v>
      </c>
      <c r="J124" s="33" t="inlineStr">
        <is>
          <t>REZ_CC_CORRECTED_wood_deck_762_split_by_trade</t>
        </is>
      </c>
      <c r="K124" s="24" t="inlineStr"/>
      <c r="L124" s="24" t="inlineStr">
        <is>
          <t>771474112</t>
        </is>
      </c>
      <c r="M124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4" s="24" t="inlineStr"/>
    </row>
    <row r="125">
      <c r="B125" s="24" t="inlineStr">
        <is>
          <t>260219_dum.PSV77.001</t>
        </is>
      </c>
      <c r="C125" s="24" t="inlineStr">
        <is>
          <t>PSV-77 Podlahy</t>
        </is>
      </c>
      <c r="D125" s="24" t="inlineStr">
        <is>
          <t>Nášlapná vrstva vinyl tl. 4 mm na suchou skladbu — obytné místnosti (ložnice, ob</t>
        </is>
      </c>
      <c r="E125" s="24" t="inlineStr">
        <is>
          <t>776511820</t>
        </is>
      </c>
      <c r="F125" s="24" t="inlineStr">
        <is>
          <t>776521820, 776521810</t>
        </is>
      </c>
      <c r="G125" s="24" t="inlineStr"/>
      <c r="H125" s="24" t="inlineStr">
        <is>
          <t>family_verified_leaf_needs_production_lookup</t>
        </is>
      </c>
      <c r="I125" s="35" t="n">
        <v>0.8</v>
      </c>
      <c r="J125" s="31" t="inlineStr">
        <is>
          <t>FAMILY_VERIFIED</t>
        </is>
      </c>
      <c r="K125" s="24" t="inlineStr">
        <is>
          <t>https://podminky.urs.cz/item/CS_URS_2021_02/776321212</t>
        </is>
      </c>
      <c r="L125" s="24" t="inlineStr"/>
      <c r="M125" s="24" t="inlineStr"/>
      <c r="N125" s="24" t="inlineStr"/>
    </row>
    <row r="126">
      <c r="B126" s="24" t="inlineStr">
        <is>
          <t>260219_dum.PSV77.002</t>
        </is>
      </c>
      <c r="C126" s="24" t="inlineStr">
        <is>
          <t>PSV-77 Podlahy</t>
        </is>
      </c>
      <c r="D126" s="24" t="inlineStr">
        <is>
          <t>Nášlapná vrstva keramická dlažba lepená — koupelny + WC + spíž + komora (NÁDRŽ N</t>
        </is>
      </c>
      <c r="E126" s="24" t="inlineStr">
        <is>
          <t>771274102</t>
        </is>
      </c>
      <c r="F126" s="24" t="inlineStr">
        <is>
          <t>771274107, 771271101</t>
        </is>
      </c>
      <c r="G126" s="24" t="inlineStr"/>
      <c r="H126" s="24" t="inlineStr">
        <is>
          <t>needs_production_lookup</t>
        </is>
      </c>
      <c r="I126" s="35" t="n">
        <v>0.65</v>
      </c>
      <c r="J126" s="32" t="inlineStr"/>
      <c r="K126" s="24" t="inlineStr"/>
      <c r="L126" s="24" t="inlineStr"/>
      <c r="M126" s="24" t="inlineStr"/>
      <c r="N126" s="24" t="inlineStr"/>
    </row>
    <row r="127">
      <c r="B127" s="24" t="inlineStr">
        <is>
          <t>260219_dum.PSV77.003</t>
        </is>
      </c>
      <c r="C127" s="24" t="inlineStr">
        <is>
          <t>PSV-77 Podlahy</t>
        </is>
      </c>
      <c r="D127" s="24" t="inlineStr">
        <is>
          <t xml:space="preserve">Nášlapná vrstva keramická dlažba — 1.PP technické místnosti (sušárna + sklepy + </t>
        </is>
      </c>
      <c r="E127" s="24" t="inlineStr">
        <is>
          <t>771274102</t>
        </is>
      </c>
      <c r="F127" s="24" t="inlineStr">
        <is>
          <t>771274107, 771271101</t>
        </is>
      </c>
      <c r="G127" s="24" t="inlineStr"/>
      <c r="H127" s="24" t="inlineStr">
        <is>
          <t>needs_production_lookup</t>
        </is>
      </c>
      <c r="I127" s="35" t="n">
        <v>0.65</v>
      </c>
      <c r="J127" s="32" t="inlineStr"/>
      <c r="K127" s="24" t="inlineStr"/>
      <c r="L127" s="24" t="inlineStr"/>
      <c r="M127" s="24" t="inlineStr"/>
      <c r="N127" s="24" t="inlineStr"/>
    </row>
    <row r="128">
      <c r="B128" s="24" t="inlineStr">
        <is>
          <t>260219_dum.PSV77.004</t>
        </is>
      </c>
      <c r="C128" s="24" t="inlineStr">
        <is>
          <t>PSV-77 Podlahy</t>
        </is>
      </c>
      <c r="D128" s="24" t="inlineStr">
        <is>
          <t>Nášlapná vrstva biodeska (smrk masiv) nebo OSB v 3.NP spací části nad krovem</t>
        </is>
      </c>
      <c r="E128" s="24" t="inlineStr">
        <is>
          <t>766411111</t>
        </is>
      </c>
      <c r="F128" s="24" t="inlineStr">
        <is>
          <t>766421111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260219_dum.PSV77.005</t>
        </is>
      </c>
      <c r="C129" s="24" t="inlineStr">
        <is>
          <t>PSV-77 Podlahy</t>
        </is>
      </c>
      <c r="D129" s="24" t="inlineStr">
        <is>
          <t>Mokrá podlahová skladba — betonový potěr s kari síťkou 4/100/100 tl. 50 mm + sam</t>
        </is>
      </c>
      <c r="E129" s="24" t="inlineStr">
        <is>
          <t>631321311</t>
        </is>
      </c>
      <c r="F129" s="24" t="inlineStr">
        <is>
          <t>631321411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260219_dum.PSV77.006</t>
        </is>
      </c>
      <c r="C130" s="24" t="inlineStr">
        <is>
          <t>PSV-77 Podlahy</t>
        </is>
      </c>
      <c r="D130" s="24" t="inlineStr">
        <is>
          <t>Soklíky podlahové laminátové (dub) v obytných místnostech s vinyl podlahou</t>
        </is>
      </c>
      <c r="E130" s="24" t="inlineStr">
        <is>
          <t>776511831</t>
        </is>
      </c>
      <c r="F130" s="24" t="inlineStr">
        <is>
          <t>776511820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260219_dum.PSV77.007</t>
        </is>
      </c>
      <c r="C131" s="24" t="inlineStr">
        <is>
          <t>PSV-77 Podlahy</t>
        </is>
      </c>
      <c r="D131" s="24" t="inlineStr">
        <is>
          <t>Soklíky keramické v místnostech s dlažbou (koupelny + WC + spíž + 1.PP)</t>
        </is>
      </c>
      <c r="E131" s="24" t="inlineStr">
        <is>
          <t>771274107</t>
        </is>
      </c>
      <c r="F131" s="24" t="inlineStr">
        <is>
          <t>771274102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260219_dum.PSV78.001</t>
        </is>
      </c>
      <c r="C132" s="24" t="inlineStr">
        <is>
          <t>PSV-78 Povrchové úpravy</t>
        </is>
      </c>
      <c r="D132" s="24" t="inlineStr">
        <is>
          <t>Omítka jádrová vápenocementová tl. 15 mm + štuková povrchová úprava na stěnách 1</t>
        </is>
      </c>
      <c r="E132" s="24" t="inlineStr">
        <is>
          <t>612311311</t>
        </is>
      </c>
      <c r="F132" s="24" t="inlineStr">
        <is>
          <t>612301351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260219_dum.PSV78.002</t>
        </is>
      </c>
      <c r="C133" s="24" t="inlineStr">
        <is>
          <t>PSV-78 Povrchové úpravy</t>
        </is>
      </c>
      <c r="D133" s="24" t="inlineStr">
        <is>
          <t>Omítka jádrová vápenocementová tl. 15 mm + štuková povrchová úprava na stěnách 1</t>
        </is>
      </c>
      <c r="E133" s="24" t="inlineStr">
        <is>
          <t>612311311</t>
        </is>
      </c>
      <c r="F133" s="24" t="inlineStr">
        <is>
          <t>612301351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260219_dum.PSV78.003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2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260219_dum.PSV78.004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3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260219_dum.PSV78.005</t>
        </is>
      </c>
      <c r="C136" s="24" t="inlineStr">
        <is>
          <t>PSV-78 Povrchové úpravy</t>
        </is>
      </c>
      <c r="D136" s="24" t="inlineStr">
        <is>
          <t>SDK podhled + případné předstěny — tmelení spojů Q3 + povrchová úprava před výma</t>
        </is>
      </c>
      <c r="E136" s="24" t="inlineStr">
        <is>
          <t>612471141</t>
        </is>
      </c>
      <c r="F136" s="24" t="inlineStr">
        <is>
          <t>763121521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260219_dum.PSV78.006</t>
        </is>
      </c>
      <c r="C137" s="24" t="inlineStr">
        <is>
          <t>PSV-78 Povrchové úpravy</t>
        </is>
      </c>
      <c r="D137" s="24" t="inlineStr">
        <is>
          <t>SDK podhled + případné předstěny — tmelení spojů Q3 + povrchová úprava před výma</t>
        </is>
      </c>
      <c r="E137" s="24" t="inlineStr">
        <is>
          <t>612471141</t>
        </is>
      </c>
      <c r="F137" s="24" t="inlineStr">
        <is>
          <t>763121521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260219_dum.PSV78.007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260219_dum.PSV78.008</t>
        </is>
      </c>
      <c r="C139" s="24" t="inlineStr">
        <is>
          <t>PSV-78 Povrchové úpravy</t>
        </is>
      </c>
      <c r="D139" s="24" t="inlineStr">
        <is>
          <t>Keramický obklad stěn koupelny 1.05 1.NP — výška obkladu 1.6 m (z DXF km Obklady</t>
        </is>
      </c>
      <c r="E139" s="24" t="inlineStr">
        <is>
          <t>781447001</t>
        </is>
      </c>
      <c r="F139" s="24" t="inlineStr">
        <is>
          <t>781447003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260219_dum.PSV78.009</t>
        </is>
      </c>
      <c r="C140" s="24" t="inlineStr">
        <is>
          <t>PSV-78 Povrchové úpravy</t>
        </is>
      </c>
      <c r="D140" s="24" t="inlineStr">
        <is>
          <t>Keramický obklad stěn koupelny 2.03 2.NP — výška obkladu 2.45 m (z DXF km Obklad</t>
        </is>
      </c>
      <c r="E140" s="24" t="inlineStr">
        <is>
          <t>781447001</t>
        </is>
      </c>
      <c r="F140" s="24" t="inlineStr">
        <is>
          <t>781447003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260219_dum.PSV78.010</t>
        </is>
      </c>
      <c r="C141" s="24" t="inlineStr">
        <is>
          <t>PSV-78 Povrchové úpravy</t>
        </is>
      </c>
      <c r="D141" s="24" t="inlineStr">
        <is>
          <t>Keramický obklad stěn koupelny 3.04 3.NP — výška obkladu 2.7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260219_dum.PSV78.011</t>
        </is>
      </c>
      <c r="C142" s="24" t="inlineStr">
        <is>
          <t>PSV-78 Povrchové úpravy</t>
        </is>
      </c>
      <c r="D142" s="24" t="inlineStr">
        <is>
          <t>Keramický obklad za kuchyňskou linkou nad pracovní deskou — 2 kuchyně × ~5 m² (1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260219_dum.PSV95.001</t>
        </is>
      </c>
      <c r="C143" s="24" t="inlineStr">
        <is>
          <t>PSV-95 Detekce požární</t>
        </is>
      </c>
      <c r="D143" s="24" t="inlineStr">
        <is>
          <t>Autonomní hlásič kouře dle ČSN EN 14604 — 4 ks v místnostech 1.01, 1.02, 2.04, 3</t>
        </is>
      </c>
      <c r="E143" s="24" t="inlineStr">
        <is>
          <t>375211101</t>
        </is>
      </c>
      <c r="F143" s="24" t="inlineStr">
        <is>
          <t>375211102</t>
        </is>
      </c>
      <c r="G143" s="24" t="inlineStr"/>
      <c r="H143" s="24" t="inlineStr">
        <is>
          <t>family_verified_leaf_needs_production_lookup</t>
        </is>
      </c>
      <c r="I143" s="35" t="n">
        <v>0.8</v>
      </c>
      <c r="J143" s="31" t="inlineStr">
        <is>
          <t>FAMILY_VERIFIED</t>
        </is>
      </c>
      <c r="K143" s="24" t="inlineStr">
        <is>
          <t>https://www.technicke-normy-csn.cz/csn-en-14604-342711-182944.html</t>
        </is>
      </c>
      <c r="L143" s="24" t="inlineStr"/>
      <c r="M143" s="24" t="inlineStr"/>
      <c r="N143" s="24" t="inlineStr"/>
    </row>
    <row r="144">
      <c r="B144" s="24" t="inlineStr">
        <is>
          <t>260219_dum.PSV95.002</t>
        </is>
      </c>
      <c r="C144" s="24" t="inlineStr">
        <is>
          <t>PSV-95 Detekce požární</t>
        </is>
      </c>
      <c r="D144" s="24" t="inlineStr">
        <is>
          <t>Přenosný hasicí přístroj 34A dle PBŘ — min. 1 ks na společné chodbě</t>
        </is>
      </c>
      <c r="E144" s="24" t="inlineStr">
        <is>
          <t>966067121</t>
        </is>
      </c>
      <c r="F144" s="24" t="inlineStr">
        <is>
          <t>966067112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260217_sklad.PSV76.001</t>
        </is>
      </c>
      <c r="C145" s="24" t="inlineStr">
        <is>
          <t>PSV-76 Výplně otvorů</t>
        </is>
      </c>
      <c r="D145" s="24" t="inlineStr">
        <is>
          <t>Bezpečnostní dveře RC3 v ocelové zárubni — vrata skladu (TZ statika §1.4 RC3 cer</t>
        </is>
      </c>
      <c r="E145" s="24" t="inlineStr">
        <is>
          <t>766682111</t>
        </is>
      </c>
      <c r="F145" s="24" t="inlineStr">
        <is>
          <t>767311111, 766682112</t>
        </is>
      </c>
      <c r="G145" s="24" t="inlineStr"/>
      <c r="H145" s="24" t="inlineStr">
        <is>
          <t>needs_production_lookup</t>
        </is>
      </c>
      <c r="I145" s="35" t="n">
        <v>0.65</v>
      </c>
      <c r="J145" s="32" t="inlineStr"/>
      <c r="K145" s="24" t="inlineStr"/>
      <c r="L145" s="24" t="inlineStr"/>
      <c r="M145" s="24" t="inlineStr"/>
      <c r="N145" s="24" t="inlineStr"/>
    </row>
    <row r="146">
      <c r="B146" s="24" t="inlineStr">
        <is>
          <t>260217_sklad.PSV77.001</t>
        </is>
      </c>
      <c r="C146" s="24" t="inlineStr">
        <is>
          <t>PSV-77 Podlahy</t>
        </is>
      </c>
      <c r="D146" s="24" t="inlineStr">
        <is>
          <t>Betonová dlažba 50 mm do kladecího lože — podlaha skladu + vynos za stěnu</t>
        </is>
      </c>
      <c r="E146" s="24" t="inlineStr"/>
      <c r="F146" s="24" t="inlineStr">
        <is>
          <t>596211xxx_betonova_dlazba_piskove_loze, 771-12_pokladka_betonove</t>
        </is>
      </c>
      <c r="G146" s="24" t="inlineStr">
        <is>
          <t>596</t>
        </is>
      </c>
      <c r="H146" s="24" t="inlineStr">
        <is>
          <t>wrong_leaf_disambiguation_needed</t>
        </is>
      </c>
      <c r="I146" s="35" t="n">
        <v>0.5</v>
      </c>
      <c r="J146" s="33" t="inlineStr"/>
      <c r="K146" s="24" t="inlineStr"/>
      <c r="L146" s="24" t="inlineStr">
        <is>
          <t>771121011</t>
        </is>
      </c>
      <c r="M146" s="24" t="inlineStr"/>
      <c r="N146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7">
      <c r="B147" s="24" t="inlineStr">
        <is>
          <t>260219_dum.PSV72.001</t>
        </is>
      </c>
      <c r="C147" s="24" t="inlineStr">
        <is>
          <t>PSV-72 ZTI</t>
        </is>
      </c>
      <c r="D147" s="24" t="inlineStr">
        <is>
          <t>Revize stávajícího napojení vodovodu + kanalizace na pozemku — kontrola stavu, č</t>
        </is>
      </c>
      <c r="E147" s="24" t="inlineStr">
        <is>
          <t>722290515</t>
        </is>
      </c>
      <c r="F147" s="24" t="inlineStr">
        <is>
          <t>722290521</t>
        </is>
      </c>
      <c r="G147" s="24" t="inlineStr"/>
      <c r="H147" s="24" t="inlineStr">
        <is>
          <t>family_verified_leaf_needs_production_lookup</t>
        </is>
      </c>
      <c r="I147" s="35" t="n">
        <v>0.8</v>
      </c>
      <c r="J147" s="31" t="inlineStr">
        <is>
          <t>FAMILY_VERIFIED</t>
        </is>
      </c>
      <c r="K147" s="24" t="inlineStr">
        <is>
          <t>https://www.sanitino.cz/vodovodni-baterie</t>
        </is>
      </c>
      <c r="L147" s="24" t="inlineStr"/>
      <c r="M147" s="24" t="inlineStr"/>
      <c r="N147" s="24" t="inlineStr"/>
    </row>
    <row r="148">
      <c r="B148" s="24" t="inlineStr">
        <is>
          <t>260219_dum.PSV72.002</t>
        </is>
      </c>
      <c r="C148" s="24" t="inlineStr">
        <is>
          <t>PSV-72 ZTI</t>
        </is>
      </c>
      <c r="D148" s="24" t="inlineStr">
        <is>
          <t>Nové rozvody studené + teplé vody do koupelen 1.NP + 2.NP + 3.NP a kuchyní (PEX/</t>
        </is>
      </c>
      <c r="E148" s="24" t="inlineStr">
        <is>
          <t>722172011</t>
        </is>
      </c>
      <c r="F148" s="24" t="inlineStr">
        <is>
          <t>722172021, 722262111</t>
        </is>
      </c>
      <c r="G148" s="24" t="inlineStr"/>
      <c r="H148" s="24" t="inlineStr">
        <is>
          <t>family_verified_leaf_needs_production_lookup</t>
        </is>
      </c>
      <c r="I148" s="35" t="n">
        <v>0.8</v>
      </c>
      <c r="J148" s="31" t="inlineStr">
        <is>
          <t>FAMILY_VERIFIED</t>
        </is>
      </c>
      <c r="K148" s="24" t="inlineStr">
        <is>
          <t>https://www.ceskestavby.cz/jak-se-stavi-dum/sprchy-vany-vana-zachod-umyvadlo-sprchove-kouty-5799.html</t>
        </is>
      </c>
      <c r="L148" s="24" t="inlineStr"/>
      <c r="M148" s="24" t="inlineStr"/>
      <c r="N148" s="24" t="inlineStr"/>
    </row>
    <row r="149">
      <c r="B149" s="24" t="inlineStr">
        <is>
          <t>260219_dum.PSV72.003</t>
        </is>
      </c>
      <c r="C149" s="24" t="inlineStr">
        <is>
          <t>PSV-72 ZTI</t>
        </is>
      </c>
      <c r="D149" s="24" t="inlineStr">
        <is>
          <t xml:space="preserve">Nové odpadní rozvody PVC-HT DN40-DN110 ke koupelnám 1.NP, 2.NP, 3.NP a kuchyním </t>
        </is>
      </c>
      <c r="E149" s="24" t="inlineStr">
        <is>
          <t>721174021</t>
        </is>
      </c>
      <c r="F149" s="24" t="inlineStr">
        <is>
          <t>721174022</t>
        </is>
      </c>
      <c r="G149" s="24" t="inlineStr"/>
      <c r="H149" s="24" t="inlineStr">
        <is>
          <t>needs_production_lookup</t>
        </is>
      </c>
      <c r="I149" s="35" t="n">
        <v>0.65</v>
      </c>
      <c r="J149" s="32" t="inlineStr"/>
      <c r="K149" s="24" t="inlineStr"/>
      <c r="L149" s="24" t="inlineStr"/>
      <c r="M149" s="24" t="inlineStr"/>
      <c r="N149" s="24" t="inlineStr"/>
    </row>
    <row r="150">
      <c r="B150" s="24" t="inlineStr">
        <is>
          <t>260219_dum.PSV72.007</t>
        </is>
      </c>
      <c r="C150" s="24" t="inlineStr">
        <is>
          <t>PSV-72 ZTI</t>
        </is>
      </c>
      <c r="D150" s="24" t="inlineStr">
        <is>
          <t>Kuchyňský dřez nerez + montáž — 2 ks (kuchyně 1.06 byt rodičů + kuchyně 3.05 byt</t>
        </is>
      </c>
      <c r="E150" s="24" t="inlineStr">
        <is>
          <t>725840111</t>
        </is>
      </c>
      <c r="F150" s="24" t="inlineStr">
        <is>
          <t>725840121</t>
        </is>
      </c>
      <c r="G150" s="24" t="inlineStr"/>
      <c r="H150" s="24" t="inlineStr">
        <is>
          <t>needs_production_lookup</t>
        </is>
      </c>
      <c r="I150" s="35" t="n">
        <v>0.65</v>
      </c>
      <c r="J150" s="32" t="inlineStr"/>
      <c r="K150" s="24" t="inlineStr"/>
      <c r="L150" s="24" t="inlineStr"/>
      <c r="M150" s="24" t="inlineStr"/>
      <c r="N150" s="24" t="inlineStr"/>
    </row>
    <row r="151">
      <c r="B151" s="24" t="inlineStr">
        <is>
          <t>260219_dum.PSV72.008</t>
        </is>
      </c>
      <c r="C151" s="24" t="inlineStr">
        <is>
          <t>PSV-72 ZTI</t>
        </is>
      </c>
      <c r="D151" s="24" t="inlineStr">
        <is>
          <t>Vodovodní baterie (WC ventil + páková umyvadlová + sprchové + dřezové + termosta</t>
        </is>
      </c>
      <c r="E151" s="24" t="inlineStr">
        <is>
          <t>725822611</t>
        </is>
      </c>
      <c r="F151" s="24" t="inlineStr">
        <is>
          <t>725822612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260219_dum.PSV72.009</t>
        </is>
      </c>
      <c r="C152" s="24" t="inlineStr">
        <is>
          <t>PSV-72 ZTI</t>
        </is>
      </c>
      <c r="D152" s="24" t="inlineStr">
        <is>
          <t xml:space="preserve">Akumulační zásobník TUV ~300 l v 1.PP napojený na topný systém (sporáková kamna </t>
        </is>
      </c>
      <c r="E152" s="24" t="inlineStr">
        <is>
          <t>732419411</t>
        </is>
      </c>
      <c r="F152" s="24" t="inlineStr">
        <is>
          <t>732431111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260219_dum.PSV72.010</t>
        </is>
      </c>
      <c r="C153" s="24" t="inlineStr">
        <is>
          <t>PSV-72 ZTI</t>
        </is>
      </c>
      <c r="D153" s="24" t="inlineStr">
        <is>
          <t>Elektrický bojler ~80 l v koupelně 3.NP (nezávislý zdroj pro samostatný byt)</t>
        </is>
      </c>
      <c r="E153" s="24" t="inlineStr">
        <is>
          <t>732429211</t>
        </is>
      </c>
      <c r="F153" s="24" t="inlineStr">
        <is>
          <t>732431111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260219_dum.PSV73.001</t>
        </is>
      </c>
      <c r="C154" s="24" t="inlineStr">
        <is>
          <t>PSV-73 Vytápění</t>
        </is>
      </c>
      <c r="D154" s="24" t="inlineStr">
        <is>
          <t>Sporáková kamna na tuhá paliva ~10 kW s akumulačním zásobníkem TUV — dodávka</t>
        </is>
      </c>
      <c r="E154" s="24" t="inlineStr">
        <is>
          <t>733241011</t>
        </is>
      </c>
      <c r="F154" s="24" t="inlineStr">
        <is>
          <t>733241012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260219_dum.PSV73.002</t>
        </is>
      </c>
      <c r="C155" s="24" t="inlineStr">
        <is>
          <t>PSV-73 Vytápění</t>
        </is>
      </c>
      <c r="D155" s="24" t="inlineStr">
        <is>
          <t>Sporáková kamna — montáž vč. napojení na komín + akumulační zásobník (cca 8 Nh)</t>
        </is>
      </c>
      <c r="E155" s="24" t="inlineStr">
        <is>
          <t>733281011</t>
        </is>
      </c>
      <c r="F155" s="24" t="inlineStr">
        <is>
          <t>733281012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260219_dum.PSV73.003</t>
        </is>
      </c>
      <c r="C156" s="24" t="inlineStr">
        <is>
          <t>PSV-73 Vytápění</t>
        </is>
      </c>
      <c r="D156" s="24" t="inlineStr">
        <is>
          <t>Elektrokotel ~8 kW pro 3.NP samostatný byt — dodávka + montáž + napojení</t>
        </is>
      </c>
      <c r="E156" s="24" t="inlineStr">
        <is>
          <t>733131221</t>
        </is>
      </c>
      <c r="F156" s="24" t="inlineStr">
        <is>
          <t>733131222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260219_dum.PSV73.004</t>
        </is>
      </c>
      <c r="C157" s="24" t="inlineStr">
        <is>
          <t>PSV-73 Vytápění</t>
        </is>
      </c>
      <c r="D157" s="24" t="inlineStr">
        <is>
          <t>Krb na tuhá paliva v 3.NP ~6 kW — dodávka + montáž s napojením na samostatný kom</t>
        </is>
      </c>
      <c r="E157" s="24" t="inlineStr">
        <is>
          <t>733241011</t>
        </is>
      </c>
      <c r="F157" s="24" t="inlineStr">
        <is>
          <t>734221101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260219_dum.PSV73.005</t>
        </is>
      </c>
      <c r="C158" s="24" t="inlineStr">
        <is>
          <t>PSV-73 Vytápění</t>
        </is>
      </c>
      <c r="D158" s="24" t="inlineStr">
        <is>
          <t xml:space="preserve">Multisplit tepelné čerpadlo vzduch-vzduch — 1× venkovní jednotka ~10 kW (silent </t>
        </is>
      </c>
      <c r="E158" s="24" t="inlineStr">
        <is>
          <t>733425211</t>
        </is>
      </c>
      <c r="F158" s="24" t="inlineStr">
        <is>
          <t>733425212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260219_dum.PSV73.006</t>
        </is>
      </c>
      <c r="C159" s="24" t="inlineStr">
        <is>
          <t>PSV-73 Vytápění</t>
        </is>
      </c>
      <c r="D159" s="24" t="inlineStr">
        <is>
          <t>Multisplit TČ — 5× vnitřní jednotka v obytných místnostech (1.NP, 2.NP, 3.NP — c</t>
        </is>
      </c>
      <c r="E159" s="24" t="inlineStr">
        <is>
          <t>733425221</t>
        </is>
      </c>
      <c r="F159" s="24" t="inlineStr">
        <is>
          <t>733425222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260219_dum.PSV73.007</t>
        </is>
      </c>
      <c r="C160" s="24" t="inlineStr">
        <is>
          <t>PSV-73 Vytápění</t>
        </is>
      </c>
      <c r="D160" s="24" t="inlineStr">
        <is>
          <t>Revize stávajícího komínu — kontrola, čištění, vystrojení vložkou nerez DN160 pr</t>
        </is>
      </c>
      <c r="E160" s="24" t="inlineStr">
        <is>
          <t>734262122</t>
        </is>
      </c>
      <c r="F160" s="24" t="inlineStr">
        <is>
          <t>734291111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260219_dum.PSV73.008</t>
        </is>
      </c>
      <c r="C161" s="24" t="inlineStr">
        <is>
          <t>PSV-73 Vytápění</t>
        </is>
      </c>
      <c r="D161" s="24" t="inlineStr">
        <is>
          <t>Rozvody otopné soustavy Cu/PEX k vnitřním jednotkám TČ + radiátorům pro doplňkov</t>
        </is>
      </c>
      <c r="E161" s="24" t="inlineStr">
        <is>
          <t>733111021</t>
        </is>
      </c>
      <c r="F161" s="24" t="inlineStr">
        <is>
          <t>733122031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260219_dum.M21.001</t>
        </is>
      </c>
      <c r="C162" s="24" t="inlineStr">
        <is>
          <t>M-21 ELI silnoproud</t>
        </is>
      </c>
      <c r="D162" s="24" t="inlineStr">
        <is>
          <t>Demontáž stávající elektroinstalace v celém domě (vodiče, rozvaděč, zásuvky, sví</t>
        </is>
      </c>
      <c r="E162" s="24" t="inlineStr">
        <is>
          <t>210010011</t>
        </is>
      </c>
      <c r="F162" s="24" t="inlineStr">
        <is>
          <t>210010021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260219_dum.M21.002</t>
        </is>
      </c>
      <c r="C163" s="24" t="inlineStr">
        <is>
          <t>M-21 ELI silnoproud</t>
        </is>
      </c>
      <c r="D163" s="24" t="inlineStr">
        <is>
          <t xml:space="preserve">Nová pojistková skříň + 3× podružný rozvaděč pro každé patro (1.NP, 2.NP, 3.NP) </t>
        </is>
      </c>
      <c r="E163" s="24" t="inlineStr">
        <is>
          <t>210110023</t>
        </is>
      </c>
      <c r="F163" s="24" t="inlineStr">
        <is>
          <t>210110024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260219_dum.M21.003</t>
        </is>
      </c>
      <c r="C164" s="24" t="inlineStr">
        <is>
          <t>M-21 ELI silnoproud</t>
        </is>
      </c>
      <c r="D164" s="24" t="inlineStr">
        <is>
          <t>Nové silnoproudé rozvody — vodiče CYKY 3×1.5 / 3×2.5 / 5×2.5 / 5×6 + krabice + i</t>
        </is>
      </c>
      <c r="E164" s="24" t="inlineStr">
        <is>
          <t>210800012</t>
        </is>
      </c>
      <c r="F164" s="24" t="inlineStr">
        <is>
          <t>210800013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260219_dum.M21.004</t>
        </is>
      </c>
      <c r="C165" s="24" t="inlineStr">
        <is>
          <t>M-21 ELI silnoproud</t>
        </is>
      </c>
      <c r="D165" s="24" t="inlineStr">
        <is>
          <t>Zásuvky a vypínače dodávka + montáž — ~70 ks (60-80 dle vyjasnění #7)</t>
        </is>
      </c>
      <c r="E165" s="24" t="inlineStr">
        <is>
          <t>210810050</t>
        </is>
      </c>
      <c r="F165" s="24" t="inlineStr">
        <is>
          <t>210810052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260219_dum.M21.005</t>
        </is>
      </c>
      <c r="C166" s="24" t="inlineStr">
        <is>
          <t>M-21 ELI silnoproud</t>
        </is>
      </c>
      <c r="D166" s="24" t="inlineStr">
        <is>
          <t xml:space="preserve">Svítidla dodávka + montáž — ~35 ks (30-40 dle vyjasnění #7) interiér + venkovní </t>
        </is>
      </c>
      <c r="E166" s="24" t="inlineStr">
        <is>
          <t>210820002</t>
        </is>
      </c>
      <c r="F166" s="24" t="inlineStr">
        <is>
          <t>210820012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260219_dum.M21.006</t>
        </is>
      </c>
      <c r="C167" s="24" t="inlineStr">
        <is>
          <t>M-21 ELI silnoproud</t>
        </is>
      </c>
      <c r="D167" s="24" t="inlineStr">
        <is>
          <t>Příprava na osazení FVE — rezerva v rozvaděči (jistič + zásuvka pro střídač) + t</t>
        </is>
      </c>
      <c r="E167" s="24" t="inlineStr">
        <is>
          <t>210800099</t>
        </is>
      </c>
      <c r="F167" s="24" t="inlineStr">
        <is>
          <t>210910011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260219_dum.M21.007</t>
        </is>
      </c>
      <c r="C168" s="24" t="inlineStr">
        <is>
          <t>M-21 ELI silnoproud</t>
        </is>
      </c>
      <c r="D168" s="24" t="inlineStr">
        <is>
          <t>Výchozí revize elektrické instalace dle ČSN 33 2000-6 + revizní zpráva pro kolau</t>
        </is>
      </c>
      <c r="E168" s="24" t="inlineStr">
        <is>
          <t>996019011</t>
        </is>
      </c>
      <c r="F168" s="24" t="inlineStr">
        <is>
          <t>210910021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260219_dum.VRN.001</t>
        </is>
      </c>
      <c r="C169" s="24" t="inlineStr">
        <is>
          <t>VRN — Zařízení staveniště</t>
        </is>
      </c>
      <c r="D169" s="24" t="inlineStr">
        <is>
          <t xml:space="preserve">Zařízení staveniště — buňka kancelář + sociální buňka (WC + šatna), pronájem ~8 </t>
        </is>
      </c>
      <c r="E169" s="24" t="inlineStr">
        <is>
          <t>030011000</t>
        </is>
      </c>
      <c r="F169" s="24" t="inlineStr">
        <is>
          <t>030001000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260219_dum.VRN.002</t>
        </is>
      </c>
      <c r="C170" s="24" t="inlineStr">
        <is>
          <t>VRN — Zařízení staveniště</t>
        </is>
      </c>
      <c r="D170" s="24" t="inlineStr">
        <is>
          <t>Mobilní chemické WC TOI TOI pro pracovníky — pronájem ~8 měsíců</t>
        </is>
      </c>
      <c r="E170" s="24" t="inlineStr">
        <is>
          <t>030013000</t>
        </is>
      </c>
      <c r="F170" s="24" t="inlineStr">
        <is>
          <t>030014000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260219_dum.VRN.003</t>
        </is>
      </c>
      <c r="C171" s="24" t="inlineStr">
        <is>
          <t>VRN — Zařízení staveniště</t>
        </is>
      </c>
      <c r="D171" s="24" t="inlineStr">
        <is>
          <t>El. odběr stavby (zřízení staveništního rozvaděče + měřič) + vodovodní odběr (zř</t>
        </is>
      </c>
      <c r="E171" s="24" t="inlineStr">
        <is>
          <t>031011000</t>
        </is>
      </c>
      <c r="F171" s="24" t="inlineStr">
        <is>
          <t>031021000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260219_dum.VRN.101</t>
        </is>
      </c>
      <c r="C172" s="24" t="inlineStr">
        <is>
          <t>VRN — Doprava + odpad</t>
        </is>
      </c>
      <c r="D172" s="24" t="inlineStr">
        <is>
          <t xml:space="preserve">Kontejnery na suť tříděnou velkoobjemové (beton/cihly, dřevo, kovy, EPS, sádra, </t>
        </is>
      </c>
      <c r="E172" s="24" t="inlineStr">
        <is>
          <t>997013211</t>
        </is>
      </c>
      <c r="F172" s="24" t="inlineStr">
        <is>
          <t>997013501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260219_dum.VRN.201</t>
        </is>
      </c>
      <c r="C173" s="24" t="inlineStr">
        <is>
          <t>VRN — BOZP</t>
        </is>
      </c>
      <c r="D173" s="24" t="inlineStr">
        <is>
          <t>Koordinátor BOZP na staveništi dle zákona 309/2006 Sb. — pro stavbu s více než j</t>
        </is>
      </c>
      <c r="E173" s="24" t="inlineStr">
        <is>
          <t>030091000</t>
        </is>
      </c>
      <c r="F173" s="24" t="inlineStr">
        <is>
          <t>030092000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260219_dum.VRN.301</t>
        </is>
      </c>
      <c r="C174" s="24" t="inlineStr">
        <is>
          <t>VRN — Pojištění + zábory</t>
        </is>
      </c>
      <c r="D174" s="24" t="inlineStr">
        <is>
          <t>Montážní pojištění stavby (CAR) + pojištění odpovědnosti za škodu (zhotovitel) —</t>
        </is>
      </c>
      <c r="E174" s="24" t="inlineStr">
        <is>
          <t>030081000</t>
        </is>
      </c>
      <c r="F174" s="24" t="inlineStr">
        <is>
          <t>030082000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260219_dum.VRN.302</t>
        </is>
      </c>
      <c r="C175" s="24" t="inlineStr">
        <is>
          <t>VRN — Pojištění + zábory</t>
        </is>
      </c>
      <c r="D175" s="24" t="inlineStr">
        <is>
          <t>Krátkodobé zábory ulice Fibichova pro materiál a kontejnery (povolení MU Jáchymo</t>
        </is>
      </c>
      <c r="E175" s="24" t="inlineStr">
        <is>
          <t>030083000</t>
        </is>
      </c>
      <c r="F175" s="24" t="inlineStr">
        <is>
          <t>030084000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260219_dum.VRN.401</t>
        </is>
      </c>
      <c r="C176" s="24" t="inlineStr">
        <is>
          <t>VRN — Průzkumy</t>
        </is>
      </c>
      <c r="D176" s="24" t="inlineStr">
        <is>
          <t>Mykologický průzkum + průzkum výskytu dřevokazného hmyzu stávajícího krovu a dře</t>
        </is>
      </c>
      <c r="E176" s="24" t="inlineStr">
        <is>
          <t>030131000</t>
        </is>
      </c>
      <c r="F176" s="24" t="inlineStr">
        <is>
          <t>030132000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260219_dum.VRN.402</t>
        </is>
      </c>
      <c r="C177" s="24" t="inlineStr">
        <is>
          <t>VRN — Průzkumy</t>
        </is>
      </c>
      <c r="D177" s="24" t="inlineStr">
        <is>
          <t xml:space="preserve">Azbestový průzkum podrobný před demolicí — laboratorní vzorky a posudek (B kap. </t>
        </is>
      </c>
      <c r="E177" s="24" t="inlineStr">
        <is>
          <t>030133000</t>
        </is>
      </c>
      <c r="F177" s="24" t="inlineStr">
        <is>
          <t>030134000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260219_dum.VRN.501</t>
        </is>
      </c>
      <c r="C178" s="24" t="inlineStr">
        <is>
          <t>VRN — Geodet</t>
        </is>
      </c>
      <c r="D178" s="24" t="inlineStr">
        <is>
          <t>Geodetické zaměření před realizací (verifikace polohopis + výškopis) + po dokonč</t>
        </is>
      </c>
      <c r="E178" s="24" t="inlineStr">
        <is>
          <t>030141000</t>
        </is>
      </c>
      <c r="F178" s="24" t="inlineStr">
        <is>
          <t>030142000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260219_dum.VRN.601</t>
        </is>
      </c>
      <c r="C179" s="24" t="inlineStr">
        <is>
          <t>VRN — Dokumentace</t>
        </is>
      </c>
      <c r="D179" s="24" t="inlineStr">
        <is>
          <t>Předávací protokoly + Dokumentace skutečného provedení (DSP) — sestavení, vázání</t>
        </is>
      </c>
      <c r="E179" s="24" t="inlineStr">
        <is>
          <t>030151000</t>
        </is>
      </c>
      <c r="F179" s="24" t="inlineStr">
        <is>
          <t>030152000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260219_dum.VRN.701</t>
        </is>
      </c>
      <c r="C180" s="24" t="inlineStr">
        <is>
          <t>VRN — Revize</t>
        </is>
      </c>
      <c r="D180" s="24" t="inlineStr">
        <is>
          <t>Revize vnějšího hydrantu pro požární zabezpečení (DN min. 80, vzdálenost 100 m d</t>
        </is>
      </c>
      <c r="E180" s="24" t="inlineStr">
        <is>
          <t>030161000</t>
        </is>
      </c>
      <c r="F180" s="24" t="inlineStr">
        <is>
          <t>030162000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260219_dum.VRN.801</t>
        </is>
      </c>
      <c r="C181" s="24" t="inlineStr">
        <is>
          <t>VRN — Kolaudace</t>
        </is>
      </c>
      <c r="D181" s="24" t="inlineStr">
        <is>
          <t>Kolaudační řízení — paušál (správní poplatky + součinnost) dle zákona 183/2006 S</t>
        </is>
      </c>
      <c r="E181" s="24" t="inlineStr">
        <is>
          <t>030171000</t>
        </is>
      </c>
      <c r="F181" s="24" t="inlineStr">
        <is>
          <t>030172000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260219_dum.VRN.102</t>
        </is>
      </c>
      <c r="C182" s="24" t="inlineStr">
        <is>
          <t>VRN — Doprava + odpad</t>
        </is>
      </c>
      <c r="D182" s="24" t="inlineStr">
        <is>
          <t>Doprava materiálu na stavbu (centrální koordinace) — paušál ~2-3 % z PN materiál</t>
        </is>
      </c>
      <c r="E182" s="24" t="inlineStr">
        <is>
          <t>031031000</t>
        </is>
      </c>
      <c r="F182" s="24" t="inlineStr">
        <is>
          <t>031032000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260219_dum.VRN.103</t>
        </is>
      </c>
      <c r="C183" s="24" t="inlineStr">
        <is>
          <t>VRN — Doprava + odpad</t>
        </is>
      </c>
      <c r="D183" s="24" t="inlineStr">
        <is>
          <t xml:space="preserve">Likvidace stavební suti dle vyhl. 8/2021 Sb. — skládkovné + recyklace + třídění </t>
        </is>
      </c>
      <c r="E183" s="24" t="inlineStr">
        <is>
          <t>997013211</t>
        </is>
      </c>
      <c r="F183" s="24" t="inlineStr">
        <is>
          <t>997013501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260217_sklad.VRN.001</t>
        </is>
      </c>
      <c r="C184" s="24" t="inlineStr">
        <is>
          <t>VRN — Doprava + odpad</t>
        </is>
      </c>
      <c r="D184" s="24" t="inlineStr">
        <is>
          <t>Doprava prefa H-BLOK Standard z výrobny Herkul (Obrnice) auto s hydraulickou ruk</t>
        </is>
      </c>
      <c r="E184" s="24" t="inlineStr">
        <is>
          <t>031032000</t>
        </is>
      </c>
      <c r="F184" s="24" t="inlineStr">
        <is>
          <t>031031000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260217_sklad.VRN.002</t>
        </is>
      </c>
      <c r="C185" s="24" t="inlineStr">
        <is>
          <t>VRN — Doprava + odpad</t>
        </is>
      </c>
      <c r="D185" s="24" t="inlineStr">
        <is>
          <t>Likvidace odpadu sklad — kameny ze zídek + výkop + dřevo (drobné množství)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260217_sklad.VRN.101</t>
        </is>
      </c>
      <c r="C186" s="24" t="inlineStr">
        <is>
          <t>VRN — Geodet</t>
        </is>
      </c>
      <c r="D186" s="24" t="inlineStr">
        <is>
          <t>Geodetické vytýčení sklad+parking+schodiště ze situace (před realizací)</t>
        </is>
      </c>
      <c r="E186" s="24" t="inlineStr">
        <is>
          <t>030141000</t>
        </is>
      </c>
      <c r="F186" s="24" t="inlineStr">
        <is>
          <t>030142000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260217_sklad.VRN.201</t>
        </is>
      </c>
      <c r="C187" s="24" t="inlineStr">
        <is>
          <t>VRN — Společné</t>
        </is>
      </c>
      <c r="D187" s="24" t="inlineStr">
        <is>
          <t>Podíl na obecných VRN domu (buňky, BOZP, pojištění, kolaudace) — paušál ~10 % ná</t>
        </is>
      </c>
      <c r="E187" s="24" t="inlineStr">
        <is>
          <t>030001000</t>
        </is>
      </c>
      <c r="F187" s="24" t="inlineStr">
        <is>
          <t>030002000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260219_dum.HSV6.013</t>
        </is>
      </c>
      <c r="C188" s="24" t="inlineStr">
        <is>
          <t>HSV-6 Bourací práce</t>
        </is>
      </c>
      <c r="D188" s="24" t="inlineStr">
        <is>
          <t>Demontáž stávajících dřevěných oken vč. rámů a parapetů — 16 ks (návrh všechna o</t>
        </is>
      </c>
      <c r="E188" s="24" t="inlineStr">
        <is>
          <t>978013181</t>
        </is>
      </c>
      <c r="F188" s="24" t="inlineStr">
        <is>
          <t>968071116, 962081131</t>
        </is>
      </c>
      <c r="G188" s="24" t="inlineStr"/>
      <c r="H188" s="24" t="inlineStr">
        <is>
          <t>matched_websearch_verified</t>
        </is>
      </c>
      <c r="I188" s="35" t="n">
        <v>0.85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260219_dum.HSV6.014</t>
        </is>
      </c>
      <c r="C189" s="24" t="inlineStr">
        <is>
          <t>HSV-6 Bourací práce</t>
        </is>
      </c>
      <c r="D189" s="24" t="inlineStr">
        <is>
          <t>Demontáž stávajících vstupních dveří + rámů — 2 ks (1× ulice Fibichova + 1× zahr</t>
        </is>
      </c>
      <c r="E189" s="24" t="inlineStr">
        <is>
          <t>978013181</t>
        </is>
      </c>
      <c r="F189" s="24" t="inlineStr">
        <is>
          <t>968071116</t>
        </is>
      </c>
      <c r="G189" s="24" t="inlineStr"/>
      <c r="H189" s="24" t="inlineStr">
        <is>
          <t>matched_websearch_verified</t>
        </is>
      </c>
      <c r="I189" s="35" t="n">
        <v>0.8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260219_dum.HSV6.015</t>
        </is>
      </c>
      <c r="C190" s="24" t="inlineStr">
        <is>
          <t>HSV-6 Bourací práce</t>
        </is>
      </c>
      <c r="D190" s="24" t="inlineStr">
        <is>
          <t xml:space="preserve">Demontáž stávajících vnitřních dveří vč. ocelových/dřevěných zárubní — odhad 15 </t>
        </is>
      </c>
      <c r="E190" s="24" t="inlineStr">
        <is>
          <t>968072456</t>
        </is>
      </c>
      <c r="F190" s="24" t="inlineStr">
        <is>
          <t>978016121, 968073111</t>
        </is>
      </c>
      <c r="G190" s="24" t="inlineStr"/>
      <c r="H190" s="24" t="inlineStr">
        <is>
          <t>needs_production_lookup</t>
        </is>
      </c>
      <c r="I190" s="35" t="n">
        <v>0.65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260219_dum.PSV76.013</t>
        </is>
      </c>
      <c r="C191" s="24" t="inlineStr">
        <is>
          <t>PSV-76 Výplně otvorů</t>
        </is>
      </c>
      <c r="D191" s="24" t="inlineStr">
        <is>
          <t>Požárně odolné jednokřídlové dveře EI 30 DP3 na vrcholu schodiště mezi 1.PP a 1.</t>
        </is>
      </c>
      <c r="E191" s="24" t="inlineStr">
        <is>
          <t>766694112</t>
        </is>
      </c>
      <c r="F191" s="24" t="inlineStr">
        <is>
          <t>766694111, 766694113</t>
        </is>
      </c>
      <c r="G191" s="24" t="inlineStr"/>
      <c r="H191" s="24" t="inlineStr">
        <is>
          <t>needs_production_lookup</t>
        </is>
      </c>
      <c r="I191" s="35" t="n">
        <v>0.7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260219_dum.VRN.020</t>
        </is>
      </c>
      <c r="C192" s="24" t="inlineStr">
        <is>
          <t>VRN — Zařízení staveniště</t>
        </is>
      </c>
      <c r="D192" s="24" t="inlineStr">
        <is>
          <t>Voda staveniště — napojení na stávající vodovodní přípojku, dočasné rozvody na s</t>
        </is>
      </c>
      <c r="E192" s="24" t="inlineStr">
        <is>
          <t>012103101</t>
        </is>
      </c>
      <c r="F192" s="24" t="inlineStr">
        <is>
          <t>012103102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260219_dum.PSV76.014</t>
        </is>
      </c>
      <c r="C193" s="24" t="inlineStr">
        <is>
          <t>PSV-76 Výplně otvorů</t>
        </is>
      </c>
      <c r="D193" s="24" t="inlineStr">
        <is>
          <t>Oplechování venkovních parapetů Pzn plech lakovaný 250 mm × tl. 0.55 mm, vč. oka</t>
        </is>
      </c>
      <c r="E193" s="24" t="inlineStr">
        <is>
          <t>764811112</t>
        </is>
      </c>
      <c r="F193" s="24" t="inlineStr">
        <is>
          <t>764811111, 764812114</t>
        </is>
      </c>
      <c r="G193" s="24" t="inlineStr"/>
      <c r="H193" s="24" t="inlineStr">
        <is>
          <t>needs_production_lookup</t>
        </is>
      </c>
      <c r="I193" s="35" t="n">
        <v>0.75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260219_dum.PSV72.004.A</t>
        </is>
      </c>
      <c r="C194" s="24" t="inlineStr">
        <is>
          <t>PSV-72 ZTI</t>
        </is>
      </c>
      <c r="D194" s="24" t="inlineStr">
        <is>
          <t>Vana koupelnová obdélníková 170×70 cm — koupelna 1.05 1.NP</t>
        </is>
      </c>
      <c r="E194" s="24" t="inlineStr">
        <is>
          <t>725211101</t>
        </is>
      </c>
      <c r="F194" s="24" t="inlineStr"/>
      <c r="G194" s="24" t="inlineStr"/>
      <c r="H194" s="24" t="inlineStr">
        <is>
          <t>needs_production_lookup</t>
        </is>
      </c>
      <c r="I194" s="35" t="n">
        <v>0.7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260219_dum.PSV72.004.B</t>
        </is>
      </c>
      <c r="C195" s="24" t="inlineStr">
        <is>
          <t>PSV-72 ZTI</t>
        </is>
      </c>
      <c r="D195" s="24" t="inlineStr">
        <is>
          <t>Umyvadlo bílé keramické se sloupcem 60 cm — koupelna 1.05 1.NP</t>
        </is>
      </c>
      <c r="E195" s="24" t="inlineStr">
        <is>
          <t>725311111</t>
        </is>
      </c>
      <c r="F195" s="24" t="inlineStr"/>
      <c r="G195" s="24" t="inlineStr"/>
      <c r="H195" s="24" t="inlineStr">
        <is>
          <t>needs_production_lookup</t>
        </is>
      </c>
      <c r="I195" s="35" t="n">
        <v>0.7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260219_dum.PSV72.004.C</t>
        </is>
      </c>
      <c r="C196" s="24" t="inlineStr">
        <is>
          <t>PSV-72 ZTI</t>
        </is>
      </c>
      <c r="D196" s="24" t="inlineStr">
        <is>
          <t>WC kombi keramické bílé — koupelna 1.05 1.NP</t>
        </is>
      </c>
      <c r="E196" s="24" t="inlineStr">
        <is>
          <t>725111101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260219_dum.PSV72.005.A</t>
        </is>
      </c>
      <c r="C197" s="24" t="inlineStr">
        <is>
          <t>PSV-72 ZTI</t>
        </is>
      </c>
      <c r="D197" s="24" t="inlineStr">
        <is>
          <t>Umyvadlo bílé keramické se sloupcem 60 cm — koupelna 2.03 2.NP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260219_dum.PSV72.005.B</t>
        </is>
      </c>
      <c r="C198" s="24" t="inlineStr">
        <is>
          <t>PSV-72 ZTI</t>
        </is>
      </c>
      <c r="D198" s="24" t="inlineStr">
        <is>
          <t>Sprchový kout 90×90 cm vč. vaničky + skleněných dveří — koupelna 2.03 2.NP</t>
        </is>
      </c>
      <c r="E198" s="24" t="inlineStr">
        <is>
          <t>725221201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260219_dum.PSV72.005.C</t>
        </is>
      </c>
      <c r="C199" s="24" t="inlineStr">
        <is>
          <t>PSV-72 ZTI</t>
        </is>
      </c>
      <c r="D199" s="24" t="inlineStr">
        <is>
          <t>WC kombi keramické bílé — koupelna 2.03 2.NP</t>
        </is>
      </c>
      <c r="E199" s="24" t="inlineStr">
        <is>
          <t>725111101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260219_dum.PSV72.006.A</t>
        </is>
      </c>
      <c r="C200" s="24" t="inlineStr">
        <is>
          <t>PSV-72 ZTI</t>
        </is>
      </c>
      <c r="D200" s="24" t="inlineStr">
        <is>
          <t>WC kombi keramické bílé — koupelna 3.04 3.NP</t>
        </is>
      </c>
      <c r="E200" s="24" t="inlineStr">
        <is>
          <t>725111101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260219_dum.PSV72.006.B</t>
        </is>
      </c>
      <c r="C201" s="24" t="inlineStr">
        <is>
          <t>PSV-72 ZTI</t>
        </is>
      </c>
      <c r="D201" s="24" t="inlineStr">
        <is>
          <t>Umyvadlo bílé keramické se sloupcem 60 cm — koupelna 3.04 3.NP</t>
        </is>
      </c>
      <c r="E201" s="24" t="inlineStr">
        <is>
          <t>725311111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260219_dum.PSV72.006.C</t>
        </is>
      </c>
      <c r="C202" s="24" t="inlineStr">
        <is>
          <t>PSV-72 ZTI</t>
        </is>
      </c>
      <c r="D202" s="24" t="inlineStr">
        <is>
          <t>Sprchový kout 90×90 cm vč. vaničky + skleněných dveří — koupelna 3.04 3.NP</t>
        </is>
      </c>
      <c r="E202" s="24" t="inlineStr">
        <is>
          <t>725221201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260219_dum.PSV78.012.1_PP</t>
        </is>
      </c>
      <c r="C203" s="24" t="inlineStr">
        <is>
          <t>PSV-78 Povrchové úpravy</t>
        </is>
      </c>
      <c r="D203" s="24" t="inlineStr">
        <is>
          <t>Interiérová výmalba 1.PP — sklep stěny + klenba bílá vápenná 2×</t>
        </is>
      </c>
      <c r="E203" s="24" t="inlineStr">
        <is>
          <t>784121011</t>
        </is>
      </c>
      <c r="F203" s="24" t="inlineStr">
        <is>
          <t>784181101</t>
        </is>
      </c>
      <c r="G203" s="24" t="inlineStr"/>
      <c r="H203" s="24" t="inlineStr">
        <is>
          <t>needs_production_lookup</t>
        </is>
      </c>
      <c r="I203" s="35" t="n">
        <v>0.65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260219_dum.PSV78.012.1_NP</t>
        </is>
      </c>
      <c r="C204" s="24" t="inlineStr">
        <is>
          <t>PSV-78 Povrchové úpravy</t>
        </is>
      </c>
      <c r="D204" s="24" t="inlineStr">
        <is>
          <t>Interiérová výmalba 1.NP — stěny + SDK podhled − obklad koupelny 1.05 (1.6 m výš</t>
        </is>
      </c>
      <c r="E204" s="24" t="inlineStr">
        <is>
          <t>784121011</t>
        </is>
      </c>
      <c r="F204" s="24" t="inlineStr">
        <is>
          <t>784181101</t>
        </is>
      </c>
      <c r="G204" s="24" t="inlineStr"/>
      <c r="H204" s="24" t="inlineStr">
        <is>
          <t>needs_production_lookup</t>
        </is>
      </c>
      <c r="I204" s="35" t="n">
        <v>0.65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260219_dum.PSV78.012.2_NP</t>
        </is>
      </c>
      <c r="C205" s="24" t="inlineStr">
        <is>
          <t>PSV-78 Povrchové úpravy</t>
        </is>
      </c>
      <c r="D205" s="24" t="inlineStr">
        <is>
          <t>Interiérová výmalba 2.NP — stěny + SDK podhled − obklad koupelny 2.03 (2.45 m vý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260219_dum.PSV78.012.3_NP</t>
        </is>
      </c>
      <c r="C206" s="24" t="inlineStr">
        <is>
          <t>PSV-78 Povrchové úpravy</t>
        </is>
      </c>
      <c r="D206" s="24" t="inlineStr">
        <is>
          <t>Interiérová výmalba 3.NP — stěny + SDK podhled − obklad koupelny 3.04 (2.7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260219_dum.HSV6.016</t>
        </is>
      </c>
      <c r="C207" s="24" t="inlineStr">
        <is>
          <t>HSV-6 Bourací práce</t>
        </is>
      </c>
      <c r="D207" s="24" t="inlineStr">
        <is>
          <t>Bourání vrchní části stávajícího komínu v posledním podlaží (cihelné zdivo, ručn</t>
        </is>
      </c>
      <c r="E207" s="24" t="inlineStr">
        <is>
          <t>962024141</t>
        </is>
      </c>
      <c r="F207" s="24" t="inlineStr">
        <is>
          <t>962024151, 965042141</t>
        </is>
      </c>
      <c r="G207" s="24" t="inlineStr"/>
      <c r="H207" s="24" t="inlineStr">
        <is>
          <t>family_verified_leaf_needs_production_lookup</t>
        </is>
      </c>
      <c r="I207" s="35" t="n">
        <v>0.8</v>
      </c>
      <c r="J207" s="31" t="inlineStr">
        <is>
          <t>FAMILY_VERIFIED</t>
        </is>
      </c>
      <c r="K207" s="24" t="inlineStr">
        <is>
          <t>https://www.cs-urs.cz/podminky/cu202/801-3-Budovy-a-haly---bourani-konstrukci-(2020-II)/19/</t>
        </is>
      </c>
      <c r="L207" s="24" t="inlineStr"/>
      <c r="M207" s="24" t="inlineStr"/>
      <c r="N207" s="24" t="inlineStr"/>
    </row>
    <row r="208">
      <c r="B208" s="24" t="inlineStr">
        <is>
          <t>260219_dum.HSV6.017</t>
        </is>
      </c>
      <c r="C208" s="24" t="inlineStr">
        <is>
          <t>HSV-6 Bourací práce</t>
        </is>
      </c>
      <c r="D208" s="24" t="inlineStr">
        <is>
          <t>Bourání stávajících opěrných zídek a venkovního schodiště v zahradě/dvoře — část</t>
        </is>
      </c>
      <c r="E208" s="24" t="inlineStr">
        <is>
          <t>961044111</t>
        </is>
      </c>
      <c r="F208" s="24" t="inlineStr">
        <is>
          <t>962031321, 965042141</t>
        </is>
      </c>
      <c r="G208" s="24" t="inlineStr"/>
      <c r="H208" s="24" t="inlineStr">
        <is>
          <t>family_verified_leaf_needs_production_lookup</t>
        </is>
      </c>
      <c r="I208" s="35" t="n">
        <v>0.8</v>
      </c>
      <c r="J208" s="31" t="inlineStr">
        <is>
          <t>FAMILY_VERIFIED</t>
        </is>
      </c>
      <c r="K208" s="24" t="inlineStr">
        <is>
          <t>https://www.cs-urs.cz/podminky/cu202/801-3-Budovy-a-haly---bourani-konstrukci-(2020-II)/19/</t>
        </is>
      </c>
      <c r="L208" s="24" t="inlineStr"/>
      <c r="M208" s="24" t="inlineStr"/>
      <c r="N208" s="24" t="inlineStr"/>
    </row>
    <row r="209">
      <c r="B209" s="24" t="inlineStr">
        <is>
          <t>260219_dum.HSV1.015</t>
        </is>
      </c>
      <c r="C209" s="24" t="inlineStr">
        <is>
          <t>HSV-1 Zemní práce</t>
        </is>
      </c>
      <c r="D209" s="24" t="inlineStr">
        <is>
          <t>Drenáž za opěrnou stěnou (bílou vanou) — drenážní trubka DN100 vlnitá perforovan</t>
        </is>
      </c>
      <c r="E209" s="24" t="inlineStr">
        <is>
          <t>877315111</t>
        </is>
      </c>
      <c r="F209" s="24" t="inlineStr">
        <is>
          <t>873311111, 899711111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https://www.cs-urs.cz/cenova-soustava-urs/</t>
        </is>
      </c>
      <c r="L209" s="24" t="inlineStr"/>
      <c r="M209" s="24" t="inlineStr"/>
      <c r="N209" s="24" t="inlineStr"/>
    </row>
    <row r="210">
      <c r="B210" s="24" t="inlineStr">
        <is>
          <t>260217_sklad.HSV5.001</t>
        </is>
      </c>
      <c r="C210" s="24" t="inlineStr">
        <is>
          <t>HSV-5 Komunikace + schodiště</t>
        </is>
      </c>
      <c r="D210" s="24" t="inlineStr">
        <is>
          <t>Schodiště S05 — prefabrikované betonové stupně (2× 9 stupňů 179.5×250 + mezipode</t>
        </is>
      </c>
      <c r="E210" s="24" t="inlineStr">
        <is>
          <t>121301101</t>
        </is>
      </c>
      <c r="F210" s="24" t="inlineStr">
        <is>
          <t>965042141, 961044111</t>
        </is>
      </c>
      <c r="G210" s="24" t="inlineStr"/>
      <c r="H210" s="24" t="inlineStr">
        <is>
          <t>needs_production_lookup</t>
        </is>
      </c>
      <c r="I210" s="35" t="n">
        <v>0.6</v>
      </c>
      <c r="J210" s="32" t="inlineStr"/>
      <c r="K210" s="24" t="inlineStr"/>
      <c r="L210" s="24" t="inlineStr"/>
      <c r="M210" s="24" t="inlineStr"/>
      <c r="N210" s="24" t="inlineStr"/>
    </row>
    <row r="211">
      <c r="B211" s="24" t="inlineStr">
        <is>
          <t>260219_dum.VRN.PM01</t>
        </is>
      </c>
      <c r="C211" s="24" t="inlineStr">
        <is>
          <t>VRN — Přesun hmot</t>
        </is>
      </c>
      <c r="D211" s="24" t="inlineStr">
        <is>
          <t>Přesun hmot pro budovu — vnitrostaveništní vertikální + horizontální doprava mat</t>
        </is>
      </c>
      <c r="E211" s="24" t="inlineStr"/>
      <c r="F211" s="24" t="inlineStr"/>
      <c r="G211" s="24" t="inlineStr"/>
      <c r="H211" s="24" t="inlineStr">
        <is>
          <t>needs_production_lookup</t>
        </is>
      </c>
      <c r="I211" s="35" t="n">
        <v>0</v>
      </c>
      <c r="J211" s="33" t="inlineStr"/>
      <c r="K211" s="24" t="inlineStr"/>
      <c r="L211" s="24" t="inlineStr"/>
      <c r="M211" s="24" t="inlineStr"/>
      <c r="N211" s="24" t="inlineStr"/>
    </row>
    <row r="212">
      <c r="B212" s="24" t="inlineStr">
        <is>
          <t>260219_dum.VRN.PM02</t>
        </is>
      </c>
      <c r="C212" s="24" t="inlineStr">
        <is>
          <t>VRN — Lešení</t>
        </is>
      </c>
      <c r="D212" s="24" t="inlineStr">
        <is>
          <t>Fasádní lešení trubkové/rámové vč. montáže + pronájmu + demontáže — pro proveden</t>
        </is>
      </c>
      <c r="E212" s="24" t="inlineStr"/>
      <c r="F212" s="24" t="inlineStr"/>
      <c r="G212" s="24" t="inlineStr"/>
      <c r="H212" s="24" t="inlineStr">
        <is>
          <t>needs_production_lookup</t>
        </is>
      </c>
      <c r="I212" s="35" t="n">
        <v>0</v>
      </c>
      <c r="J212" s="33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260219_dum.HSV1.016</t>
        </is>
      </c>
      <c r="C213" s="24" t="inlineStr">
        <is>
          <t>HSV-1 Zemní práce</t>
        </is>
      </c>
      <c r="D213" s="24" t="inlineStr">
        <is>
          <t>Venkovní schody na terénu z betonových dílců do betonového lože — rameno 1: 8×17</t>
        </is>
      </c>
      <c r="E213" s="24" t="inlineStr"/>
      <c r="F213" s="24" t="inlineStr"/>
      <c r="G213" s="24" t="inlineStr"/>
      <c r="H213" s="24" t="inlineStr">
        <is>
          <t>needs_lookup</t>
        </is>
      </c>
      <c r="I213" s="35" t="n">
        <v>0</v>
      </c>
      <c r="J213" s="33" t="inlineStr"/>
      <c r="K213" s="24" t="inlineStr"/>
      <c r="L213" s="24" t="inlineStr"/>
      <c r="M213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3" s="24" t="inlineStr"/>
    </row>
    <row r="214">
      <c r="B214" s="24" t="inlineStr">
        <is>
          <t>260219_dum.HSV5.017</t>
        </is>
      </c>
      <c r="C214" s="24" t="inlineStr">
        <is>
          <t>HSV-5 Krov + střecha</t>
        </is>
      </c>
      <c r="D214" s="24" t="inlineStr">
        <is>
          <t>Montáž svorníků / šroubů tesařských spojů krovu délky přes 150 do 300 mm — spoje</t>
        </is>
      </c>
      <c r="E214" s="24" t="inlineStr">
        <is>
          <t>762085112</t>
        </is>
      </c>
      <c r="F214" s="24" t="inlineStr"/>
      <c r="G214" s="24" t="inlineStr">
        <is>
          <t>762085</t>
        </is>
      </c>
      <c r="H214" s="24" t="inlineStr">
        <is>
          <t>matched_catalog</t>
        </is>
      </c>
      <c r="I214" s="35" t="n">
        <v>0.85</v>
      </c>
      <c r="J214" s="32" t="inlineStr"/>
      <c r="K214" s="24" t="inlineStr"/>
      <c r="L214" s="24" t="inlineStr"/>
      <c r="M214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4" s="24" t="inlineStr"/>
    </row>
    <row r="215">
      <c r="B215" s="24" t="inlineStr">
        <is>
          <t>260219_dum.HSV4.015</t>
        </is>
      </c>
      <c r="C215" s="24" t="inlineStr">
        <is>
          <t>HSV-4 Vodorovné</t>
        </is>
      </c>
      <c r="D215" s="24" t="inlineStr">
        <is>
          <t>Desky kročejové izolace (Isover T-P) tl. 30 mm — trámový strop 1.NP/2.NP</t>
        </is>
      </c>
      <c r="E215" s="24" t="inlineStr">
        <is>
          <t>713191</t>
        </is>
      </c>
      <c r="F215" s="24" t="inlineStr"/>
      <c r="G215" s="24" t="inlineStr"/>
      <c r="H215" s="24" t="inlineStr">
        <is>
          <t>family_only</t>
        </is>
      </c>
      <c r="I215" s="35" t="n">
        <v>0.6</v>
      </c>
      <c r="J215" s="32" t="inlineStr"/>
      <c r="K215" s="24" t="inlineStr"/>
      <c r="L215" s="24" t="inlineStr"/>
      <c r="M215" s="24" t="inlineStr">
        <is>
          <t>ÚRS 713 izolace tepelné/akustické podlah — leaf needs production lookup</t>
        </is>
      </c>
      <c r="N215" s="24" t="inlineStr"/>
    </row>
    <row r="216">
      <c r="B216" s="24" t="inlineStr">
        <is>
          <t>260219_dum.HSV4.016</t>
        </is>
      </c>
      <c r="C216" s="24" t="inlineStr">
        <is>
          <t>HSV-4 Vodorovné</t>
        </is>
      </c>
      <c r="D216" s="24" t="inlineStr">
        <is>
          <t>Separační geotextilie pod suchý podsyp — trámový strop 1.NP/2.NP</t>
        </is>
      </c>
      <c r="E216" s="24" t="inlineStr"/>
      <c r="F216" s="24" t="inlineStr"/>
      <c r="G216" s="24" t="inlineStr"/>
      <c r="H216" s="24" t="inlineStr">
        <is>
          <t>needs_production_lookup</t>
        </is>
      </c>
      <c r="I216" s="35" t="n">
        <v>0</v>
      </c>
      <c r="J216" s="33" t="inlineStr"/>
      <c r="K216" s="24" t="inlineStr"/>
      <c r="L216" s="24" t="inlineStr"/>
      <c r="M216" s="24" t="inlineStr">
        <is>
          <t>ÚRS 711 geotextilie separační — leaf needs lookup</t>
        </is>
      </c>
      <c r="N216" s="24" t="inlineStr"/>
    </row>
    <row r="217">
      <c r="B217" s="24" t="inlineStr">
        <is>
          <t>260219_dum.HSV4.017</t>
        </is>
      </c>
      <c r="C217" s="24" t="inlineStr">
        <is>
          <t>HSV-4 Vodorovné</t>
        </is>
      </c>
      <c r="D217" s="24" t="inlineStr">
        <is>
          <t>Tepelná/akustická izolace minerální vata výplň mezi ocelové nosníky stropu 2.NP/</t>
        </is>
      </c>
      <c r="E217" s="24" t="inlineStr">
        <is>
          <t>713121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713121 izolace tepelné — leaf needs lookup</t>
        </is>
      </c>
      <c r="N217" s="24" t="inlineStr"/>
    </row>
    <row r="218">
      <c r="B218" s="24" t="inlineStr">
        <is>
          <t>260219_dum.HSV4.018</t>
        </is>
      </c>
      <c r="C218" s="24" t="inlineStr">
        <is>
          <t>HSV-4 Vodorovné</t>
        </is>
      </c>
      <c r="D218" s="24" t="inlineStr">
        <is>
          <t>Roznášecí sádrovláknité dílce Fermacell 2E22 tl. 25 mm — suchá skladba nad cihel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776/713 suchá skladba — leaf po potvrzení plochy</t>
        </is>
      </c>
      <c r="N218" s="24" t="inlineStr"/>
    </row>
    <row r="219">
      <c r="B219" s="24" t="inlineStr">
        <is>
          <t>260219_dum.HSV4.019</t>
        </is>
      </c>
      <c r="C219" s="24" t="inlineStr">
        <is>
          <t>HSV-4 Vodorovné</t>
        </is>
      </c>
      <c r="D219" s="24" t="inlineStr">
        <is>
          <t>Desky kročejové izolace (Isover T-P) tl. 30 mm — suchá skladba nad klembou S08</t>
        </is>
      </c>
      <c r="E219" s="24" t="inlineStr">
        <is>
          <t>713191</t>
        </is>
      </c>
      <c r="F219" s="24" t="inlineStr"/>
      <c r="G219" s="24" t="inlineStr"/>
      <c r="H219" s="24" t="inlineStr">
        <is>
          <t>needs_production_lookup</t>
        </is>
      </c>
      <c r="I219" s="35" t="n">
        <v>0.6</v>
      </c>
      <c r="J219" s="32" t="inlineStr"/>
      <c r="K219" s="24" t="inlineStr"/>
      <c r="L219" s="24" t="inlineStr"/>
      <c r="M219" s="24" t="inlineStr"/>
      <c r="N219" s="24" t="inlineStr"/>
    </row>
    <row r="220">
      <c r="B220" s="24" t="inlineStr">
        <is>
          <t>260219_dum.HSV4.020</t>
        </is>
      </c>
      <c r="C220" s="24" t="inlineStr">
        <is>
          <t>HSV-4 Vodorovné</t>
        </is>
      </c>
      <c r="D220" s="24" t="inlineStr">
        <is>
          <t xml:space="preserve">Vyrovnávací suchý podsyp keramzit/liapor + dřevěný rošt tl. 50 mm — nad klembou 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/>
      <c r="N220" s="24" t="inlineStr"/>
    </row>
    <row r="221">
      <c r="B221" s="24" t="inlineStr">
        <is>
          <t>260219_dum.HSV4.021</t>
        </is>
      </c>
      <c r="C221" s="24" t="inlineStr">
        <is>
          <t>HSV-4 Vodorovné</t>
        </is>
      </c>
      <c r="D221" s="24" t="inlineStr">
        <is>
          <t>Separační vrstva pod suchý podsyp — nad cihelnou klembou S08</t>
        </is>
      </c>
      <c r="E221" s="24" t="inlineStr"/>
      <c r="F221" s="24" t="inlineStr"/>
      <c r="G221" s="24" t="inlineStr"/>
      <c r="H221" s="24" t="inlineStr">
        <is>
          <t>needs_production_lookup</t>
        </is>
      </c>
      <c r="I221" s="35" t="n">
        <v>0</v>
      </c>
      <c r="J221" s="33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260219_dum.HSV7.007</t>
        </is>
      </c>
      <c r="C222" s="24" t="inlineStr">
        <is>
          <t>HSV-7 Fasáda + zateplení</t>
        </is>
      </c>
      <c r="D222" s="24" t="inlineStr">
        <is>
          <t>Sanační zateplení soklu — sanační izolační deska Styrcon 200 + lepící tmel (Leps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>
        <is>
          <t>ÚRS 711/783 sanační deska — leaf needs lookup</t>
        </is>
      </c>
      <c r="N222" s="24" t="inlineStr"/>
    </row>
    <row r="223">
      <c r="B223" s="24" t="inlineStr">
        <is>
          <t>260219_dum.HSV7.008</t>
        </is>
      </c>
      <c r="C223" s="24" t="inlineStr">
        <is>
          <t>HSV-7 Fasáda + zateplení</t>
        </is>
      </c>
      <c r="D223" s="24" t="inlineStr">
        <is>
          <t>Drenážní vrstva — nopová folie tl. 20 mm na suterénní stěnu pod úrovní terénu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>
        <is>
          <t>ÚRS 711 nopová folie drenážní — leaf needs lookup</t>
        </is>
      </c>
      <c r="N223" s="24" t="inlineStr"/>
    </row>
    <row r="224">
      <c r="B224" s="24" t="inlineStr">
        <is>
          <t>260219_dum.HSV7.009</t>
        </is>
      </c>
      <c r="C224" s="24" t="inlineStr">
        <is>
          <t>HSV-7 Fasáda + zateplení</t>
        </is>
      </c>
      <c r="D224" s="24" t="inlineStr">
        <is>
          <t xml:space="preserve">Provětrávaná mezera s kotevním roštem 40 mm + keramický obklad 20 mm — sokl nad 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781 obklady keramické + rošt — leaf needs lookup</t>
        </is>
      </c>
      <c r="N224" s="24" t="inlineStr"/>
    </row>
    <row r="225">
      <c r="B225" s="24" t="inlineStr">
        <is>
          <t>260219_dum.HSV5.018</t>
        </is>
      </c>
      <c r="C225" s="24" t="inlineStr">
        <is>
          <t>HSV-5 Krov + střecha</t>
        </is>
      </c>
      <c r="D225" s="24" t="inlineStr">
        <is>
          <t xml:space="preserve">Pojistná hydroizolační folie pod hliníkovou falcovanou krytinu (nad celoplošným 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712 povlakové krytiny / pojistná fólie — leaf needs lookup</t>
        </is>
      </c>
      <c r="N225" s="24" t="inlineStr"/>
    </row>
    <row r="226">
      <c r="B226" s="24" t="inlineStr">
        <is>
          <t>260219_dum.HSV6.018</t>
        </is>
      </c>
      <c r="C226" s="24" t="inlineStr">
        <is>
          <t>HSV-6 Bourací práce</t>
        </is>
      </c>
      <c r="D226" s="24" t="inlineStr">
        <is>
          <t xml:space="preserve">Demontáž stávajícího vnějšího keramického obkladu suterénní stěny (sokl) tl. 20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965/978 bourání obkladů — leaf needs lookup</t>
        </is>
      </c>
      <c r="N226" s="24" t="inlineStr"/>
    </row>
    <row r="227">
      <c r="B227" s="24" t="inlineStr">
        <is>
          <t>260217_sklad.HSV5.002</t>
        </is>
      </c>
      <c r="C227" s="24" t="inlineStr">
        <is>
          <t>HSV-5 Komunikace + vjezd</t>
        </is>
      </c>
      <c r="D227" s="24" t="inlineStr">
        <is>
          <t>Vjezd Dvořákova (POZN 01) — zpevněná plocha z hladké betonové dlažby, napojení n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/>
      <c r="N227" s="24" t="inlineStr"/>
    </row>
    <row r="228">
      <c r="B228" s="24" t="inlineStr">
        <is>
          <t>260217_sklad.PSV76.002</t>
        </is>
      </c>
      <c r="C228" s="24" t="inlineStr">
        <is>
          <t>PSV-76 Zámečnictví</t>
        </is>
      </c>
      <c r="D228" s="24" t="inlineStr">
        <is>
          <t>Vjezdová brána na pozemku investora (ocelová) — dodávka + montáž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/>
      <c r="N228" s="24" t="inlineStr"/>
    </row>
    <row r="229">
      <c r="B229" s="24" t="inlineStr">
        <is>
          <t>260217_sklad.VRN.003</t>
        </is>
      </c>
      <c r="C229" s="24" t="inlineStr">
        <is>
          <t>VRN — Geodet / PČR</t>
        </is>
      </c>
      <c r="D229" s="24" t="inlineStr">
        <is>
          <t>Vytyčení + kontrola rozhledových trojúhelníků (Vn=40 km/h, Dz=25 m) dle požadavk</t>
        </is>
      </c>
      <c r="E229" s="24" t="inlineStr"/>
      <c r="F229" s="24" t="inlineStr"/>
      <c r="G229" s="24" t="inlineStr"/>
      <c r="H229" s="24" t="inlineStr">
        <is>
          <t>needs_production_lookup</t>
        </is>
      </c>
      <c r="I229" s="35" t="n">
        <v>0</v>
      </c>
      <c r="J229" s="33" t="inlineStr"/>
      <c r="K229" s="24" t="inlineStr"/>
      <c r="L229" s="24" t="inlineStr"/>
      <c r="M229" s="24" t="inlineStr"/>
      <c r="N229" s="24" t="inlineStr"/>
    </row>
    <row r="230">
      <c r="B230" s="24" t="inlineStr">
        <is>
          <t>260219_dum.M24.001</t>
        </is>
      </c>
      <c r="C230" s="24" t="inlineStr">
        <is>
          <t>M-24 VZT</t>
        </is>
      </c>
      <c r="D230" s="24" t="inlineStr">
        <is>
          <t>Lokální odtah digestoří kuchyní (1.NP + 3.NP) — dodávka + montáž digestoře + pro</t>
        </is>
      </c>
      <c r="E230" s="24" t="inlineStr"/>
      <c r="F230" s="24" t="inlineStr"/>
      <c r="G230" s="24" t="inlineStr"/>
      <c r="H230" s="24" t="inlineStr">
        <is>
          <t>needs_production_lookup</t>
        </is>
      </c>
      <c r="I230" s="35" t="n">
        <v>0</v>
      </c>
      <c r="J230" s="33" t="inlineStr"/>
      <c r="K230" s="24" t="inlineStr"/>
      <c r="L230" s="24" t="inlineStr"/>
      <c r="M230" s="24" t="inlineStr"/>
      <c r="N230" s="24" t="inlineStr"/>
    </row>
    <row r="231">
      <c r="B231" s="24" t="inlineStr">
        <is>
          <t>260219_dum.M21.008</t>
        </is>
      </c>
      <c r="C231" s="24" t="inlineStr">
        <is>
          <t>M-21 ELI silnoproud</t>
        </is>
      </c>
      <c r="D231" s="24" t="inlineStr">
        <is>
          <t>Hlavní vypínač elektrické energie TOTAL STOP + požární značení rozvodného zaříze</t>
        </is>
      </c>
      <c r="E231" s="24" t="inlineStr"/>
      <c r="F231" s="24" t="inlineStr"/>
      <c r="G231" s="24" t="inlineStr"/>
      <c r="H231" s="24" t="inlineStr">
        <is>
          <t>needs_production_lookup</t>
        </is>
      </c>
      <c r="I231" s="35" t="n">
        <v>0</v>
      </c>
      <c r="J231" s="33" t="inlineStr"/>
      <c r="K231" s="24" t="inlineStr"/>
      <c r="L231" s="24" t="inlineStr"/>
      <c r="M231" s="24" t="inlineStr"/>
      <c r="N231" s="24" t="inlineStr"/>
    </row>
    <row r="232">
      <c r="B232" s="24" t="inlineStr">
        <is>
          <t>260219_dum.PSV95.003</t>
        </is>
      </c>
      <c r="C232" s="24" t="inlineStr">
        <is>
          <t>PSV-95 Detekce požární</t>
        </is>
      </c>
      <c r="D232" s="24" t="inlineStr">
        <is>
          <t>Předávací protokol krbu na tuhá paliva + kontrola bezpečných vzdáleností (800 mm</t>
        </is>
      </c>
      <c r="E232" s="24" t="inlineStr"/>
      <c r="F232" s="24" t="inlineStr"/>
      <c r="G232" s="24" t="inlineStr"/>
      <c r="H232" s="24" t="inlineStr">
        <is>
          <t>needs_production_lookup</t>
        </is>
      </c>
      <c r="I232" s="35" t="n">
        <v>0</v>
      </c>
      <c r="J232" s="33" t="inlineStr"/>
      <c r="K232" s="24" t="inlineStr"/>
      <c r="L232" s="24" t="inlineStr"/>
      <c r="M232" s="24" t="inlineStr"/>
      <c r="N232" s="24" t="inlineStr"/>
    </row>
    <row r="233">
      <c r="B233" s="24" t="inlineStr">
        <is>
          <t>260217_sklad.HSV3.004</t>
        </is>
      </c>
      <c r="C233" s="24" t="inlineStr">
        <is>
          <t>HSV-3 Svislé konstrukce</t>
        </is>
      </c>
      <c r="D233" s="24" t="inlineStr">
        <is>
          <t>Hydroizolace + protiradonová ochrana obvodových stěn (S03a) + opěrné stěny (S04)</t>
        </is>
      </c>
      <c r="E233" s="24" t="inlineStr"/>
      <c r="F233" s="24" t="inlineStr"/>
      <c r="G233" s="24" t="inlineStr"/>
      <c r="H233" s="24" t="inlineStr">
        <is>
          <t>needs_production_lookup</t>
        </is>
      </c>
      <c r="I233" s="35" t="n">
        <v>0</v>
      </c>
      <c r="J233" s="33" t="inlineStr"/>
      <c r="K233" s="24" t="inlineStr"/>
      <c r="L233" s="24" t="inlineStr"/>
      <c r="M233" s="24" t="inlineStr"/>
      <c r="N233" s="24" t="inlineStr"/>
    </row>
    <row r="234">
      <c r="B234" s="24" t="inlineStr">
        <is>
          <t>260217_sklad.HSV3.005</t>
        </is>
      </c>
      <c r="C234" s="24" t="inlineStr">
        <is>
          <t>HSV-3 Svislé konstrukce</t>
        </is>
      </c>
      <c r="D234" s="24" t="inlineStr">
        <is>
          <t>Drenážní vrstva — nopová folie tl. 20 mm na obvodové stěny (S03a) + opěrnou stěn</t>
        </is>
      </c>
      <c r="E234" s="24" t="inlineStr"/>
      <c r="F234" s="24" t="inlineStr"/>
      <c r="G234" s="24" t="inlineStr"/>
      <c r="H234" s="24" t="inlineStr">
        <is>
          <t>needs_production_lookup</t>
        </is>
      </c>
      <c r="I234" s="35" t="n">
        <v>0</v>
      </c>
      <c r="J234" s="33" t="inlineStr"/>
      <c r="K234" s="24" t="inlineStr"/>
      <c r="L234" s="24" t="inlineStr"/>
      <c r="M234" s="24" t="inlineStr"/>
      <c r="N234" s="24" t="inlineStr"/>
    </row>
    <row r="235">
      <c r="B235" s="24" t="inlineStr">
        <is>
          <t>260217_sklad.HSV1.007</t>
        </is>
      </c>
      <c r="C235" s="24" t="inlineStr">
        <is>
          <t>HSV-1 Zemní práce</t>
        </is>
      </c>
      <c r="D235" s="24" t="inlineStr">
        <is>
          <t>Kladecí lože z kamenné drti 4-8 mm tl. 40 mm pod betonovou dlažbu skladu</t>
        </is>
      </c>
      <c r="E235" s="24" t="inlineStr">
        <is>
          <t>564231111</t>
        </is>
      </c>
      <c r="F235" s="24" t="inlineStr"/>
      <c r="G235" s="24" t="inlineStr"/>
      <c r="H235" s="24" t="inlineStr">
        <is>
          <t>needs_production_lookup</t>
        </is>
      </c>
      <c r="I235" s="35" t="n">
        <v>0.6</v>
      </c>
      <c r="J235" s="32" t="inlineStr"/>
      <c r="K235" s="24" t="inlineStr"/>
      <c r="L235" s="24" t="inlineStr"/>
      <c r="M235" s="24" t="inlineStr"/>
      <c r="N235" s="24" t="inlineStr"/>
    </row>
    <row r="236">
      <c r="B236" s="24" t="inlineStr">
        <is>
          <t>260217_sklad.HSV1.008</t>
        </is>
      </c>
      <c r="C236" s="24" t="inlineStr">
        <is>
          <t>HSV-1 Zemní práce</t>
        </is>
      </c>
      <c r="D236" s="24" t="inlineStr">
        <is>
          <t>Zásyp za prefabrikovanou opěrnou stěnou S04 — materiál dle PD (NEuveden v legend</t>
        </is>
      </c>
      <c r="E236" s="24" t="inlineStr">
        <is>
          <t>174101101</t>
        </is>
      </c>
      <c r="F236" s="24" t="inlineStr"/>
      <c r="G236" s="24" t="inlineStr"/>
      <c r="H236" s="24" t="inlineStr">
        <is>
          <t>needs_production_lookup</t>
        </is>
      </c>
      <c r="I236" s="35" t="n">
        <v>0.6</v>
      </c>
      <c r="J236" s="32" t="inlineStr"/>
      <c r="K236" s="24" t="inlineStr"/>
      <c r="L236" s="24" t="inlineStr"/>
      <c r="M236" s="24" t="inlineStr"/>
      <c r="N236" s="24" t="inlineStr"/>
    </row>
    <row r="237">
      <c r="B237" s="24" t="inlineStr">
        <is>
          <t>260217_sklad.PSV76.003</t>
        </is>
      </c>
      <c r="C237" s="24" t="inlineStr">
        <is>
          <t>PSV-76 Zámečnické konstrukce</t>
        </is>
      </c>
      <c r="D237" s="24" t="inlineStr">
        <is>
          <t>Oplocení podél vjezdu — délka dle situace, materiál OVĚŘIT (kov/dřevo neuveden)</t>
        </is>
      </c>
      <c r="E237" s="24" t="inlineStr"/>
      <c r="F237" s="24" t="inlineStr"/>
      <c r="G237" s="24" t="inlineStr"/>
      <c r="H237" s="24" t="inlineStr">
        <is>
          <t>needs_production_lookup</t>
        </is>
      </c>
      <c r="I237" s="35" t="n">
        <v>0.6</v>
      </c>
      <c r="J237" s="33" t="inlineStr"/>
      <c r="K237" s="24" t="inlineStr"/>
      <c r="L237" s="24" t="inlineStr"/>
      <c r="M237" s="24" t="inlineStr"/>
      <c r="N237" s="24" t="inlineStr"/>
    </row>
    <row r="238">
      <c r="B238" s="24" t="inlineStr">
        <is>
          <t>260217_sklad.PSV76.004</t>
        </is>
      </c>
      <c r="C238" s="24" t="inlineStr">
        <is>
          <t>PSV-76 Zámečnické konstrukce</t>
        </is>
      </c>
      <c r="D238" s="24" t="inlineStr">
        <is>
          <t>Zábradlí v. 1.0 m kolem části stání — materiál OVĚŘIT (kov/dřevo neuveden)</t>
        </is>
      </c>
      <c r="E238" s="24" t="inlineStr"/>
      <c r="F238" s="24" t="inlineStr"/>
      <c r="G238" s="24" t="inlineStr"/>
      <c r="H238" s="24" t="inlineStr">
        <is>
          <t>needs_production_lookup</t>
        </is>
      </c>
      <c r="I238" s="35" t="n">
        <v>0.6</v>
      </c>
      <c r="J238" s="33" t="inlineStr"/>
      <c r="K238" s="24" t="inlineStr"/>
      <c r="L238" s="24" t="inlineStr"/>
      <c r="M238" s="24" t="inlineStr"/>
      <c r="N238" s="24" t="inlineStr"/>
    </row>
    <row r="239">
      <c r="B239" s="24" t="inlineStr">
        <is>
          <t>260217_sklad.HSV5.003</t>
        </is>
      </c>
      <c r="C239" s="24" t="inlineStr">
        <is>
          <t>HSV-5 Komunikace + zpevněné plochy</t>
        </is>
      </c>
      <c r="D239" s="24" t="inlineStr">
        <is>
          <t>Pískové lože pod dlažbu vjezdu tl. 40 mm (POZN 01)</t>
        </is>
      </c>
      <c r="E239" s="24" t="inlineStr">
        <is>
          <t>564751111</t>
        </is>
      </c>
      <c r="F239" s="24" t="inlineStr"/>
      <c r="G239" s="24" t="inlineStr"/>
      <c r="H239" s="24" t="inlineStr">
        <is>
          <t>needs_production_lookup</t>
        </is>
      </c>
      <c r="I239" s="35" t="n">
        <v>0.6</v>
      </c>
      <c r="J239" s="32" t="inlineStr"/>
      <c r="K239" s="24" t="inlineStr"/>
      <c r="L239" s="24" t="inlineStr"/>
      <c r="M239" s="24" t="inlineStr"/>
      <c r="N239" s="24" t="inlineStr"/>
    </row>
    <row r="240">
      <c r="B240" s="24" t="inlineStr">
        <is>
          <t>260217_sklad.HSV5.004</t>
        </is>
      </c>
      <c r="C240" s="24" t="inlineStr">
        <is>
          <t>HSV-5 Komunikace + zpevněné plochy</t>
        </is>
      </c>
      <c r="D240" s="24" t="inlineStr">
        <is>
          <t>Štěrkový zhutněný podklad pod dlažbu vjezdu tl. 150 mm (POZN 01)</t>
        </is>
      </c>
      <c r="E240" s="24" t="inlineStr">
        <is>
          <t>564861111</t>
        </is>
      </c>
      <c r="F240" s="24" t="inlineStr"/>
      <c r="G240" s="24" t="inlineStr"/>
      <c r="H240" s="24" t="inlineStr">
        <is>
          <t>needs_production_lookup</t>
        </is>
      </c>
      <c r="I240" s="35" t="n">
        <v>0.6</v>
      </c>
      <c r="J240" s="32" t="inlineStr"/>
      <c r="K240" s="24" t="inlineStr"/>
      <c r="L240" s="24" t="inlineStr"/>
      <c r="M240" s="24" t="inlineStr"/>
      <c r="N240" s="24" t="inlineStr"/>
    </row>
    <row r="241">
      <c r="B241" s="24" t="inlineStr">
        <is>
          <t>260217_sklad.HSV5.005</t>
        </is>
      </c>
      <c r="C241" s="24" t="inlineStr">
        <is>
          <t>HSV-5 Komunikace + zpevněné plochy</t>
        </is>
      </c>
      <c r="D241" s="24" t="inlineStr">
        <is>
          <t>Liniový odvodňovací žlab (prefa žlabovka š. 160 mm) podél vjezdu</t>
        </is>
      </c>
      <c r="E241" s="24" t="inlineStr"/>
      <c r="F241" s="24" t="inlineStr"/>
      <c r="G241" s="24" t="inlineStr"/>
      <c r="H241" s="24" t="inlineStr">
        <is>
          <t>needs_production_lookup</t>
        </is>
      </c>
      <c r="I241" s="35" t="n">
        <v>0.6</v>
      </c>
      <c r="J241" s="33" t="inlineStr"/>
      <c r="K241" s="24" t="inlineStr"/>
      <c r="L241" s="24" t="inlineStr"/>
      <c r="M241" s="24" t="inlineStr"/>
      <c r="N241" s="24" t="inlineStr"/>
    </row>
    <row r="242">
      <c r="B242" s="24" t="inlineStr">
        <is>
          <t>260217_sklad.HSV5.006</t>
        </is>
      </c>
      <c r="C242" s="24" t="inlineStr">
        <is>
          <t>HSV-5 Komunikace + zpevněné plochy</t>
        </is>
      </c>
      <c r="D242" s="24" t="inlineStr">
        <is>
          <t>Podkladní beton pod odvodňovací žlab (průřez 0.06 m²)</t>
        </is>
      </c>
      <c r="E242" s="24" t="inlineStr">
        <is>
          <t>273321411</t>
        </is>
      </c>
      <c r="F242" s="24" t="inlineStr"/>
      <c r="G242" s="24" t="inlineStr"/>
      <c r="H242" s="24" t="inlineStr">
        <is>
          <t>needs_production_lookup</t>
        </is>
      </c>
      <c r="I242" s="35" t="n">
        <v>0.6</v>
      </c>
      <c r="J242" s="32" t="inlineStr"/>
      <c r="K242" s="24" t="inlineStr"/>
      <c r="L242" s="24" t="inlineStr"/>
      <c r="M242" s="24" t="inlineStr"/>
      <c r="N242" s="24" t="inlineStr"/>
    </row>
    <row r="243">
      <c r="B243" s="24" t="inlineStr">
        <is>
          <t>260217_sklad.HSV5.007</t>
        </is>
      </c>
      <c r="C243" s="24" t="inlineStr">
        <is>
          <t>HSV-5 Komunikace + zpevněné plochy</t>
        </is>
      </c>
      <c r="D243" s="24" t="inlineStr">
        <is>
          <t>Okapový/odvodňovací žlab na straně 6010 mm — typ OVĚŘIT</t>
        </is>
      </c>
      <c r="E243" s="24" t="inlineStr"/>
      <c r="F243" s="24" t="inlineStr"/>
      <c r="G243" s="24" t="inlineStr"/>
      <c r="H243" s="24" t="inlineStr">
        <is>
          <t>needs_production_lookup</t>
        </is>
      </c>
      <c r="I243" s="35" t="n">
        <v>0.6</v>
      </c>
      <c r="J243" s="33" t="inlineStr"/>
      <c r="K243" s="24" t="inlineStr"/>
      <c r="L243" s="24" t="inlineStr"/>
      <c r="M243" s="24" t="inlineStr"/>
      <c r="N243" s="24" t="inlineStr"/>
    </row>
    <row r="244">
      <c r="B244" s="24" t="inlineStr">
        <is>
          <t>260217_sklad.HSV1.009</t>
        </is>
      </c>
      <c r="C244" s="24" t="inlineStr">
        <is>
          <t>HSV-1 Zemní práce</t>
        </is>
      </c>
      <c r="D244" s="24" t="inlineStr">
        <is>
          <t>Trubka Ø ~150 mm v štěrkovém obsypu podél vysokého pasu — drenáž/odvětrání radon</t>
        </is>
      </c>
      <c r="E244" s="24" t="inlineStr"/>
      <c r="F244" s="24" t="inlineStr"/>
      <c r="G244" s="24" t="inlineStr"/>
      <c r="H244" s="24" t="inlineStr">
        <is>
          <t>needs_production_lookup</t>
        </is>
      </c>
      <c r="I244" s="35" t="n">
        <v>0.6</v>
      </c>
      <c r="J244" s="33" t="inlineStr"/>
      <c r="K244" s="24" t="inlineStr"/>
      <c r="L244" s="24" t="inlineStr"/>
      <c r="M244" s="24" t="inlineStr"/>
      <c r="N244" s="24" t="inlineStr"/>
    </row>
    <row r="245">
      <c r="B245" s="24" t="inlineStr">
        <is>
          <t>260217_sklad.HSV1.010</t>
        </is>
      </c>
      <c r="C245" s="24" t="inlineStr">
        <is>
          <t>HSV-1 Zemní práce</t>
        </is>
      </c>
      <c r="D245" s="24" t="inlineStr">
        <is>
          <t>Trubka Ø 120-130 mm v štěrkovém obsypu podél stěny — drenáž/odvětrání radonu (OV</t>
        </is>
      </c>
      <c r="E245" s="24" t="inlineStr"/>
      <c r="F245" s="24" t="inlineStr"/>
      <c r="G245" s="24" t="inlineStr"/>
      <c r="H245" s="24" t="inlineStr">
        <is>
          <t>needs_production_lookup</t>
        </is>
      </c>
      <c r="I245" s="35" t="n">
        <v>0.6</v>
      </c>
      <c r="J245" s="33" t="inlineStr"/>
      <c r="K245" s="24" t="inlineStr"/>
      <c r="L245" s="24" t="inlineStr"/>
      <c r="M245" s="24" t="inlineStr"/>
      <c r="N245" s="24" t="inlineStr"/>
    </row>
    <row r="246">
      <c r="B246" s="24" t="inlineStr">
        <is>
          <t>260217_sklad.HSV5.008</t>
        </is>
      </c>
      <c r="C246" s="24" t="inlineStr">
        <is>
          <t>HSV-5 Komunikace + zpevněné plochy</t>
        </is>
      </c>
      <c r="D246" s="24" t="inlineStr">
        <is>
          <t>Podkladní betonová deska pod prefa schodiště S05</t>
        </is>
      </c>
      <c r="E246" s="24" t="inlineStr">
        <is>
          <t>273313611</t>
        </is>
      </c>
      <c r="F246" s="24" t="inlineStr"/>
      <c r="G246" s="24" t="inlineStr"/>
      <c r="H246" s="24" t="inlineStr">
        <is>
          <t>needs_production_lookup</t>
        </is>
      </c>
      <c r="I246" s="35" t="n">
        <v>0.6</v>
      </c>
      <c r="J246" s="32" t="inlineStr"/>
      <c r="K246" s="24" t="inlineStr"/>
      <c r="L246" s="24" t="inlineStr"/>
      <c r="M246" s="24" t="inlineStr"/>
      <c r="N246" s="24" t="inlineStr"/>
    </row>
    <row r="247">
      <c r="B247" s="24" t="inlineStr">
        <is>
          <t>260217_sklad.HSV5.009</t>
        </is>
      </c>
      <c r="C247" s="24" t="inlineStr">
        <is>
          <t>HSV-5 Komunikace + zpevněné plochy</t>
        </is>
      </c>
      <c r="D247" s="24" t="inlineStr">
        <is>
          <t>Kladecí vrstva ze zavlhlého betonu pod prefa stupně S05</t>
        </is>
      </c>
      <c r="E247" s="24" t="inlineStr"/>
      <c r="F247" s="24" t="inlineStr"/>
      <c r="G247" s="24" t="inlineStr"/>
      <c r="H247" s="24" t="inlineStr">
        <is>
          <t>needs_production_lookup</t>
        </is>
      </c>
      <c r="I247" s="35" t="n">
        <v>0.6</v>
      </c>
      <c r="J247" s="33" t="inlineStr"/>
      <c r="K247" s="24" t="inlineStr"/>
      <c r="L247" s="24" t="inlineStr"/>
      <c r="M247" s="24" t="inlineStr"/>
      <c r="N247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2026-06-02T08:34:37Z</dcterms:created>
  <dcterms:modified xmlns:dcterms="http://purl.org/dc/terms/" xmlns:xsi="http://www.w3.org/2001/XMLSchema-instance" xsi:type="dcterms:W3CDTF">2026-06-02T08:34:37Z</dcterms:modified>
</cp:coreProperties>
</file>
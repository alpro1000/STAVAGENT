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SUM('SO_260219_Dum'!I53:I469)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SUM('SO_260217_Sklad'!I33:I98)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SUMIFS(I51:I470,L51:L470,C16)</f>
        <v/>
      </c>
    </row>
    <row r="17">
      <c r="B17" s="17" t="n"/>
      <c r="C17" s="5" t="inlineStr">
        <is>
          <t>HSV-2 Základové a ŽB</t>
        </is>
      </c>
      <c r="D17" s="7">
        <f>SUMIFS(I51:I470,L51:L470,C17)</f>
        <v/>
      </c>
    </row>
    <row r="18">
      <c r="B18" s="17" t="n"/>
      <c r="C18" s="5" t="inlineStr">
        <is>
          <t>HSV-3 Svislé konstrukce</t>
        </is>
      </c>
      <c r="D18" s="7">
        <f>SUMIFS(I51:I470,L51:L470,C18)</f>
        <v/>
      </c>
    </row>
    <row r="19">
      <c r="B19" s="17" t="n"/>
      <c r="C19" s="5" t="inlineStr">
        <is>
          <t>HSV-4 Vodorovné</t>
        </is>
      </c>
      <c r="D19" s="7">
        <f>SUMIFS(I51:I470,L51:L470,C19)</f>
        <v/>
      </c>
    </row>
    <row r="20">
      <c r="B20" s="17" t="n"/>
      <c r="C20" s="5" t="inlineStr">
        <is>
          <t>HSV-5 Krov + střecha</t>
        </is>
      </c>
      <c r="D20" s="7">
        <f>SUMIFS(I51:I470,L51:L470,C20)</f>
        <v/>
      </c>
    </row>
    <row r="21">
      <c r="B21" s="17" t="n"/>
      <c r="C21" s="5" t="inlineStr">
        <is>
          <t>HSV-6 Bourací práce</t>
        </is>
      </c>
      <c r="D21" s="7">
        <f>SUMIFS(I51:I470,L51:L470,C21)</f>
        <v/>
      </c>
    </row>
    <row r="22">
      <c r="B22" s="17" t="n"/>
      <c r="C22" s="5" t="inlineStr">
        <is>
          <t>HSV-7 Fasáda ETICS</t>
        </is>
      </c>
      <c r="D22" s="7">
        <f>SUMIFS(I51:I470,L51:L470,C22)</f>
        <v/>
      </c>
    </row>
    <row r="23">
      <c r="B23" s="17" t="n"/>
      <c r="C23" s="5" t="inlineStr">
        <is>
          <t>M-21 ELI silnoproud</t>
        </is>
      </c>
      <c r="D23" s="7">
        <f>SUMIFS(I51:I470,L51:L470,C23)</f>
        <v/>
      </c>
    </row>
    <row r="24">
      <c r="B24" s="17" t="n"/>
      <c r="C24" s="5" t="inlineStr">
        <is>
          <t>PSV-71 Izolace HI</t>
        </is>
      </c>
      <c r="D24" s="7">
        <f>SUMIFS(I51:I470,L51:L470,C24)</f>
        <v/>
      </c>
    </row>
    <row r="25">
      <c r="B25" s="17" t="n"/>
      <c r="C25" s="5" t="inlineStr">
        <is>
          <t>PSV-71 Izolace TI</t>
        </is>
      </c>
      <c r="D25" s="7">
        <f>SUMIFS(I51:I470,L51:L470,C25)</f>
        <v/>
      </c>
    </row>
    <row r="26">
      <c r="B26" s="17" t="n"/>
      <c r="C26" s="5" t="inlineStr">
        <is>
          <t>PSV-72 ZTI</t>
        </is>
      </c>
      <c r="D26" s="7">
        <f>SUMIFS(I51:I470,L51:L470,C26)</f>
        <v/>
      </c>
    </row>
    <row r="27">
      <c r="B27" s="17" t="n"/>
      <c r="C27" s="5" t="inlineStr">
        <is>
          <t>PSV-73 Vytápění</t>
        </is>
      </c>
      <c r="D27" s="7">
        <f>SUMIFS(I51:I470,L51:L470,C27)</f>
        <v/>
      </c>
    </row>
    <row r="28">
      <c r="B28" s="17" t="n"/>
      <c r="C28" s="5" t="inlineStr">
        <is>
          <t>PSV-76 Klempíř</t>
        </is>
      </c>
      <c r="D28" s="7">
        <f>SUMIFS(I51:I470,L51:L470,C28)</f>
        <v/>
      </c>
    </row>
    <row r="29">
      <c r="B29" s="17" t="n"/>
      <c r="C29" s="5" t="inlineStr">
        <is>
          <t>PSV-76 Truhlář</t>
        </is>
      </c>
      <c r="D29" s="7">
        <f>SUMIFS(I51:I470,L51:L470,C29)</f>
        <v/>
      </c>
    </row>
    <row r="30">
      <c r="B30" s="17" t="n"/>
      <c r="C30" s="5" t="inlineStr">
        <is>
          <t>PSV-76 Výplně otvorů</t>
        </is>
      </c>
      <c r="D30" s="7">
        <f>SUMIFS(I51:I470,L51:L470,C30)</f>
        <v/>
      </c>
    </row>
    <row r="31">
      <c r="B31" s="17" t="n"/>
      <c r="C31" s="5" t="inlineStr">
        <is>
          <t>PSV-76 Zámečnictví</t>
        </is>
      </c>
      <c r="D31" s="7">
        <f>SUMIFS(I51:I470,L51:L470,C31)</f>
        <v/>
      </c>
    </row>
    <row r="32">
      <c r="B32" s="17" t="n"/>
      <c r="C32" s="5" t="inlineStr">
        <is>
          <t>PSV-77 Podlahy</t>
        </is>
      </c>
      <c r="D32" s="7">
        <f>SUMIFS(I51:I470,L51:L470,C32)</f>
        <v/>
      </c>
    </row>
    <row r="33">
      <c r="B33" s="17" t="n"/>
      <c r="C33" s="5" t="inlineStr">
        <is>
          <t>PSV-78 Povrchové úpravy</t>
        </is>
      </c>
      <c r="D33" s="7">
        <f>SUMIFS(I51:I470,L51:L470,C33)</f>
        <v/>
      </c>
    </row>
    <row r="34">
      <c r="B34" s="17" t="n"/>
      <c r="C34" s="5" t="inlineStr">
        <is>
          <t>PSV-95 Detekce požární</t>
        </is>
      </c>
      <c r="D34" s="7">
        <f>SUMIFS(I51:I470,L51:L470,C34)</f>
        <v/>
      </c>
    </row>
    <row r="35">
      <c r="B35" s="17" t="n"/>
      <c r="C35" s="5" t="inlineStr">
        <is>
          <t>VRN — Zařízení staveniště</t>
        </is>
      </c>
      <c r="D35" s="7">
        <f>SUMIFS(I51:I470,L51:L470,C35)</f>
        <v/>
      </c>
    </row>
    <row r="36">
      <c r="B36" s="17" t="n"/>
      <c r="C36" s="5" t="inlineStr">
        <is>
          <t>VRN — Přesun hmot</t>
        </is>
      </c>
      <c r="D36" s="7">
        <f>SUMIFS(I51:I470,L51:L470,C36)</f>
        <v/>
      </c>
    </row>
    <row r="37">
      <c r="B37" s="17" t="n"/>
      <c r="C37" s="5" t="inlineStr">
        <is>
          <t>VRN — Lešení</t>
        </is>
      </c>
      <c r="D37" s="7">
        <f>SUMIFS(I51:I470,L51:L470,C37)</f>
        <v/>
      </c>
    </row>
    <row r="38">
      <c r="B38" s="17" t="n"/>
      <c r="C38" s="5" t="inlineStr">
        <is>
          <t>VRN — Doprava + odpad</t>
        </is>
      </c>
      <c r="D38" s="7">
        <f>SUMIFS(I51:I470,L51:L470,C38)</f>
        <v/>
      </c>
    </row>
    <row r="39">
      <c r="B39" s="17" t="n"/>
      <c r="C39" s="5" t="inlineStr">
        <is>
          <t>VRN — Geodet</t>
        </is>
      </c>
      <c r="D39" s="7">
        <f>SUMIFS(I51:I470,L51:L470,C39)</f>
        <v/>
      </c>
    </row>
    <row r="40">
      <c r="B40" s="17" t="n"/>
      <c r="C40" s="5" t="inlineStr">
        <is>
          <t>VRN — Průzkumy</t>
        </is>
      </c>
      <c r="D40" s="7">
        <f>SUMIFS(I51:I470,L51:L470,C40)</f>
        <v/>
      </c>
    </row>
    <row r="41">
      <c r="B41" s="17" t="n"/>
      <c r="C41" s="5" t="inlineStr">
        <is>
          <t>VRN — BOZP</t>
        </is>
      </c>
      <c r="D41" s="7">
        <f>SUMIFS(I51:I470,L51:L470,C41)</f>
        <v/>
      </c>
    </row>
    <row r="42">
      <c r="B42" s="17" t="n"/>
      <c r="C42" s="5" t="inlineStr">
        <is>
          <t>VRN — Dokumentace</t>
        </is>
      </c>
      <c r="D42" s="7">
        <f>SUMIFS(I51:I470,L51:L470,C42)</f>
        <v/>
      </c>
    </row>
    <row r="43">
      <c r="B43" s="17" t="n"/>
      <c r="C43" s="5" t="inlineStr">
        <is>
          <t>VRN — Kolaudace</t>
        </is>
      </c>
      <c r="D43" s="7">
        <f>SUMIFS(I51:I470,L51:L470,C43)</f>
        <v/>
      </c>
    </row>
    <row r="44">
      <c r="B44" s="17" t="n"/>
      <c r="C44" s="5" t="inlineStr">
        <is>
          <t>VRN — Pojištění + zábory</t>
        </is>
      </c>
      <c r="D44" s="7">
        <f>SUMIFS(I51:I470,L51:L470,C44)</f>
        <v/>
      </c>
    </row>
    <row r="45">
      <c r="B45" s="17" t="n"/>
      <c r="C45" s="5" t="inlineStr">
        <is>
          <t>VRN — Revize</t>
        </is>
      </c>
      <c r="D45" s="7">
        <f>SUMIFS(I51:I470,L51:L470,C45)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968071120</t>
        </is>
      </c>
      <c r="E214" s="24" t="inlineStr">
        <is>
          <t>Demontáž všech oken a dveří stávajících (recyklace)</t>
        </is>
      </c>
      <c r="F214" s="23" t="inlineStr">
        <is>
          <t>ks</t>
        </is>
      </c>
      <c r="G214" s="25" t="n">
        <v>25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~10 oken + ~15 dveří (vstupní + vnitřní)</t>
        </is>
      </c>
      <c r="F215" s="17" t="n"/>
      <c r="G215" s="30" t="n">
        <v>25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725900001</t>
        </is>
      </c>
      <c r="E216" s="24" t="inlineStr">
        <is>
          <t>Demontáž všech sanitárních zařizovacích předmětů (WC, umyvadla, baterie, sprcha)</t>
        </is>
      </c>
      <c r="F216" s="23" t="inlineStr">
        <is>
          <t>ks</t>
        </is>
      </c>
      <c r="G216" s="25" t="n">
        <v>12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odhad — 2 koupelny × ~5 ks + WC + dřez = ~12</t>
        </is>
      </c>
      <c r="F217" s="17" t="n"/>
      <c r="G217" s="30" t="n">
        <v>12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997013501</t>
        </is>
      </c>
      <c r="E218" s="24" t="inlineStr">
        <is>
          <t>Odvoz a likvidace stavební suti dle vyhl. 8/2021 Sb. — celková tonáž odpadů</t>
        </is>
      </c>
      <c r="F218" s="23" t="inlineStr">
        <is>
          <t>t</t>
        </is>
      </c>
      <c r="G218" s="25" t="n">
        <v>56.5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TZ B m.10.e: 46 (beton/cihly) + 9 (dřevo) + 0.1 (kov) + 0.1 (EPS) + 0.2 (sádra) + 1.0 (směs) = 56.4</t>
        </is>
      </c>
      <c r="F219" s="17" t="n"/>
      <c r="G219" s="30" t="n">
        <v>56.5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dřevěných oken vč. rámů a parapetů — 16 ks (návrh všechna okna nová plastová trojsklem)</t>
        </is>
      </c>
      <c r="F220" s="23" t="inlineStr">
        <is>
          <t>ks</t>
        </is>
      </c>
      <c r="G220" s="25" t="n">
        <v>16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okno* total 16 ks (Path C Tier 4 — front 9 + back 7)</t>
        </is>
      </c>
      <c r="F221" s="17" t="n"/>
      <c r="G221" s="30" t="n">
        <v>16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978013181</t>
        </is>
      </c>
      <c r="E222" s="24" t="inlineStr">
        <is>
          <t>Demontáž stávajících vstupních dveří + rámů — 2 ks (1× ulice Fibichova + 1× zahrada; návrh nové plastové vstupní dveře)</t>
        </is>
      </c>
      <c r="F222" s="23" t="inlineStr">
        <is>
          <t>ks</t>
        </is>
      </c>
      <c r="G222" s="25" t="n">
        <v>2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INSERT dveře = 2 (Path C Tier 4) + TZ ARS</t>
        </is>
      </c>
      <c r="F223" s="17" t="n"/>
      <c r="G223" s="30" t="n">
        <v>2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968072456</t>
        </is>
      </c>
      <c r="E224" s="24" t="inlineStr">
        <is>
          <t>Demontáž stávajících vnitřních dveří vč. ocelových/dřevěných zárubní — odhad 15 ks (3 patra × ~5 dveří/patro per DXF SM__dveře layer)</t>
        </is>
      </c>
      <c r="F224" s="23" t="inlineStr">
        <is>
          <t>ks</t>
        </is>
      </c>
      <c r="G224" s="25" t="n">
        <v>15</v>
      </c>
      <c r="H224" s="26" t="n"/>
      <c r="I224" s="26">
        <f>IF(H224="",0,G224*H224)</f>
        <v/>
      </c>
      <c r="J224" s="23" t="inlineStr">
        <is>
          <t>ÚRS 2026</t>
        </is>
      </c>
      <c r="K224" s="32" t="inlineStr">
        <is>
          <t>? needs production lookup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DXF SM__dveře polylines 102 / ~3 fáze / ~2.3 symbol per dveře ≈ 15 ks návrh (Path C confidence 0.65)</t>
        </is>
      </c>
      <c r="F225" s="17" t="n"/>
      <c r="G225" s="30" t="n">
        <v>15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962024141</t>
        </is>
      </c>
      <c r="E226" s="24" t="inlineStr">
        <is>
          <t>Bourání vrchní části stávajícího komínu v posledním podlaží (cihelné zdivo, ručně), vč. likvidace cihelné suti</t>
        </is>
      </c>
      <c r="F226" s="23" t="inlineStr">
        <is>
          <t>m³</t>
        </is>
      </c>
      <c r="G226" s="25" t="n">
        <v>0.6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průměr komín 0.50×0.50 × výška nad střechou ~2.4 m = 0.6 m³ (OPRAVA ChatGPT revize 2026-05-29: dříve 6.0 m³ = ×10 chybná inflace; skutečný objem 0.6 m³)</t>
        </is>
      </c>
      <c r="F227" s="17" t="n"/>
      <c r="G227" s="30" t="n">
        <v>0.6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>
        <is>
          <t>961044111</t>
        </is>
      </c>
      <c r="E228" s="24" t="inlineStr">
        <is>
          <t>Bourání stávajících opěrných zídek a venkovního schodiště v zahradě/dvoře — částečné, dle vyznačení v půdorysech bourání</t>
        </is>
      </c>
      <c r="F228" s="23" t="inlineStr">
        <is>
          <t>m³</t>
        </is>
      </c>
      <c r="G228" s="25" t="n">
        <v>8</v>
      </c>
      <c r="H228" s="26" t="n"/>
      <c r="I228" s="26">
        <f>IF(H228="",0,G228*H228)</f>
        <v/>
      </c>
      <c r="J228" s="23" t="inlineStr">
        <is>
          <t>ÚRS 2026</t>
        </is>
      </c>
      <c r="K228" s="31" t="inlineStr">
        <is>
          <t>⚠ family OK, leaf KROS lookup [evidence: https://www.cs-urs.cz/podminky/cu202/801-3-Budovy-a-haly---b]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odhad ze řez A-A bourání + půdorys bourání 1.NP/1.PP, ~8 m³ celkem (opěrné zídky + venkovní schodiště zahrada/dvůr)</t>
        </is>
      </c>
      <c r="F229" s="17" t="n"/>
      <c r="G229" s="30" t="n">
        <v>8</v>
      </c>
      <c r="H229" s="17" t="n"/>
      <c r="I229" s="17" t="n"/>
      <c r="J229" s="17" t="n"/>
      <c r="K229" s="17" t="n"/>
      <c r="L229" s="17" t="n"/>
    </row>
    <row r="230">
      <c r="B230" s="23" t="n">
        <v>87</v>
      </c>
      <c r="C230" s="23" t="inlineStr">
        <is>
          <t>K</t>
        </is>
      </c>
      <c r="D230" s="24" t="inlineStr"/>
      <c r="E230" s="24" t="inlineStr">
        <is>
          <t>Demontáž stávajícího vnějšího keramického obkladu suterénní stěny (sokl) tl. 20 mm</t>
        </is>
      </c>
      <c r="F230" s="23" t="inlineStr">
        <is>
          <t>m²</t>
        </is>
      </c>
      <c r="G230" s="25" t="n">
        <v>23</v>
      </c>
      <c r="H230" s="26" t="n"/>
      <c r="I230" s="26">
        <f>IF(H230="",0,G230*H230)</f>
        <v/>
      </c>
      <c r="J230" s="23" t="inlineStr">
        <is>
          <t>ÚRS 2026</t>
        </is>
      </c>
      <c r="K230" s="33" t="inlineStr">
        <is>
          <t>❌ MANUAL — KROS catalog lookup</t>
        </is>
      </c>
      <c r="L230" s="5" t="inlineStr">
        <is>
          <t>HSV-6 Bourací práce</t>
        </is>
      </c>
    </row>
    <row r="231">
      <c r="B231" s="17" t="n"/>
      <c r="C231" s="28" t="inlineStr">
        <is>
          <t>VV</t>
        </is>
      </c>
      <c r="D231" s="17" t="n"/>
      <c r="E231" s="29">
        <f> obvod 38.7 m × výška soklu 0.6 m ≈ 23 m²</f>
        <v/>
      </c>
      <c r="F231" s="17" t="n"/>
      <c r="G231" s="30" t="n">
        <v>23</v>
      </c>
      <c r="H231" s="17" t="n"/>
      <c r="I231" s="17" t="n"/>
      <c r="J231" s="17" t="n"/>
      <c r="K231" s="17" t="n"/>
      <c r="L231" s="17" t="n"/>
    </row>
    <row r="232">
      <c r="B232" s="21" t="n"/>
      <c r="C232" s="22" t="inlineStr">
        <is>
          <t>D</t>
        </is>
      </c>
      <c r="D232" s="22" t="inlineStr">
        <is>
          <t>HSV-7</t>
        </is>
      </c>
      <c r="E232" s="22" t="inlineStr">
        <is>
          <t>HSV-7 Fasáda ETICS</t>
        </is>
      </c>
      <c r="F232" s="21" t="n"/>
      <c r="G232" s="21" t="n"/>
      <c r="H232" s="21" t="n"/>
      <c r="I232" s="21" t="n"/>
      <c r="J232" s="21" t="n"/>
      <c r="K232" s="21" t="n"/>
      <c r="L232" s="21" t="n"/>
    </row>
    <row r="233">
      <c r="B233" s="23" t="n">
        <v>88</v>
      </c>
      <c r="C233" s="23" t="inlineStr">
        <is>
          <t>K</t>
        </is>
      </c>
      <c r="D233" s="24" t="inlineStr">
        <is>
          <t>622401110</t>
        </is>
      </c>
      <c r="E233" s="24" t="inlineStr">
        <is>
          <t>Příprava fasádního podkladu — očištění tlakovou vodou, vyspravení omítek, fungicidní nátěr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(DXF) × 0.55 (volná fasáda, štíty zachované) × výška 13.0 m = 276.7 m²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622221121</t>
        </is>
      </c>
      <c r="E235" s="24" t="inlineStr">
        <is>
          <t>ETICS kontaktní zateplení — EPS 70F grey λ=0.032 tl. 160 mm + síťka + lepidlo + zatírací stěrka (řez S01+S12a explicit, ne 200 mm fallback)</t>
        </is>
      </c>
      <c r="F235" s="23" t="inlineStr">
        <is>
          <t>m²</t>
        </is>
      </c>
      <c r="G235" s="25" t="n">
        <v>276.7</v>
      </c>
      <c r="H235" s="26" t="n"/>
      <c r="I235" s="26">
        <f>IF(H235="",0,G235*H235)</f>
        <v/>
      </c>
      <c r="J235" s="23" t="inlineStr">
        <is>
          <t>ÚRS 2026</t>
        </is>
      </c>
      <c r="K235" s="31" t="inlineStr">
        <is>
          <t>⚠ family OK, leaf KROS lookup [evidence: https://www.isover.cz/produkty/eps/isover-eps-70f]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obvod 38.7 m × 0.55 × 13.0 m = 276.7 m² (PBŘ: tl. max 200 mm povolena, řez S01+S12a EXPLICIT 160 mm applied)</t>
        </is>
      </c>
      <c r="F236" s="17" t="n"/>
      <c r="G236" s="30" t="n">
        <v>276.7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622223111</t>
        </is>
      </c>
      <c r="E237" s="24" t="inlineStr">
        <is>
          <t>ETICS sokl — XPS λ=0.034 tl. 120 mm + soklový profil + cihelný obklad spárovaný</t>
        </is>
      </c>
      <c r="F237" s="23" t="inlineStr">
        <is>
          <t>m²</t>
        </is>
      </c>
      <c r="G237" s="25" t="n">
        <v>13.5</v>
      </c>
      <c r="H237" s="26" t="n"/>
      <c r="I237" s="26">
        <f>IF(H237="",0,G237*H237)</f>
        <v/>
      </c>
      <c r="J237" s="23" t="inlineStr">
        <is>
          <t>ÚRS 2026</t>
        </is>
      </c>
      <c r="K237" s="31" t="inlineStr">
        <is>
          <t>⚠ family OK, leaf KROS lookup [evidence: https://baumit.cz/produkty/komponenty-pro-zateplovani/zaklad]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obvod 38.7 m × 0.5 m výška sokl × 0.7 (řadovka) = 13.5 m²</t>
        </is>
      </c>
      <c r="F238" s="17" t="n"/>
      <c r="G238" s="30" t="n">
        <v>13.5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622221221</t>
        </is>
      </c>
      <c r="E239" s="24" t="inlineStr">
        <is>
          <t>Špalety oken — EPS přesah 35-40 mm + síťka + omítka</t>
        </is>
      </c>
      <c r="F239" s="23" t="inlineStr">
        <is>
          <t>bm</t>
        </is>
      </c>
      <c r="G239" s="25" t="n">
        <v>82.2</v>
      </c>
      <c r="H239" s="26" t="n"/>
      <c r="I239" s="26">
        <f>IF(H239="",0,G239*H239)</f>
        <v/>
      </c>
      <c r="J239" s="23" t="inlineStr">
        <is>
          <t>ÚRS 2026</t>
        </is>
      </c>
      <c r="K239" s="32" t="inlineStr">
        <is>
          <t>? needs production lookup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Σ per-typ okno 16 ks × per-window perimeter (2×(W+H)) z DXF bbox = 82.2 bm</t>
        </is>
      </c>
      <c r="F240" s="17" t="n"/>
      <c r="G240" s="30" t="n">
        <v>82.2</v>
      </c>
      <c r="H240" s="17" t="n"/>
      <c r="I240" s="17" t="n"/>
      <c r="J240" s="17" t="n"/>
      <c r="K240" s="17" t="n"/>
      <c r="L240" s="17" t="n"/>
    </row>
    <row r="241">
      <c r="B241" s="23" t="n">
        <v>92</v>
      </c>
      <c r="C241" s="23" t="inlineStr">
        <is>
          <t>K</t>
        </is>
      </c>
      <c r="D241" s="24" t="inlineStr">
        <is>
          <t>622221221</t>
        </is>
      </c>
      <c r="E241" s="24" t="inlineStr">
        <is>
          <t>Profilace fasády — různé tloušťky EPS (kordony, šambrány, rámování oken) — paušál podle pohledů</t>
        </is>
      </c>
      <c r="F241" s="23" t="inlineStr">
        <is>
          <t>soubor</t>
        </is>
      </c>
      <c r="G241" s="25" t="n">
        <v>1</v>
      </c>
      <c r="H241" s="26" t="n"/>
      <c r="I241" s="26">
        <f>IF(H241="",0,G241*H241)</f>
        <v/>
      </c>
      <c r="J241" s="23" t="inlineStr">
        <is>
          <t>ÚRS 2026</t>
        </is>
      </c>
      <c r="K241" s="32" t="inlineStr">
        <is>
          <t>? needs production lookup</t>
        </is>
      </c>
      <c r="L241" s="5" t="inlineStr">
        <is>
          <t>HSV-7 Fasáda ETICS</t>
        </is>
      </c>
    </row>
    <row r="242">
      <c r="B242" s="17" t="n"/>
      <c r="C242" s="28" t="inlineStr">
        <is>
          <t>VV</t>
        </is>
      </c>
      <c r="D242" s="17" t="n"/>
      <c r="E242" s="29" t="inlineStr">
        <is>
          <t>paušál — dle pohledů NCS NZÚ</t>
        </is>
      </c>
      <c r="F242" s="17" t="n"/>
      <c r="G242" s="30" t="n">
        <v>1</v>
      </c>
      <c r="H242" s="17" t="n"/>
      <c r="I242" s="17" t="n"/>
      <c r="J242" s="17" t="n"/>
      <c r="K242" s="17" t="n"/>
      <c r="L242" s="17" t="n"/>
    </row>
    <row r="243">
      <c r="B243" s="23" t="n">
        <v>93</v>
      </c>
      <c r="C243" s="23" t="inlineStr">
        <is>
          <t>K</t>
        </is>
      </c>
      <c r="D243" s="24" t="inlineStr">
        <is>
          <t>622521111</t>
        </is>
      </c>
      <c r="E243" s="24" t="inlineStr">
        <is>
          <t>Tenkovrstvá pastovitá probarvená omítka, lomená bílá NCS NZÚ — finální vrstva ETICS</t>
        </is>
      </c>
      <c r="F243" s="23" t="inlineStr">
        <is>
          <t>m²</t>
        </is>
      </c>
      <c r="G243" s="25" t="n">
        <v>290.2</v>
      </c>
      <c r="H243" s="26" t="n"/>
      <c r="I243" s="26">
        <f>IF(H243="",0,G243*H243)</f>
        <v/>
      </c>
      <c r="J243" s="23" t="inlineStr">
        <is>
          <t>ÚRS 2026</t>
        </is>
      </c>
      <c r="K243" s="31" t="inlineStr">
        <is>
          <t>⚠ family OK, leaf KROS lookup [evidence: https://www.cz.weber/ncs-odstiny-dle-nzu-2023]</t>
        </is>
      </c>
      <c r="L243" s="5" t="inlineStr">
        <is>
          <t>HSV-7 Fasáda ETICS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ETICS plocha 276.7 m² + sokl 13.5 m² = 290.2 m²</t>
        </is>
      </c>
      <c r="F244" s="17" t="n"/>
      <c r="G244" s="30" t="n">
        <v>290.2</v>
      </c>
      <c r="H244" s="17" t="n"/>
      <c r="I244" s="17" t="n"/>
      <c r="J244" s="17" t="n"/>
      <c r="K244" s="17" t="n"/>
      <c r="L244" s="17" t="n"/>
    </row>
    <row r="245">
      <c r="B245" s="19" t="n"/>
      <c r="C245" s="20" t="inlineStr">
        <is>
          <t>D</t>
        </is>
      </c>
      <c r="D245" s="20" t="inlineStr">
        <is>
          <t>M</t>
        </is>
      </c>
      <c r="E245" s="20" t="inlineStr">
        <is>
          <t>Práce a dodávky M (montáže)</t>
        </is>
      </c>
      <c r="F245" s="19" t="n"/>
      <c r="G245" s="19" t="n"/>
      <c r="H245" s="19" t="n"/>
      <c r="I245" s="19" t="n"/>
      <c r="J245" s="19" t="n"/>
      <c r="K245" s="19" t="n"/>
      <c r="L245" s="19" t="n"/>
    </row>
    <row r="246">
      <c r="B246" s="21" t="n"/>
      <c r="C246" s="22" t="inlineStr">
        <is>
          <t>D</t>
        </is>
      </c>
      <c r="D246" s="22" t="inlineStr">
        <is>
          <t>M-21</t>
        </is>
      </c>
      <c r="E246" s="22" t="inlineStr">
        <is>
          <t>M-21 ELI silnoproud</t>
        </is>
      </c>
      <c r="F246" s="21" t="n"/>
      <c r="G246" s="21" t="n"/>
      <c r="H246" s="21" t="n"/>
      <c r="I246" s="21" t="n"/>
      <c r="J246" s="21" t="n"/>
      <c r="K246" s="21" t="n"/>
      <c r="L246" s="21" t="n"/>
    </row>
    <row r="247">
      <c r="B247" s="23" t="n">
        <v>94</v>
      </c>
      <c r="C247" s="23" t="inlineStr">
        <is>
          <t>K</t>
        </is>
      </c>
      <c r="D247" s="24" t="inlineStr">
        <is>
          <t>210010011</t>
        </is>
      </c>
      <c r="E247" s="24" t="inlineStr">
        <is>
          <t>Demontáž stávající elektroinstalace v celém domě (vodiče, rozvaděč, zásuvky, svítidla) — recyklace mědi</t>
        </is>
      </c>
      <c r="F247" s="23" t="inlineStr">
        <is>
          <t>kpl</t>
        </is>
      </c>
      <c r="G247" s="25" t="n">
        <v>1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TZ ARS — stávající ELI plně bourána; B m.10.e — 0.1 t kovů celkem</t>
        </is>
      </c>
      <c r="F248" s="17" t="n"/>
      <c r="G248" s="30" t="n">
        <v>1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210110023</t>
        </is>
      </c>
      <c r="E249" s="24" t="inlineStr">
        <is>
          <t>Nová pojistková skříň + 3× podružný rozvaděč pro každé patro (1.NP, 2.NP, 3.NP) s podružným měřením</t>
        </is>
      </c>
      <c r="F249" s="23" t="inlineStr">
        <is>
          <t>ks</t>
        </is>
      </c>
      <c r="G249" s="25" t="n">
        <v>4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1 hlavní + 3 podružné = 4 rozvaděče</t>
        </is>
      </c>
      <c r="F250" s="17" t="n"/>
      <c r="G250" s="30" t="n">
        <v>4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210800012</t>
        </is>
      </c>
      <c r="E251" s="24" t="inlineStr">
        <is>
          <t>Nové silnoproudé rozvody — vodiče CYKY 3×1.5 / 3×2.5 / 5×2.5 / 5×6 + krabice + instalační trubky</t>
        </is>
      </c>
      <c r="F251" s="23" t="inlineStr">
        <is>
          <t>bm</t>
        </is>
      </c>
      <c r="G251" s="25" t="n">
        <v>700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RD 219 m² × ~3.2 bm/m² standard ELI = 700 bm; vyjasnění #7 working assumption</t>
        </is>
      </c>
      <c r="F252" s="17" t="n"/>
      <c r="G252" s="30" t="n">
        <v>700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210810050</t>
        </is>
      </c>
      <c r="E253" s="24" t="inlineStr">
        <is>
          <t>Zásuvky a vypínače dodávka + montáž — ~70 ks (60-80 dle vyjasnění #7)</t>
        </is>
      </c>
      <c r="F253" s="23" t="inlineStr">
        <is>
          <t>ks</t>
        </is>
      </c>
      <c r="G253" s="25" t="n">
        <v>70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RD 219 m² × ~0.3 ks/m² standard 3-byt. dispozice = 70 ks</t>
        </is>
      </c>
      <c r="F254" s="17" t="n"/>
      <c r="G254" s="30" t="n">
        <v>70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210820002</t>
        </is>
      </c>
      <c r="E255" s="24" t="inlineStr">
        <is>
          <t>Svítidla dodávka + montáž — ~35 ks (30-40 dle vyjasnění #7) interiér + venkovní u vstupů</t>
        </is>
      </c>
      <c r="F255" s="23" t="inlineStr">
        <is>
          <t>ks</t>
        </is>
      </c>
      <c r="G255" s="25" t="n">
        <v>35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standard RD 220 m² = ~35 ks svítidel</t>
        </is>
      </c>
      <c r="F256" s="17" t="n"/>
      <c r="G256" s="30" t="n">
        <v>35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>
        <is>
          <t>210800099</t>
        </is>
      </c>
      <c r="E257" s="24" t="inlineStr">
        <is>
          <t>Příprava na osazení FVE — rezerva v rozvaděči (jistič + zásuvka pro střídač) + trasy do střechy</t>
        </is>
      </c>
      <c r="F257" s="23" t="inlineStr">
        <is>
          <t>kpl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2" t="inlineStr">
        <is>
          <t>? needs production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TZ ARS — 'příprava na osazení FVE'</t>
        </is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23" t="n">
        <v>100</v>
      </c>
      <c r="C259" s="23" t="inlineStr">
        <is>
          <t>K</t>
        </is>
      </c>
      <c r="D259" s="24" t="inlineStr">
        <is>
          <t>996019011</t>
        </is>
      </c>
      <c r="E259" s="24" t="inlineStr">
        <is>
          <t>Výchozí revize elektrické instalace dle ČSN 33 2000-6 + revizní zpráva pro kolaudaci</t>
        </is>
      </c>
      <c r="F259" s="23" t="inlineStr">
        <is>
          <t>kpl</t>
        </is>
      </c>
      <c r="G259" s="25" t="n">
        <v>1</v>
      </c>
      <c r="H259" s="26" t="n"/>
      <c r="I259" s="26">
        <f>IF(H259="",0,G259*H259)</f>
        <v/>
      </c>
      <c r="J259" s="23" t="inlineStr">
        <is>
          <t>ÚRS 2026</t>
        </is>
      </c>
      <c r="K259" s="32" t="inlineStr">
        <is>
          <t>? needs production lookup</t>
        </is>
      </c>
      <c r="L259" s="5" t="inlineStr">
        <is>
          <t>M-21 ELI silnoproud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ČSN 33 2000-6 — povinná revize před kolaudací</t>
        </is>
      </c>
      <c r="F260" s="17" t="n"/>
      <c r="G260" s="30" t="n">
        <v>1</v>
      </c>
      <c r="H260" s="17" t="n"/>
      <c r="I260" s="17" t="n"/>
      <c r="J260" s="17" t="n"/>
      <c r="K260" s="17" t="n"/>
      <c r="L260" s="17" t="n"/>
    </row>
    <row r="261">
      <c r="B261" s="19" t="n"/>
      <c r="C261" s="20" t="inlineStr">
        <is>
          <t>D</t>
        </is>
      </c>
      <c r="D261" s="20" t="inlineStr">
        <is>
          <t>PSV</t>
        </is>
      </c>
      <c r="E261" s="20" t="inlineStr">
        <is>
          <t>Práce a dodávky PSV</t>
        </is>
      </c>
      <c r="F261" s="19" t="n"/>
      <c r="G261" s="19" t="n"/>
      <c r="H261" s="19" t="n"/>
      <c r="I261" s="19" t="n"/>
      <c r="J261" s="19" t="n"/>
      <c r="K261" s="19" t="n"/>
      <c r="L261" s="19" t="n"/>
    </row>
    <row r="262">
      <c r="B262" s="21" t="n"/>
      <c r="C262" s="22" t="inlineStr">
        <is>
          <t>D</t>
        </is>
      </c>
      <c r="D262" s="22" t="inlineStr">
        <is>
          <t>PSV-71</t>
        </is>
      </c>
      <c r="E262" s="22" t="inlineStr">
        <is>
          <t>PSV-71 Izolace HI</t>
        </is>
      </c>
      <c r="F262" s="21" t="n"/>
      <c r="G262" s="21" t="n"/>
      <c r="H262" s="21" t="n"/>
      <c r="I262" s="21" t="n"/>
      <c r="J262" s="21" t="n"/>
      <c r="K262" s="21" t="n"/>
      <c r="L262" s="21" t="n"/>
    </row>
    <row r="263">
      <c r="B263" s="23" t="n">
        <v>101</v>
      </c>
      <c r="C263" s="23" t="inlineStr">
        <is>
          <t>K</t>
        </is>
      </c>
      <c r="D263" s="24" t="inlineStr">
        <is>
          <t>712311101</t>
        </is>
      </c>
      <c r="E263" s="24" t="inlineStr">
        <is>
          <t>Hydroizolace pod ŽB deskou 1.NP — modifikované asfaltové pásy SBS 2× (zároveň protiradonová bariéra)</t>
        </is>
      </c>
      <c r="F263" s="23" t="inlineStr">
        <is>
          <t>m²</t>
        </is>
      </c>
      <c r="G263" s="25" t="n">
        <v>80.40000000000001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https://stavimbydlim.cz/postup-hydroizolace-zakladove-desky-]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(zastavena × 0.7 rozsah 1.NP) × 1.10 přesah = 80.4</t>
        </is>
      </c>
      <c r="F264" s="17" t="n"/>
      <c r="G264" s="30" t="n">
        <v>80.40000000000001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>
        <is>
          <t>712381111</t>
        </is>
      </c>
      <c r="E265" s="24" t="inlineStr">
        <is>
          <t>Odvětrání radonu z podloží — perforované DN50 trubky v štěrkovém loži + výdech nad střechu</t>
        </is>
      </c>
      <c r="F265" s="23" t="inlineStr">
        <is>
          <t>bm</t>
        </is>
      </c>
      <c r="G265" s="25" t="n">
        <v>12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OK,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podsanační síť ~12 bm (3 řady × 4 m pod podlahou 1.NP)</t>
        </is>
      </c>
      <c r="F266" s="17" t="n"/>
      <c r="G266" s="30" t="n">
        <v>12</v>
      </c>
      <c r="H266" s="17" t="n"/>
      <c r="I266" s="17" t="n"/>
      <c r="J266" s="17" t="n"/>
      <c r="K266" s="17" t="n"/>
      <c r="L266" s="17" t="n"/>
    </row>
    <row r="267">
      <c r="B267" s="23" t="n">
        <v>103</v>
      </c>
      <c r="C267" s="23" t="inlineStr">
        <is>
          <t>K</t>
        </is>
      </c>
      <c r="D267" s="24" t="inlineStr"/>
      <c r="E267" s="24" t="inlineStr">
        <is>
          <t>Hydroizolační stěrka koupelen 3 ks — podlaha + sokl 200 mm + sprchový kout výška 2.0 m</t>
        </is>
      </c>
      <c r="F267" s="23" t="inlineStr">
        <is>
          <t>m²</t>
        </is>
      </c>
      <c r="G267" s="25" t="n">
        <v>40.5</v>
      </c>
      <c r="H267" s="26" t="n"/>
      <c r="I267" s="26">
        <f>IF(H267="",0,G267*H267)</f>
        <v/>
      </c>
      <c r="J267" s="23" t="inlineStr">
        <is>
          <t>ÚRS 2026</t>
        </is>
      </c>
      <c r="K267" s="31" t="inlineStr">
        <is>
          <t>⚠ family 711 OK — leaf KROS lookup [evidence: https://cze.sika.com/cs/produkty-pro-stavebnictvi/hydroizola]</t>
        </is>
      </c>
      <c r="L267" s="5" t="inlineStr">
        <is>
          <t>PSV-71 Izolace HI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3 koupelny × (~5.5 m² podlaha + ~8 m² stěny v okolí sprchy) = 40.5</t>
        </is>
      </c>
      <c r="F268" s="17" t="n"/>
      <c r="G268" s="30" t="n">
        <v>40.5</v>
      </c>
      <c r="H268" s="17" t="n"/>
      <c r="I268" s="17" t="n"/>
      <c r="J268" s="17" t="n"/>
      <c r="K268" s="17" t="n"/>
      <c r="L268" s="17" t="n"/>
    </row>
    <row r="269">
      <c r="B269" s="21" t="n"/>
      <c r="C269" s="22" t="inlineStr">
        <is>
          <t>D</t>
        </is>
      </c>
      <c r="D269" s="22" t="inlineStr">
        <is>
          <t>PSV-71</t>
        </is>
      </c>
      <c r="E269" s="22" t="inlineStr">
        <is>
          <t>PSV-71 Izolace TI</t>
        </is>
      </c>
      <c r="F269" s="21" t="n"/>
      <c r="G269" s="21" t="n"/>
      <c r="H269" s="21" t="n"/>
      <c r="I269" s="21" t="n"/>
      <c r="J269" s="21" t="n"/>
      <c r="K269" s="21" t="n"/>
      <c r="L269" s="21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Podlahový EPS 150 λ=0.035 tl. 120 mm — pod betonový potěr 1.NP a 3.NP</t>
        </is>
      </c>
      <c r="F270" s="23" t="inlineStr">
        <is>
          <t>m²</t>
        </is>
      </c>
      <c r="G270" s="25" t="n">
        <v>177.5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 t="inlineStr">
        <is>
          <t>(rozsah 1.NP 73 m²) + (3.NP nadstavba 104 m²) = ~177 m²</t>
        </is>
      </c>
      <c r="F271" s="17" t="n"/>
      <c r="G271" s="30" t="n">
        <v>177.5</v>
      </c>
      <c r="H271" s="17" t="n"/>
      <c r="I271" s="17" t="n"/>
      <c r="J271" s="17" t="n"/>
      <c r="K271" s="17" t="n"/>
      <c r="L271" s="17" t="n"/>
    </row>
    <row r="272">
      <c r="B272" s="23" t="n">
        <v>105</v>
      </c>
      <c r="C272" s="23" t="inlineStr">
        <is>
          <t>K</t>
        </is>
      </c>
      <c r="D272" s="24" t="inlineStr"/>
      <c r="E272" s="24" t="inlineStr">
        <is>
          <t>Kročejová EPS 150 / 30 dB tl. 40 mm nad ocelobetonovým stropem 2.NP/3.NP</t>
        </is>
      </c>
      <c r="F272" s="23" t="inlineStr">
        <is>
          <t>m²</t>
        </is>
      </c>
      <c r="G272" s="25" t="n">
        <v>104.4</v>
      </c>
      <c r="H272" s="26" t="n"/>
      <c r="I272" s="26">
        <f>IF(H272="",0,G272*H272)</f>
        <v/>
      </c>
      <c r="J272" s="23" t="inlineStr">
        <is>
          <t>ÚRS 2026</t>
        </is>
      </c>
      <c r="K272" s="31" t="inlineStr">
        <is>
          <t>⚠ family 713121 OK — leaf KROS lookup [evidence: https://styrotrade.cz/cs/produkty/strechy/izolace-bezne-zati]</t>
        </is>
      </c>
      <c r="L272" s="5" t="inlineStr">
        <is>
          <t>PSV-71 Izolace TI</t>
        </is>
      </c>
    </row>
    <row r="273">
      <c r="B273" s="17" t="n"/>
      <c r="C273" s="28" t="inlineStr">
        <is>
          <t>VV</t>
        </is>
      </c>
      <c r="D273" s="17" t="n"/>
      <c r="E273" s="29">
        <f> zastavěna plocha 104.4 m² (strop 2.NP/3.NP)</f>
        <v/>
      </c>
      <c r="F273" s="17" t="n"/>
      <c r="G273" s="30" t="n">
        <v>104.4</v>
      </c>
      <c r="H273" s="17" t="n"/>
      <c r="I273" s="17" t="n"/>
      <c r="J273" s="17" t="n"/>
      <c r="K273" s="17" t="n"/>
      <c r="L273" s="17" t="n"/>
    </row>
    <row r="274">
      <c r="B274" s="21" t="n"/>
      <c r="C274" s="22" t="inlineStr">
        <is>
          <t>D</t>
        </is>
      </c>
      <c r="D274" s="22" t="inlineStr">
        <is>
          <t>PSV-72</t>
        </is>
      </c>
      <c r="E274" s="22" t="inlineStr">
        <is>
          <t>PSV-72 ZTI</t>
        </is>
      </c>
      <c r="F274" s="21" t="n"/>
      <c r="G274" s="21" t="n"/>
      <c r="H274" s="21" t="n"/>
      <c r="I274" s="21" t="n"/>
      <c r="J274" s="21" t="n"/>
      <c r="K274" s="21" t="n"/>
      <c r="L274" s="21" t="n"/>
    </row>
    <row r="275">
      <c r="B275" s="23" t="n">
        <v>106</v>
      </c>
      <c r="C275" s="23" t="inlineStr">
        <is>
          <t>K</t>
        </is>
      </c>
      <c r="D275" s="24" t="inlineStr">
        <is>
          <t>722290515</t>
        </is>
      </c>
      <c r="E275" s="24" t="inlineStr">
        <is>
          <t>Revize stávajícího napojení vodovodu + kanalizace na pozemku — kontrola stavu, čištění, tlaková zkouška</t>
        </is>
      </c>
      <c r="F275" s="23" t="inlineStr">
        <is>
          <t>kpl</t>
        </is>
      </c>
      <c r="G275" s="25" t="n">
        <v>1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https://www.sanitino.cz/vodovodni-baterie]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TZ ARS dům §4 — stávající přípojka zachována bez změny</t>
        </is>
      </c>
      <c r="F276" s="17" t="n"/>
      <c r="G276" s="30" t="n">
        <v>1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722172011</t>
        </is>
      </c>
      <c r="E277" s="24" t="inlineStr">
        <is>
          <t>Nové rozvody studené + teplé vody do koupelen 1.NP + 2.NP + 3.NP a kuchyní (PEX/Cu, dimenze DN15-25)</t>
        </is>
      </c>
      <c r="F277" s="23" t="inlineStr">
        <is>
          <t>bm</t>
        </is>
      </c>
      <c r="G277" s="25" t="n">
        <v>80</v>
      </c>
      <c r="H277" s="26" t="n"/>
      <c r="I277" s="26">
        <f>IF(H277="",0,G277*H277)</f>
        <v/>
      </c>
      <c r="J277" s="23" t="inlineStr">
        <is>
          <t>ÚRS 2026</t>
        </is>
      </c>
      <c r="K277" s="31" t="inlineStr">
        <is>
          <t>⚠ family OK, leaf KROS lookup [evidence: https://www.ceskestavby.cz/jak-se-stavi-dum/sprchy-vany-vana]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~25 bm rozvodů (koupelny + kuchyně + bojler 3.NP) = 75 (round 80)</t>
        </is>
      </c>
      <c r="F278" s="17" t="n"/>
      <c r="G278" s="30" t="n">
        <v>80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721174021</t>
        </is>
      </c>
      <c r="E279" s="24" t="inlineStr">
        <is>
          <t>Nové odpadní rozvody PVC-HT DN40-DN110 ke koupelnám 1.NP, 2.NP, 3.NP a kuchyním + napojení na stávající</t>
        </is>
      </c>
      <c r="F279" s="23" t="inlineStr">
        <is>
          <t>bm</t>
        </is>
      </c>
      <c r="G279" s="25" t="n">
        <v>60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3 patra × ~20 bm odpadní + svislé propojení = 60</t>
        </is>
      </c>
      <c r="F280" s="17" t="n"/>
      <c r="G280" s="30" t="n">
        <v>60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725840111</t>
        </is>
      </c>
      <c r="E281" s="24" t="inlineStr">
        <is>
          <t>Kuchyňský dřez nerez + montáž — 2 ks (kuchyně 1.06 byt rodičů + kuchyně 3.05 byt 3.NP)</t>
        </is>
      </c>
      <c r="F281" s="23" t="inlineStr">
        <is>
          <t>ks</t>
        </is>
      </c>
      <c r="G281" s="25" t="n">
        <v>2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DXF rooms 1.06 + 3.05 kuchyně MTEXT (každá obytná místnost + kuchyně) = 2 dřezy</t>
        </is>
      </c>
      <c r="F282" s="17" t="n"/>
      <c r="G282" s="30" t="n">
        <v>2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725822611</t>
        </is>
      </c>
      <c r="E283" s="24" t="inlineStr">
        <is>
          <t>Vodovodní baterie (WC ventil + páková umyvadlová + sprchové + dřezové + termostat sprchové) — ~15 ks + drobné instalační materiály</t>
        </is>
      </c>
      <c r="F283" s="23" t="inlineStr">
        <is>
          <t>ks</t>
        </is>
      </c>
      <c r="G283" s="25" t="n">
        <v>15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12 sanit. zařízení × 1 baterie + 3 drobnosti (rohové ventily, sifony) = 15</t>
        </is>
      </c>
      <c r="F284" s="17" t="n"/>
      <c r="G284" s="30" t="n">
        <v>15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732419411</t>
        </is>
      </c>
      <c r="E285" s="24" t="inlineStr">
        <is>
          <t>Akumulační zásobník TUV ~300 l v 1.PP napojený na topný systém (sporáková kamna + krb + elektrokotel) — nepřímotop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'akumulační zásobník TUV v suterénu napojený na topný systém'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732429211</t>
        </is>
      </c>
      <c r="E287" s="24" t="inlineStr">
        <is>
          <t>Elektrický bojler ~80 l v koupelně 3.NP (nezávislý zdroj pro samostatný byt)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TZ ARS — 'elektrický bojler v koupelně 3.NP'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725211101</t>
        </is>
      </c>
      <c r="E289" s="24" t="inlineStr">
        <is>
          <t>Vana koupelnová obdélníková 170×70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725311111</t>
        </is>
      </c>
      <c r="E291" s="24" t="inlineStr">
        <is>
          <t>Umyvadlo bílé keramické se sloupcem 60 cm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725111101</t>
        </is>
      </c>
      <c r="E293" s="24" t="inlineStr">
        <is>
          <t>WC kombi keramické bílé — koupelna 1.05 1.NP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260219_dum.PSV72.004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725311111</t>
        </is>
      </c>
      <c r="E295" s="24" t="inlineStr">
        <is>
          <t>Umyvadlo bílé keramické se sloupcem 60 cm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725221201</t>
        </is>
      </c>
      <c r="E297" s="24" t="inlineStr">
        <is>
          <t>Sprchový kout 90×90 cm vč. vaničky + skleněných dveří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2.03 2.NP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260219_dum.PSV72.005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725111101</t>
        </is>
      </c>
      <c r="E301" s="24" t="inlineStr">
        <is>
          <t>WC kombi keramické bílé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725311111</t>
        </is>
      </c>
      <c r="E303" s="24" t="inlineStr">
        <is>
          <t>Umyvadlo bílé keramické se sloupcem 60 cm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3" t="n">
        <v>121</v>
      </c>
      <c r="C305" s="23" t="inlineStr">
        <is>
          <t>K</t>
        </is>
      </c>
      <c r="D305" s="24" t="inlineStr">
        <is>
          <t>725221201</t>
        </is>
      </c>
      <c r="E305" s="24" t="inlineStr">
        <is>
          <t>Sprchový kout 90×90 cm vč. vaničky + skleněných dveří — koupelna 3.04 3.NP</t>
        </is>
      </c>
      <c r="F305" s="23" t="inlineStr">
        <is>
          <t>ks</t>
        </is>
      </c>
      <c r="G305" s="25" t="n">
        <v>1</v>
      </c>
      <c r="H305" s="26" t="n"/>
      <c r="I305" s="26">
        <f>IF(H305="",0,G305*H305)</f>
        <v/>
      </c>
      <c r="J305" s="23" t="inlineStr">
        <is>
          <t>ÚRS 2026</t>
        </is>
      </c>
      <c r="K305" s="32" t="inlineStr">
        <is>
          <t>? needs production lookup</t>
        </is>
      </c>
      <c r="L305" s="5" t="inlineStr">
        <is>
          <t>PSV-72 ZTI</t>
        </is>
      </c>
    </row>
    <row r="306">
      <c r="B306" s="17" t="n"/>
      <c r="C306" s="28" t="inlineStr">
        <is>
          <t>VV</t>
        </is>
      </c>
      <c r="D306" s="17" t="n"/>
      <c r="E306" s="29" t="inlineStr">
        <is>
          <t>set split from 260219_dum.PSV72.006 per audit v2 GAP_005 — 1 fixture per item</t>
        </is>
      </c>
      <c r="F306" s="17" t="n"/>
      <c r="G306" s="30" t="n">
        <v>1</v>
      </c>
      <c r="H306" s="17" t="n"/>
      <c r="I306" s="17" t="n"/>
      <c r="J306" s="17" t="n"/>
      <c r="K306" s="17" t="n"/>
      <c r="L306" s="17" t="n"/>
    </row>
    <row r="307">
      <c r="B307" s="21" t="n"/>
      <c r="C307" s="22" t="inlineStr">
        <is>
          <t>D</t>
        </is>
      </c>
      <c r="D307" s="22" t="inlineStr">
        <is>
          <t>PSV-73</t>
        </is>
      </c>
      <c r="E307" s="22" t="inlineStr">
        <is>
          <t>PSV-73 Vytápění</t>
        </is>
      </c>
      <c r="F307" s="21" t="n"/>
      <c r="G307" s="21" t="n"/>
      <c r="H307" s="21" t="n"/>
      <c r="I307" s="21" t="n"/>
      <c r="J307" s="21" t="n"/>
      <c r="K307" s="21" t="n"/>
      <c r="L307" s="21" t="n"/>
    </row>
    <row r="308">
      <c r="B308" s="23" t="n">
        <v>122</v>
      </c>
      <c r="C308" s="23" t="inlineStr">
        <is>
          <t>K</t>
        </is>
      </c>
      <c r="D308" s="24" t="inlineStr">
        <is>
          <t>733241011</t>
        </is>
      </c>
      <c r="E308" s="24" t="inlineStr">
        <is>
          <t>Sporáková kamna na tuhá paliva ~10 kW s akumulačním zásobníkem TUV — dodávka</t>
        </is>
      </c>
      <c r="F308" s="23" t="inlineStr">
        <is>
          <t>ks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 t="inlineStr">
        <is>
          <t>TZ ARS dům §4 — sporáková kamna v 1.PP/1.NP zóně</t>
        </is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733281011</t>
        </is>
      </c>
      <c r="E310" s="24" t="inlineStr">
        <is>
          <t>Sporáková kamna — montáž vč. napojení na komín + akumulační zásobník (cca 8 Nh)</t>
        </is>
      </c>
      <c r="F310" s="23" t="inlineStr">
        <is>
          <t>kpl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>
        <f> ks kamen</f>
        <v/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733131221</t>
        </is>
      </c>
      <c r="E312" s="24" t="inlineStr">
        <is>
          <t>Elektrokotel ~8 kW pro 3.NP samostatný byt — dodávka + montáž + napojení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elektrokotel pro 3.NP samostatný byt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733241011</t>
        </is>
      </c>
      <c r="E314" s="24" t="inlineStr">
        <is>
          <t>Krb na tuhá paliva v 3.NP ~6 kW — dodávka + montáž s napojením na samostatný komín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'krbem na tuhá paliva' v 3.NP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733425211</t>
        </is>
      </c>
      <c r="E316" s="24" t="inlineStr">
        <is>
          <t>Multisplit tepelné čerpadlo vzduch-vzduch — 1× venkovní jednotka ~10 kW (silent mode hl. tlaku ≤49 dBA)</t>
        </is>
      </c>
      <c r="F316" s="23" t="inlineStr">
        <is>
          <t>ks</t>
        </is>
      </c>
      <c r="G316" s="25" t="n">
        <v>1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multisplit TČ vzduch-vzduch</t>
        </is>
      </c>
      <c r="F317" s="17" t="n"/>
      <c r="G317" s="30" t="n">
        <v>1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733425221</t>
        </is>
      </c>
      <c r="E318" s="24" t="inlineStr">
        <is>
          <t>Multisplit TČ — 5× vnitřní jednotka v obytných místnostech (1.NP, 2.NP, 3.NP — chlazení + vytápění)</t>
        </is>
      </c>
      <c r="F318" s="23" t="inlineStr">
        <is>
          <t>ks</t>
        </is>
      </c>
      <c r="G318" s="25" t="n">
        <v>5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'vnitřní jednotky v obytných místnostech', odhad 5 ks (3 patra × ~1.7 j/patro)</t>
        </is>
      </c>
      <c r="F319" s="17" t="n"/>
      <c r="G319" s="30" t="n">
        <v>5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734262122</t>
        </is>
      </c>
      <c r="E320" s="24" t="inlineStr">
        <is>
          <t>Revize stávajícího komínu — kontrola, čištění, vystrojení vložkou nerez DN160 pro kamna + krb 3.NP</t>
        </is>
      </c>
      <c r="F320" s="23" t="inlineStr">
        <is>
          <t>kpl</t>
        </is>
      </c>
      <c r="G320" s="25" t="n">
        <v>1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komín revize a úpravy stávajícího</t>
        </is>
      </c>
      <c r="F321" s="17" t="n"/>
      <c r="G321" s="30" t="n">
        <v>1</v>
      </c>
      <c r="H321" s="17" t="n"/>
      <c r="I321" s="17" t="n"/>
      <c r="J321" s="17" t="n"/>
      <c r="K321" s="17" t="n"/>
      <c r="L321" s="17" t="n"/>
    </row>
    <row r="322">
      <c r="B322" s="23" t="n">
        <v>129</v>
      </c>
      <c r="C322" s="23" t="inlineStr">
        <is>
          <t>K</t>
        </is>
      </c>
      <c r="D322" s="24" t="inlineStr">
        <is>
          <t>733111021</t>
        </is>
      </c>
      <c r="E322" s="24" t="inlineStr">
        <is>
          <t>Rozvody otopné soustavy Cu/PEX k vnitřním jednotkám TČ + radiátorům pro doplňkové (cca 100 bm odhad)</t>
        </is>
      </c>
      <c r="F322" s="23" t="inlineStr">
        <is>
          <t>bm</t>
        </is>
      </c>
      <c r="G322" s="25" t="n">
        <v>100</v>
      </c>
      <c r="H322" s="26" t="n"/>
      <c r="I322" s="26">
        <f>IF(H322="",0,G322*H322)</f>
        <v/>
      </c>
      <c r="J322" s="23" t="inlineStr">
        <is>
          <t>ÚRS 2026</t>
        </is>
      </c>
      <c r="K322" s="32" t="inlineStr">
        <is>
          <t>? needs production lookup</t>
        </is>
      </c>
      <c r="L322" s="5" t="inlineStr">
        <is>
          <t>PSV-73 Vytápění</t>
        </is>
      </c>
    </row>
    <row r="323">
      <c r="B323" s="17" t="n"/>
      <c r="C323" s="28" t="inlineStr">
        <is>
          <t>VV</t>
        </is>
      </c>
      <c r="D323" s="17" t="n"/>
      <c r="E323" s="29" t="inlineStr">
        <is>
          <t>TZ ARS — vyjasnění #6 working assumption, multisplit + doplň. radiátory</t>
        </is>
      </c>
      <c r="F323" s="17" t="n"/>
      <c r="G323" s="30" t="n">
        <v>100</v>
      </c>
      <c r="H323" s="17" t="n"/>
      <c r="I323" s="17" t="n"/>
      <c r="J323" s="17" t="n"/>
      <c r="K323" s="17" t="n"/>
      <c r="L323" s="17" t="n"/>
    </row>
    <row r="324">
      <c r="B324" s="21" t="n"/>
      <c r="C324" s="22" t="inlineStr">
        <is>
          <t>D</t>
        </is>
      </c>
      <c r="D324" s="22" t="inlineStr">
        <is>
          <t>PSV-76</t>
        </is>
      </c>
      <c r="E324" s="22" t="inlineStr">
        <is>
          <t>PSV-76 Klempíř</t>
        </is>
      </c>
      <c r="F324" s="21" t="n"/>
      <c r="G324" s="21" t="n"/>
      <c r="H324" s="21" t="n"/>
      <c r="I324" s="21" t="n"/>
      <c r="J324" s="21" t="n"/>
      <c r="K324" s="21" t="n"/>
      <c r="L324" s="21" t="n"/>
    </row>
    <row r="325">
      <c r="B325" s="23" t="n">
        <v>130</v>
      </c>
      <c r="C325" s="23" t="inlineStr">
        <is>
          <t>K</t>
        </is>
      </c>
      <c r="D325" s="24" t="inlineStr">
        <is>
          <t>764312235</t>
        </is>
      </c>
      <c r="E325" s="24" t="inlineStr">
        <is>
          <t>Klempířské oplechování krytiny — úžlabí, hřeben, štítové lemy (Al / Pzn lakovaný 0.55 mm)</t>
        </is>
      </c>
      <c r="F325" s="23" t="inlineStr">
        <is>
          <t>bm</t>
        </is>
      </c>
      <c r="G325" s="25" t="n">
        <v>69.5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 t="inlineStr">
        <is>
          <t>DXF klempířina total 173.8 m × 0.40 (oplechování+úžlabí+hřeben+lemy) = 69.5 bm</t>
        </is>
      </c>
      <c r="F326" s="17" t="n"/>
      <c r="G326" s="30" t="n">
        <v>69.5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764218201</t>
        </is>
      </c>
      <c r="E327" s="24" t="inlineStr">
        <is>
          <t>Venkovní parapety oken — Pzn plech lakovaný 250 mm × tl. 0.55 mm × 16 ks oken</t>
        </is>
      </c>
      <c r="F327" s="23" t="inlineStr">
        <is>
          <t>bm</t>
        </is>
      </c>
      <c r="G327" s="25" t="n">
        <v>20.8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>
        <f> 16 oken (DXF INSERT) × průměrná šíře 1.3 m parapetu</f>
        <v/>
      </c>
      <c r="F328" s="17" t="n"/>
      <c r="G328" s="30" t="n">
        <v>20.8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764454802</t>
        </is>
      </c>
      <c r="E329" s="24" t="inlineStr">
        <is>
          <t>Dešťové svody Pzn 100 mm + žlaby — 4 svody × ~14 m + žlaby per obvod střechy</t>
        </is>
      </c>
      <c r="F329" s="23" t="inlineStr">
        <is>
          <t>bm</t>
        </is>
      </c>
      <c r="G329" s="25" t="n">
        <v>43.5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0.25 (svody+žlaby) = 43.5 bm</t>
        </is>
      </c>
      <c r="F330" s="17" t="n"/>
      <c r="G330" s="30" t="n">
        <v>43.5</v>
      </c>
      <c r="H330" s="17" t="n"/>
      <c r="I330" s="17" t="n"/>
      <c r="J330" s="17" t="n"/>
      <c r="K330" s="17" t="n"/>
      <c r="L330" s="17" t="n"/>
    </row>
    <row r="331">
      <c r="B331" s="23" t="n">
        <v>133</v>
      </c>
      <c r="C331" s="23" t="inlineStr">
        <is>
          <t>K</t>
        </is>
      </c>
      <c r="D331" s="24" t="inlineStr">
        <is>
          <t>764315235</t>
        </is>
      </c>
      <c r="E331" s="24" t="inlineStr">
        <is>
          <t>Klempířské doplňky vikýřů + atika + závětrné lemy (4 vikýře komplexní detail)</t>
        </is>
      </c>
      <c r="F331" s="23" t="inlineStr">
        <is>
          <t>bm</t>
        </is>
      </c>
      <c r="G331" s="25" t="n">
        <v>26.1</v>
      </c>
      <c r="H331" s="26" t="n"/>
      <c r="I331" s="26">
        <f>IF(H331="",0,G331*H331)</f>
        <v/>
      </c>
      <c r="J331" s="23" t="inlineStr">
        <is>
          <t>ÚRS 2026</t>
        </is>
      </c>
      <c r="K331" s="31" t="inlineStr">
        <is>
          <t>⚠ chapter OK, leaf KROS lookup [evidence: https://www.cs-urs.cz/podminky/cu201/800-764-Konstrukce-klem]</t>
        </is>
      </c>
      <c r="L331" s="5" t="inlineStr">
        <is>
          <t>PSV-76 Klempíř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DXF klempířina total 173.8 m × 0.15 (vikýře+atika+lemy) = 26.1 bm</t>
        </is>
      </c>
      <c r="F332" s="17" t="n"/>
      <c r="G332" s="30" t="n">
        <v>26.1</v>
      </c>
      <c r="H332" s="17" t="n"/>
      <c r="I332" s="17" t="n"/>
      <c r="J332" s="17" t="n"/>
      <c r="K332" s="17" t="n"/>
      <c r="L332" s="17" t="n"/>
    </row>
    <row r="333">
      <c r="B333" s="21" t="n"/>
      <c r="C333" s="22" t="inlineStr">
        <is>
          <t>D</t>
        </is>
      </c>
      <c r="D333" s="22" t="inlineStr">
        <is>
          <t>PSV-76</t>
        </is>
      </c>
      <c r="E333" s="22" t="inlineStr">
        <is>
          <t>PSV-76 Truhlář</t>
        </is>
      </c>
      <c r="F333" s="21" t="n"/>
      <c r="G333" s="21" t="n"/>
      <c r="H333" s="21" t="n"/>
      <c r="I333" s="21" t="n"/>
      <c r="J333" s="21" t="n"/>
      <c r="K333" s="21" t="n"/>
      <c r="L333" s="21" t="n"/>
    </row>
    <row r="334">
      <c r="B334" s="23" t="n">
        <v>134</v>
      </c>
      <c r="C334" s="23" t="inlineStr">
        <is>
          <t>K</t>
        </is>
      </c>
      <c r="D334" s="24" t="inlineStr">
        <is>
          <t>766811111</t>
        </is>
      </c>
      <c r="E334" s="24" t="inlineStr">
        <is>
          <t>Dřevěné stupně ocelových schodišť (truhlářské, dub masiv tl. 40 mm)</t>
        </is>
      </c>
      <c r="F334" s="23" t="inlineStr">
        <is>
          <t>ks</t>
        </is>
      </c>
      <c r="G334" s="25" t="n">
        <v>16</v>
      </c>
      <c r="H334" s="26" t="n"/>
      <c r="I334" s="26">
        <f>IF(H334="",0,G334*H334)</f>
        <v/>
      </c>
      <c r="J334" s="23" t="inlineStr">
        <is>
          <t>ÚRS 2026</t>
        </is>
      </c>
      <c r="K334" s="32" t="inlineStr">
        <is>
          <t>? needs production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2 schodiště × ~8 stupňů = 16</t>
        </is>
      </c>
      <c r="F335" s="17" t="n"/>
      <c r="G335" s="30" t="n">
        <v>16</v>
      </c>
      <c r="H335" s="17" t="n"/>
      <c r="I335" s="17" t="n"/>
      <c r="J335" s="17" t="n"/>
      <c r="K335" s="17" t="n"/>
      <c r="L335" s="17" t="n"/>
    </row>
    <row r="336">
      <c r="B336" s="23" t="n">
        <v>135</v>
      </c>
      <c r="C336" s="23" t="inlineStr">
        <is>
          <t>K</t>
        </is>
      </c>
      <c r="D336" s="24" t="inlineStr"/>
      <c r="E336" s="24" t="inlineStr">
        <is>
          <t>Dřevěná terasa za opěrnou stěnou — prkna garapa 145×25 mm na dřevěném roštu z hranolů 50 mm na rektifikovatelných terčích (terče + podkladní skladba viz HSV1.005)</t>
        </is>
      </c>
      <c r="F336" s="23" t="inlineStr">
        <is>
          <t>m²</t>
        </is>
      </c>
      <c r="G336" s="25" t="n">
        <v>9.23</v>
      </c>
      <c r="H336" s="26" t="n"/>
      <c r="I336" s="26">
        <f>IF(H336="",0,G336*H336)</f>
        <v/>
      </c>
      <c r="J336" s="23" t="inlineStr">
        <is>
          <t>ÚRS 2026</t>
        </is>
      </c>
      <c r="K336" s="33" t="inlineStr">
        <is>
          <t>❌ MANUAL — KROS catalog lookup</t>
        </is>
      </c>
      <c r="L336" s="5" t="inlineStr">
        <is>
          <t>PSV-76 Truhlář</t>
        </is>
      </c>
    </row>
    <row r="337">
      <c r="B337" s="17" t="n"/>
      <c r="C337" s="28" t="inlineStr">
        <is>
          <t>VV</t>
        </is>
      </c>
      <c r="D337" s="17" t="n"/>
      <c r="E337" s="29" t="inlineStr">
        <is>
          <t>Situace měření 2026-05-29 — dřevěná terasa (line-hatch zpevněné plochy) = 9.23 m². Dříve ODHAD 30 m². Terče + podkladní skladba viz HSV1.005 (split-by-trade).</t>
        </is>
      </c>
      <c r="F337" s="17" t="n"/>
      <c r="G337" s="30" t="n">
        <v>9.23</v>
      </c>
      <c r="H337" s="17" t="n"/>
      <c r="I337" s="17" t="n"/>
      <c r="J337" s="17" t="n"/>
      <c r="K337" s="17" t="n"/>
      <c r="L337" s="17" t="n"/>
    </row>
    <row r="338">
      <c r="B338" s="21" t="n"/>
      <c r="C338" s="22" t="inlineStr">
        <is>
          <t>D</t>
        </is>
      </c>
      <c r="D338" s="22" t="inlineStr">
        <is>
          <t>PSV-76</t>
        </is>
      </c>
      <c r="E338" s="22" t="inlineStr">
        <is>
          <t>PSV-76 Výplně otvorů</t>
        </is>
      </c>
      <c r="F338" s="21" t="n"/>
      <c r="G338" s="21" t="n"/>
      <c r="H338" s="21" t="n"/>
      <c r="I338" s="21" t="n"/>
      <c r="J338" s="21" t="n"/>
      <c r="K338" s="21" t="n"/>
      <c r="L338" s="21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1.NP' velikost 1185×1600 mm × 2 ks (fasáda ulice)</t>
        </is>
      </c>
      <c r="F339" s="23" t="inlineStr">
        <is>
          <t>ks</t>
        </is>
      </c>
      <c r="G339" s="25" t="n">
        <v>2</v>
      </c>
      <c r="H339" s="26" t="n"/>
      <c r="I339" s="26">
        <f>IF(H339="",0,G339*H339)</f>
        <v/>
      </c>
      <c r="J339" s="23" t="inlineStr">
        <is>
          <t>ÚRS 2026</t>
        </is>
      </c>
      <c r="K339" s="31" t="inlineStr">
        <is>
          <t>⚠ family OK, leaf KROS lookup [evidence: https://www.vekra.cz/radce/plastova-okna-s-trojsklem/]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1.NP' count = 2 ks × bbox 1185×1600 mm = 3.8 m² fasády</t>
        </is>
      </c>
      <c r="F340" s="17" t="n"/>
      <c r="G340" s="30" t="n">
        <v>2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1.NP vzadu' velikost 920×1600 mm × 3 ks (fasáda zahrada)</t>
        </is>
      </c>
      <c r="F341" s="23" t="inlineStr">
        <is>
          <t>ks</t>
        </is>
      </c>
      <c r="G341" s="25" t="n">
        <v>3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1.NP vzadu' count = 3 ks × bbox 920×1600 mm = 4.41 m² fasády</t>
        </is>
      </c>
      <c r="F342" s="17" t="n"/>
      <c r="G342" s="30" t="n">
        <v>3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2.NP' velikost 1160×1480 mm × 4 ks (fasáda ulice)</t>
        </is>
      </c>
      <c r="F343" s="23" t="inlineStr">
        <is>
          <t>ks</t>
        </is>
      </c>
      <c r="G343" s="25" t="n">
        <v>4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2.NP' count = 4 ks × bbox 1160×1480 mm = 6.88 m² fasády</t>
        </is>
      </c>
      <c r="F344" s="17" t="n"/>
      <c r="G344" s="30" t="n">
        <v>4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3.NP' velikost 1785×1241 mm × 3 ks (fasáda ulice)</t>
        </is>
      </c>
      <c r="F345" s="23" t="inlineStr">
        <is>
          <t>ks</t>
        </is>
      </c>
      <c r="G345" s="25" t="n">
        <v>3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3.NP' count = 3 ks × bbox 1785×1241 mm = 6.66 m² fasády</t>
        </is>
      </c>
      <c r="F346" s="17" t="n"/>
      <c r="G346" s="30" t="n">
        <v>3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3.NP vzadu' velikost 2075×1241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3.NP vzadu' count = 1 ks × bbox 2075×1241 mm = 2.57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male 3.NP vzadu' velikost 800×1241 mm × 1 ks (fasáda zahrada)</t>
        </is>
      </c>
      <c r="F349" s="23" t="inlineStr">
        <is>
          <t>ks</t>
        </is>
      </c>
      <c r="G349" s="25" t="n">
        <v>1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male 3.NP vzadu' count = 1 ks × bbox 800×1241 mm = 0.99 m² fasády</t>
        </is>
      </c>
      <c r="F350" s="17" t="n"/>
      <c r="G350" s="30" t="n">
        <v>1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766621011</t>
        </is>
      </c>
      <c r="E351" s="24" t="inlineStr">
        <is>
          <t>Plastové okno izolačním trojsklem Uw=0.85 W/m²K — typ 'okno malé vzadu' velikost 700×800 mm × 2 ks (fasáda zahrada)</t>
        </is>
      </c>
      <c r="F351" s="23" t="inlineStr">
        <is>
          <t>ks</t>
        </is>
      </c>
      <c r="G351" s="25" t="n">
        <v>2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DXF INSERT block name 'okno malé vzadu' count = 2 ks × bbox 700×800 mm = 1.12 m² fasády</t>
        </is>
      </c>
      <c r="F352" s="17" t="n"/>
      <c r="G352" s="30" t="n">
        <v>2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766631211</t>
        </is>
      </c>
      <c r="E353" s="24" t="inlineStr">
        <is>
          <t>Integrované stínící venkovní žaluzie v kastlíku pod omítkou s purenitovou izolací — uliční fasáda Fibichova (9 ks)</t>
        </is>
      </c>
      <c r="F353" s="23" t="inlineStr">
        <is>
          <t>ks</t>
        </is>
      </c>
      <c r="G353" s="25" t="n">
        <v>9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Σ uličních oken (block names bez 'vzadu' = okno 1.NP 2 + okno 2.NP 4 + okno 3.NP 3) = 9 ks</t>
        </is>
      </c>
      <c r="F354" s="17" t="n"/>
      <c r="G354" s="30" t="n">
        <v>9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766682111</t>
        </is>
      </c>
      <c r="E355" s="24" t="inlineStr">
        <is>
          <t>Plastové vstupní dveře (ulice + zahrada) — 2 ks</t>
        </is>
      </c>
      <c r="F355" s="23" t="inlineStr">
        <is>
          <t>ks</t>
        </is>
      </c>
      <c r="G355" s="25" t="n">
        <v>2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TZ ARS — vstupní plastové dveře</t>
        </is>
      </c>
      <c r="F356" s="17" t="n"/>
      <c r="G356" s="30" t="n">
        <v>2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766660035</t>
        </is>
      </c>
      <c r="E357" s="24" t="inlineStr">
        <is>
          <t>Vnitřní dveře DTD laminované s obložkovou zárubní — odhad 15 ks</t>
        </is>
      </c>
      <c r="F357" s="23" t="inlineStr">
        <is>
          <t>ks</t>
        </is>
      </c>
      <c r="G357" s="25" t="n">
        <v>15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3 patra × ~5 dveří (4 pokoje + chodba): 1.NP byt + 2.NP děti + 3.NP nový byt</t>
        </is>
      </c>
      <c r="F358" s="17" t="n"/>
      <c r="G358" s="30" t="n">
        <v>15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766694112</t>
        </is>
      </c>
      <c r="E359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9" s="23" t="inlineStr">
        <is>
          <t>ks</t>
        </is>
      </c>
      <c r="G359" s="25" t="n">
        <v>1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1× dveře na vrcholu schodiště 1.PP/1.NP (room 1.08 → 0.01) per PBŘ TUSPO</t>
        </is>
      </c>
      <c r="F360" s="17" t="n"/>
      <c r="G360" s="30" t="n">
        <v>1</v>
      </c>
      <c r="H360" s="17" t="n"/>
      <c r="I360" s="17" t="n"/>
      <c r="J360" s="17" t="n"/>
      <c r="K360" s="17" t="n"/>
      <c r="L360" s="17" t="n"/>
    </row>
    <row r="361">
      <c r="B361" s="23" t="n">
        <v>147</v>
      </c>
      <c r="C361" s="23" t="inlineStr">
        <is>
          <t>K</t>
        </is>
      </c>
      <c r="D361" s="24" t="inlineStr">
        <is>
          <t>764811112</t>
        </is>
      </c>
      <c r="E361" s="24" t="inlineStr">
        <is>
          <t>Oplechování venkovních parapetů Pzn plech lakovaný 250 mm × tl. 0.55 mm, vč. okapnice + boční zakončení — 16 ks (per DXF INSERT okno × 16)</t>
        </is>
      </c>
      <c r="F361" s="23" t="inlineStr">
        <is>
          <t>ks</t>
        </is>
      </c>
      <c r="G361" s="25" t="n">
        <v>16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PSV-76 Výplně otvorů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DXF okno × 16 ks (Path C Tier 4) = 16 parapetů</t>
        </is>
      </c>
      <c r="F362" s="17" t="n"/>
      <c r="G362" s="30" t="n">
        <v>16</v>
      </c>
      <c r="H362" s="17" t="n"/>
      <c r="I362" s="17" t="n"/>
      <c r="J362" s="17" t="n"/>
      <c r="K362" s="17" t="n"/>
      <c r="L362" s="17" t="n"/>
    </row>
    <row r="363">
      <c r="B363" s="21" t="n"/>
      <c r="C363" s="22" t="inlineStr">
        <is>
          <t>D</t>
        </is>
      </c>
      <c r="D363" s="22" t="inlineStr">
        <is>
          <t>PSV-76</t>
        </is>
      </c>
      <c r="E363" s="22" t="inlineStr">
        <is>
          <t>PSV-76 Zámečnictví</t>
        </is>
      </c>
      <c r="F363" s="21" t="n"/>
      <c r="G363" s="21" t="n"/>
      <c r="H363" s="21" t="n"/>
      <c r="I363" s="21" t="n"/>
      <c r="J363" s="21" t="n"/>
      <c r="K363" s="21" t="n"/>
      <c r="L363" s="21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Ocelové schodiště ze zahrady na mezipodestu — UPE200 schodnice + dřevěné nášlapy, kotvené do koruny opěrné stěny a zdiva (TZ statika §4)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(~8 stupňů × ~3 m výška)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767531111</t>
        </is>
      </c>
      <c r="E366" s="24" t="inlineStr">
        <is>
          <t>Interní ocelové schodiště do spacího patra v 3.NP s dřevěnými stupni (truhlářské)</t>
        </is>
      </c>
      <c r="F366" s="23" t="inlineStr">
        <is>
          <t>kpl</t>
        </is>
      </c>
      <c r="G366" s="25" t="n">
        <v>1</v>
      </c>
      <c r="H366" s="26" t="n"/>
      <c r="I366" s="26">
        <f>IF(H366="",0,G366*H366)</f>
        <v/>
      </c>
      <c r="J366" s="23" t="inlineStr">
        <is>
          <t>ÚRS 2026</t>
        </is>
      </c>
      <c r="K366" s="31" t="inlineStr">
        <is>
          <t>⚠ family OK, leaf KROS lookup [evidence: https://www.obchodprodilnu.cz/produkty/stavebni-prvky-a-mate]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1 schodiště do podkroví (TZ ARS)</t>
        </is>
      </c>
      <c r="F367" s="17" t="n"/>
      <c r="G367" s="30" t="n">
        <v>1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767532111</t>
        </is>
      </c>
      <c r="E368" s="24" t="inlineStr">
        <is>
          <t>Stříšky nad vstupy z ocelové konstrukce + Cetris desky + falcovaná krytina — 2 ks (ulice + zahrada)</t>
        </is>
      </c>
      <c r="F368" s="23" t="inlineStr">
        <is>
          <t>ks</t>
        </is>
      </c>
      <c r="G368" s="25" t="n">
        <v>2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2 vstupy</t>
        </is>
      </c>
      <c r="F369" s="17" t="n"/>
      <c r="G369" s="30" t="n">
        <v>2</v>
      </c>
      <c r="H369" s="17" t="n"/>
      <c r="I369" s="17" t="n"/>
      <c r="J369" s="17" t="n"/>
      <c r="K369" s="17" t="n"/>
      <c r="L369" s="17" t="n"/>
    </row>
    <row r="370">
      <c r="B370" s="23" t="n">
        <v>151</v>
      </c>
      <c r="C370" s="23" t="inlineStr">
        <is>
          <t>K</t>
        </is>
      </c>
      <c r="D370" s="24" t="inlineStr">
        <is>
          <t>767163115</t>
        </is>
      </c>
      <c r="E370" s="24" t="inlineStr">
        <is>
          <t>Ocelové zábradlí svařované z jeklů + nerez výplň pZn antracit — schodiště interier + venkovní terasa</t>
        </is>
      </c>
      <c r="F370" s="23" t="inlineStr">
        <is>
          <t>bm</t>
        </is>
      </c>
      <c r="G370" s="25" t="n">
        <v>18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PSV-76 Zámečnictví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odhad 12 m interier (2 schodiště × 6 m) + 6 m terasa</t>
        </is>
      </c>
      <c r="F371" s="17" t="n"/>
      <c r="G371" s="30" t="n">
        <v>18</v>
      </c>
      <c r="H371" s="17" t="n"/>
      <c r="I371" s="17" t="n"/>
      <c r="J371" s="17" t="n"/>
      <c r="K371" s="17" t="n"/>
      <c r="L371" s="17" t="n"/>
    </row>
    <row r="372">
      <c r="B372" s="21" t="n"/>
      <c r="C372" s="22" t="inlineStr">
        <is>
          <t>D</t>
        </is>
      </c>
      <c r="D372" s="22" t="inlineStr">
        <is>
          <t>PSV-77</t>
        </is>
      </c>
      <c r="E372" s="22" t="inlineStr">
        <is>
          <t>PSV-77 Podlahy</t>
        </is>
      </c>
      <c r="F372" s="21" t="n"/>
      <c r="G372" s="21" t="n"/>
      <c r="H372" s="21" t="n"/>
      <c r="I372" s="21" t="n"/>
      <c r="J372" s="21" t="n"/>
      <c r="K372" s="21" t="n"/>
      <c r="L372" s="21" t="n"/>
    </row>
    <row r="373">
      <c r="B373" s="23" t="n">
        <v>152</v>
      </c>
      <c r="C373" s="23" t="inlineStr">
        <is>
          <t>K</t>
        </is>
      </c>
      <c r="D373" s="24" t="inlineStr">
        <is>
          <t>776511820</t>
        </is>
      </c>
      <c r="E373" s="24" t="inlineStr">
        <is>
          <t>Nášlapná vrstva vinyl tl. 4 mm na suchou skladbu — obytné místnosti (ložnice, obývák, kuchyně, chodby)</t>
        </is>
      </c>
      <c r="F373" s="23" t="inlineStr">
        <is>
          <t>m²</t>
        </is>
      </c>
      <c r="G373" s="25" t="n">
        <v>171.5</v>
      </c>
      <c r="H373" s="26" t="n"/>
      <c r="I373" s="26">
        <f>IF(H373="",0,G373*H373)</f>
        <v/>
      </c>
      <c r="J373" s="23" t="inlineStr">
        <is>
          <t>ÚRS 2026</t>
        </is>
      </c>
      <c r="K373" s="31" t="inlineStr">
        <is>
          <t>⚠ family OK, leaf KROS lookup [evidence: https://podminky.urs.cz/item/CS_URS_2021_02/776321212]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1.01=12.4 + 1.02=3.6 + 1.06=24.0 + 1.07=9.4 + 1.08=3.8 + 2.01=7.3 + 2.02=5.9 + 2.04=15.5 + 2.05=14.1 + 2.06=15.8 + 3.01=7.6 + 3.02=4.1 + 3.03=2.4 + 3.05=32.8 + 3.06=12.8 = 171.5 m²</t>
        </is>
      </c>
      <c r="F374" s="17" t="n"/>
      <c r="G374" s="30" t="n">
        <v>171.5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lepená — koupelny + WC + spíž + komora (NÁDRŽ NP)</t>
        </is>
      </c>
      <c r="F375" s="23" t="inlineStr">
        <is>
          <t>m²</t>
        </is>
      </c>
      <c r="G375" s="25" t="n">
        <v>13.5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1.03=0.7 + 1.04=1.5 + 1.05=4.1 + 2.03=2.4 + 3.04=4.8 = 13.5 m²</t>
        </is>
      </c>
      <c r="F376" s="17" t="n"/>
      <c r="G376" s="30" t="n">
        <v>13.5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771274102</t>
        </is>
      </c>
      <c r="E377" s="24" t="inlineStr">
        <is>
          <t>Nášlapná vrstva keramická dlažba — 1.PP technické místnosti (sušárna + sklepy + schodiště + chodba)</t>
        </is>
      </c>
      <c r="F377" s="23" t="inlineStr">
        <is>
          <t>m²</t>
        </is>
      </c>
      <c r="G377" s="25" t="n">
        <v>32.4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0.01=3.5 + 0.02=4.4 + 0.03=22.2 + 0.04=2.3 = 32.4 m²</t>
        </is>
      </c>
      <c r="F378" s="17" t="n"/>
      <c r="G378" s="30" t="n">
        <v>32.4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766411111</t>
        </is>
      </c>
      <c r="E379" s="24" t="inlineStr">
        <is>
          <t>Nášlapná vrstva biodeska (smrk masiv) nebo OSB v 3.NP spací části nad krovem</t>
        </is>
      </c>
      <c r="F379" s="23" t="inlineStr">
        <is>
          <t>m²</t>
        </is>
      </c>
      <c r="G379" s="25" t="n">
        <v>25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80" s="17" t="n"/>
      <c r="G380" s="30" t="n">
        <v>25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631321311</t>
        </is>
      </c>
      <c r="E381" s="24" t="inlineStr">
        <is>
          <t>Mokrá podlahová skladba — betonový potěr s kari síťkou 4/100/100 tl. 50 mm + samonivelační stěrka</t>
        </is>
      </c>
      <c r="F381" s="23" t="inlineStr">
        <is>
          <t>m²</t>
        </is>
      </c>
      <c r="G381" s="25" t="n">
        <v>126.4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1.NP+3.NP + dlažba mokré (vyňato 2.NP suchá skladba) = 126.4 m²</t>
        </is>
      </c>
      <c r="F382" s="17" t="n"/>
      <c r="G382" s="30" t="n">
        <v>126.4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776511831</t>
        </is>
      </c>
      <c r="E383" s="24" t="inlineStr">
        <is>
          <t>Soklíky podlahové laminátové (dub) v obytných místnostech s vinyl podlahou</t>
        </is>
      </c>
      <c r="F383" s="23" t="inlineStr">
        <is>
          <t>bm</t>
        </is>
      </c>
      <c r="G383" s="25" t="n">
        <v>72.03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vinyl plocha 171.5 m² × 0.42 m soklíku/m² (typ. obvod/plocha ratio v Czech RD místnosti) = 72.03 bm</t>
        </is>
      </c>
      <c r="F384" s="17" t="n"/>
      <c r="G384" s="30" t="n">
        <v>72.03</v>
      </c>
      <c r="H384" s="17" t="n"/>
      <c r="I384" s="17" t="n"/>
      <c r="J384" s="17" t="n"/>
      <c r="K384" s="17" t="n"/>
      <c r="L384" s="17" t="n"/>
    </row>
    <row r="385">
      <c r="B385" s="23" t="n">
        <v>158</v>
      </c>
      <c r="C385" s="23" t="inlineStr">
        <is>
          <t>K</t>
        </is>
      </c>
      <c r="D385" s="24" t="inlineStr">
        <is>
          <t>771274107</t>
        </is>
      </c>
      <c r="E385" s="24" t="inlineStr">
        <is>
          <t>Soklíky keramické v místnostech s dlažbou (koupelny + WC + spíž + 1.PP)</t>
        </is>
      </c>
      <c r="F385" s="23" t="inlineStr">
        <is>
          <t>bm</t>
        </is>
      </c>
      <c r="G385" s="25" t="n">
        <v>19.28</v>
      </c>
      <c r="H385" s="26" t="n"/>
      <c r="I385" s="26">
        <f>IF(H385="",0,G385*H385)</f>
        <v/>
      </c>
      <c r="J385" s="23" t="inlineStr">
        <is>
          <t>ÚRS 2026</t>
        </is>
      </c>
      <c r="K385" s="32" t="inlineStr">
        <is>
          <t>? needs production lookup</t>
        </is>
      </c>
      <c r="L385" s="5" t="inlineStr">
        <is>
          <t>PSV-77 Podlahy</t>
        </is>
      </c>
    </row>
    <row r="386">
      <c r="B386" s="17" t="n"/>
      <c r="C386" s="28" t="inlineStr">
        <is>
          <t>VV</t>
        </is>
      </c>
      <c r="D386" s="17" t="n"/>
      <c r="E386" s="29" t="inlineStr">
        <is>
          <t>(dlažba mokré 13.5 + dlažba sklep 32.4) × 0.42 m soklíku/m² = 19.28 bm</t>
        </is>
      </c>
      <c r="F386" s="17" t="n"/>
      <c r="G386" s="30" t="n">
        <v>19.28</v>
      </c>
      <c r="H386" s="17" t="n"/>
      <c r="I386" s="17" t="n"/>
      <c r="J386" s="17" t="n"/>
      <c r="K386" s="17" t="n"/>
      <c r="L386" s="17" t="n"/>
    </row>
    <row r="387">
      <c r="B387" s="21" t="n"/>
      <c r="C387" s="22" t="inlineStr">
        <is>
          <t>D</t>
        </is>
      </c>
      <c r="D387" s="22" t="inlineStr">
        <is>
          <t>PSV-78</t>
        </is>
      </c>
      <c r="E387" s="22" t="inlineStr">
        <is>
          <t>PSV-78 Povrchové úpravy</t>
        </is>
      </c>
      <c r="F387" s="21" t="n"/>
      <c r="G387" s="21" t="n"/>
      <c r="H387" s="21" t="n"/>
      <c r="I387" s="21" t="n"/>
      <c r="J387" s="21" t="n"/>
      <c r="K387" s="21" t="n"/>
      <c r="L387" s="21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1.PP (stávající vyspravené + nové zděné)</t>
        </is>
      </c>
      <c r="F388" s="23" t="inlineStr">
        <is>
          <t>m²</t>
        </is>
      </c>
      <c r="G388" s="25" t="n">
        <v>78.2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9" s="17" t="n"/>
      <c r="G389" s="30" t="n">
        <v>78.2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1.NP (stávající vyspravené + nové zděné)</t>
        </is>
      </c>
      <c r="F390" s="23" t="inlineStr">
        <is>
          <t>m²</t>
        </is>
      </c>
      <c r="G390" s="25" t="n">
        <v>208.4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91" s="17" t="n"/>
      <c r="G391" s="30" t="n">
        <v>208.4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2.NP (stávající vyspravené + nové zděné)</t>
        </is>
      </c>
      <c r="F392" s="23" t="inlineStr">
        <is>
          <t>m²</t>
        </is>
      </c>
      <c r="G392" s="25" t="n">
        <v>201.6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3" s="17" t="n"/>
      <c r="G393" s="30" t="n">
        <v>201.6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612311311</t>
        </is>
      </c>
      <c r="E394" s="24" t="inlineStr">
        <is>
          <t>Omítka jádrová vápenocementová tl. 15 mm + štuková povrchová úprava na stěnách 3.NP (stávající vyspravené + nové zděné)</t>
        </is>
      </c>
      <c r="F394" s="23" t="inlineStr">
        <is>
          <t>m²</t>
        </is>
      </c>
      <c r="G394" s="25" t="n">
        <v>179.1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5" s="17" t="n"/>
      <c r="G395" s="30" t="n">
        <v>179.1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(1.NP)</t>
        </is>
      </c>
      <c r="F396" s="23" t="inlineStr">
        <is>
          <t>m²</t>
        </is>
      </c>
      <c r="G396" s="25" t="n">
        <v>59.5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1.01=12.4 + 1.02=3.6 + 1.03=0.7 + 1.04=1.5 + 1.05=4.1 + 1.06=24.0 + 1.07=9.4 + 1.08=3.8 = 59.5 m²</t>
        </is>
      </c>
      <c r="F397" s="17" t="n"/>
      <c r="G397" s="30" t="n">
        <v>59.5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(2.NP)</t>
        </is>
      </c>
      <c r="F398" s="23" t="inlineStr">
        <is>
          <t>m²</t>
        </is>
      </c>
      <c r="G398" s="25" t="n">
        <v>61.1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2.01=7.3 + 2.02=5.9 + 2.03=2.4 + 2.04=15.5 + 2.05=14.1 + 2.06=15.8 = 61.1 m²</t>
        </is>
      </c>
      <c r="F399" s="17" t="n"/>
      <c r="G399" s="30" t="n">
        <v>61.1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612471141</t>
        </is>
      </c>
      <c r="E400" s="24" t="inlineStr">
        <is>
          <t>SDK podhled + případné předstěny — tmelení spojů Q3 + povrchová úprava před výmalbou (3.NP)</t>
        </is>
      </c>
      <c r="F400" s="23" t="inlineStr">
        <is>
          <t>m²</t>
        </is>
      </c>
      <c r="G400" s="25" t="n">
        <v>64.5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3.01=7.6 + 3.02=4.1 + 3.03=2.4 + 3.04=4.8 + 3.05=32.8 + 3.06=12.8 = 64.5 m²</t>
        </is>
      </c>
      <c r="F401" s="17" t="n"/>
      <c r="G401" s="30" t="n">
        <v>64.5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1.05 1.NP — výška obkladu 1.6 m (z DXF km Obklady layer)</t>
        </is>
      </c>
      <c r="F402" s="23" t="inlineStr">
        <is>
          <t>m²</t>
        </is>
      </c>
      <c r="G402" s="25" t="n">
        <v>13.4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1.05 perimeter 8.4 bm × DXF km Obklady layer výška 1.6 m (per-koupelna explicit, NE uniform 2.0 m fallback) = 13.4 m²</t>
        </is>
      </c>
      <c r="F403" s="17" t="n"/>
      <c r="G403" s="30" t="n">
        <v>13.4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2.03 2.NP — výška obkladu 2.45 m (z DXF km Obklady layer)</t>
        </is>
      </c>
      <c r="F404" s="23" t="inlineStr">
        <is>
          <t>m²</t>
        </is>
      </c>
      <c r="G404" s="25" t="n">
        <v>15.2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2.03 perimeter 6.2 bm × DXF km Obklady layer výška 2.45 m (per-koupelna explicit, NE uniform 2.0 m fallback) = 15.2 m²</t>
        </is>
      </c>
      <c r="F405" s="17" t="n"/>
      <c r="G405" s="30" t="n">
        <v>15.2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stěn koupelny 3.04 3.NP — výška obkladu 2.7 m (z DXF km Obklady layer)</t>
        </is>
      </c>
      <c r="F406" s="23" t="inlineStr">
        <is>
          <t>m²</t>
        </is>
      </c>
      <c r="G406" s="25" t="n">
        <v>24.3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IP_obrysy místností room 3.04 perimeter 9.0 bm × DXF km Obklady layer výška 2.7 m (per-koupelna explicit, NE uniform 2.0 m fallback) = 24.3 m²</t>
        </is>
      </c>
      <c r="F407" s="17" t="n"/>
      <c r="G407" s="30" t="n">
        <v>24.3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781447001</t>
        </is>
      </c>
      <c r="E408" s="24" t="inlineStr">
        <is>
          <t>Keramický obklad za kuchyňskou linkou nad pracovní deskou — 2 kuchyně × ~5 m² (1.06 byt rodičů + 3.05 byt 3.NP)</t>
        </is>
      </c>
      <c r="F408" s="23" t="inlineStr">
        <is>
          <t>m²</t>
        </is>
      </c>
      <c r="G408" s="25" t="n">
        <v>10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DXF dum_DPZ 2× kuchyně MTEXT (rooms 1.06 obyt+kuchyně + 3.05 obyt+kuchyně) × 5 m² obklad za linkou = 10 m²</t>
        </is>
      </c>
      <c r="F409" s="17" t="n"/>
      <c r="G409" s="30" t="n">
        <v>10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1.PP — sklep stěny + klenba bílá vápenná 2×</t>
        </is>
      </c>
      <c r="F410" s="23" t="inlineStr">
        <is>
          <t>m²</t>
        </is>
      </c>
      <c r="G410" s="25" t="n">
        <v>78.2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1.PP 78.2 m² + SDK podhled 0 m² − obklad 0 m² = 78.2 m² (per-podlaží split per audit v2 GAP_007)</t>
        </is>
      </c>
      <c r="F411" s="17" t="n"/>
      <c r="G411" s="30" t="n">
        <v>78.2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1.NP — stěny + SDK podhled − obklad koupelny 1.05 (1.6 m výška)</t>
        </is>
      </c>
      <c r="F412" s="23" t="inlineStr">
        <is>
          <t>m²</t>
        </is>
      </c>
      <c r="G412" s="25" t="n">
        <v>254.5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1.NP 208.4 m² + SDK podhled 59.5 m² − obklad 13.4 m² = 254.5 m² (per-podlaží split per audit v2 GAP_007)</t>
        </is>
      </c>
      <c r="F413" s="17" t="n"/>
      <c r="G413" s="30" t="n">
        <v>254.5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2.NP — stěny + SDK podhled − obklad koupelny 2.03 (2.45 m výška)</t>
        </is>
      </c>
      <c r="F414" s="23" t="inlineStr">
        <is>
          <t>m²</t>
        </is>
      </c>
      <c r="G414" s="25" t="n">
        <v>247.5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2.NP 201.6 m² + SDK podhled 61.1 m² − obklad 15.2 m² = 247.5 m² (per-podlaží split per audit v2 GAP_007)</t>
        </is>
      </c>
      <c r="F415" s="17" t="n"/>
      <c r="G415" s="30" t="n">
        <v>247.5</v>
      </c>
      <c r="H415" s="17" t="n"/>
      <c r="I415" s="17" t="n"/>
      <c r="J415" s="17" t="n"/>
      <c r="K415" s="17" t="n"/>
      <c r="L415" s="17" t="n"/>
    </row>
    <row r="416">
      <c r="B416" s="23" t="n">
        <v>173</v>
      </c>
      <c r="C416" s="23" t="inlineStr">
        <is>
          <t>K</t>
        </is>
      </c>
      <c r="D416" s="24" t="inlineStr">
        <is>
          <t>784121011</t>
        </is>
      </c>
      <c r="E416" s="24" t="inlineStr">
        <is>
          <t>Interiérová výmalba 3.NP — stěny + SDK podhled − obklad koupelny 3.04 (2.7 m výška)</t>
        </is>
      </c>
      <c r="F416" s="23" t="inlineStr">
        <is>
          <t>m²</t>
        </is>
      </c>
      <c r="G416" s="25" t="n">
        <v>219.3</v>
      </c>
      <c r="H416" s="26" t="n"/>
      <c r="I416" s="26">
        <f>IF(H416="",0,G416*H416)</f>
        <v/>
      </c>
      <c r="J416" s="23" t="inlineStr">
        <is>
          <t>ÚRS 2026</t>
        </is>
      </c>
      <c r="K416" s="32" t="inlineStr">
        <is>
          <t>? needs production lookup</t>
        </is>
      </c>
      <c r="L416" s="5" t="inlineStr">
        <is>
          <t>PSV-78 Povrchové úpravy</t>
        </is>
      </c>
    </row>
    <row r="417">
      <c r="B417" s="17" t="n"/>
      <c r="C417" s="28" t="inlineStr">
        <is>
          <t>VV</t>
        </is>
      </c>
      <c r="D417" s="17" t="n"/>
      <c r="E417" s="29" t="inlineStr">
        <is>
          <t>omítka 3.NP 179.1 m² + SDK podhled 64.5 m² − obklad 24.3 m² = 219.3 m² (per-podlaží split per audit v2 GAP_007)</t>
        </is>
      </c>
      <c r="F417" s="17" t="n"/>
      <c r="G417" s="30" t="n">
        <v>219.3</v>
      </c>
      <c r="H417" s="17" t="n"/>
      <c r="I417" s="17" t="n"/>
      <c r="J417" s="17" t="n"/>
      <c r="K417" s="17" t="n"/>
      <c r="L417" s="17" t="n"/>
    </row>
    <row r="418">
      <c r="B418" s="21" t="n"/>
      <c r="C418" s="22" t="inlineStr">
        <is>
          <t>D</t>
        </is>
      </c>
      <c r="D418" s="22" t="inlineStr">
        <is>
          <t>PSV-95</t>
        </is>
      </c>
      <c r="E418" s="22" t="inlineStr">
        <is>
          <t>PSV-95 Detekce požární</t>
        </is>
      </c>
      <c r="F418" s="21" t="n"/>
      <c r="G418" s="21" t="n"/>
      <c r="H418" s="21" t="n"/>
      <c r="I418" s="21" t="n"/>
      <c r="J418" s="21" t="n"/>
      <c r="K418" s="21" t="n"/>
      <c r="L418" s="21" t="n"/>
    </row>
    <row r="419">
      <c r="B419" s="23" t="n">
        <v>174</v>
      </c>
      <c r="C419" s="23" t="inlineStr">
        <is>
          <t>K</t>
        </is>
      </c>
      <c r="D419" s="24" t="inlineStr">
        <is>
          <t>375211101</t>
        </is>
      </c>
      <c r="E419" s="24" t="inlineStr">
        <is>
          <t>Autonomní hlásič kouře dle ČSN EN 14604 — 4 ks v místnostech 1.01, 1.02, 2.04, 3.03 dle PBŘ</t>
        </is>
      </c>
      <c r="F419" s="23" t="inlineStr">
        <is>
          <t>ks</t>
        </is>
      </c>
      <c r="G419" s="25" t="n">
        <v>4</v>
      </c>
      <c r="H419" s="26" t="n"/>
      <c r="I419" s="26">
        <f>IF(H419="",0,G419*H419)</f>
        <v/>
      </c>
      <c r="J419" s="23" t="inlineStr">
        <is>
          <t>ÚRS 2026</t>
        </is>
      </c>
      <c r="K419" s="31" t="inlineStr">
        <is>
          <t>⚠ family OK, leaf KROS lookup [evidence: https://www.technicke-normy-csn.cz/csn-en-14604-342711-18294]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4 hlásiče v daných místnostech</t>
        </is>
      </c>
      <c r="F420" s="17" t="n"/>
      <c r="G420" s="30" t="n">
        <v>4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>
        <is>
          <t>966067121</t>
        </is>
      </c>
      <c r="E421" s="24" t="inlineStr">
        <is>
          <t>Přenosný hasicí přístroj 34A dle PBŘ — min. 1 ks na společné chodbě</t>
        </is>
      </c>
      <c r="F421" s="23" t="inlineStr">
        <is>
          <t>ks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2" t="inlineStr">
        <is>
          <t>? needs production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 t="inlineStr">
        <is>
          <t>TZ PBŘ — min. 1 ks 34A</t>
        </is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19" t="n"/>
      <c r="C423" s="20" t="inlineStr">
        <is>
          <t>D</t>
        </is>
      </c>
      <c r="D423" s="20" t="inlineStr">
        <is>
          <t>VRN</t>
        </is>
      </c>
      <c r="E423" s="20" t="inlineStr">
        <is>
          <t>Vedlejší rozpočtové náklady</t>
        </is>
      </c>
      <c r="F423" s="19" t="n"/>
      <c r="G423" s="19" t="n"/>
      <c r="H423" s="19" t="n"/>
      <c r="I423" s="19" t="n"/>
      <c r="J423" s="19" t="n"/>
      <c r="K423" s="19" t="n"/>
      <c r="L423" s="19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Zařízení staveniště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176</v>
      </c>
      <c r="C425" s="23" t="inlineStr">
        <is>
          <t>K</t>
        </is>
      </c>
      <c r="D425" s="24" t="inlineStr">
        <is>
          <t>030011000</t>
        </is>
      </c>
      <c r="E425" s="24" t="inlineStr">
        <is>
          <t>Zařízení staveniště — buňka kancelář + sociální buňka (WC + šatna), pronájem ~8 měsíců</t>
        </is>
      </c>
      <c r="F425" s="23" t="inlineStr">
        <is>
          <t>kpl-měs</t>
        </is>
      </c>
      <c r="G425" s="25" t="n">
        <v>8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Zařízení staveniště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realizace odhad 8 měs (demolice 1.5 + hrubá 2.5 + dokončování 4)</t>
        </is>
      </c>
      <c r="F426" s="17" t="n"/>
      <c r="G426" s="30" t="n">
        <v>8</v>
      </c>
      <c r="H426" s="17" t="n"/>
      <c r="I426" s="17" t="n"/>
      <c r="J426" s="17" t="n"/>
      <c r="K426" s="17" t="n"/>
      <c r="L426" s="17" t="n"/>
    </row>
    <row r="427">
      <c r="B427" s="23" t="n">
        <v>177</v>
      </c>
      <c r="C427" s="23" t="inlineStr">
        <is>
          <t>K</t>
        </is>
      </c>
      <c r="D427" s="24" t="inlineStr">
        <is>
          <t>030013000</t>
        </is>
      </c>
      <c r="E427" s="24" t="inlineStr">
        <is>
          <t>Mobilní chemické WC TOI TOI pro pracovníky — pronájem ~8 měsíců</t>
        </is>
      </c>
      <c r="F427" s="23" t="inlineStr">
        <is>
          <t>ks-měs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1 ks × 8 měs realizace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031011000</t>
        </is>
      </c>
      <c r="E429" s="24" t="inlineStr">
        <is>
          <t>El. odběr stavby (zřízení staveništního rozvaděče + měřič) + vodovodní odběr (zřízení staveništní přípojky + vodoměr) — ~8 měsíců</t>
        </is>
      </c>
      <c r="F429" s="23" t="inlineStr">
        <is>
          <t>kpl</t>
        </is>
      </c>
      <c r="G429" s="25" t="n">
        <v>1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Komplexní zřízení + provoz po dobu stavby</t>
        </is>
      </c>
      <c r="F430" s="17" t="n"/>
      <c r="G430" s="30" t="n">
        <v>1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012103101</t>
        </is>
      </c>
      <c r="E43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paušál pro dobu výstavby (TZ B m.5 'Zásobování stavby vodou: stávající')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1" t="n"/>
      <c r="C433" s="22" t="inlineStr">
        <is>
          <t>D</t>
        </is>
      </c>
      <c r="D433" s="22" t="inlineStr">
        <is>
          <t>VRN</t>
        </is>
      </c>
      <c r="E433" s="22" t="inlineStr">
        <is>
          <t>VRN — Přesun hmot</t>
        </is>
      </c>
      <c r="F433" s="21" t="n"/>
      <c r="G433" s="21" t="n"/>
      <c r="H433" s="21" t="n"/>
      <c r="I433" s="21" t="n"/>
      <c r="J433" s="21" t="n"/>
      <c r="K433" s="21" t="n"/>
      <c r="L433" s="21" t="n"/>
    </row>
    <row r="434">
      <c r="B434" s="23" t="n">
        <v>180</v>
      </c>
      <c r="C434" s="23" t="inlineStr">
        <is>
          <t>K</t>
        </is>
      </c>
      <c r="D434" s="24" t="inlineStr"/>
      <c r="E434" s="24" t="inlineStr">
        <is>
          <t>Přesun hmot pro budovu — vnitrostaveništní vertikální + horizontální doprava materiálu a hmot (rekonstrukce vícepodlažní RD + nástavba 3.NP)</t>
        </is>
      </c>
      <c r="F434" s="23" t="inlineStr">
        <is>
          <t>t</t>
        </is>
      </c>
      <c r="G434" s="25" t="n">
        <v>0</v>
      </c>
      <c r="H434" s="26" t="n"/>
      <c r="I434" s="26">
        <f>IF(H434="",0,G434*H434)</f>
        <v/>
      </c>
      <c r="J434" s="23" t="inlineStr">
        <is>
          <t>ÚRS 2026</t>
        </is>
      </c>
      <c r="K434" s="33" t="inlineStr">
        <is>
          <t>❌ MANUAL — KROS catalog lookup</t>
        </is>
      </c>
      <c r="L434" s="5" t="inlineStr">
        <is>
          <t>VRN — Přesun hmot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TBD — buď % z HSV nákladů (běžně 2-4 %) nebo dle celkové tonáže přesouvaných hmot; množství doplní rozpočtář při cenotvorbě</t>
        </is>
      </c>
      <c r="F435" s="17" t="n"/>
      <c r="G435" s="30" t="n">
        <v>0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Lešení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181</v>
      </c>
      <c r="C437" s="23" t="inlineStr">
        <is>
          <t>K</t>
        </is>
      </c>
      <c r="D437" s="24" t="inlineStr"/>
      <c r="E437" s="24" t="inlineStr">
        <is>
          <t>Fasádní lešení trubkové/rámové vč. montáže + pronájmu + demontáže — pro provedení ETICS fasády, krovu a klempířiny po obvodu domu (výška 13 m)</t>
        </is>
      </c>
      <c r="F437" s="23" t="inlineStr">
        <is>
          <t>m²</t>
        </is>
      </c>
      <c r="G437" s="25" t="n">
        <v>503.1</v>
      </c>
      <c r="H437" s="26" t="n"/>
      <c r="I437" s="26">
        <f>IF(H437="",0,G437*H437)</f>
        <v/>
      </c>
      <c r="J437" s="23" t="inlineStr">
        <is>
          <t>ÚRS 2026</t>
        </is>
      </c>
      <c r="K437" s="33" t="inlineStr">
        <is>
          <t>❌ MANUAL — KROS catalog lookup</t>
        </is>
      </c>
      <c r="L437" s="5" t="inlineStr">
        <is>
          <t>VRN — Lešení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obvod domu 38.7 m × výška 13.0 m = 503.1 m² lešenné plochy (pro ETICS fasádu 276.7 m² + krov + klempířinu)</t>
        </is>
      </c>
      <c r="F438" s="17" t="n"/>
      <c r="G438" s="30" t="n">
        <v>503.1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Doprava + odpad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182</v>
      </c>
      <c r="C440" s="23" t="inlineStr">
        <is>
          <t>K</t>
        </is>
      </c>
      <c r="D440" s="24" t="inlineStr">
        <is>
          <t>997013211</t>
        </is>
      </c>
      <c r="E440" s="24" t="inlineStr">
        <is>
          <t>Kontejnery na suť tříděnou velkoobjemové (beton/cihly, dřevo, kovy, EPS, sádra, směs) — pronájem + svozy</t>
        </is>
      </c>
      <c r="F440" s="23" t="inlineStr">
        <is>
          <t>ks</t>
        </is>
      </c>
      <c r="G440" s="25" t="n">
        <v>7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Doprava + odpad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TZ B m.10.e: 56.9 t celkem → ~7 kontejnerů 8 m³ (beton/cihly hlavní hmota)</t>
        </is>
      </c>
      <c r="F441" s="17" t="n"/>
      <c r="G441" s="30" t="n">
        <v>7</v>
      </c>
      <c r="H441" s="17" t="n"/>
      <c r="I441" s="17" t="n"/>
      <c r="J441" s="17" t="n"/>
      <c r="K441" s="17" t="n"/>
      <c r="L441" s="17" t="n"/>
    </row>
    <row r="442">
      <c r="B442" s="23" t="n">
        <v>183</v>
      </c>
      <c r="C442" s="23" t="inlineStr">
        <is>
          <t>K</t>
        </is>
      </c>
      <c r="D442" s="24" t="inlineStr">
        <is>
          <t>031031000</t>
        </is>
      </c>
      <c r="E442" s="24" t="inlineStr">
        <is>
          <t>Doprava materiálu na stavbu (centrální koordinace) — paušál ~2-3 % z PN materiál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paušální koeficient pro RD městská zástavba 2-3 % z PN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Likvidace stavební suti dle vyhl. 8/2021 Sb. — skládkovné + recyklace + třídění (56.9 t celkem per TZ B m.10.e)</t>
        </is>
      </c>
      <c r="F444" s="23" t="inlineStr">
        <is>
          <t>t</t>
        </is>
      </c>
      <c r="G444" s="25" t="n">
        <v>56.9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 bilance: 46+9+0.1+0.1+0.2+1.0 = 56.4 t (round 56.9 vč. drobných)</t>
        </is>
      </c>
      <c r="F445" s="17" t="n"/>
      <c r="G445" s="30" t="n">
        <v>56.9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Geodet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185</v>
      </c>
      <c r="C447" s="23" t="inlineStr">
        <is>
          <t>K</t>
        </is>
      </c>
      <c r="D447" s="24" t="inlineStr">
        <is>
          <t>030141000</t>
        </is>
      </c>
      <c r="E447" s="24" t="inlineStr">
        <is>
          <t>Geodetické zaměření před realizací (verifikace polohopis + výškopis) + po dokončení (zaměření skutečného provedení pro kolaudaci)</t>
        </is>
      </c>
      <c r="F447" s="23" t="inlineStr">
        <is>
          <t>kpl</t>
        </is>
      </c>
      <c r="G447" s="25" t="n">
        <v>2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Geodet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2 etapy geodet × 1 kpl</t>
        </is>
      </c>
      <c r="F448" s="17" t="n"/>
      <c r="G448" s="30" t="n">
        <v>2</v>
      </c>
      <c r="H448" s="17" t="n"/>
      <c r="I448" s="17" t="n"/>
      <c r="J448" s="17" t="n"/>
      <c r="K448" s="17" t="n"/>
      <c r="L448" s="17" t="n"/>
    </row>
    <row r="449">
      <c r="B449" s="21" t="n"/>
      <c r="C449" s="22" t="inlineStr">
        <is>
          <t>D</t>
        </is>
      </c>
      <c r="D449" s="22" t="inlineStr">
        <is>
          <t>VRN</t>
        </is>
      </c>
      <c r="E449" s="22" t="inlineStr">
        <is>
          <t>VRN — Průzkumy</t>
        </is>
      </c>
      <c r="F449" s="21" t="n"/>
      <c r="G449" s="21" t="n"/>
      <c r="H449" s="21" t="n"/>
      <c r="I449" s="21" t="n"/>
      <c r="J449" s="21" t="n"/>
      <c r="K449" s="21" t="n"/>
      <c r="L449" s="21" t="n"/>
    </row>
    <row r="450">
      <c r="B450" s="23" t="n">
        <v>186</v>
      </c>
      <c r="C450" s="23" t="inlineStr">
        <is>
          <t>K</t>
        </is>
      </c>
      <c r="D450" s="24" t="inlineStr">
        <is>
          <t>030131000</t>
        </is>
      </c>
      <c r="E45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0" s="23" t="inlineStr">
        <is>
          <t>kpl</t>
        </is>
      </c>
      <c r="G450" s="25" t="n">
        <v>1</v>
      </c>
      <c r="H450" s="26" t="n"/>
      <c r="I450" s="26">
        <f>IF(H450="",0,G450*H450)</f>
        <v/>
      </c>
      <c r="J450" s="23" t="inlineStr">
        <is>
          <t>ÚRS 2026</t>
        </is>
      </c>
      <c r="K450" s="32" t="inlineStr">
        <is>
          <t>? needs production lookup</t>
        </is>
      </c>
      <c r="L450" s="5" t="inlineStr">
        <is>
          <t>VRN — Průzkumy</t>
        </is>
      </c>
    </row>
    <row r="451">
      <c r="B451" s="17" t="n"/>
      <c r="C451" s="28" t="inlineStr">
        <is>
          <t>VV</t>
        </is>
      </c>
      <c r="D451" s="17" t="n"/>
      <c r="E451" s="29" t="inlineStr">
        <is>
          <t>TZ ARS §3.2.3 — 'při bourání bude proveden mykologický průzkum dřev. trámů (zhlaví)'</t>
        </is>
      </c>
      <c r="F451" s="17" t="n"/>
      <c r="G451" s="30" t="n">
        <v>1</v>
      </c>
      <c r="H451" s="17" t="n"/>
      <c r="I451" s="17" t="n"/>
      <c r="J451" s="17" t="n"/>
      <c r="K451" s="17" t="n"/>
      <c r="L451" s="17" t="n"/>
    </row>
    <row r="452">
      <c r="B452" s="23" t="n">
        <v>187</v>
      </c>
      <c r="C452" s="23" t="inlineStr">
        <is>
          <t>K</t>
        </is>
      </c>
      <c r="D452" s="24" t="inlineStr">
        <is>
          <t>030133000</t>
        </is>
      </c>
      <c r="E452" s="24" t="inlineStr">
        <is>
          <t>Azbestový průzkum podrobný před demolicí — laboratorní vzorky a posudek (B kap. m.7.a předběžně negativní, ale podrobný před bouráním povinný)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B m.7.a — 'předběžné ohledání negativní, podrobný průzkum před bouráním'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1" t="n"/>
      <c r="C454" s="22" t="inlineStr">
        <is>
          <t>D</t>
        </is>
      </c>
      <c r="D454" s="22" t="inlineStr">
        <is>
          <t>VRN</t>
        </is>
      </c>
      <c r="E454" s="22" t="inlineStr">
        <is>
          <t>VRN — BOZP</t>
        </is>
      </c>
      <c r="F454" s="21" t="n"/>
      <c r="G454" s="21" t="n"/>
      <c r="H454" s="21" t="n"/>
      <c r="I454" s="21" t="n"/>
      <c r="J454" s="21" t="n"/>
      <c r="K454" s="21" t="n"/>
      <c r="L454" s="21" t="n"/>
    </row>
    <row r="455">
      <c r="B455" s="23" t="n">
        <v>188</v>
      </c>
      <c r="C455" s="23" t="inlineStr">
        <is>
          <t>K</t>
        </is>
      </c>
      <c r="D455" s="24" t="inlineStr">
        <is>
          <t>030091000</t>
        </is>
      </c>
      <c r="E455" s="24" t="inlineStr">
        <is>
          <t>Koordinátor BOZP na staveništi dle zákona 309/2006 Sb. — pro stavbu s více než jedním zhotovitelem</t>
        </is>
      </c>
      <c r="F455" s="23" t="inlineStr">
        <is>
          <t>kpl</t>
        </is>
      </c>
      <c r="G455" s="25" t="n">
        <v>1</v>
      </c>
      <c r="H455" s="26" t="n"/>
      <c r="I455" s="26">
        <f>IF(H455="",0,G455*H455)</f>
        <v/>
      </c>
      <c r="J455" s="23" t="inlineStr">
        <is>
          <t>ÚRS 2026</t>
        </is>
      </c>
      <c r="K455" s="32" t="inlineStr">
        <is>
          <t>? needs production lookup</t>
        </is>
      </c>
      <c r="L455" s="5" t="inlineStr">
        <is>
          <t>VRN — BOZP</t>
        </is>
      </c>
    </row>
    <row r="456">
      <c r="B456" s="17" t="n"/>
      <c r="C456" s="28" t="inlineStr">
        <is>
          <t>VV</t>
        </is>
      </c>
      <c r="D456" s="17" t="n"/>
      <c r="E456" s="29" t="inlineStr">
        <is>
          <t>realizace ~8 měs</t>
        </is>
      </c>
      <c r="F456" s="17" t="n"/>
      <c r="G456" s="30" t="n">
        <v>1</v>
      </c>
      <c r="H456" s="17" t="n"/>
      <c r="I456" s="17" t="n"/>
      <c r="J456" s="17" t="n"/>
      <c r="K456" s="17" t="n"/>
      <c r="L456" s="17" t="n"/>
    </row>
    <row r="457">
      <c r="B457" s="21" t="n"/>
      <c r="C457" s="22" t="inlineStr">
        <is>
          <t>D</t>
        </is>
      </c>
      <c r="D457" s="22" t="inlineStr">
        <is>
          <t>VRN</t>
        </is>
      </c>
      <c r="E457" s="22" t="inlineStr">
        <is>
          <t>VRN — Dokumentace</t>
        </is>
      </c>
      <c r="F457" s="21" t="n"/>
      <c r="G457" s="21" t="n"/>
      <c r="H457" s="21" t="n"/>
      <c r="I457" s="21" t="n"/>
      <c r="J457" s="21" t="n"/>
      <c r="K457" s="21" t="n"/>
      <c r="L457" s="21" t="n"/>
    </row>
    <row r="458">
      <c r="B458" s="23" t="n">
        <v>189</v>
      </c>
      <c r="C458" s="23" t="inlineStr">
        <is>
          <t>K</t>
        </is>
      </c>
      <c r="D458" s="24" t="inlineStr">
        <is>
          <t>030151000</t>
        </is>
      </c>
      <c r="E458" s="24" t="inlineStr">
        <is>
          <t>Předávací protokoly + Dokumentace skutečného provedení (DSP) — sestavení, vázání, dodávka 2× tiskem + elektronická verze</t>
        </is>
      </c>
      <c r="F458" s="23" t="inlineStr">
        <is>
          <t>kpl</t>
        </is>
      </c>
      <c r="G458" s="25" t="n">
        <v>1</v>
      </c>
      <c r="H458" s="26" t="n"/>
      <c r="I458" s="26">
        <f>IF(H458="",0,G458*H458)</f>
        <v/>
      </c>
      <c r="J458" s="23" t="inlineStr">
        <is>
          <t>ÚRS 2026</t>
        </is>
      </c>
      <c r="K458" s="32" t="inlineStr">
        <is>
          <t>? needs production lookup</t>
        </is>
      </c>
      <c r="L458" s="5" t="inlineStr">
        <is>
          <t>VRN — Dokumentace</t>
        </is>
      </c>
    </row>
    <row r="459">
      <c r="B459" s="17" t="n"/>
      <c r="C459" s="28" t="inlineStr">
        <is>
          <t>VV</t>
        </is>
      </c>
      <c r="D459" s="17" t="n"/>
      <c r="E459" s="29" t="inlineStr">
        <is>
          <t>Standard — DSP pro kolaudaci</t>
        </is>
      </c>
      <c r="F459" s="17" t="n"/>
      <c r="G459" s="30" t="n">
        <v>1</v>
      </c>
      <c r="H459" s="17" t="n"/>
      <c r="I459" s="17" t="n"/>
      <c r="J459" s="17" t="n"/>
      <c r="K459" s="17" t="n"/>
      <c r="L459" s="17" t="n"/>
    </row>
    <row r="460">
      <c r="B460" s="21" t="n"/>
      <c r="C460" s="22" t="inlineStr">
        <is>
          <t>D</t>
        </is>
      </c>
      <c r="D460" s="22" t="inlineStr">
        <is>
          <t>VRN</t>
        </is>
      </c>
      <c r="E460" s="22" t="inlineStr">
        <is>
          <t>VRN — Kolaudace</t>
        </is>
      </c>
      <c r="F460" s="21" t="n"/>
      <c r="G460" s="21" t="n"/>
      <c r="H460" s="21" t="n"/>
      <c r="I460" s="21" t="n"/>
      <c r="J460" s="21" t="n"/>
      <c r="K460" s="21" t="n"/>
      <c r="L460" s="21" t="n"/>
    </row>
    <row r="461">
      <c r="B461" s="23" t="n">
        <v>190</v>
      </c>
      <c r="C461" s="23" t="inlineStr">
        <is>
          <t>K</t>
        </is>
      </c>
      <c r="D461" s="24" t="inlineStr">
        <is>
          <t>030171000</t>
        </is>
      </c>
      <c r="E461" s="24" t="inlineStr">
        <is>
          <t>Kolaudační řízení — paušál (správní poplatky + součinnost) dle zákona 183/2006 Sb.</t>
        </is>
      </c>
      <c r="F461" s="23" t="inlineStr">
        <is>
          <t>paušál</t>
        </is>
      </c>
      <c r="G461" s="25" t="n">
        <v>1</v>
      </c>
      <c r="H461" s="26" t="n"/>
      <c r="I461" s="26">
        <f>IF(H461="",0,G461*H461)</f>
        <v/>
      </c>
      <c r="J461" s="23" t="inlineStr">
        <is>
          <t>ÚRS 2026</t>
        </is>
      </c>
      <c r="K461" s="32" t="inlineStr">
        <is>
          <t>? needs production lookup</t>
        </is>
      </c>
      <c r="L461" s="5" t="inlineStr">
        <is>
          <t>VRN — Kolaudace</t>
        </is>
      </c>
    </row>
    <row r="462">
      <c r="B462" s="17" t="n"/>
      <c r="C462" s="28" t="inlineStr">
        <is>
          <t>VV</t>
        </is>
      </c>
      <c r="D462" s="17" t="n"/>
      <c r="E462" s="29" t="inlineStr">
        <is>
          <t>Standard — paušál kolaudace</t>
        </is>
      </c>
      <c r="F462" s="17" t="n"/>
      <c r="G462" s="30" t="n">
        <v>1</v>
      </c>
      <c r="H462" s="17" t="n"/>
      <c r="I462" s="17" t="n"/>
      <c r="J462" s="17" t="n"/>
      <c r="K462" s="17" t="n"/>
      <c r="L462" s="17" t="n"/>
    </row>
    <row r="463">
      <c r="B463" s="21" t="n"/>
      <c r="C463" s="22" t="inlineStr">
        <is>
          <t>D</t>
        </is>
      </c>
      <c r="D463" s="22" t="inlineStr">
        <is>
          <t>VRN</t>
        </is>
      </c>
      <c r="E463" s="22" t="inlineStr">
        <is>
          <t>VRN — Pojištění + zábory</t>
        </is>
      </c>
      <c r="F463" s="21" t="n"/>
      <c r="G463" s="21" t="n"/>
      <c r="H463" s="21" t="n"/>
      <c r="I463" s="21" t="n"/>
      <c r="J463" s="21" t="n"/>
      <c r="K463" s="21" t="n"/>
      <c r="L463" s="21" t="n"/>
    </row>
    <row r="464">
      <c r="B464" s="23" t="n">
        <v>191</v>
      </c>
      <c r="C464" s="23" t="inlineStr">
        <is>
          <t>K</t>
        </is>
      </c>
      <c r="D464" s="24" t="inlineStr">
        <is>
          <t>030081000</t>
        </is>
      </c>
      <c r="E464" s="24" t="inlineStr">
        <is>
          <t>Montážní pojištění stavby (CAR) + pojištění odpovědnosti za škodu (zhotovitel) — paušál cca 0.3-0.5 % z PN</t>
        </is>
      </c>
      <c r="F464" s="23" t="inlineStr">
        <is>
          <t>paušál</t>
        </is>
      </c>
      <c r="G464" s="25" t="n">
        <v>1</v>
      </c>
      <c r="H464" s="26" t="n"/>
      <c r="I464" s="26">
        <f>IF(H464="",0,G464*H464)</f>
        <v/>
      </c>
      <c r="J464" s="23" t="inlineStr">
        <is>
          <t>ÚRS 2026</t>
        </is>
      </c>
      <c r="K464" s="32" t="inlineStr">
        <is>
          <t>? needs production lookup</t>
        </is>
      </c>
      <c r="L464" s="5" t="inlineStr">
        <is>
          <t>VRN — Pojištění + zábory</t>
        </is>
      </c>
    </row>
    <row r="465">
      <c r="B465" s="17" t="n"/>
      <c r="C465" s="28" t="inlineStr">
        <is>
          <t>VV</t>
        </is>
      </c>
      <c r="D465" s="17" t="n"/>
      <c r="E465" s="29" t="inlineStr">
        <is>
          <t>Standard pojistná sazba 0.3-0.5 % z přímých nákladů</t>
        </is>
      </c>
      <c r="F465" s="17" t="n"/>
      <c r="G465" s="30" t="n">
        <v>1</v>
      </c>
      <c r="H465" s="17" t="n"/>
      <c r="I465" s="17" t="n"/>
      <c r="J465" s="17" t="n"/>
      <c r="K465" s="17" t="n"/>
      <c r="L465" s="17" t="n"/>
    </row>
    <row r="466">
      <c r="B466" s="23" t="n">
        <v>192</v>
      </c>
      <c r="C466" s="23" t="inlineStr">
        <is>
          <t>K</t>
        </is>
      </c>
      <c r="D466" s="24" t="inlineStr">
        <is>
          <t>030083000</t>
        </is>
      </c>
      <c r="E466" s="24" t="inlineStr">
        <is>
          <t>Krátkodobé zábory ulice Fibichova pro materiál a kontejnery (povolení MU Jáchymov + DI) — odhad 30 dnů kumulativně</t>
        </is>
      </c>
      <c r="F466" s="23" t="inlineStr">
        <is>
          <t>kpl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Řadová zástavba úzká ulice — opakované krátkodobé zábory cumulative ~30 dnů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1" t="n"/>
      <c r="C468" s="22" t="inlineStr">
        <is>
          <t>D</t>
        </is>
      </c>
      <c r="D468" s="22" t="inlineStr">
        <is>
          <t>VRN</t>
        </is>
      </c>
      <c r="E468" s="22" t="inlineStr">
        <is>
          <t>VRN — Revize</t>
        </is>
      </c>
      <c r="F468" s="21" t="n"/>
      <c r="G468" s="21" t="n"/>
      <c r="H468" s="21" t="n"/>
      <c r="I468" s="21" t="n"/>
      <c r="J468" s="21" t="n"/>
      <c r="K468" s="21" t="n"/>
      <c r="L468" s="21" t="n"/>
    </row>
    <row r="469">
      <c r="B469" s="23" t="n">
        <v>193</v>
      </c>
      <c r="C469" s="23" t="inlineStr">
        <is>
          <t>K</t>
        </is>
      </c>
      <c r="D469" s="24" t="inlineStr">
        <is>
          <t>030161000</t>
        </is>
      </c>
      <c r="E469" s="24" t="inlineStr">
        <is>
          <t>Revize vnějšího hydrantu pro požární zabezpečení (DN min. 80, vzdálenost 100 m dle TZ PBŘ) — periodická kontrola</t>
        </is>
      </c>
      <c r="F469" s="23" t="inlineStr">
        <is>
          <t>kpl</t>
        </is>
      </c>
      <c r="G469" s="25" t="n">
        <v>1</v>
      </c>
      <c r="H469" s="26" t="n"/>
      <c r="I469" s="26">
        <f>IF(H469="",0,G469*H469)</f>
        <v/>
      </c>
      <c r="J469" s="23" t="inlineStr">
        <is>
          <t>ÚRS 2026</t>
        </is>
      </c>
      <c r="K469" s="32" t="inlineStr">
        <is>
          <t>? needs production lookup</t>
        </is>
      </c>
      <c r="L469" s="5" t="inlineStr">
        <is>
          <t>VRN — Revize</t>
        </is>
      </c>
    </row>
    <row r="470">
      <c r="B470" s="17" t="n"/>
      <c r="C470" s="28" t="inlineStr">
        <is>
          <t>VV</t>
        </is>
      </c>
      <c r="D470" s="17" t="n"/>
      <c r="E470" s="29" t="inlineStr">
        <is>
          <t>TZ PBŘ dům — vnější hydrant DN min. 80, vzdálenost 100 m</t>
        </is>
      </c>
      <c r="F470" s="17" t="n"/>
      <c r="G470" s="30" t="n">
        <v>1</v>
      </c>
      <c r="H470" s="17" t="n"/>
      <c r="I470" s="17" t="n"/>
      <c r="J470" s="17" t="n"/>
      <c r="K470" s="17" t="n"/>
      <c r="L47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9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SUMIFS(I31:I99,L31:L99,C16)</f>
        <v/>
      </c>
    </row>
    <row r="17">
      <c r="B17" s="17" t="n"/>
      <c r="C17" s="5" t="inlineStr">
        <is>
          <t>HSV-2 Základové a ŽB</t>
        </is>
      </c>
      <c r="D17" s="7">
        <f>SUMIFS(I31:I99,L31:L99,C17)</f>
        <v/>
      </c>
    </row>
    <row r="18">
      <c r="B18" s="17" t="n"/>
      <c r="C18" s="5" t="inlineStr">
        <is>
          <t>HSV-3 Svislé konstrukce</t>
        </is>
      </c>
      <c r="D18" s="7">
        <f>SUMIFS(I31:I99,L31:L99,C18)</f>
        <v/>
      </c>
    </row>
    <row r="19">
      <c r="B19" s="17" t="n"/>
      <c r="C19" s="5" t="inlineStr">
        <is>
          <t>HSV-4 Vodorovné</t>
        </is>
      </c>
      <c r="D19" s="7">
        <f>SUMIFS(I31:I99,L31:L99,C19)</f>
        <v/>
      </c>
    </row>
    <row r="20">
      <c r="B20" s="17" t="n"/>
      <c r="C20" s="5" t="inlineStr">
        <is>
          <t>HSV-5 Komunikace + schodiště</t>
        </is>
      </c>
      <c r="D20" s="7">
        <f>SUMIFS(I31:I99,L31:L99,C20)</f>
        <v/>
      </c>
    </row>
    <row r="21">
      <c r="B21" s="17" t="n"/>
      <c r="C21" s="5" t="inlineStr">
        <is>
          <t>PSV-76 Výplně otvorů</t>
        </is>
      </c>
      <c r="D21" s="7">
        <f>SUMIFS(I31:I99,L31:L99,C21)</f>
        <v/>
      </c>
    </row>
    <row r="22">
      <c r="B22" s="17" t="n"/>
      <c r="C22" s="5" t="inlineStr">
        <is>
          <t>PSV-77 Podlahy</t>
        </is>
      </c>
      <c r="D22" s="7">
        <f>SUMIFS(I31:I99,L31:L99,C22)</f>
        <v/>
      </c>
    </row>
    <row r="23">
      <c r="B23" s="17" t="n"/>
      <c r="C23" s="5" t="inlineStr">
        <is>
          <t>VRN — Společné</t>
        </is>
      </c>
      <c r="D23" s="7">
        <f>SUMIFS(I31:I99,L31:L99,C23)</f>
        <v/>
      </c>
    </row>
    <row r="24">
      <c r="B24" s="17" t="n"/>
      <c r="C24" s="5" t="inlineStr">
        <is>
          <t>VRN — Doprava + odpad</t>
        </is>
      </c>
      <c r="D24" s="7">
        <f>SUMIFS(I31:I99,L31:L99,C24)</f>
        <v/>
      </c>
    </row>
    <row r="25">
      <c r="B25" s="17" t="n"/>
      <c r="C25" s="5" t="inlineStr">
        <is>
          <t>VRN — Geodet</t>
        </is>
      </c>
      <c r="D25" s="7">
        <f>SUMIFS(I31:I99,L31:L99,C25)</f>
        <v/>
      </c>
    </row>
    <row r="26">
      <c r="B26" s="18" t="n"/>
      <c r="C26" s="8" t="inlineStr">
        <is>
          <t>Celkem objekt</t>
        </is>
      </c>
      <c r="D26" s="9">
        <f>SUM(D16:D25)</f>
        <v/>
      </c>
    </row>
    <row r="29">
      <c r="B29" s="16" t="inlineStr">
        <is>
          <t>SOUPIS PRACÍ</t>
        </is>
      </c>
    </row>
    <row r="30">
      <c r="B30" s="4" t="inlineStr">
        <is>
          <t>PČ</t>
        </is>
      </c>
      <c r="C30" s="4" t="inlineStr">
        <is>
          <t>Typ</t>
        </is>
      </c>
      <c r="D30" s="4" t="inlineStr">
        <is>
          <t>Kód</t>
        </is>
      </c>
      <c r="E30" s="4" t="inlineStr">
        <is>
          <t>Popis</t>
        </is>
      </c>
      <c r="F30" s="4" t="inlineStr">
        <is>
          <t>MJ</t>
        </is>
      </c>
      <c r="G30" s="4" t="inlineStr">
        <is>
          <t>Množství</t>
        </is>
      </c>
      <c r="H30" s="4" t="inlineStr">
        <is>
          <t>J.cena [Kč]</t>
        </is>
      </c>
      <c r="I30" s="4" t="inlineStr">
        <is>
          <t>Cena celkem [Kč]</t>
        </is>
      </c>
      <c r="J30" s="4" t="inlineStr">
        <is>
          <t>Cenová soustava</t>
        </is>
      </c>
      <c r="K30" s="4" t="inlineStr">
        <is>
          <t>Pozn.</t>
        </is>
      </c>
      <c r="L30" s="4" t="inlineStr">
        <is>
          <t>_kap_tag</t>
        </is>
      </c>
    </row>
    <row r="31">
      <c r="B31" s="19" t="n"/>
      <c r="C31" s="20" t="inlineStr">
        <is>
          <t>D</t>
        </is>
      </c>
      <c r="D31" s="20" t="inlineStr">
        <is>
          <t>HSV</t>
        </is>
      </c>
      <c r="E31" s="20" t="inlineStr">
        <is>
          <t>Práce a dodávky HSV</t>
        </is>
      </c>
      <c r="F31" s="19" t="n"/>
      <c r="G31" s="19" t="n"/>
      <c r="H31" s="19" t="n"/>
      <c r="I31" s="19" t="n"/>
      <c r="J31" s="19" t="n"/>
      <c r="K31" s="19" t="n"/>
      <c r="L31" s="19" t="n"/>
    </row>
    <row r="32">
      <c r="B32" s="21" t="n"/>
      <c r="C32" s="22" t="inlineStr">
        <is>
          <t>D</t>
        </is>
      </c>
      <c r="D32" s="22" t="inlineStr">
        <is>
          <t>HSV-1</t>
        </is>
      </c>
      <c r="E32" s="22" t="inlineStr">
        <is>
          <t>HSV-1 Zemní práce</t>
        </is>
      </c>
      <c r="F32" s="21" t="n"/>
      <c r="G32" s="21" t="n"/>
      <c r="H32" s="21" t="n"/>
      <c r="I32" s="21" t="n"/>
      <c r="J32" s="21" t="n"/>
      <c r="K32" s="21" t="n"/>
      <c r="L32" s="21" t="n"/>
    </row>
    <row r="33">
      <c r="B33" s="23" t="n">
        <v>1</v>
      </c>
      <c r="C33" s="23" t="inlineStr">
        <is>
          <t>K</t>
        </is>
      </c>
      <c r="D33" s="24" t="inlineStr">
        <is>
          <t>962031132</t>
        </is>
      </c>
      <c r="E33" s="24" t="inlineStr">
        <is>
          <t>Sejmutí ornice a demolice stávajících kamenných zídek a schodiště v místě nového skladu+parkingu</t>
        </is>
      </c>
      <c r="F33" s="23" t="inlineStr">
        <is>
          <t>m³</t>
        </is>
      </c>
      <c r="G33" s="25" t="n">
        <v>8</v>
      </c>
      <c r="H33" s="26" t="n"/>
      <c r="I33" s="26">
        <f>IF(H33="",0,G33*H33)</f>
        <v/>
      </c>
      <c r="J33" s="23" t="inlineStr">
        <is>
          <t>ÚRS 2026</t>
        </is>
      </c>
      <c r="K33" s="27" t="inlineStr">
        <is>
          <t>✓ cross-discipline OK [evidence: https://www.cs-urs.cz/podminky/cu202/801-3-Budovy-a-haly---b]</t>
        </is>
      </c>
      <c r="L33" s="5" t="inlineStr">
        <is>
          <t>HSV-1 Zemní práce</t>
        </is>
      </c>
    </row>
    <row r="34">
      <c r="B34" s="17" t="n"/>
      <c r="C34" s="28" t="inlineStr">
        <is>
          <t>VV</t>
        </is>
      </c>
      <c r="D34" s="17" t="n"/>
      <c r="E34" s="29" t="inlineStr">
        <is>
          <t>TZ ARS sklad §3 — odstranění stávajících kamenných prvků (odhad)</t>
        </is>
      </c>
      <c r="F34" s="17" t="n"/>
      <c r="G34" s="30" t="n">
        <v>8</v>
      </c>
      <c r="H34" s="17" t="n"/>
      <c r="I34" s="17" t="n"/>
      <c r="J34" s="17" t="n"/>
      <c r="K34" s="17" t="n"/>
      <c r="L34" s="17" t="n"/>
    </row>
    <row r="35">
      <c r="B35" s="23" t="n">
        <v>2</v>
      </c>
      <c r="C35" s="23" t="inlineStr">
        <is>
          <t>K</t>
        </is>
      </c>
      <c r="D35" s="24" t="inlineStr">
        <is>
          <t>131201101</t>
        </is>
      </c>
      <c r="E35" s="24" t="inlineStr">
        <is>
          <t>Hloubení jam nezapažených pro objekt skladu v lichoběžníku 6,35 × 3,34 m, hl. do 1,2 m, hornina tř. 3</t>
        </is>
      </c>
      <c r="F35" s="23" t="inlineStr">
        <is>
          <t>m³</t>
        </is>
      </c>
      <c r="G35" s="25" t="n">
        <v>25.5</v>
      </c>
      <c r="H35" s="26" t="n"/>
      <c r="I35" s="26">
        <f>IF(H35="",0,G35*H35)</f>
        <v/>
      </c>
      <c r="J35" s="23" t="inlineStr">
        <is>
          <t>ÚRS 2026</t>
        </is>
      </c>
      <c r="K35" s="32" t="inlineStr">
        <is>
          <t>? needs production lookup</t>
        </is>
      </c>
      <c r="L35" s="5" t="inlineStr">
        <is>
          <t>HSV-1 Zemní práce</t>
        </is>
      </c>
    </row>
    <row r="36">
      <c r="B36" s="17" t="n"/>
      <c r="C36" s="28" t="inlineStr">
        <is>
          <t>VV</t>
        </is>
      </c>
      <c r="D36" s="17" t="n"/>
      <c r="E36" s="29" t="inlineStr">
        <is>
          <t>DXF: L=6.350 × W=3.340 × H=1.2 (DXF DIMENSION ověřeno)</t>
        </is>
      </c>
      <c r="F36" s="17" t="n"/>
      <c r="G36" s="30" t="n">
        <v>25.5</v>
      </c>
      <c r="H36" s="17" t="n"/>
      <c r="I36" s="17" t="n"/>
      <c r="J36" s="17" t="n"/>
      <c r="K36" s="17" t="n"/>
      <c r="L36" s="17" t="n"/>
    </row>
    <row r="37">
      <c r="B37" s="23" t="n">
        <v>3</v>
      </c>
      <c r="C37" s="23" t="inlineStr">
        <is>
          <t>K</t>
        </is>
      </c>
      <c r="D37" s="24" t="inlineStr">
        <is>
          <t>132201101</t>
        </is>
      </c>
      <c r="E37" s="24" t="inlineStr">
        <is>
          <t>Hloubení rýh pro betonové základové pasy 500×500 mm po obvodu skladu (nezámrzná hl. 1.0 m)</t>
        </is>
      </c>
      <c r="F37" s="23" t="inlineStr">
        <is>
          <t>m³</t>
        </is>
      </c>
      <c r="G37" s="25" t="n">
        <v>4.85</v>
      </c>
      <c r="H37" s="26" t="n"/>
      <c r="I37" s="26">
        <f>IF(H37="",0,G37*H37)</f>
        <v/>
      </c>
      <c r="J37" s="23" t="inlineStr">
        <is>
          <t>ÚRS 2026</t>
        </is>
      </c>
      <c r="K37" s="32" t="inlineStr">
        <is>
          <t>? needs production lookup</t>
        </is>
      </c>
      <c r="L37" s="5" t="inlineStr">
        <is>
          <t>HSV-1 Zemní práce</t>
        </is>
      </c>
    </row>
    <row r="38">
      <c r="B38" s="17" t="n"/>
      <c r="C38" s="28" t="inlineStr">
        <is>
          <t>VV</t>
        </is>
      </c>
      <c r="D38" s="17" t="n"/>
      <c r="E38" s="29" t="inlineStr">
        <is>
          <t>obvod 2×(6.35+3.34) × W=0.5 × H=0.5</t>
        </is>
      </c>
      <c r="F38" s="17" t="n"/>
      <c r="G38" s="30" t="n">
        <v>4.85</v>
      </c>
      <c r="H38" s="17" t="n"/>
      <c r="I38" s="17" t="n"/>
      <c r="J38" s="17" t="n"/>
      <c r="K38" s="17" t="n"/>
      <c r="L38" s="17" t="n"/>
    </row>
    <row r="39">
      <c r="B39" s="23" t="n">
        <v>4</v>
      </c>
      <c r="C39" s="23" t="inlineStr">
        <is>
          <t>K</t>
        </is>
      </c>
      <c r="D39" s="24" t="inlineStr">
        <is>
          <t>132211101</t>
        </is>
      </c>
      <c r="E39" s="24" t="inlineStr">
        <is>
          <t>Hloubení patek pro stojky IPE180 zastřešení parkingu, 500×500 mm × 1.0 m hl. × 7 ks</t>
        </is>
      </c>
      <c r="F39" s="23" t="inlineStr">
        <is>
          <t>m³</t>
        </is>
      </c>
      <c r="G39" s="25" t="n">
        <v>1.75</v>
      </c>
      <c r="H39" s="26" t="n"/>
      <c r="I39" s="26">
        <f>IF(H39="",0,G39*H39)</f>
        <v/>
      </c>
      <c r="J39" s="23" t="inlineStr">
        <is>
          <t>ÚRS 2026</t>
        </is>
      </c>
      <c r="K39" s="32" t="inlineStr">
        <is>
          <t>? needs production lookup</t>
        </is>
      </c>
      <c r="L39" s="5" t="inlineStr">
        <is>
          <t>HSV-1 Zemní práce</t>
        </is>
      </c>
    </row>
    <row r="40">
      <c r="B40" s="17" t="n"/>
      <c r="C40" s="28" t="inlineStr">
        <is>
          <t>VV</t>
        </is>
      </c>
      <c r="D40" s="17" t="n"/>
      <c r="E40" s="29" t="inlineStr">
        <is>
          <t>DXF: 7 patek × 0.5 × 0.5 × 1.0 (TZ rozteč 1000 mm × 7 m parking)</t>
        </is>
      </c>
      <c r="F40" s="17" t="n"/>
      <c r="G40" s="30" t="n">
        <v>1.75</v>
      </c>
      <c r="H40" s="17" t="n"/>
      <c r="I40" s="17" t="n"/>
      <c r="J40" s="17" t="n"/>
      <c r="K40" s="17" t="n"/>
      <c r="L40" s="17" t="n"/>
    </row>
    <row r="41">
      <c r="B41" s="23" t="n">
        <v>5</v>
      </c>
      <c r="C41" s="23" t="inlineStr">
        <is>
          <t>K</t>
        </is>
      </c>
      <c r="D41" s="24" t="inlineStr">
        <is>
          <t>174101101</t>
        </is>
      </c>
      <c r="E41" s="24" t="inlineStr">
        <is>
          <t>Zhutněný štěrkopískový násyp pod podlahu skladu + štěrkopísek pro IPE patky</t>
        </is>
      </c>
      <c r="F41" s="23" t="inlineStr">
        <is>
          <t>m³</t>
        </is>
      </c>
      <c r="G41" s="25" t="n">
        <v>3.2</v>
      </c>
      <c r="H41" s="26" t="n"/>
      <c r="I41" s="26">
        <f>IF(H41="",0,G41*H41)</f>
        <v/>
      </c>
      <c r="J41" s="23" t="inlineStr">
        <is>
          <t>ÚRS 2026</t>
        </is>
      </c>
      <c r="K41" s="32" t="inlineStr">
        <is>
          <t>? needs production lookup</t>
        </is>
      </c>
      <c r="L41" s="5" t="inlineStr">
        <is>
          <t>HSV-1 Zemní práce</t>
        </is>
      </c>
    </row>
    <row r="42">
      <c r="B42" s="17" t="n"/>
      <c r="C42" s="28" t="inlineStr">
        <is>
          <t>VV</t>
        </is>
      </c>
      <c r="D42" s="17" t="n"/>
      <c r="E42" s="29" t="inlineStr">
        <is>
          <t>podlaha sklad 21.2 m² × 0.15 m štěrku</t>
        </is>
      </c>
      <c r="F42" s="17" t="n"/>
      <c r="G42" s="30" t="n">
        <v>3.2</v>
      </c>
      <c r="H42" s="17" t="n"/>
      <c r="I42" s="17" t="n"/>
      <c r="J42" s="17" t="n"/>
      <c r="K42" s="17" t="n"/>
      <c r="L42" s="17" t="n"/>
    </row>
    <row r="43">
      <c r="B43" s="23" t="n">
        <v>6</v>
      </c>
      <c r="C43" s="23" t="inlineStr">
        <is>
          <t>K</t>
        </is>
      </c>
      <c r="D43" s="24" t="inlineStr"/>
      <c r="E43" s="24" t="inlineStr">
        <is>
          <t>Odvoz výkopku z hloubení skladu + figur + patek na deponii do 8 km</t>
        </is>
      </c>
      <c r="F43" s="23" t="inlineStr">
        <is>
          <t>m³</t>
        </is>
      </c>
      <c r="G43" s="25" t="n">
        <v>32.1</v>
      </c>
      <c r="H43" s="26" t="n"/>
      <c r="I43" s="26">
        <f>IF(H43="",0,G43*H43)</f>
        <v/>
      </c>
      <c r="J43" s="23" t="inlineStr">
        <is>
          <t>ÚRS 2026</t>
        </is>
      </c>
      <c r="K43" s="33" t="inlineStr">
        <is>
          <t>❌ MANUAL — KROS catalog lookup</t>
        </is>
      </c>
      <c r="L43" s="5" t="inlineStr">
        <is>
          <t>HSV-1 Zemní práce</t>
        </is>
      </c>
    </row>
    <row r="44">
      <c r="B44" s="17" t="n"/>
      <c r="C44" s="28" t="inlineStr">
        <is>
          <t>VV</t>
        </is>
      </c>
      <c r="D44" s="17" t="n"/>
      <c r="E44" s="29">
        <f> součet hloubení sklad + figura + patky (25.5+4.85+1.75)</f>
        <v/>
      </c>
      <c r="F44" s="17" t="n"/>
      <c r="G44" s="30" t="n">
        <v>32.1</v>
      </c>
      <c r="H44" s="17" t="n"/>
      <c r="I44" s="17" t="n"/>
      <c r="J44" s="17" t="n"/>
      <c r="K44" s="17" t="n"/>
      <c r="L44" s="17" t="n"/>
    </row>
    <row r="45">
      <c r="B45" s="21" t="n"/>
      <c r="C45" s="22" t="inlineStr">
        <is>
          <t>D</t>
        </is>
      </c>
      <c r="D45" s="22" t="inlineStr">
        <is>
          <t>HSV-2</t>
        </is>
      </c>
      <c r="E45" s="22" t="inlineStr">
        <is>
          <t>HSV-2 Základové a ŽB</t>
        </is>
      </c>
      <c r="F45" s="21" t="n"/>
      <c r="G45" s="21" t="n"/>
      <c r="H45" s="21" t="n"/>
      <c r="I45" s="21" t="n"/>
      <c r="J45" s="21" t="n"/>
      <c r="K45" s="21" t="n"/>
      <c r="L45" s="21" t="n"/>
    </row>
    <row r="46">
      <c r="B46" s="23" t="n">
        <v>7</v>
      </c>
      <c r="C46" s="23" t="inlineStr">
        <is>
          <t>K</t>
        </is>
      </c>
      <c r="D46" s="24" t="inlineStr"/>
      <c r="E46" s="24" t="inlineStr">
        <is>
          <t>Základové pasy z prostého betonu C16/20 XC0, 500×500 mm po obvodu skladu (nezámrzná hl.)</t>
        </is>
      </c>
      <c r="F46" s="23" t="inlineStr">
        <is>
          <t>m³</t>
        </is>
      </c>
      <c r="G46" s="25" t="n">
        <v>4.84</v>
      </c>
      <c r="H46" s="26" t="n"/>
      <c r="I46" s="26">
        <f>IF(H46="",0,G46*H46)</f>
        <v/>
      </c>
      <c r="J46" s="23" t="inlineStr">
        <is>
          <t>ÚRS 2026</t>
        </is>
      </c>
      <c r="K46" s="33" t="inlineStr">
        <is>
          <t>❌ MANUAL — KROS catalog lookup</t>
        </is>
      </c>
      <c r="L46" s="5" t="inlineStr">
        <is>
          <t>HSV-2 Základové a ŽB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0.5 × 0.5 × 19.4 obvod = 4.85</t>
        </is>
      </c>
      <c r="F47" s="17" t="n"/>
      <c r="G47" s="30" t="n">
        <v>4.84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273313811</t>
        </is>
      </c>
      <c r="E48" s="24" t="inlineStr">
        <is>
          <t>Dvoustupňové patky pro IPE180 zastřešení parkingu — spodní část prostý beton C16/20 500×500×500 mm × 7 ks</t>
        </is>
      </c>
      <c r="F48" s="23" t="inlineStr">
        <is>
          <t>ks</t>
        </is>
      </c>
      <c r="G48" s="25" t="n">
        <v>7</v>
      </c>
      <c r="H48" s="26" t="n"/>
      <c r="I48" s="26">
        <f>IF(H48="",0,G48*H48)</f>
        <v/>
      </c>
      <c r="J48" s="23" t="inlineStr">
        <is>
          <t>ÚRS 2026</t>
        </is>
      </c>
      <c r="K48" s="31" t="inlineStr">
        <is>
          <t>⚠ family OK, leaf KROS lookup [evidence: https://www.cs-urs.cz/podminky/cu202/801-1-Budovy-a-haly---z]</t>
        </is>
      </c>
      <c r="L48" s="5" t="inlineStr">
        <is>
          <t>HSV-2 Základové a ŽB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DXF: 7 ks (rozteč 1000 mm × 7000 mm parking délka)</t>
        </is>
      </c>
      <c r="F49" s="17" t="n"/>
      <c r="G49" s="30" t="n">
        <v>7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>
        <is>
          <t>311233812</t>
        </is>
      </c>
      <c r="E50" s="24" t="inlineStr">
        <is>
          <t>Dvoustupňové patky pro IPE180 — horní část z tvarovek ztraceného bednění 300×300 mm × 7 ks</t>
        </is>
      </c>
      <c r="F50" s="23" t="inlineStr">
        <is>
          <t>ks</t>
        </is>
      </c>
      <c r="G50" s="25" t="n">
        <v>7</v>
      </c>
      <c r="H50" s="26" t="n"/>
      <c r="I50" s="26">
        <f>IF(H50="",0,G50*H50)</f>
        <v/>
      </c>
      <c r="J50" s="23" t="inlineStr">
        <is>
          <t>ÚRS 2026</t>
        </is>
      </c>
      <c r="K50" s="32" t="inlineStr">
        <is>
          <t>? needs production lookup</t>
        </is>
      </c>
      <c r="L50" s="5" t="inlineStr">
        <is>
          <t>HSV-2 Základové a ŽB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7 ks (= spodní)</t>
        </is>
      </c>
      <c r="F51" s="17" t="n"/>
      <c r="G51" s="30" t="n">
        <v>7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>
        <is>
          <t>273321321</t>
        </is>
      </c>
      <c r="E52" s="24" t="inlineStr">
        <is>
          <t>Beton C25/30 XC3 XF1 XA1 pro zalití tvarovek ZB patek + lemujících zídek parkingu</t>
        </is>
      </c>
      <c r="F52" s="23" t="inlineStr">
        <is>
          <t>m³</t>
        </is>
      </c>
      <c r="G52" s="25" t="n">
        <v>1.8</v>
      </c>
      <c r="H52" s="26" t="n"/>
      <c r="I52" s="26">
        <f>IF(H52="",0,G52*H52)</f>
        <v/>
      </c>
      <c r="J52" s="23" t="inlineStr">
        <is>
          <t>ÚRS 2026</t>
        </is>
      </c>
      <c r="K52" s="32" t="inlineStr">
        <is>
          <t>? needs production lookup</t>
        </is>
      </c>
      <c r="L52" s="5" t="inlineStr">
        <is>
          <t>HSV-2 Základové a ŽB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patky horní (0.3×0.3×0.5×7) + zídka (odhad ~1 m³)</t>
        </is>
      </c>
      <c r="F53" s="17" t="n"/>
      <c r="G53" s="30" t="n">
        <v>1.8</v>
      </c>
      <c r="H53" s="17" t="n"/>
      <c r="I53" s="17" t="n"/>
      <c r="J53" s="17" t="n"/>
      <c r="K53" s="17" t="n"/>
      <c r="L53" s="17" t="n"/>
    </row>
    <row r="54">
      <c r="B54" s="23" t="n">
        <v>11</v>
      </c>
      <c r="C54" s="23" t="inlineStr">
        <is>
          <t>K</t>
        </is>
      </c>
      <c r="D54" s="24" t="inlineStr">
        <is>
          <t>174101101</t>
        </is>
      </c>
      <c r="E54" s="24" t="inlineStr">
        <is>
          <t>Štěrkopískové lože pod podlahu skladu + pod schodišťovou desku</t>
        </is>
      </c>
      <c r="F54" s="23" t="inlineStr">
        <is>
          <t>m³</t>
        </is>
      </c>
      <c r="G54" s="25" t="n">
        <v>2.12</v>
      </c>
      <c r="H54" s="26" t="n"/>
      <c r="I54" s="26">
        <f>IF(H54="",0,G54*H54)</f>
        <v/>
      </c>
      <c r="J54" s="23" t="inlineStr">
        <is>
          <t>ÚRS 2026</t>
        </is>
      </c>
      <c r="K54" s="27" t="inlineStr">
        <is>
          <t>✓ cross-discipline OK [evidence: https://www.cs-urs.cz/podminky/cu201/800-1-Zemni-prace-(2020]</t>
        </is>
      </c>
      <c r="L54" s="5" t="inlineStr">
        <is>
          <t>HSV-2 Základové a ŽB</t>
        </is>
      </c>
    </row>
    <row r="55">
      <c r="B55" s="17" t="n"/>
      <c r="C55" s="28" t="inlineStr">
        <is>
          <t>VV</t>
        </is>
      </c>
      <c r="D55" s="17" t="n"/>
      <c r="E55" s="29" t="inlineStr">
        <is>
          <t>21.2 × 0.10 = 2.12</t>
        </is>
      </c>
      <c r="F55" s="17" t="n"/>
      <c r="G55" s="30" t="n">
        <v>2.12</v>
      </c>
      <c r="H55" s="17" t="n"/>
      <c r="I55" s="17" t="n"/>
      <c r="J55" s="17" t="n"/>
      <c r="K55" s="17" t="n"/>
      <c r="L55" s="17" t="n"/>
    </row>
    <row r="56">
      <c r="B56" s="23" t="n">
        <v>12</v>
      </c>
      <c r="C56" s="23" t="inlineStr">
        <is>
          <t>K</t>
        </is>
      </c>
      <c r="D56" s="24" t="inlineStr">
        <is>
          <t>273361821</t>
        </is>
      </c>
      <c r="E56" s="24" t="inlineStr">
        <is>
          <t>ŽB schodišťová deska ve sklonu + základový pas — beton C25/30 XC3 (terén ke skladu)</t>
        </is>
      </c>
      <c r="F56" s="23" t="inlineStr">
        <is>
          <t>m³</t>
        </is>
      </c>
      <c r="G56" s="25" t="n">
        <v>0.8</v>
      </c>
      <c r="H56" s="26" t="n"/>
      <c r="I56" s="26">
        <f>IF(H56="",0,G56*H56)</f>
        <v/>
      </c>
      <c r="J56" s="23" t="inlineStr">
        <is>
          <t>ÚRS 2026</t>
        </is>
      </c>
      <c r="K56" s="32" t="inlineStr">
        <is>
          <t>? needs production lookup</t>
        </is>
      </c>
      <c r="L56" s="5" t="inlineStr">
        <is>
          <t>HSV-2 Základové a ŽB</t>
        </is>
      </c>
    </row>
    <row r="57">
      <c r="B57" s="17" t="n"/>
      <c r="C57" s="28" t="inlineStr">
        <is>
          <t>VV</t>
        </is>
      </c>
      <c r="D57" s="17" t="n"/>
      <c r="E57" s="29" t="inlineStr">
        <is>
          <t>odhad 3 m schodů × 0.8 × 0.30 = 0.72 (ručně)</t>
        </is>
      </c>
      <c r="F57" s="17" t="n"/>
      <c r="G57" s="30" t="n">
        <v>0.8</v>
      </c>
      <c r="H57" s="17" t="n"/>
      <c r="I57" s="17" t="n"/>
      <c r="J57" s="17" t="n"/>
      <c r="K57" s="17" t="n"/>
      <c r="L57" s="17" t="n"/>
    </row>
    <row r="58">
      <c r="B58" s="21" t="n"/>
      <c r="C58" s="22" t="inlineStr">
        <is>
          <t>D</t>
        </is>
      </c>
      <c r="D58" s="22" t="inlineStr">
        <is>
          <t>HSV-3</t>
        </is>
      </c>
      <c r="E58" s="22" t="inlineStr">
        <is>
          <t>HSV-3 Svislé konstrukce</t>
        </is>
      </c>
      <c r="F58" s="21" t="n"/>
      <c r="G58" s="21" t="n"/>
      <c r="H58" s="21" t="n"/>
      <c r="I58" s="21" t="n"/>
      <c r="J58" s="21" t="n"/>
      <c r="K58" s="21" t="n"/>
      <c r="L58" s="21" t="n"/>
    </row>
    <row r="59">
      <c r="B59" s="23" t="n">
        <v>13</v>
      </c>
      <c r="C59" s="23" t="inlineStr">
        <is>
          <t>K</t>
        </is>
      </c>
      <c r="D59" s="24" t="inlineStr">
        <is>
          <t>311233815</t>
        </is>
      </c>
      <c r="E59" s="24" t="inlineStr">
        <is>
          <t>Zadní opěrná stěna — prefabrikované betonové bloky Herkul H-BLOK Standard, vazba běhounová s posunem 0.5</t>
        </is>
      </c>
      <c r="F59" s="23" t="inlineStr">
        <is>
          <t>ks</t>
        </is>
      </c>
      <c r="G59" s="25" t="n">
        <v>60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HSV-3 Svislé konstrukce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odhad — výška ~1.6 m × šíře 6.35 m / blok 0.8×0.4 = ~32 bloků × 2 řady = 64; round 60</t>
        </is>
      </c>
      <c r="F60" s="17" t="n"/>
      <c r="G60" s="30" t="n">
        <v>60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311233811</t>
        </is>
      </c>
      <c r="E61" s="24" t="inlineStr">
        <is>
          <t>Obvodové stěny skladu — tvarovky ztraceného bednění tl. 250 mm × výška 2.4 m + zalití C25/30</t>
        </is>
      </c>
      <c r="F61" s="23" t="inlineStr">
        <is>
          <t>m²</t>
        </is>
      </c>
      <c r="G61" s="25" t="n">
        <v>46.5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HSV-3 Svislé konstrukce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obvod 19.4 m × výška 2.4 m = 46.6</t>
        </is>
      </c>
      <c r="F62" s="17" t="n"/>
      <c r="G62" s="30" t="n">
        <v>46.5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273361821</t>
        </is>
      </c>
      <c r="E63" s="24" t="inlineStr">
        <is>
          <t>Výztuž B500B do tvarovek ztraceného bednění (~30 kg/m² stěny při zalití C25/30)</t>
        </is>
      </c>
      <c r="F63" s="23" t="inlineStr">
        <is>
          <t>kg</t>
        </is>
      </c>
      <c r="G63" s="25" t="n">
        <v>1398</v>
      </c>
      <c r="H63" s="26" t="n"/>
      <c r="I63" s="26">
        <f>IF(H63="",0,G63*H63)</f>
        <v/>
      </c>
      <c r="J63" s="23" t="inlineStr">
        <is>
          <t>ÚRS 2026</t>
        </is>
      </c>
      <c r="K63" s="31" t="inlineStr">
        <is>
          <t>⚠ family OK, leaf KROS lookup [evidence: https://www.cs-urs.cz/cenova-soustava-urs/]</t>
        </is>
      </c>
      <c r="L63" s="5" t="inlineStr">
        <is>
          <t>HSV-3 Svislé konstrukce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46.6 × 30 kg/m² = 1398</t>
        </is>
      </c>
      <c r="F64" s="17" t="n"/>
      <c r="G64" s="30" t="n">
        <v>1398</v>
      </c>
      <c r="H64" s="17" t="n"/>
      <c r="I64" s="17" t="n"/>
      <c r="J64" s="17" t="n"/>
      <c r="K64" s="17" t="n"/>
      <c r="L64" s="17" t="n"/>
    </row>
    <row r="65">
      <c r="B65" s="21" t="n"/>
      <c r="C65" s="22" t="inlineStr">
        <is>
          <t>D</t>
        </is>
      </c>
      <c r="D65" s="22" t="inlineStr">
        <is>
          <t>HSV-4</t>
        </is>
      </c>
      <c r="E65" s="22" t="inlineStr">
        <is>
          <t>HSV-4 Vodorovné</t>
        </is>
      </c>
      <c r="F65" s="21" t="n"/>
      <c r="G65" s="21" t="n"/>
      <c r="H65" s="21" t="n"/>
      <c r="I65" s="21" t="n"/>
      <c r="J65" s="21" t="n"/>
      <c r="K65" s="21" t="n"/>
      <c r="L65" s="21" t="n"/>
    </row>
    <row r="66">
      <c r="B66" s="23" t="n">
        <v>16</v>
      </c>
      <c r="C66" s="23" t="inlineStr">
        <is>
          <t>K</t>
        </is>
      </c>
      <c r="D66" s="24" t="inlineStr">
        <is>
          <t>762341110</t>
        </is>
      </c>
      <c r="E66" s="24" t="inlineStr">
        <is>
          <t>Dřevěné stropnice 100/160 mm á 625 mm primární zastřešení skladu — rezivo C24 fungicidní</t>
        </is>
      </c>
      <c r="F66" s="23" t="inlineStr">
        <is>
          <t>bm</t>
        </is>
      </c>
      <c r="G66" s="25" t="n">
        <v>33.9</v>
      </c>
      <c r="H66" s="26" t="n"/>
      <c r="I66" s="26">
        <f>IF(H66="",0,G66*H66)</f>
        <v/>
      </c>
      <c r="J66" s="23" t="inlineStr">
        <is>
          <t>ÚRS 2026</t>
        </is>
      </c>
      <c r="K66" s="32" t="inlineStr">
        <is>
          <t>? needs production lookup</t>
        </is>
      </c>
      <c r="L66" s="5" t="inlineStr">
        <is>
          <t>HSV-4 Vodorovné</t>
        </is>
      </c>
    </row>
    <row r="67">
      <c r="B67" s="17" t="n"/>
      <c r="C67" s="28" t="inlineStr">
        <is>
          <t>VV</t>
        </is>
      </c>
      <c r="D67" s="17" t="n"/>
      <c r="E67" s="29" t="inlineStr">
        <is>
          <t>rozpon 3.34 × počet stropnic (6.35/0.625 = 10) = ~10 ks × 3.34 = 33.4</t>
        </is>
      </c>
      <c r="F67" s="17" t="n"/>
      <c r="G67" s="30" t="n">
        <v>33.9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>
        <is>
          <t>762331110</t>
        </is>
      </c>
      <c r="E68" s="24" t="inlineStr">
        <is>
          <t>Prkenný záklop stropnic skladu tl. 20 mm + impregnace</t>
        </is>
      </c>
      <c r="F68" s="23" t="inlineStr">
        <is>
          <t>m²</t>
        </is>
      </c>
      <c r="G68" s="25" t="n">
        <v>21.209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HSV-4 Vodorovné</t>
        </is>
      </c>
    </row>
    <row r="69">
      <c r="B69" s="17" t="n"/>
      <c r="C69" s="28" t="inlineStr">
        <is>
          <t>VV</t>
        </is>
      </c>
      <c r="D69" s="17" t="n"/>
      <c r="E69" s="29">
        <f> 21.2 m² strop skladu</f>
        <v/>
      </c>
      <c r="F69" s="17" t="n"/>
      <c r="G69" s="30" t="n">
        <v>21.209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712331101</t>
        </is>
      </c>
      <c r="E70" s="24" t="inlineStr">
        <is>
          <t>Hydroizolační střešní souvrství skladu (modifikovaný asfaltový pás SBS + ochranná vrstva)</t>
        </is>
      </c>
      <c r="F70" s="23" t="inlineStr">
        <is>
          <t>m²</t>
        </is>
      </c>
      <c r="G70" s="25" t="n">
        <v>22.26945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HSV-4 Vodorovné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21.2 × 1.05 přesah</t>
        </is>
      </c>
      <c r="F71" s="17" t="n"/>
      <c r="G71" s="30" t="n">
        <v>22.26945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411321414</t>
        </is>
      </c>
      <c r="E72" s="24" t="inlineStr">
        <is>
          <t>Sekundární zastřešení parkingu — IPE180 v rozteči 1000 mm × délka 7 m × 7 ks</t>
        </is>
      </c>
      <c r="F72" s="23" t="inlineStr">
        <is>
          <t>kg</t>
        </is>
      </c>
      <c r="G72" s="25" t="n">
        <v>921</v>
      </c>
      <c r="H72" s="26" t="n"/>
      <c r="I72" s="26">
        <f>IF(H72="",0,G72*H72)</f>
        <v/>
      </c>
      <c r="J72" s="23" t="inlineStr">
        <is>
          <t>ÚRS 2026</t>
        </is>
      </c>
      <c r="K72" s="32" t="inlineStr">
        <is>
          <t>? needs production lookup</t>
        </is>
      </c>
      <c r="L72" s="5" t="inlineStr">
        <is>
          <t>HSV-4 Vodorovné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7 ks × 7 m × 18.8 kg/m = 921</t>
        </is>
      </c>
      <c r="F73" s="17" t="n"/>
      <c r="G73" s="30" t="n">
        <v>921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>
        <is>
          <t>411321515</t>
        </is>
      </c>
      <c r="E74" s="24" t="inlineStr">
        <is>
          <t>Pojezdové ocelové pororošty demontovatelné — povrch parkingu (žárově zinkováno)</t>
        </is>
      </c>
      <c r="F74" s="23" t="inlineStr">
        <is>
          <t>m²</t>
        </is>
      </c>
      <c r="G74" s="25" t="n">
        <v>44.6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https://www.cs-urs.cz/cenova-soustava-urs/]</t>
        </is>
      </c>
      <c r="L74" s="5" t="inlineStr">
        <is>
          <t>HSV-4 Vodorovné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5" s="17" t="n"/>
      <c r="G75" s="30" t="n">
        <v>44.6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>
        <is>
          <t>783201001</t>
        </is>
      </c>
      <c r="E76" s="24" t="inlineStr">
        <is>
          <t>Žárově zinková povrchová úprava IPE180 + pororoštů dle ČSN EN ISO 12944 (C3 prostředí)</t>
        </is>
      </c>
      <c r="F76" s="23" t="inlineStr">
        <is>
          <t>kg</t>
        </is>
      </c>
      <c r="G76" s="25" t="n">
        <v>1551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HSV-4 Vodorovné</t>
        </is>
      </c>
    </row>
    <row r="77">
      <c r="B77" s="17" t="n"/>
      <c r="C77" s="28" t="inlineStr">
        <is>
          <t>VV</t>
        </is>
      </c>
      <c r="D77" s="17" t="n"/>
      <c r="E77" s="29">
        <f> hmotnost IPE180 (921 kg) + odhad pororoštů (21 m² × 30 kg/m²) = ~1551</f>
        <v/>
      </c>
      <c r="F77" s="17" t="n"/>
      <c r="G77" s="30" t="n">
        <v>1551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HSV-5</t>
        </is>
      </c>
      <c r="E78" s="22" t="inlineStr">
        <is>
          <t>HSV-5 Komunikace + schodiště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121301101</t>
        </is>
      </c>
      <c r="E79" s="24" t="inlineStr">
        <is>
          <t>Sklad mezipodesta schodiště — prefa betonové stupně (9 ks × 179.5×250 mm) + kladecí vrstva zavlhlého betonu nad ŽB podkladní deskou (S05 sklad skladba)</t>
        </is>
      </c>
      <c r="F79" s="23" t="inlineStr">
        <is>
          <t>m²</t>
        </is>
      </c>
      <c r="G79" s="25" t="n">
        <v>5.5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HSV-5 Komunikace + schodiště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místností: room 1.02 schodiště plocha = 5.50 m². 9 stupňů 179.5×250 mm vyznačené v půdoryse parking sheet (Phase 3.5 cross-check)</t>
        </is>
      </c>
      <c r="F80" s="17" t="n"/>
      <c r="G80" s="30" t="n">
        <v>5.5</v>
      </c>
      <c r="H80" s="17" t="n"/>
      <c r="I80" s="17" t="n"/>
      <c r="J80" s="17" t="n"/>
      <c r="K80" s="17" t="n"/>
      <c r="L80" s="17" t="n"/>
    </row>
    <row r="81">
      <c r="B81" s="19" t="n"/>
      <c r="C81" s="20" t="inlineStr">
        <is>
          <t>D</t>
        </is>
      </c>
      <c r="D81" s="20" t="inlineStr">
        <is>
          <t>PSV</t>
        </is>
      </c>
      <c r="E81" s="20" t="inlineStr">
        <is>
          <t>Práce a dodávky PSV</t>
        </is>
      </c>
      <c r="F81" s="19" t="n"/>
      <c r="G81" s="19" t="n"/>
      <c r="H81" s="19" t="n"/>
      <c r="I81" s="19" t="n"/>
      <c r="J81" s="19" t="n"/>
      <c r="K81" s="19" t="n"/>
      <c r="L81" s="19" t="n"/>
    </row>
    <row r="82">
      <c r="B82" s="21" t="n"/>
      <c r="C82" s="22" t="inlineStr">
        <is>
          <t>D</t>
        </is>
      </c>
      <c r="D82" s="22" t="inlineStr">
        <is>
          <t>PSV-76</t>
        </is>
      </c>
      <c r="E82" s="22" t="inlineStr">
        <is>
          <t>PSV-76 Výplně otvorů</t>
        </is>
      </c>
      <c r="F82" s="21" t="n"/>
      <c r="G82" s="21" t="n"/>
      <c r="H82" s="21" t="n"/>
      <c r="I82" s="21" t="n"/>
      <c r="J82" s="21" t="n"/>
      <c r="K82" s="21" t="n"/>
      <c r="L82" s="21" t="n"/>
    </row>
    <row r="83">
      <c r="B83" s="23" t="n">
        <v>23</v>
      </c>
      <c r="C83" s="23" t="inlineStr">
        <is>
          <t>K</t>
        </is>
      </c>
      <c r="D83" s="24" t="inlineStr">
        <is>
          <t>766682111</t>
        </is>
      </c>
      <c r="E83" s="24" t="inlineStr">
        <is>
          <t>Bezpečnostní dveře RC3 v ocelové zárubni — vrata skladu (TZ statika §1.4 RC3 certifikované)</t>
        </is>
      </c>
      <c r="F83" s="23" t="inlineStr">
        <is>
          <t>ks</t>
        </is>
      </c>
      <c r="G83" s="25" t="n">
        <v>1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PSV-76 Výplně otvorů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 ks vstupní dveře skladu</t>
        </is>
      </c>
      <c r="F84" s="17" t="n"/>
      <c r="G84" s="30" t="n">
        <v>1</v>
      </c>
      <c r="H84" s="17" t="n"/>
      <c r="I84" s="17" t="n"/>
      <c r="J84" s="17" t="n"/>
      <c r="K84" s="17" t="n"/>
      <c r="L84" s="17" t="n"/>
    </row>
    <row r="85">
      <c r="B85" s="21" t="n"/>
      <c r="C85" s="22" t="inlineStr">
        <is>
          <t>D</t>
        </is>
      </c>
      <c r="D85" s="22" t="inlineStr">
        <is>
          <t>PSV-77</t>
        </is>
      </c>
      <c r="E85" s="22" t="inlineStr">
        <is>
          <t>PSV-77 Podlahy</t>
        </is>
      </c>
      <c r="F85" s="21" t="n"/>
      <c r="G85" s="21" t="n"/>
      <c r="H85" s="21" t="n"/>
      <c r="I85" s="21" t="n"/>
      <c r="J85" s="21" t="n"/>
      <c r="K85" s="21" t="n"/>
      <c r="L85" s="21" t="n"/>
    </row>
    <row r="86">
      <c r="B86" s="23" t="n">
        <v>24</v>
      </c>
      <c r="C86" s="23" t="inlineStr">
        <is>
          <t>K</t>
        </is>
      </c>
      <c r="D86" s="24" t="inlineStr"/>
      <c r="E86" s="24" t="inlineStr">
        <is>
          <t>Betonová dlažba do pískového lože — povrch podlahy skladu (~21 m²)</t>
        </is>
      </c>
      <c r="F86" s="23" t="inlineStr">
        <is>
          <t>m²</t>
        </is>
      </c>
      <c r="G86" s="25" t="n">
        <v>17.6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PSV-77 Podlahy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87" s="17" t="n"/>
      <c r="G87" s="30" t="n">
        <v>17.6</v>
      </c>
      <c r="H87" s="17" t="n"/>
      <c r="I87" s="17" t="n"/>
      <c r="J87" s="17" t="n"/>
      <c r="K87" s="17" t="n"/>
      <c r="L87" s="17" t="n"/>
    </row>
    <row r="88">
      <c r="B88" s="19" t="n"/>
      <c r="C88" s="20" t="inlineStr">
        <is>
          <t>D</t>
        </is>
      </c>
      <c r="D88" s="20" t="inlineStr">
        <is>
          <t>VRN</t>
        </is>
      </c>
      <c r="E88" s="20" t="inlineStr">
        <is>
          <t>Vedlejší rozpočtové náklady</t>
        </is>
      </c>
      <c r="F88" s="19" t="n"/>
      <c r="G88" s="19" t="n"/>
      <c r="H88" s="19" t="n"/>
      <c r="I88" s="19" t="n"/>
      <c r="J88" s="19" t="n"/>
      <c r="K88" s="19" t="n"/>
      <c r="L88" s="19" t="n"/>
    </row>
    <row r="89">
      <c r="B89" s="21" t="n"/>
      <c r="C89" s="22" t="inlineStr">
        <is>
          <t>D</t>
        </is>
      </c>
      <c r="D89" s="22" t="inlineStr">
        <is>
          <t>VRN</t>
        </is>
      </c>
      <c r="E89" s="22" t="inlineStr">
        <is>
          <t>VRN — Společné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>
        <is>
          <t>030001000</t>
        </is>
      </c>
      <c r="E90" s="24" t="inlineStr">
        <is>
          <t>Podíl na obecných VRN domu (buňky, BOZP, pojištění, kolaudace) — paušál ~10 % nákladů sklad nebo % alokace</t>
        </is>
      </c>
      <c r="F90" s="23" t="inlineStr">
        <is>
          <t>paušál</t>
        </is>
      </c>
      <c r="G90" s="25" t="n">
        <v>1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VRN — Společné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Standard paušální alokace VRN pro paralelně realizovaný menší objekt</t>
        </is>
      </c>
      <c r="F91" s="17" t="n"/>
      <c r="G91" s="30" t="n">
        <v>1</v>
      </c>
      <c r="H91" s="17" t="n"/>
      <c r="I91" s="17" t="n"/>
      <c r="J91" s="17" t="n"/>
      <c r="K91" s="17" t="n"/>
      <c r="L91" s="17" t="n"/>
    </row>
    <row r="92">
      <c r="B92" s="21" t="n"/>
      <c r="C92" s="22" t="inlineStr">
        <is>
          <t>D</t>
        </is>
      </c>
      <c r="D92" s="22" t="inlineStr">
        <is>
          <t>VRN</t>
        </is>
      </c>
      <c r="E92" s="22" t="inlineStr">
        <is>
          <t>VRN — Doprava + odpad</t>
        </is>
      </c>
      <c r="F92" s="21" t="n"/>
      <c r="G92" s="21" t="n"/>
      <c r="H92" s="21" t="n"/>
      <c r="I92" s="21" t="n"/>
      <c r="J92" s="21" t="n"/>
      <c r="K92" s="21" t="n"/>
      <c r="L92" s="21" t="n"/>
    </row>
    <row r="93">
      <c r="B93" s="23" t="n">
        <v>26</v>
      </c>
      <c r="C93" s="23" t="inlineStr">
        <is>
          <t>K</t>
        </is>
      </c>
      <c r="D93" s="24" t="inlineStr">
        <is>
          <t>031032000</t>
        </is>
      </c>
      <c r="E93" s="24" t="inlineStr">
        <is>
          <t>Doprava prefa H-BLOK Standard z výrobny Herkul (Obrnice) auto s hydraulickou rukou — celkem ~60 ks bloků</t>
        </is>
      </c>
      <c r="F93" s="23" t="inlineStr">
        <is>
          <t>kpl</t>
        </is>
      </c>
      <c r="G93" s="25" t="n">
        <v>1</v>
      </c>
      <c r="H93" s="26" t="n"/>
      <c r="I93" s="26">
        <f>IF(H93="",0,G93*H93)</f>
        <v/>
      </c>
      <c r="J93" s="23" t="inlineStr">
        <is>
          <t>ÚRS 2026</t>
        </is>
      </c>
      <c r="K93" s="32" t="inlineStr">
        <is>
          <t>? needs production lookup</t>
        </is>
      </c>
      <c r="L93" s="5" t="inlineStr">
        <is>
          <t>VRN — Doprava + odpad</t>
        </is>
      </c>
    </row>
    <row r="94">
      <c r="B94" s="17" t="n"/>
      <c r="C94" s="28" t="inlineStr">
        <is>
          <t>VV</t>
        </is>
      </c>
      <c r="D94" s="17" t="n"/>
      <c r="E94" s="29" t="inlineStr">
        <is>
          <t>Standard doprava prefa Herkul autem s hyd. rukou pro lokální distribuci</t>
        </is>
      </c>
      <c r="F94" s="17" t="n"/>
      <c r="G94" s="30" t="n">
        <v>1</v>
      </c>
      <c r="H94" s="17" t="n"/>
      <c r="I94" s="17" t="n"/>
      <c r="J94" s="17" t="n"/>
      <c r="K94" s="17" t="n"/>
      <c r="L94" s="17" t="n"/>
    </row>
    <row r="95">
      <c r="B95" s="23" t="n">
        <v>27</v>
      </c>
      <c r="C95" s="23" t="inlineStr">
        <is>
          <t>K</t>
        </is>
      </c>
      <c r="D95" s="24" t="inlineStr">
        <is>
          <t>997013211</t>
        </is>
      </c>
      <c r="E95" s="24" t="inlineStr">
        <is>
          <t>Likvidace odpadu sklad — kameny ze zídek + výkop + dřevo (drobné množství)</t>
        </is>
      </c>
      <c r="F95" s="23" t="inlineStr">
        <is>
          <t>t</t>
        </is>
      </c>
      <c r="G95" s="25" t="n">
        <v>8</v>
      </c>
      <c r="H95" s="26" t="n"/>
      <c r="I95" s="26">
        <f>IF(H95="",0,G95*H95)</f>
        <v/>
      </c>
      <c r="J95" s="23" t="inlineStr">
        <is>
          <t>ÚRS 2026</t>
        </is>
      </c>
      <c r="K95" s="32" t="inlineStr">
        <is>
          <t>? needs production lookup</t>
        </is>
      </c>
      <c r="L95" s="5" t="inlineStr">
        <is>
          <t>VRN — Doprava + odpad</t>
        </is>
      </c>
    </row>
    <row r="96">
      <c r="B96" s="17" t="n"/>
      <c r="C96" s="28" t="inlineStr">
        <is>
          <t>VV</t>
        </is>
      </c>
      <c r="D96" s="17" t="n"/>
      <c r="E96" s="29" t="inlineStr">
        <is>
          <t>Odhad: kamenné zídky ~6 t + dřevo+výkop ~2 t = 8 t</t>
        </is>
      </c>
      <c r="F96" s="17" t="n"/>
      <c r="G96" s="30" t="n">
        <v>8</v>
      </c>
      <c r="H96" s="17" t="n"/>
      <c r="I96" s="17" t="n"/>
      <c r="J96" s="17" t="n"/>
      <c r="K96" s="17" t="n"/>
      <c r="L96" s="17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Geodet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030141000</t>
        </is>
      </c>
      <c r="E98" s="24" t="inlineStr">
        <is>
          <t>Geodetické vytýčení sklad+parking+schodiště ze situace (před realizací)</t>
        </is>
      </c>
      <c r="F98" s="23" t="inlineStr">
        <is>
          <t>kpl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Geodet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geodet vytýčení pro nový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</sheetData>
  <mergeCells count="11">
    <mergeCell ref="C7:K7"/>
    <mergeCell ref="C11:K11"/>
    <mergeCell ref="B14:K14"/>
    <mergeCell ref="C10:K10"/>
    <mergeCell ref="C5:K5"/>
    <mergeCell ref="C9:K9"/>
    <mergeCell ref="B29:K2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47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160</v>
      </c>
    </row>
    <row r="10">
      <c r="B10" s="8" t="inlineStr">
        <is>
          <t>CELKEM AKTIVNÍ</t>
        </is>
      </c>
      <c r="C10" s="34" t="n">
        <v>224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260219_dum.PSV71.101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260219_dum.PSV71.102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40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260219_dum.PSV76.101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260219_dum.PSV76.104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260219_dum.PSV76.201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260219_dum.PSV76.202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564</t>
        </is>
      </c>
      <c r="G89" s="24" t="inlineStr">
        <is>
          <t>Terasa za opěrnou stěnou — PODKLADNÍ SKLADBA pod dřevěnou pochozí vrst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762332121</t>
        </is>
      </c>
      <c r="F120" s="24" t="inlineStr">
        <is>
          <t>762332</t>
        </is>
      </c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260219_dum.PSV76.203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260219_dum.PSV76.204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260219_dum.PSV76.301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260219_dum.PSV76.302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/>
      <c r="F153" s="24" t="inlineStr">
        <is>
          <t>762</t>
        </is>
      </c>
      <c r="G153" s="24" t="inlineStr">
        <is>
          <t xml:space="preserve">Dřevěná terasa za opěrnou stěnou — prkna garapa 145×25 mm na dřevěném </t>
        </is>
      </c>
      <c r="H153" s="24" t="inlineStr">
        <is>
          <t>❌ MANUAL — KROS catalog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260219_dum.VRN.101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260219_dum.VRN.201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260219_dum.VRN.301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260219_dum.VRN.302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260219_dum.VRN.401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260219_dum.VRN.402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260219_dum.VRN.501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260219_dum.VRN.601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260219_dum.VRN.701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260219_dum.VRN.801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260219_dum.VRN.102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260219_dum.VRN.103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260217_sklad.VRN.101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260217_sklad.VRN.201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  <row r="234">
      <c r="B234" s="24" t="inlineStr">
        <is>
          <t>260219_dum.HSV1.016</t>
        </is>
      </c>
      <c r="C234" s="24" t="inlineStr">
        <is>
          <t>260219_dum</t>
        </is>
      </c>
      <c r="D234" s="24" t="inlineStr">
        <is>
          <t>HSV-1 Zemní práce</t>
        </is>
      </c>
      <c r="E234" s="24" t="inlineStr"/>
      <c r="F234" s="24" t="inlineStr"/>
      <c r="G234" s="24" t="inlineStr">
        <is>
          <t>Venkovní schody na terénu z betonových dílců do betonového lože — rame</t>
        </is>
      </c>
      <c r="H234" s="24" t="inlineStr">
        <is>
          <t>❌ MANUAL — KROS catalog lookup</t>
        </is>
      </c>
    </row>
    <row r="235">
      <c r="B235" s="24" t="inlineStr">
        <is>
          <t>260219_dum.HSV5.017</t>
        </is>
      </c>
      <c r="C235" s="24" t="inlineStr">
        <is>
          <t>260219_dum</t>
        </is>
      </c>
      <c r="D235" s="24" t="inlineStr">
        <is>
          <t>HSV-5 Krov + střecha</t>
        </is>
      </c>
      <c r="E235" s="24" t="inlineStr">
        <is>
          <t>762085112</t>
        </is>
      </c>
      <c r="F235" s="24" t="inlineStr">
        <is>
          <t>762085</t>
        </is>
      </c>
      <c r="G235" s="24" t="inlineStr">
        <is>
          <t xml:space="preserve">Montáž svorníků / šroubů tesařských spojů krovu délky přes 150 do 300 </t>
        </is>
      </c>
      <c r="H235" s="24" t="inlineStr">
        <is>
          <t>? needs production lookup</t>
        </is>
      </c>
    </row>
    <row r="236">
      <c r="B236" s="24" t="inlineStr">
        <is>
          <t>260219_dum.HSV4.015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713191</t>
        </is>
      </c>
      <c r="F236" s="24" t="inlineStr"/>
      <c r="G236" s="24" t="inlineStr">
        <is>
          <t>Desky kročejové izolace (Isover T-P) tl. 30 mm — trámový strop 1.NP/2.</t>
        </is>
      </c>
      <c r="H236" s="24" t="inlineStr">
        <is>
          <t>? needs production lookup</t>
        </is>
      </c>
    </row>
    <row r="237">
      <c r="B237" s="24" t="inlineStr">
        <is>
          <t>260219_dum.HSV4.016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Separační geotextilie pod suchý podsyp — trámový strop 1.NP/2.NP</t>
        </is>
      </c>
      <c r="H237" s="24" t="inlineStr">
        <is>
          <t>❌ MANUAL — KROS catalog lookup</t>
        </is>
      </c>
    </row>
    <row r="238">
      <c r="B238" s="24" t="inlineStr">
        <is>
          <t>260219_dum.HSV4.017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713121</t>
        </is>
      </c>
      <c r="F238" s="24" t="inlineStr"/>
      <c r="G238" s="24" t="inlineStr">
        <is>
          <t>Tepelná/akustická izolace minerální vata výplň mezi ocelové nosníky st</t>
        </is>
      </c>
      <c r="H238" s="24" t="inlineStr">
        <is>
          <t>? needs production lookup</t>
        </is>
      </c>
    </row>
    <row r="239">
      <c r="B239" s="24" t="inlineStr">
        <is>
          <t>260219_dum.HSV4.018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Roznášecí sádrovláknité dílce Fermacell 2E22 tl. 25 mm — suchá skladba</t>
        </is>
      </c>
      <c r="H239" s="24" t="inlineStr">
        <is>
          <t>❌ MANUAL — KROS catalog lookup</t>
        </is>
      </c>
    </row>
    <row r="240">
      <c r="B240" s="24" t="inlineStr">
        <is>
          <t>260219_dum.HSV4.019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>
        <is>
          <t>713191</t>
        </is>
      </c>
      <c r="F240" s="24" t="inlineStr"/>
      <c r="G240" s="24" t="inlineStr">
        <is>
          <t>Desky kročejové izolace (Isover T-P) tl. 30 mm — suchá skladba nad kle</t>
        </is>
      </c>
      <c r="H240" s="24" t="inlineStr">
        <is>
          <t>? needs production lookup</t>
        </is>
      </c>
    </row>
    <row r="241">
      <c r="B241" s="24" t="inlineStr">
        <is>
          <t>260219_dum.HSV4.020</t>
        </is>
      </c>
      <c r="C241" s="24" t="inlineStr">
        <is>
          <t>260219_dum</t>
        </is>
      </c>
      <c r="D241" s="24" t="inlineStr">
        <is>
          <t>HSV-4 Vodorovné</t>
        </is>
      </c>
      <c r="E241" s="24" t="inlineStr"/>
      <c r="F241" s="24" t="inlineStr"/>
      <c r="G241" s="24" t="inlineStr">
        <is>
          <t>Vyrovnávací suchý podsyp keramzit/liapor + dřevěný rošt tl. 50 mm — na</t>
        </is>
      </c>
      <c r="H241" s="24" t="inlineStr">
        <is>
          <t>❌ MANUAL — KROS catalog lookup</t>
        </is>
      </c>
    </row>
    <row r="242">
      <c r="B242" s="24" t="inlineStr">
        <is>
          <t>260219_dum.HSV4.021</t>
        </is>
      </c>
      <c r="C242" s="24" t="inlineStr">
        <is>
          <t>260219_dum</t>
        </is>
      </c>
      <c r="D242" s="24" t="inlineStr">
        <is>
          <t>HSV-4 Vodorovné</t>
        </is>
      </c>
      <c r="E242" s="24" t="inlineStr"/>
      <c r="F242" s="24" t="inlineStr"/>
      <c r="G242" s="24" t="inlineStr">
        <is>
          <t>Separační vrstva pod suchý podsyp — nad cihelnou klembou S08</t>
        </is>
      </c>
      <c r="H242" s="24" t="inlineStr">
        <is>
          <t>❌ MANUAL — KROS catalog lookup</t>
        </is>
      </c>
    </row>
    <row r="243">
      <c r="B243" s="24" t="inlineStr">
        <is>
          <t>260219_dum.HSV7.007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 xml:space="preserve">Sanační zateplení soklu — sanační izolační deska Styrcon 200 + lepící </t>
        </is>
      </c>
      <c r="H243" s="24" t="inlineStr">
        <is>
          <t>❌ MANUAL — KROS catalog lookup</t>
        </is>
      </c>
    </row>
    <row r="244">
      <c r="B244" s="24" t="inlineStr">
        <is>
          <t>260219_dum.HSV7.008</t>
        </is>
      </c>
      <c r="C244" s="24" t="inlineStr">
        <is>
          <t>260219_dum</t>
        </is>
      </c>
      <c r="D244" s="24" t="inlineStr">
        <is>
          <t>HSV-7 Fasáda + zateplení</t>
        </is>
      </c>
      <c r="E244" s="24" t="inlineStr"/>
      <c r="F244" s="24" t="inlineStr"/>
      <c r="G244" s="24" t="inlineStr">
        <is>
          <t>Drenážní vrstva — nopová folie tl. 20 mm na suterénní stěnu pod úrovní</t>
        </is>
      </c>
      <c r="H244" s="24" t="inlineStr">
        <is>
          <t>❌ MANUAL — KROS catalog lookup</t>
        </is>
      </c>
    </row>
    <row r="245">
      <c r="B245" s="24" t="inlineStr">
        <is>
          <t>260219_dum.HSV7.009</t>
        </is>
      </c>
      <c r="C245" s="24" t="inlineStr">
        <is>
          <t>260219_dum</t>
        </is>
      </c>
      <c r="D245" s="24" t="inlineStr">
        <is>
          <t>HSV-7 Fasáda + zateplení</t>
        </is>
      </c>
      <c r="E245" s="24" t="inlineStr"/>
      <c r="F245" s="24" t="inlineStr"/>
      <c r="G245" s="24" t="inlineStr">
        <is>
          <t>Provětrávaná mezera s kotevním roštem 40 mm + keramický obklad 20 mm —</t>
        </is>
      </c>
      <c r="H245" s="24" t="inlineStr">
        <is>
          <t>❌ MANUAL — KROS catalog lookup</t>
        </is>
      </c>
    </row>
    <row r="246">
      <c r="B246" s="24" t="inlineStr">
        <is>
          <t>260219_dum.HSV5.018</t>
        </is>
      </c>
      <c r="C246" s="24" t="inlineStr">
        <is>
          <t>260219_dum</t>
        </is>
      </c>
      <c r="D246" s="24" t="inlineStr">
        <is>
          <t>HSV-5 Krov + střecha</t>
        </is>
      </c>
      <c r="E246" s="24" t="inlineStr"/>
      <c r="F246" s="24" t="inlineStr"/>
      <c r="G246" s="24" t="inlineStr">
        <is>
          <t>Pojistná hydroizolační folie pod hliníkovou falcovanou krytinu (nad ce</t>
        </is>
      </c>
      <c r="H246" s="24" t="inlineStr">
        <is>
          <t>❌ MANUAL — KROS catalog lookup</t>
        </is>
      </c>
    </row>
    <row r="247">
      <c r="B247" s="24" t="inlineStr">
        <is>
          <t>260219_dum.HSV6.018</t>
        </is>
      </c>
      <c r="C247" s="24" t="inlineStr">
        <is>
          <t>260219_dum</t>
        </is>
      </c>
      <c r="D247" s="24" t="inlineStr">
        <is>
          <t>HSV-6 Bourací práce</t>
        </is>
      </c>
      <c r="E247" s="24" t="inlineStr"/>
      <c r="F247" s="24" t="inlineStr"/>
      <c r="G247" s="24" t="inlineStr">
        <is>
          <t>Demontáž stávajícího vnějšího keramického obkladu suterénní stěny (sok</t>
        </is>
      </c>
      <c r="H247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260219_dum.PSV71.101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260219_dum.PSV71.102</t>
        </is>
      </c>
      <c r="C106" s="24" t="inlineStr">
        <is>
          <t>PSV-71 Izolace TI</t>
        </is>
      </c>
      <c r="D106" s="24" t="inlineStr">
        <is>
          <t>Kročejová EPS 150 / 30 dB tl. 40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260219_dum.PSV76.101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260219_dum.PSV76.103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260219_dum.PSV76.104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260219_dum.PSV76.201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260219_dum.PSV76.202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260219_dum.PSV76.203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260219_dum.PSV76.204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260219_dum.PSV76.301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260219_dum.PSV76.302</t>
        </is>
      </c>
      <c r="C126" s="24" t="inlineStr">
        <is>
          <t>PSV-76 Truhlář</t>
        </is>
      </c>
      <c r="D126" s="24" t="inlineStr">
        <is>
          <t>Dřevěná terasa za opěrnou stěnou — prkna garapa 145×25 mm na dřevěném roštu z hr</t>
        </is>
      </c>
      <c r="E126" s="24" t="inlineStr"/>
      <c r="F126" s="24" t="inlineStr">
        <is>
          <t>766811111</t>
        </is>
      </c>
      <c r="G126" s="24" t="inlineStr">
        <is>
          <t>762</t>
        </is>
      </c>
      <c r="H126" s="24" t="inlineStr">
        <is>
          <t>family_762_leaf_lookup_required</t>
        </is>
      </c>
      <c r="I126" s="35" t="n">
        <v>0.65</v>
      </c>
      <c r="J126" s="33" t="inlineStr">
        <is>
          <t>REZ_CC_CORRECTED_wood_deck_762_split_by_trade</t>
        </is>
      </c>
      <c r="K126" s="24" t="inlineStr"/>
      <c r="L126" s="24" t="inlineStr">
        <is>
          <t>771474112</t>
        </is>
      </c>
      <c r="M126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260219_dum.VRN.101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260219_dum.VRN.201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260219_dum.VRN.301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260219_dum.VRN.302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260219_dum.VRN.401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260219_dum.VRN.402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260219_dum.VRN.501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260219_dum.VRN.601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260219_dum.VRN.701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260219_dum.VRN.801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260219_dum.VRN.102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260219_dum.VRN.103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260217_sklad.VRN.101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260217_sklad.VRN.201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  <row r="215">
      <c r="B215" s="24" t="inlineStr">
        <is>
          <t>260219_dum.HSV1.016</t>
        </is>
      </c>
      <c r="C215" s="24" t="inlineStr">
        <is>
          <t>HSV-1 Zemní práce</t>
        </is>
      </c>
      <c r="D215" s="24" t="inlineStr">
        <is>
          <t>Venkovní schody na terénu z betonových dílců do betonového lože — rameno 1: 8×17</t>
        </is>
      </c>
      <c r="E215" s="24" t="inlineStr"/>
      <c r="F215" s="24" t="inlineStr"/>
      <c r="G215" s="24" t="inlineStr"/>
      <c r="H215" s="24" t="inlineStr">
        <is>
          <t>needs_lookup</t>
        </is>
      </c>
      <c r="I215" s="35" t="n">
        <v>0</v>
      </c>
      <c r="J215" s="33" t="inlineStr"/>
      <c r="K215" s="24" t="inlineStr"/>
      <c r="L215" s="24" t="inlineStr"/>
      <c r="M215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5" s="24" t="inlineStr"/>
    </row>
    <row r="216">
      <c r="B216" s="24" t="inlineStr">
        <is>
          <t>260219_dum.HSV5.017</t>
        </is>
      </c>
      <c r="C216" s="24" t="inlineStr">
        <is>
          <t>HSV-5 Krov + střecha</t>
        </is>
      </c>
      <c r="D216" s="24" t="inlineStr">
        <is>
          <t>Montáž svorníků / šroubů tesařských spojů krovu délky přes 150 do 300 mm — spoje</t>
        </is>
      </c>
      <c r="E216" s="24" t="inlineStr">
        <is>
          <t>762085112</t>
        </is>
      </c>
      <c r="F216" s="24" t="inlineStr"/>
      <c r="G216" s="24" t="inlineStr">
        <is>
          <t>762085</t>
        </is>
      </c>
      <c r="H216" s="24" t="inlineStr">
        <is>
          <t>matched_catalog</t>
        </is>
      </c>
      <c r="I216" s="35" t="n">
        <v>0.85</v>
      </c>
      <c r="J216" s="32" t="inlineStr"/>
      <c r="K216" s="24" t="inlineStr"/>
      <c r="L216" s="24" t="inlineStr"/>
      <c r="M216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6" s="24" t="inlineStr"/>
    </row>
    <row r="217">
      <c r="B217" s="24" t="inlineStr">
        <is>
          <t>260219_dum.HSV4.015</t>
        </is>
      </c>
      <c r="C217" s="24" t="inlineStr">
        <is>
          <t>HSV-4 Vodorovné</t>
        </is>
      </c>
      <c r="D217" s="24" t="inlineStr">
        <is>
          <t>Desky kročejové izolace (Isover T-P) tl. 30 mm — trámový strop 1.NP/2.NP</t>
        </is>
      </c>
      <c r="E217" s="24" t="inlineStr">
        <is>
          <t>713191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 izolace tepelné/akustické podlah — leaf needs production lookup</t>
        </is>
      </c>
      <c r="N217" s="24" t="inlineStr"/>
    </row>
    <row r="218">
      <c r="B218" s="24" t="inlineStr">
        <is>
          <t>260219_dum.HSV4.016</t>
        </is>
      </c>
      <c r="C218" s="24" t="inlineStr">
        <is>
          <t>HSV-4 Vodorovné</t>
        </is>
      </c>
      <c r="D218" s="24" t="inlineStr">
        <is>
          <t>Separační geotextilie pod suchý podsyp — trámový strop 1.NP/2.NP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711 geotextilie separační — leaf needs lookup</t>
        </is>
      </c>
      <c r="N218" s="24" t="inlineStr"/>
    </row>
    <row r="219">
      <c r="B219" s="24" t="inlineStr">
        <is>
          <t>260219_dum.HSV4.017</t>
        </is>
      </c>
      <c r="C219" s="24" t="inlineStr">
        <is>
          <t>HSV-4 Vodorovné</t>
        </is>
      </c>
      <c r="D219" s="24" t="inlineStr">
        <is>
          <t>Tepelná/akustická izolace minerální vata výplň mezi ocelové nosníky stropu 2.NP/</t>
        </is>
      </c>
      <c r="E219" s="24" t="inlineStr">
        <is>
          <t>713121</t>
        </is>
      </c>
      <c r="F219" s="24" t="inlineStr"/>
      <c r="G219" s="24" t="inlineStr"/>
      <c r="H219" s="24" t="inlineStr">
        <is>
          <t>family_only</t>
        </is>
      </c>
      <c r="I219" s="35" t="n">
        <v>0.6</v>
      </c>
      <c r="J219" s="32" t="inlineStr"/>
      <c r="K219" s="24" t="inlineStr"/>
      <c r="L219" s="24" t="inlineStr"/>
      <c r="M219" s="24" t="inlineStr">
        <is>
          <t>ÚRS 713121 izolace tepelné — leaf needs lookup</t>
        </is>
      </c>
      <c r="N219" s="24" t="inlineStr"/>
    </row>
    <row r="220">
      <c r="B220" s="24" t="inlineStr">
        <is>
          <t>260219_dum.HSV4.018</t>
        </is>
      </c>
      <c r="C220" s="24" t="inlineStr">
        <is>
          <t>HSV-4 Vodorovné</t>
        </is>
      </c>
      <c r="D220" s="24" t="inlineStr">
        <is>
          <t>Roznášecí sádrovláknité dílce Fermacell 2E22 tl. 25 mm — suchá skladba nad cihel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>
        <is>
          <t>ÚRS 776/713 suchá skladba — leaf po potvrzení plochy</t>
        </is>
      </c>
      <c r="N220" s="24" t="inlineStr"/>
    </row>
    <row r="221">
      <c r="B221" s="24" t="inlineStr">
        <is>
          <t>260219_dum.HSV4.019</t>
        </is>
      </c>
      <c r="C221" s="24" t="inlineStr">
        <is>
          <t>HSV-4 Vodorovné</t>
        </is>
      </c>
      <c r="D221" s="24" t="inlineStr">
        <is>
          <t>Desky kročejové izolace (Isover T-P) tl. 30 mm — suchá skladba nad klembou S08</t>
        </is>
      </c>
      <c r="E221" s="24" t="inlineStr">
        <is>
          <t>713191</t>
        </is>
      </c>
      <c r="F221" s="24" t="inlineStr"/>
      <c r="G221" s="24" t="inlineStr"/>
      <c r="H221" s="24" t="inlineStr">
        <is>
          <t>needs_production_lookup</t>
        </is>
      </c>
      <c r="I221" s="35" t="n">
        <v>0.6</v>
      </c>
      <c r="J221" s="32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260219_dum.HSV4.020</t>
        </is>
      </c>
      <c r="C222" s="24" t="inlineStr">
        <is>
          <t>HSV-4 Vodorovné</t>
        </is>
      </c>
      <c r="D222" s="24" t="inlineStr">
        <is>
          <t xml:space="preserve">Vyrovnávací suchý podsyp keramzit/liapor + dřevěný rošt tl. 50 mm — nad klembou 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/>
      <c r="N222" s="24" t="inlineStr"/>
    </row>
    <row r="223">
      <c r="B223" s="24" t="inlineStr">
        <is>
          <t>260219_dum.HSV4.021</t>
        </is>
      </c>
      <c r="C223" s="24" t="inlineStr">
        <is>
          <t>HSV-4 Vodorovné</t>
        </is>
      </c>
      <c r="D223" s="24" t="inlineStr">
        <is>
          <t>Separační vrstva pod suchý podsyp — nad cihelnou klembou S08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/>
      <c r="N223" s="24" t="inlineStr"/>
    </row>
    <row r="224">
      <c r="B224" s="24" t="inlineStr">
        <is>
          <t>260219_dum.HSV7.007</t>
        </is>
      </c>
      <c r="C224" s="24" t="inlineStr">
        <is>
          <t>HSV-7 Fasáda + zateplení</t>
        </is>
      </c>
      <c r="D224" s="24" t="inlineStr">
        <is>
          <t>Sanační zateplení soklu — sanační izolační deska Styrcon 200 + lepící tmel (Leps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711/783 sanační deska — leaf needs lookup</t>
        </is>
      </c>
      <c r="N224" s="24" t="inlineStr"/>
    </row>
    <row r="225">
      <c r="B225" s="24" t="inlineStr">
        <is>
          <t>260219_dum.HSV7.008</t>
        </is>
      </c>
      <c r="C225" s="24" t="inlineStr">
        <is>
          <t>HSV-7 Fasáda + zateplení</t>
        </is>
      </c>
      <c r="D225" s="24" t="inlineStr">
        <is>
          <t>Drenážní vrstva — nopová folie tl. 20 mm na suterénní stěnu pod úrovní terénu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711 nopová folie drenážní — leaf needs lookup</t>
        </is>
      </c>
      <c r="N225" s="24" t="inlineStr"/>
    </row>
    <row r="226">
      <c r="B226" s="24" t="inlineStr">
        <is>
          <t>260219_dum.HSV7.009</t>
        </is>
      </c>
      <c r="C226" s="24" t="inlineStr">
        <is>
          <t>HSV-7 Fasáda + zateplení</t>
        </is>
      </c>
      <c r="D226" s="24" t="inlineStr">
        <is>
          <t xml:space="preserve">Provětrávaná mezera s kotevním roštem 40 mm + keramický obklad 20 mm — sokl nad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781 obklady keramické + rošt — leaf needs lookup</t>
        </is>
      </c>
      <c r="N226" s="24" t="inlineStr"/>
    </row>
    <row r="227">
      <c r="B227" s="24" t="inlineStr">
        <is>
          <t>260219_dum.HSV5.018</t>
        </is>
      </c>
      <c r="C227" s="24" t="inlineStr">
        <is>
          <t>HSV-5 Krov + střecha</t>
        </is>
      </c>
      <c r="D227" s="24" t="inlineStr">
        <is>
          <t xml:space="preserve">Pojistná hydroizolační folie pod hliníkovou falcovanou krytinu (nad celoplošným 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>
        <is>
          <t>ÚRS 712 povlakové krytiny / pojistná fólie — leaf needs lookup</t>
        </is>
      </c>
      <c r="N227" s="24" t="inlineStr"/>
    </row>
    <row r="228">
      <c r="B228" s="24" t="inlineStr">
        <is>
          <t>260219_dum.HSV6.018</t>
        </is>
      </c>
      <c r="C228" s="24" t="inlineStr">
        <is>
          <t>HSV-6 Bourací práce</t>
        </is>
      </c>
      <c r="D228" s="24" t="inlineStr">
        <is>
          <t xml:space="preserve">Demontáž stávajícího vnějšího keramického obkladu suterénní stěny (sokl) tl. 20 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>
        <is>
          <t>ÚRS 965/978 bourání obkladů — leaf needs lookup</t>
        </is>
      </c>
      <c r="N228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2026-06-01T09:16:13Z</dcterms:created>
  <dcterms:modified xmlns:dcterms="http://purl.org/dc/terms/" xmlns:xsi="http://www.w3.org/2001/XMLSchema-instance" xsi:type="dcterms:W3CDTF">2026-06-01T09:16:13Z</dcterms:modified>
</cp:coreProperties>
</file>
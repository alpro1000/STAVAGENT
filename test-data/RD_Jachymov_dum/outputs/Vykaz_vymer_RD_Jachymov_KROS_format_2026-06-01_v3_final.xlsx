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SUM('SO_260217_Sklad'!I34:I106)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7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SUMIFS(I32:I107,L32:L107,C16)</f>
        <v/>
      </c>
    </row>
    <row r="17">
      <c r="B17" s="17" t="n"/>
      <c r="C17" s="5" t="inlineStr">
        <is>
          <t>HSV-2 Základové a ŽB</t>
        </is>
      </c>
      <c r="D17" s="7">
        <f>SUMIFS(I32:I107,L32:L107,C17)</f>
        <v/>
      </c>
    </row>
    <row r="18">
      <c r="B18" s="17" t="n"/>
      <c r="C18" s="5" t="inlineStr">
        <is>
          <t>HSV-3 Svislé konstrukce</t>
        </is>
      </c>
      <c r="D18" s="7">
        <f>SUMIFS(I32:I107,L32:L107,C18)</f>
        <v/>
      </c>
    </row>
    <row r="19">
      <c r="B19" s="17" t="n"/>
      <c r="C19" s="5" t="inlineStr">
        <is>
          <t>HSV-4 Vodorovné</t>
        </is>
      </c>
      <c r="D19" s="7">
        <f>SUMIFS(I32:I107,L32:L107,C19)</f>
        <v/>
      </c>
    </row>
    <row r="20">
      <c r="B20" s="17" t="n"/>
      <c r="C20" s="5" t="inlineStr">
        <is>
          <t>HSV-5 Komunikace + schodiště</t>
        </is>
      </c>
      <c r="D20" s="7">
        <f>SUMIFS(I32:I107,L32:L107,C20)</f>
        <v/>
      </c>
    </row>
    <row r="21">
      <c r="B21" s="17" t="n"/>
      <c r="C21" s="5" t="inlineStr">
        <is>
          <t>PSV-76 Výplně otvorů</t>
        </is>
      </c>
      <c r="D21" s="7">
        <f>SUMIFS(I32:I107,L32:L107,C21)</f>
        <v/>
      </c>
    </row>
    <row r="22">
      <c r="B22" s="17" t="n"/>
      <c r="C22" s="5" t="inlineStr">
        <is>
          <t>PSV-76 Zámečnictví</t>
        </is>
      </c>
      <c r="D22" s="7">
        <f>SUMIFS(I32:I107,L32:L107,C22)</f>
        <v/>
      </c>
    </row>
    <row r="23">
      <c r="B23" s="17" t="n"/>
      <c r="C23" s="5" t="inlineStr">
        <is>
          <t>PSV-77 Podlahy</t>
        </is>
      </c>
      <c r="D23" s="7">
        <f>SUMIFS(I32:I107,L32:L107,C23)</f>
        <v/>
      </c>
    </row>
    <row r="24">
      <c r="B24" s="17" t="n"/>
      <c r="C24" s="5" t="inlineStr">
        <is>
          <t>VRN — Společné</t>
        </is>
      </c>
      <c r="D24" s="7">
        <f>SUMIFS(I32:I107,L32:L107,C24)</f>
        <v/>
      </c>
    </row>
    <row r="25">
      <c r="B25" s="17" t="n"/>
      <c r="C25" s="5" t="inlineStr">
        <is>
          <t>VRN — Doprava + odpad</t>
        </is>
      </c>
      <c r="D25" s="7">
        <f>SUMIFS(I32:I107,L32:L107,C25)</f>
        <v/>
      </c>
    </row>
    <row r="26">
      <c r="B26" s="17" t="n"/>
      <c r="C26" s="5" t="inlineStr">
        <is>
          <t>VRN — Geodet</t>
        </is>
      </c>
      <c r="D26" s="7">
        <f>SUMIFS(I32:I107,L32:L107,C26)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2.64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17.6 m² (legenda místností) × 0.15 m podkladní kamenná drť</t>
        </is>
      </c>
      <c r="F43" s="17" t="n"/>
      <c r="G43" s="30" t="n">
        <v>2.64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1.76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podlaha sklad 17.6 m² (legenda) × 0.10 m kladecí kamenná drť</t>
        </is>
      </c>
      <c r="F56" s="17" t="n"/>
      <c r="G56" s="30" t="n">
        <v>1.76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60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odhad — výška ~1.6 m × šíře 6.35 m / blok 0.8×0.4 = ~32 bloků × 2 řady = 64; round 60</t>
        </is>
      </c>
      <c r="F61" s="17" t="n"/>
      <c r="G61" s="30" t="n">
        <v>60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3" t="n">
        <v>16</v>
      </c>
      <c r="C66" s="23" t="inlineStr">
        <is>
          <t>K</t>
        </is>
      </c>
      <c r="D66" s="24" t="inlineStr"/>
      <c r="E66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66" s="23" t="inlineStr">
        <is>
          <t>m²</t>
        </is>
      </c>
      <c r="G66" s="25" t="n">
        <v>33</v>
      </c>
      <c r="H66" s="26" t="n"/>
      <c r="I66" s="26">
        <f>IF(H66="",0,G66*H66)</f>
        <v/>
      </c>
      <c r="J66" s="23" t="inlineStr">
        <is>
          <t>ÚRS 2026</t>
        </is>
      </c>
      <c r="K66" s="33" t="inlineStr">
        <is>
          <t>❌ MANUAL — KROS catalog lookup</t>
        </is>
      </c>
      <c r="L66" s="5" t="inlineStr">
        <is>
          <t>HSV-3 Svislé konstrukce</t>
        </is>
      </c>
    </row>
    <row r="67">
      <c r="B67" s="17" t="n"/>
      <c r="C67" s="28" t="inlineStr">
        <is>
          <t>VV</t>
        </is>
      </c>
      <c r="D67" s="17" t="n"/>
      <c r="E67" s="29">
        <f> S04 6.35×3.0 ≈19 + S03a 2×3.6×~2.0 ≈14 = 33 m² (řez D.1.1.03/04, OVĚŘIT)</f>
        <v/>
      </c>
      <c r="F67" s="17" t="n"/>
      <c r="G67" s="30" t="n">
        <v>33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/>
      <c r="E68" s="24" t="inlineStr">
        <is>
          <t>Drenážní vrstva — nopová folie tl. 20 mm na obvodové stěny (S03a) + opěrnou stěnu (S04) pod úrovní terénu</t>
        </is>
      </c>
      <c r="F68" s="23" t="inlineStr">
        <is>
          <t>m²</t>
        </is>
      </c>
      <c r="G68" s="25" t="n">
        <v>33</v>
      </c>
      <c r="H68" s="26" t="n"/>
      <c r="I68" s="26">
        <f>IF(H68="",0,G68*H68)</f>
        <v/>
      </c>
      <c r="J68" s="23" t="inlineStr">
        <is>
          <t>ÚRS 2026</t>
        </is>
      </c>
      <c r="K68" s="33" t="inlineStr">
        <is>
          <t>❌ MANUAL — KROS catalog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>
        <f> plocha stěn pod terénem 33 m² (řez D.1.1.03/04, OVĚŘIT)</f>
        <v/>
      </c>
      <c r="F69" s="17" t="n"/>
      <c r="G69" s="30" t="n">
        <v>33</v>
      </c>
      <c r="H69" s="17" t="n"/>
      <c r="I69" s="17" t="n"/>
      <c r="J69" s="17" t="n"/>
      <c r="K69" s="17" t="n"/>
      <c r="L69" s="17" t="n"/>
    </row>
    <row r="70">
      <c r="B70" s="21" t="n"/>
      <c r="C70" s="22" t="inlineStr">
        <is>
          <t>D</t>
        </is>
      </c>
      <c r="D70" s="22" t="inlineStr">
        <is>
          <t>HSV-4</t>
        </is>
      </c>
      <c r="E70" s="22" t="inlineStr">
        <is>
          <t>HSV-4 Vodorovné</t>
        </is>
      </c>
      <c r="F70" s="21" t="n"/>
      <c r="G70" s="21" t="n"/>
      <c r="H70" s="21" t="n"/>
      <c r="I70" s="21" t="n"/>
      <c r="J70" s="21" t="n"/>
      <c r="K70" s="21" t="n"/>
      <c r="L70" s="21" t="n"/>
    </row>
    <row r="71">
      <c r="B71" s="23" t="n">
        <v>18</v>
      </c>
      <c r="C71" s="23" t="inlineStr">
        <is>
          <t>K</t>
        </is>
      </c>
      <c r="D71" s="24" t="inlineStr">
        <is>
          <t>762341110</t>
        </is>
      </c>
      <c r="E71" s="24" t="inlineStr">
        <is>
          <t>Dřevěné stropnice 100/160 mm á 625 mm primární zastřešení skladu — rezivo C24 fungicidní</t>
        </is>
      </c>
      <c r="F71" s="23" t="inlineStr">
        <is>
          <t>bm</t>
        </is>
      </c>
      <c r="G71" s="25" t="n">
        <v>36.74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6.35/0.625 = 10.16 → 11 ks × 3.34 m (rozpon 3.1 + uložení) = 36.74 bm</t>
        </is>
      </c>
      <c r="F72" s="17" t="n"/>
      <c r="G72" s="30" t="n">
        <v>36.74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762331110</t>
        </is>
      </c>
      <c r="E73" s="24" t="inlineStr">
        <is>
          <t>Prkenný záklop stropnic skladu tl. 20 mm + impregnace</t>
        </is>
      </c>
      <c r="F73" s="23" t="inlineStr">
        <is>
          <t>m²</t>
        </is>
      </c>
      <c r="G73" s="25" t="n">
        <v>21.209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>
        <f> 21.2 m² strop skladu</f>
        <v/>
      </c>
      <c r="F74" s="17" t="n"/>
      <c r="G74" s="30" t="n">
        <v>21.209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712331101</t>
        </is>
      </c>
      <c r="E75" s="24" t="inlineStr">
        <is>
          <t>Hydroizolační střešní souvrství skladu (modifikovaný asfaltový pás SBS + ochranná vrstva)</t>
        </is>
      </c>
      <c r="F75" s="23" t="inlineStr">
        <is>
          <t>m²</t>
        </is>
      </c>
      <c r="G75" s="25" t="n">
        <v>22.26945</v>
      </c>
      <c r="H75" s="26" t="n"/>
      <c r="I75" s="26">
        <f>IF(H75="",0,G75*H75)</f>
        <v/>
      </c>
      <c r="J75" s="23" t="inlineStr">
        <is>
          <t>ÚRS 2026</t>
        </is>
      </c>
      <c r="K75" s="32" t="inlineStr">
        <is>
          <t>? needs production lookup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21.2 × 1.05 přesah</t>
        </is>
      </c>
      <c r="F76" s="17" t="n"/>
      <c r="G76" s="30" t="n">
        <v>22.26945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411321414</t>
        </is>
      </c>
      <c r="E77" s="24" t="inlineStr">
        <is>
          <t>Sekundární zastřešení parkingu — IPE180 v rozteči 1000 mm × délka 7 m × 7 ks</t>
        </is>
      </c>
      <c r="F77" s="23" t="inlineStr">
        <is>
          <t>kg</t>
        </is>
      </c>
      <c r="G77" s="25" t="n">
        <v>921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 t="inlineStr">
        <is>
          <t>7 ks × 7 m × 18.8 kg/m = 921</t>
        </is>
      </c>
      <c r="F78" s="17" t="n"/>
      <c r="G78" s="30" t="n">
        <v>921</v>
      </c>
      <c r="H78" s="17" t="n"/>
      <c r="I78" s="17" t="n"/>
      <c r="J78" s="17" t="n"/>
      <c r="K78" s="17" t="n"/>
      <c r="L78" s="17" t="n"/>
    </row>
    <row r="79">
      <c r="B79" s="23" t="n">
        <v>22</v>
      </c>
      <c r="C79" s="23" t="inlineStr">
        <is>
          <t>K</t>
        </is>
      </c>
      <c r="D79" s="24" t="inlineStr">
        <is>
          <t>411321515</t>
        </is>
      </c>
      <c r="E79" s="24" t="inlineStr">
        <is>
          <t>Pojezdové ocelové pororošty demontovatelné — povrch parkingu (žárově zinkováno)</t>
        </is>
      </c>
      <c r="F79" s="23" t="inlineStr">
        <is>
          <t>m²</t>
        </is>
      </c>
      <c r="G79" s="25" t="n">
        <v>44.6</v>
      </c>
      <c r="H79" s="26" t="n"/>
      <c r="I79" s="26">
        <f>IF(H79="",0,G79*H79)</f>
        <v/>
      </c>
      <c r="J79" s="23" t="inlineStr">
        <is>
          <t>ÚRS 2026</t>
        </is>
      </c>
      <c r="K79" s="31" t="inlineStr">
        <is>
          <t>⚠ family OK, leaf KROS lookup [evidence: https://www.cs-urs.cz/cenova-soustava-urs/]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0" s="17" t="n"/>
      <c r="G80" s="30" t="n">
        <v>44.6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783201001</t>
        </is>
      </c>
      <c r="E81" s="24" t="inlineStr">
        <is>
          <t>Žárově zinková povrchová úprava IPE180 + pororoštů dle ČSN EN ISO 12944 (C3 prostředí)</t>
        </is>
      </c>
      <c r="F81" s="23" t="inlineStr">
        <is>
          <t>kg</t>
        </is>
      </c>
      <c r="G81" s="25" t="n">
        <v>1551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>
        <f> hmotnost IPE180 (921 kg) + odhad pororoštů (21 m² × 30 kg/m²) = ~1551</f>
        <v/>
      </c>
      <c r="F82" s="17" t="n"/>
      <c r="G82" s="30" t="n">
        <v>1551</v>
      </c>
      <c r="H82" s="17" t="n"/>
      <c r="I82" s="17" t="n"/>
      <c r="J82" s="17" t="n"/>
      <c r="K82" s="17" t="n"/>
      <c r="L82" s="17" t="n"/>
    </row>
    <row r="83">
      <c r="B83" s="21" t="n"/>
      <c r="C83" s="22" t="inlineStr">
        <is>
          <t>D</t>
        </is>
      </c>
      <c r="D83" s="22" t="inlineStr">
        <is>
          <t>HSV-5</t>
        </is>
      </c>
      <c r="E83" s="22" t="inlineStr">
        <is>
          <t>HSV-5 Komunikace + schodiště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24</v>
      </c>
      <c r="C84" s="23" t="inlineStr">
        <is>
          <t>K</t>
        </is>
      </c>
      <c r="D84" s="24" t="inlineStr">
        <is>
          <t>121301101</t>
        </is>
      </c>
      <c r="E84" s="24" t="inlineStr">
        <is>
          <t>Sklad mezipodesta schodiště — prefa betonové stupně (9 ks × 179.5×250 mm) + kladecí vrstva zavlhlého betonu nad ŽB podkladní deskou (S05 sklad skladba)</t>
        </is>
      </c>
      <c r="F84" s="23" t="inlineStr">
        <is>
          <t>m²</t>
        </is>
      </c>
      <c r="G84" s="25" t="n">
        <v>5.5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HSV-5 Komunikace + schodiště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DXF sklad_DPZ km_tabulka místností: room 1.02 schodiště plocha = 5.50 m². 9 stupňů 179.5×250 mm vyznačené v půdoryse parking sheet (Phase 3.5 cross-check)</t>
        </is>
      </c>
      <c r="F85" s="17" t="n"/>
      <c r="G85" s="30" t="n">
        <v>5.5</v>
      </c>
      <c r="H85" s="17" t="n"/>
      <c r="I85" s="17" t="n"/>
      <c r="J85" s="17" t="n"/>
      <c r="K85" s="17" t="n"/>
      <c r="L85" s="17" t="n"/>
    </row>
    <row r="86">
      <c r="B86" s="19" t="n"/>
      <c r="C86" s="20" t="inlineStr">
        <is>
          <t>D</t>
        </is>
      </c>
      <c r="D86" s="20" t="inlineStr">
        <is>
          <t>PSV</t>
        </is>
      </c>
      <c r="E86" s="20" t="inlineStr">
        <is>
          <t>Práce a dodávky PSV</t>
        </is>
      </c>
      <c r="F86" s="19" t="n"/>
      <c r="G86" s="19" t="n"/>
      <c r="H86" s="19" t="n"/>
      <c r="I86" s="19" t="n"/>
      <c r="J86" s="19" t="n"/>
      <c r="K86" s="19" t="n"/>
      <c r="L86" s="19" t="n"/>
    </row>
    <row r="87">
      <c r="B87" s="21" t="n"/>
      <c r="C87" s="22" t="inlineStr">
        <is>
          <t>D</t>
        </is>
      </c>
      <c r="D87" s="22" t="inlineStr">
        <is>
          <t>PSV-76</t>
        </is>
      </c>
      <c r="E87" s="22" t="inlineStr">
        <is>
          <t>PSV-76 Výplně otvorů</t>
        </is>
      </c>
      <c r="F87" s="21" t="n"/>
      <c r="G87" s="21" t="n"/>
      <c r="H87" s="21" t="n"/>
      <c r="I87" s="21" t="n"/>
      <c r="J87" s="21" t="n"/>
      <c r="K87" s="21" t="n"/>
      <c r="L87" s="21" t="n"/>
    </row>
    <row r="88">
      <c r="B88" s="23" t="n">
        <v>25</v>
      </c>
      <c r="C88" s="23" t="inlineStr">
        <is>
          <t>K</t>
        </is>
      </c>
      <c r="D88" s="24" t="inlineStr">
        <is>
          <t>766682111</t>
        </is>
      </c>
      <c r="E88" s="24" t="inlineStr">
        <is>
          <t>Bezpečnostní dveře RC3 v ocelové zárubni — vrata skladu (TZ statika §1.4 RC3 certifikované)</t>
        </is>
      </c>
      <c r="F88" s="23" t="inlineStr">
        <is>
          <t>ks</t>
        </is>
      </c>
      <c r="G88" s="25" t="n">
        <v>1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PSV-76 Výplně otvorů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1 ks vstupní dveře skladu</t>
        </is>
      </c>
      <c r="F89" s="17" t="n"/>
      <c r="G89" s="30" t="n">
        <v>1</v>
      </c>
      <c r="H89" s="17" t="n"/>
      <c r="I89" s="17" t="n"/>
      <c r="J89" s="17" t="n"/>
      <c r="K89" s="17" t="n"/>
      <c r="L89" s="17" t="n"/>
    </row>
    <row r="90">
      <c r="B90" s="21" t="n"/>
      <c r="C90" s="22" t="inlineStr">
        <is>
          <t>D</t>
        </is>
      </c>
      <c r="D90" s="22" t="inlineStr">
        <is>
          <t>PSV-76</t>
        </is>
      </c>
      <c r="E90" s="22" t="inlineStr">
        <is>
          <t>PSV-76 Zámečnictví</t>
        </is>
      </c>
      <c r="F90" s="21" t="n"/>
      <c r="G90" s="21" t="n"/>
      <c r="H90" s="21" t="n"/>
      <c r="I90" s="21" t="n"/>
      <c r="J90" s="21" t="n"/>
      <c r="K90" s="21" t="n"/>
      <c r="L90" s="21" t="n"/>
    </row>
    <row r="91">
      <c r="B91" s="23" t="n">
        <v>26</v>
      </c>
      <c r="C91" s="23" t="inlineStr">
        <is>
          <t>K</t>
        </is>
      </c>
      <c r="D91" s="24" t="inlineStr"/>
      <c r="E91" s="24" t="inlineStr">
        <is>
          <t>Vjezdová brána na pozemku investora (ocelová) — dodávka + montáž</t>
        </is>
      </c>
      <c r="F91" s="23" t="inlineStr">
        <is>
          <t>ks</t>
        </is>
      </c>
      <c r="G91" s="25" t="n">
        <v>1</v>
      </c>
      <c r="H91" s="26" t="n"/>
      <c r="I91" s="26">
        <f>IF(H91="",0,G91*H91)</f>
        <v/>
      </c>
      <c r="J91" s="23" t="inlineStr">
        <is>
          <t>ÚRS 2026</t>
        </is>
      </c>
      <c r="K91" s="33" t="inlineStr">
        <is>
          <t>❌ MANUAL — KROS catalog lookup</t>
        </is>
      </c>
      <c r="L91" s="5" t="inlineStr">
        <is>
          <t>PSV-76 Zámečnictví</t>
        </is>
      </c>
    </row>
    <row r="92">
      <c r="B92" s="17" t="n"/>
      <c r="C92" s="28" t="inlineStr">
        <is>
          <t>VV</t>
        </is>
      </c>
      <c r="D92" s="17" t="n"/>
      <c r="E92" s="29">
        <f> 1 brána (Dodatek PD č.1)</f>
        <v/>
      </c>
      <c r="F92" s="17" t="n"/>
      <c r="G92" s="30" t="n">
        <v>1</v>
      </c>
      <c r="H92" s="17" t="n"/>
      <c r="I92" s="17" t="n"/>
      <c r="J92" s="17" t="n"/>
      <c r="K92" s="17" t="n"/>
      <c r="L92" s="17" t="n"/>
    </row>
    <row r="93">
      <c r="B93" s="21" t="n"/>
      <c r="C93" s="22" t="inlineStr">
        <is>
          <t>D</t>
        </is>
      </c>
      <c r="D93" s="22" t="inlineStr">
        <is>
          <t>PSV-77</t>
        </is>
      </c>
      <c r="E93" s="22" t="inlineStr">
        <is>
          <t>PSV-77 Podlahy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27</v>
      </c>
      <c r="C94" s="23" t="inlineStr">
        <is>
          <t>K</t>
        </is>
      </c>
      <c r="D94" s="24" t="inlineStr"/>
      <c r="E94" s="24" t="inlineStr">
        <is>
          <t>Betonová dlažba do pískového lože — povrch podlahy skladu (~21 m²)</t>
        </is>
      </c>
      <c r="F94" s="23" t="inlineStr">
        <is>
          <t>m²</t>
        </is>
      </c>
      <c r="G94" s="25" t="n">
        <v>17.6</v>
      </c>
      <c r="H94" s="26" t="n"/>
      <c r="I94" s="26">
        <f>IF(H94="",0,G94*H94)</f>
        <v/>
      </c>
      <c r="J94" s="23" t="inlineStr">
        <is>
          <t>ÚRS 2026</t>
        </is>
      </c>
      <c r="K94" s="33" t="inlineStr">
        <is>
          <t>❌ MANUAL — KROS catalog lookup</t>
        </is>
      </c>
      <c r="L94" s="5" t="inlineStr">
        <is>
          <t>PSV-77 Podlahy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5" s="17" t="n"/>
      <c r="G95" s="30" t="n">
        <v>17.6</v>
      </c>
      <c r="H95" s="17" t="n"/>
      <c r="I95" s="17" t="n"/>
      <c r="J95" s="17" t="n"/>
      <c r="K95" s="17" t="n"/>
      <c r="L95" s="17" t="n"/>
    </row>
    <row r="96">
      <c r="B96" s="19" t="n"/>
      <c r="C96" s="20" t="inlineStr">
        <is>
          <t>D</t>
        </is>
      </c>
      <c r="D96" s="20" t="inlineStr">
        <is>
          <t>VRN</t>
        </is>
      </c>
      <c r="E96" s="20" t="inlineStr">
        <is>
          <t>Vedlejší rozpočtové náklady</t>
        </is>
      </c>
      <c r="F96" s="19" t="n"/>
      <c r="G96" s="19" t="n"/>
      <c r="H96" s="19" t="n"/>
      <c r="I96" s="19" t="n"/>
      <c r="J96" s="19" t="n"/>
      <c r="K96" s="19" t="n"/>
      <c r="L96" s="19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Společné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030001000</t>
        </is>
      </c>
      <c r="E98" s="24" t="inlineStr">
        <is>
          <t>Podíl na obecných VRN domu (buňky, BOZP, pojištění, kolaudace) — paušál ~10 % nákladů sklad nebo % alokace</t>
        </is>
      </c>
      <c r="F98" s="23" t="inlineStr">
        <is>
          <t>paušál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Společné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paušální alokace VRN pro paralelně realizovaný menší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VRN</t>
        </is>
      </c>
      <c r="E100" s="22" t="inlineStr">
        <is>
          <t>VRN — Doprava + odpad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29</v>
      </c>
      <c r="C101" s="23" t="inlineStr">
        <is>
          <t>K</t>
        </is>
      </c>
      <c r="D101" s="24" t="inlineStr">
        <is>
          <t>031032000</t>
        </is>
      </c>
      <c r="E101" s="24" t="inlineStr">
        <is>
          <t>Doprava prefa H-BLOK Standard z výrobny Herkul (Obrnice) auto s hydraulickou rukou — celkem ~60 ks bloků</t>
        </is>
      </c>
      <c r="F101" s="23" t="inlineStr">
        <is>
          <t>kpl</t>
        </is>
      </c>
      <c r="G101" s="25" t="n">
        <v>1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VRN — Doprava + odpad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Standard doprava prefa Herkul autem s hyd. rukou pro lokální distribuci</t>
        </is>
      </c>
      <c r="F102" s="17" t="n"/>
      <c r="G102" s="30" t="n">
        <v>1</v>
      </c>
      <c r="H102" s="17" t="n"/>
      <c r="I102" s="17" t="n"/>
      <c r="J102" s="17" t="n"/>
      <c r="K102" s="17" t="n"/>
      <c r="L102" s="17" t="n"/>
    </row>
    <row r="103">
      <c r="B103" s="23" t="n">
        <v>30</v>
      </c>
      <c r="C103" s="23" t="inlineStr">
        <is>
          <t>K</t>
        </is>
      </c>
      <c r="D103" s="24" t="inlineStr">
        <is>
          <t>997013211</t>
        </is>
      </c>
      <c r="E103" s="24" t="inlineStr">
        <is>
          <t>Likvidace odpadu sklad — kameny ze zídek + výkop + dřevo (drobné množství)</t>
        </is>
      </c>
      <c r="F103" s="23" t="inlineStr">
        <is>
          <t>t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2" t="inlineStr">
        <is>
          <t>? needs production lookup</t>
        </is>
      </c>
      <c r="L103" s="5" t="inlineStr">
        <is>
          <t>VRN — Doprava + odpad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Odhad: kamenné zídky ~6 t + dřevo+výkop ~2 t = 8 t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Geodet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31</v>
      </c>
      <c r="C106" s="23" t="inlineStr">
        <is>
          <t>K</t>
        </is>
      </c>
      <c r="D106" s="24" t="inlineStr">
        <is>
          <t>030141000</t>
        </is>
      </c>
      <c r="E106" s="24" t="inlineStr">
        <is>
          <t>Geodetické vytýčení sklad+parking+schodiště ze situace (před realizací)</t>
        </is>
      </c>
      <c r="F106" s="23" t="inlineStr">
        <is>
          <t>kpl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Geodet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geodet vytýčení pro nový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167</v>
      </c>
    </row>
    <row r="10">
      <c r="B10" s="8" t="inlineStr">
        <is>
          <t>CELKEM AKTIVNÍ</t>
        </is>
      </c>
      <c r="C10" s="34" t="n">
        <v>230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do pískového lože — povrch podlahy skladu (~21 m²)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— tvarovky ztraceného bednění tl. 250 mm × výška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7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Sklad mezipodesta schodiště — prefa betonové stupně (9 ks ×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>Napojení vjezdu na ulici Dvořákova — vydláždění z betonových dlaždic +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do pískového lože — povrch podlahy skladu (~21 m²)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Sklad mezipodesta schodiště — prefa betonové stupně (9 ks × 179.5×250 mm) + klad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Napojení vjezdu na ulici Dvořákova — vydláždění z betonových dlaždic + spádování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2026-06-01T17:14:23Z</dcterms:created>
  <dcterms:modified xmlns:dcterms="http://purl.org/dc/terms/" xmlns:xsi="http://www.w3.org/2001/XMLSchema-instance" xsi:type="dcterms:W3CDTF">2026-06-01T17:14:23Z</dcterms:modified>
</cp:coreProperties>
</file>
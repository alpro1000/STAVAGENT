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  <sheet xmlns:r="http://schemas.openxmlformats.org/officeDocument/2006/relationships" name="Cross_verification" sheetId="10" state="visible" r:id="rId10"/>
  </sheets>
  <definedNames>
    <definedName name="_xlnm._FilterDatabase" localSheetId="1" hidden="1">'Var_A_Agregovany_Dum'!$A$1:$G$17</definedName>
    <definedName name="_xlnm._FilterDatabase" localSheetId="2" hidden="1">'Var_A_Agregovany_Sklad'!$A$1:$G$9</definedName>
    <definedName name="_xlnm._FilterDatabase" localSheetId="3" hidden="1">'Var_C_Hybrid'!$A$1:$J$118</definedName>
    <definedName name="_xlnm._FilterDatabase" localSheetId="4" hidden="1">'Var_B_Polozkovy_Dum'!$A$1:$O$188</definedName>
    <definedName name="_xlnm._FilterDatabase" localSheetId="5" hidden="1">'Var_B_Polozkovy_Sklad'!$A$1:$O$29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2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8" fillId="0" borderId="0" pivotButton="0" quotePrefix="0" xfId="0"/>
    <xf numFmtId="0" fontId="19" fillId="4" borderId="0" pivotButton="0" quotePrefix="0" xfId="0"/>
    <xf numFmtId="0" fontId="15" fillId="0" borderId="1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2026-05-31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12 %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per objekt (24 souhrnných řádků). Pro orientační cenovku.</t>
        </is>
      </c>
      <c r="C23" s="9" t="n">
        <v>24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(105 ks) + PSV/TZB/VRN agregovaně (12 skupin) = 117 řádků.</t>
        </is>
      </c>
      <c r="C24" s="9" t="n">
        <v>117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(187 dum + 28 sklad = 215 položek). Cílový rozsah pro produkční pricing.</t>
        </is>
      </c>
      <c r="C25" s="9" t="n">
        <v>215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215 (187 dum + 28 sklad)</t>
        </is>
      </c>
    </row>
    <row r="32">
      <c r="A32" s="4" t="inlineStr">
        <is>
          <t>Gate distribution</t>
        </is>
      </c>
      <c r="B32" s="5" t="inlineStr">
        <is>
          <t>HSV 105 | PSV 54 | TZB 34 | VRN 22</t>
        </is>
      </c>
    </row>
    <row r="33">
      <c r="A33" s="4" t="inlineStr">
        <is>
          <t>Confidence dist</t>
        </is>
      </c>
      <c r="B33" s="5" t="inlineStr">
        <is>
          <t>0.99: 17 | 0.95: 32 | 0.90: 35 | 0.85: 41 | 0.80: 19 | 0.75: 69 | 0.70: 1 | 0.60: 1</t>
        </is>
      </c>
    </row>
    <row r="34">
      <c r="A34" s="4" t="inlineStr">
        <is>
          <t>URS status (Part 5b)</t>
        </is>
      </c>
      <c r="B34" s="5" t="inlineStr">
        <is>
          <t>8 WebSearch verified (3.7 %) ✓ | 5 wrong leaf flagged (2.3 %) ⚠ | 141 needs_production_lookup (65.6 %)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24 items (viz Otazky_pro_Karla docx)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215 položek celkem (187 dum + 28 sklad), 4 corpus patterns aplikované, zero-fabrication policy.
Confidence distribution: 17×0.99 · 32×0.95 · 35×0.90 · 41×0.85 · 19×0.80 · 69×0.75 · 1×0.70 · 1×0.60.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  <row r="51">
      <c r="A51" s="43" t="inlineStr">
        <is>
          <t>PHASE 3.5+ FINALIZACE (aktualizováno 2026-05-30)</t>
        </is>
      </c>
    </row>
    <row r="52">
      <c r="A52" s="45" t="inlineStr">
        <is>
          <t>• Phase 3.5 sklad S-code mapping complete: 14 items tagged + 9 explicit null markers (Pattern 24 multi-namespace S-codes — sklad SN_sklad distinct from dům SN)</t>
        </is>
      </c>
    </row>
    <row r="53">
      <c r="A53" s="45" t="inlineStr">
        <is>
          <t>• Action 1 (qty cross-check): PSV77.001 podlaha 21.209 → 17.60 m² (inner usable per DXF room 0.01); HSV4.005 parking pororošt 21.0 → 44.60 m² (full footprint per DXF room 1.01); HSV5.001 NEW mezipodesta schodiště prefa 5.50 m² (DXF room 1.02 gap-fill, S05_sklad skladba)</t>
        </is>
      </c>
    </row>
    <row r="54">
      <c r="A54" s="45" t="inlineStr">
        <is>
          <t>• Exhaustive extraction via DXF native parser (ezdxf, 15 S-codes + 11 POZN refs across 4 DXFs) + full OCR pipeline (34 PDFs at 300 DPI tesseract ces+eng)</t>
        </is>
      </c>
    </row>
    <row r="55">
      <c r="A55" s="45" t="inlineStr">
        <is>
          <t>• Total items: 215 (187 dům + 28 sklad) — vč. CEV +3 (komín/zídky/drenáž), anchor-gap +2 (přesun hmot/lešení), terasa-area fix + venkovní schody na terénu. 56 items s realizuje_skladbu.</t>
        </is>
      </c>
    </row>
    <row r="56">
      <c r="A56" s="45" t="inlineStr">
        <is>
          <t>• Patterns 17 (Phase 0a) + 31 (CEV) + 15 (Work-First) + 24 (multi-namespace) applied throughout. No catalog code touched — Phase 5 (URS matching) gated behind frozen-baseline confirmation.</t>
        </is>
      </c>
    </row>
  </sheetData>
  <mergeCells count="32">
    <mergeCell ref="A54:F54"/>
    <mergeCell ref="B7:F7"/>
    <mergeCell ref="B16:F16"/>
    <mergeCell ref="B31:F31"/>
    <mergeCell ref="A56:F56"/>
    <mergeCell ref="A55:F55"/>
    <mergeCell ref="B18:F18"/>
    <mergeCell ref="A2:F2"/>
    <mergeCell ref="B12:F12"/>
    <mergeCell ref="B39:F39"/>
    <mergeCell ref="B11:F11"/>
    <mergeCell ref="B8:F8"/>
    <mergeCell ref="A53:F53"/>
    <mergeCell ref="B17:F17"/>
    <mergeCell ref="B13:F13"/>
    <mergeCell ref="A52:F52"/>
    <mergeCell ref="B38:F38"/>
    <mergeCell ref="B34:F34"/>
    <mergeCell ref="B10:F10"/>
    <mergeCell ref="B28:F28"/>
    <mergeCell ref="B19:F19"/>
    <mergeCell ref="B37:F37"/>
    <mergeCell ref="B9:F9"/>
    <mergeCell ref="A51:F51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(+6 dalších)</t>
        </is>
      </c>
      <c r="D2" s="9" t="n">
        <v>10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(+14 dalších)</t>
        </is>
      </c>
      <c r="D17" s="9" t="n">
        <v>18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</t>
        </is>
      </c>
      <c r="D9" s="9" t="n">
        <v>4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16.54</v>
      </c>
      <c r="G5" s="10" t="n"/>
      <c r="H5" s="10" t="n"/>
      <c r="I5" s="8" t="inlineStr">
        <is>
          <t>podlahar</t>
        </is>
      </c>
      <c r="J5" s="8" t="inlineStr">
        <is>
          <t>URS-prop 596811220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— podkladní skladba (pod dřevěnou pochozí vrstvou PSV76.002) — 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E6" s="20" t="inlineStr">
        <is>
          <t>m²</t>
        </is>
      </c>
      <c r="F6" s="22" t="n">
        <v>9.23</v>
      </c>
      <c r="G6" s="10" t="n"/>
      <c r="H6" s="10" t="n"/>
      <c r="I6" s="8" t="inlineStr">
        <is>
          <t>podlahar</t>
        </is>
      </c>
      <c r="J6" s="8" t="inlineStr">
        <is>
          <t>URS-prop 564??? ?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274??? ?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274??? ?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0.6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8" t="inlineStr">
        <is>
          <t>HSV-5 Komunikace + schodiště</t>
        </is>
      </c>
      <c r="D105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5" s="20" t="inlineStr">
        <is>
          <t>m²</t>
        </is>
      </c>
      <c r="F105" s="22" t="n">
        <v>5.5</v>
      </c>
      <c r="G105" s="10" t="n"/>
      <c r="H105" s="10" t="n"/>
      <c r="I105" s="8" t="inlineStr">
        <is>
          <t>betonar</t>
        </is>
      </c>
      <c r="J105" s="8" t="inlineStr">
        <is>
          <t>URS-prop 121301101</t>
        </is>
      </c>
    </row>
    <row r="106">
      <c r="A106" s="20" t="n">
        <v>105</v>
      </c>
      <c r="B106" s="20" t="inlineStr">
        <is>
          <t>260219_dum</t>
        </is>
      </c>
      <c r="C106" s="8" t="inlineStr">
        <is>
          <t>HSV-1 Zemní práce</t>
        </is>
      </c>
      <c r="D106" s="8" t="inlineStr">
        <is>
          <t>Venkovní schody na terénu (zahrada za opěrnou stěnou) — Venkovní schody na terénu z betonových dílců do betonového lože — rameno 1: 8×175×280 mm + rameno 2: 5×175×280 mm (13 stupňů), zahrada za opěrnou stěnou</t>
        </is>
      </c>
      <c r="E106" s="20" t="inlineStr">
        <is>
          <t>ks</t>
        </is>
      </c>
      <c r="F106" s="23" t="n">
        <v>13</v>
      </c>
      <c r="G106" s="10" t="n"/>
      <c r="H106" s="10" t="n"/>
      <c r="I106" s="8" t="inlineStr">
        <is>
          <t>zednik</t>
        </is>
      </c>
      <c r="J106" s="8" t="inlineStr">
        <is>
          <t>URS-prop —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PSV-76 — Výplně otvorů + klempířina + zámečnictví + truhlář</t>
        </is>
      </c>
      <c r="D107" s="8" t="inlineStr">
        <is>
          <t>[agregát] 1 položek: Bezpečnostní dveře RC3 sklad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260217_sklad</t>
        </is>
      </c>
      <c r="C108" s="21" t="inlineStr">
        <is>
          <t>PSV-77 — Podlahy</t>
        </is>
      </c>
      <c r="D108" s="8" t="inlineStr">
        <is>
          <t>[agregát] 1 položek: Betonová dlažba sklad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260217_sklad</t>
        </is>
      </c>
      <c r="C109" s="21" t="inlineStr">
        <is>
          <t>VRN — Vedlejší rozpočtové náklady</t>
        </is>
      </c>
      <c r="D109" s="8" t="inlineStr">
        <is>
          <t>[agregát] 4 položek: Doprava prefa H-BLOK auto s hyd. rukou; Likvidace odpadu sklad; Geodetické vytýčení sklad; … (+1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M-21 — Elektroinstalace silnoproudá</t>
        </is>
      </c>
      <c r="D110" s="8" t="inlineStr">
        <is>
          <t>[agregát] 7 položek: Demontáž stávající ELI; Pojistková skříň + 3× podružný rozvaděč; Rozvody silnoproud; … (+4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PSV-71 — Izolace HI + TI</t>
        </is>
      </c>
      <c r="D111" s="8" t="inlineStr">
        <is>
          <t>[agregát] 5 položek: HI pod ŽB deskou 1.NP; Odvětrání radonu z podloží; HI koupelny 1.NP + 2.NP + 3.NP; … (+2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PSV-72 — ZTI (vodovod + kanalizace + sanita)</t>
        </is>
      </c>
      <c r="D112" s="8" t="inlineStr">
        <is>
          <t>[agregát] 19 položek: Revize stávajících přípojek; Nové rozvody vody do 3.NP; Nové odpadní rozvody; … (+16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PSV-73 — Vytápění + komín</t>
        </is>
      </c>
      <c r="D113" s="8" t="inlineStr">
        <is>
          <t>[agregát] 8 položek: Sporáková kamna na tuhá paliva; Sporáková kamna — montáž; Elektrokotel 3.NP; … (+5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PSV-76 — Výplně otvorů + klempířina + zámečnictví + truhlář</t>
        </is>
      </c>
      <c r="D114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PSV-77 — Podlahy</t>
        </is>
      </c>
      <c r="D115" s="8" t="inlineStr">
        <is>
          <t>[agregát] 7 položek: Nášlap vinyl obytné místnosti; Nášlap keramická dlažba — mokré zóny; Nášlap keramická dlažba — 1.PP sklep; … (+4 dalších)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PSV-78 — Povrchové úpravy</t>
        </is>
      </c>
      <c r="D116" s="8" t="inlineStr">
        <is>
          <t>[agregát] 16 položek: Omítka jádrová + štuk 1.PP; Omítka jádrová + štuk 1.NP; Omítka jádrová + štuk 2.NP; … (+13 dalších)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  <row r="117">
      <c r="A117" s="20" t="n">
        <v>116</v>
      </c>
      <c r="B117" s="20" t="inlineStr">
        <is>
          <t>260219_dum</t>
        </is>
      </c>
      <c r="C117" s="21" t="inlineStr">
        <is>
          <t>PSV-95 — Detekce požární</t>
        </is>
      </c>
      <c r="D117" s="8" t="inlineStr">
        <is>
          <t>[agregát] 2 položek: Autonomní hlásič kouře; Přenosný hasicí přístroj 34A</t>
        </is>
      </c>
      <c r="E117" s="20" t="inlineStr">
        <is>
          <t>kpl</t>
        </is>
      </c>
      <c r="F117" s="9" t="n">
        <v>1</v>
      </c>
      <c r="G117" s="10" t="n"/>
      <c r="H117" s="10" t="n"/>
      <c r="I117" s="8" t="inlineStr">
        <is>
          <t>—</t>
        </is>
      </c>
      <c r="J117" s="8" t="inlineStr">
        <is>
          <t>agregát</t>
        </is>
      </c>
    </row>
    <row r="118">
      <c r="A118" s="20" t="n">
        <v>117</v>
      </c>
      <c r="B118" s="20" t="inlineStr">
        <is>
          <t>260219_dum</t>
        </is>
      </c>
      <c r="C118" s="21" t="inlineStr">
        <is>
          <t>VRN — Vedlejší rozpočtové náklady</t>
        </is>
      </c>
      <c r="D118" s="8" t="inlineStr">
        <is>
          <t>[agregát] 18 položek: Buňky kancelář + sociální; Mobilní WC; El. odběr + vodovodní odběr stavby; … (+15 dalších)</t>
        </is>
      </c>
      <c r="E118" s="20" t="inlineStr">
        <is>
          <t>kpl</t>
        </is>
      </c>
      <c r="F118" s="9" t="n">
        <v>1</v>
      </c>
      <c r="G118" s="10" t="n"/>
      <c r="H118" s="10" t="n"/>
      <c r="I118" s="8" t="inlineStr">
        <is>
          <t>—</t>
        </is>
      </c>
      <c r="J118" s="8" t="inlineStr">
        <is>
          <t>agregát</t>
        </is>
      </c>
    </row>
  </sheetData>
  <autoFilter ref="A1:J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  <c r="P2" s="41" t="n"/>
      <c r="Q2" s="41" t="inlineStr">
        <is>
          <t>URS_PHASE5B_VERIFIED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  <c r="P3" s="41" t="n"/>
      <c r="Q3" s="41" t="inlineStr">
        <is>
          <t>URS_PHASE5B_FAMILY_VERIFIED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  <c r="P4" s="41" t="n"/>
      <c r="Q4" s="41" t="inlineStr">
        <is>
          <t>URS_PHASE5B_FAMILY_VERIFIED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596811220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16.54</v>
      </c>
      <c r="H5" s="10" t="n"/>
      <c r="I5" s="10" t="n"/>
      <c r="J5" s="8" t="inlineStr">
        <is>
          <t>podlahar</t>
        </is>
      </c>
      <c r="K5" s="24" t="n">
        <v>0.95</v>
      </c>
      <c r="L5" s="20" t="inlineStr">
        <is>
          <t>family_verified_leaf_candidate_verify_stage3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  <c r="P5" s="41" t="inlineStr">
        <is>
          <t>Anglický dvorek</t>
        </is>
      </c>
      <c r="Q5" s="41" t="inlineStr">
        <is>
          <t>URS_PHASE5B_WRONG_LEAF; RECONCILIATION_A1A2_CONSENSUS; SITUACE_AREA_FIX_2026-05-29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— podkladní skladba (pod dřevěnou pochozí vrstvou PSV76.002)</t>
        </is>
      </c>
      <c r="D6" s="27" t="inlineStr">
        <is>
          <t>564??? ?</t>
        </is>
      </c>
      <c r="E6" s="8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" s="20" t="inlineStr">
        <is>
          <t>m²</t>
        </is>
      </c>
      <c r="G6" s="22" t="n">
        <v>9.23</v>
      </c>
      <c r="H6" s="10" t="n"/>
      <c r="I6" s="10" t="n"/>
      <c r="J6" s="8" t="inlineStr">
        <is>
          <t>podlahar</t>
        </is>
      </c>
      <c r="K6" s="24" t="n">
        <v>0.95</v>
      </c>
      <c r="L6" s="20" t="inlineStr">
        <is>
          <t>family_564_leaf_lookup_required</t>
        </is>
      </c>
      <c r="M6" s="8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Terasa</t>
        </is>
      </c>
      <c r="Q6" s="41" t="inlineStr">
        <is>
          <t>URS_PHASE5B_WRONG_LEAF; RECONCILIATION_A1A2_CONSENSUS; REZ_CC_TERASA_FIX_2026-05-29; SITUACE_AREA_FIX_2026-05-29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  <c r="P7" s="41" t="n"/>
      <c r="Q7" s="41" t="inlineStr">
        <is>
          <t>URS_PHASE5B_VERIFIED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  <c r="P8" s="41" t="n"/>
      <c r="Q8" s="41" t="inlineStr">
        <is>
          <t>URS_PHASE5B_FAMILY_VERIFIED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  <c r="P10" s="41" t="n"/>
      <c r="Q10" s="41" t="inlineStr">
        <is>
          <t>PER_DRAWING_GAP_POZN_2_02; URS_PHASE5B_FAMILY_VERIFIED</t>
        </is>
      </c>
    </row>
    <row r="11">
      <c r="A11" s="20" t="n">
        <v>10</v>
      </c>
      <c r="B11" s="8" t="inlineStr">
        <is>
          <t>HSV-1 Zemní práce</t>
        </is>
      </c>
      <c r="C11" s="8" t="inlineStr">
        <is>
          <t>Venkovní schody na terénu (zahrada za opěrnou stěnou)</t>
        </is>
      </c>
      <c r="D11" s="20" t="inlineStr">
        <is>
          <t>—</t>
        </is>
      </c>
      <c r="E11" s="8" t="inlineStr">
        <is>
          <t>Venkovní schody na terénu z betonových dílců do betonového lože — rameno 1: 8×175×280 mm + rameno 2: 5×175×280 mm (13 stupňů), zahrada za opěrnou stěnou</t>
        </is>
      </c>
      <c r="F11" s="20" t="inlineStr">
        <is>
          <t>ks</t>
        </is>
      </c>
      <c r="G11" s="23" t="n">
        <v>13</v>
      </c>
      <c r="H11" s="10" t="n"/>
      <c r="I11" s="10" t="n"/>
      <c r="J11" s="8" t="inlineStr">
        <is>
          <t>zednik</t>
        </is>
      </c>
      <c r="K11" s="24" t="n">
        <v>0.9</v>
      </c>
      <c r="L11" s="20" t="inlineStr">
        <is>
          <t>needs_lookup</t>
        </is>
      </c>
      <c r="M11" s="8" t="inlineStr">
        <is>
          <t>Situace měření 2026-05-29 (rameno 8×175×280 + rameno 5×175×280) + TZ statika §3.2.5 'schody na terénu z betonových dílců do betonového lože'</t>
        </is>
      </c>
      <c r="N11" s="20" t="inlineStr">
        <is>
          <t>—</t>
        </is>
      </c>
      <c r="O11" s="26" t="inlineStr">
        <is>
          <t>ANO</t>
        </is>
      </c>
      <c r="P11" s="41" t="inlineStr">
        <is>
          <t>Venkovní schody na terénu</t>
        </is>
      </c>
      <c r="Q11" s="41" t="inlineStr">
        <is>
          <t>SITUACE_STAIRS_ADD_2026-05-29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pata</t>
        </is>
      </c>
      <c r="D12" s="20" t="inlineStr">
        <is>
          <t>274321321</t>
        </is>
      </c>
      <c r="E12" s="8" t="inlineStr">
        <is>
          <t>Bílá vana ČBS 02 — pata úhlové opěrné stěny 250×1200 mm × L=10 m, C25/30 XC3 XF1 XA1 CL0.4 Dmax22 S3</t>
        </is>
      </c>
      <c r="F12" s="20" t="inlineStr">
        <is>
          <t>m³</t>
        </is>
      </c>
      <c r="G12" s="22" t="n">
        <v>3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family_verified_leaf_needs_production_lookup</t>
        </is>
      </c>
      <c r="M12" s="8" t="inlineStr">
        <is>
          <t>TZ statika §4 + §5.5 (bílá vana, ČBS 02 metodika)</t>
        </is>
      </c>
      <c r="N12" s="20" t="inlineStr">
        <is>
          <t>#3, #8</t>
        </is>
      </c>
      <c r="O12" s="26" t="inlineStr">
        <is>
          <t>ANO</t>
        </is>
      </c>
      <c r="P12" s="41" t="n"/>
      <c r="Q12" s="41" t="inlineStr">
        <is>
          <t>URS_PHASE5B_FAMILY_VERIFIED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stěna</t>
        </is>
      </c>
      <c r="D13" s="20" t="inlineStr">
        <is>
          <t>274321321</t>
        </is>
      </c>
      <c r="E13" s="8" t="inlineStr">
        <is>
          <t>Bílá vana ČBS 02 — stěna úhlová tl. 250 mm × výška 2050 mm × L=10 m, beton C25/30 XC3 XF1 XA1 (trhliny max 0.20 mm)</t>
        </is>
      </c>
      <c r="F13" s="20" t="inlineStr">
        <is>
          <t>m³</t>
        </is>
      </c>
      <c r="G13" s="22" t="n">
        <v>5.12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— bílá vana A1 W0 Kon 1</t>
        </is>
      </c>
      <c r="N13" s="20" t="inlineStr">
        <is>
          <t>#3, #8</t>
        </is>
      </c>
      <c r="O13" s="26" t="inlineStr">
        <is>
          <t>ANO</t>
        </is>
      </c>
      <c r="P13" s="41" t="n"/>
      <c r="Q13" s="41" t="n"/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bednění systémové</t>
        </is>
      </c>
      <c r="D14" s="27" t="inlineStr">
        <is>
          <t>274??? ?</t>
        </is>
      </c>
      <c r="E14" s="8" t="inlineStr">
        <is>
          <t>Systémové oboustranné bednění bílé vany — DOKA Framax / PERI MAXIMO, vč. těsnění pracovních spár bobtnavý pásek bentonit (TZ §5.5)</t>
        </is>
      </c>
      <c r="F14" s="20" t="inlineStr">
        <is>
          <t>m²</t>
        </is>
      </c>
      <c r="G14" s="22" t="n">
        <v>65</v>
      </c>
      <c r="H14" s="10" t="n"/>
      <c r="I14" s="10" t="n"/>
      <c r="J14" s="8" t="inlineStr">
        <is>
          <t>bila_vana_csb02</t>
        </is>
      </c>
      <c r="K14" s="24" t="n">
        <v>0.85</v>
      </c>
      <c r="L14" s="20" t="inlineStr">
        <is>
          <t>wrong_leaf_274_family_lookup_required</t>
        </is>
      </c>
      <c r="M14" s="8" t="inlineStr">
        <is>
          <t>TZ statika §5.5 + ČBS 02 — bobtnavý pásek + těsnící plech pracovní spáry</t>
        </is>
      </c>
      <c r="N14" s="20" t="inlineStr">
        <is>
          <t>#3</t>
        </is>
      </c>
      <c r="O14" s="26" t="inlineStr">
        <is>
          <t>ANO</t>
        </is>
      </c>
      <c r="P14" s="41" t="n"/>
      <c r="Q14" s="41" t="inlineStr">
        <is>
          <t>URS_PHASE5B_WRONG_LEAF; RECONCILIATION_A1A2_CONSENSUS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výztuž B500B</t>
        </is>
      </c>
      <c r="D15" s="20" t="inlineStr">
        <is>
          <t>273361821</t>
        </is>
      </c>
      <c r="E15" s="8" t="inlineStr">
        <is>
          <t>Výztuž bílé vany B500B 120 kg/m³ (empirická sazba Methvin pro úhlové opěrné stěny W0)</t>
        </is>
      </c>
      <c r="F15" s="20" t="inlineStr">
        <is>
          <t>kg</t>
        </is>
      </c>
      <c r="G15" s="22" t="n">
        <v>975</v>
      </c>
      <c r="H15" s="10" t="n"/>
      <c r="I15" s="10" t="n"/>
      <c r="J15" s="8" t="inlineStr">
        <is>
          <t>zelezobetonarsky_specialny</t>
        </is>
      </c>
      <c r="K15" s="24" t="n">
        <v>0.8</v>
      </c>
      <c r="L15" s="20" t="inlineStr">
        <is>
          <t>family_verified_leaf_needs_production_lookup</t>
        </is>
      </c>
      <c r="M15" s="8" t="inlineStr">
        <is>
          <t>TZ statika §5.5 + B4_productivity Methvin sazba 120 kg/m³ pro BV W0</t>
        </is>
      </c>
      <c r="N15" s="20" t="inlineStr">
        <is>
          <t>#8</t>
        </is>
      </c>
      <c r="O15" s="26" t="inlineStr">
        <is>
          <t>ANO</t>
        </is>
      </c>
      <c r="P15" s="41" t="n"/>
      <c r="Q15" s="41" t="inlineStr">
        <is>
          <t>URS_PHASE5B_FAMILY_VERIFIED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separační fólie</t>
        </is>
      </c>
      <c r="D16" s="27" t="inlineStr">
        <is>
          <t>711141??? ?</t>
        </is>
      </c>
      <c r="E16" s="8" t="inlineStr">
        <is>
          <t>Separační PE fólie pod základovou patou bílé vany (povinná dle ČBS 02)</t>
        </is>
      </c>
      <c r="F16" s="20" t="inlineStr">
        <is>
          <t>m²</t>
        </is>
      </c>
      <c r="G16" s="22" t="n">
        <v>13.2</v>
      </c>
      <c r="H16" s="10" t="n"/>
      <c r="I16" s="10" t="n"/>
      <c r="J16" s="8" t="inlineStr">
        <is>
          <t>izolater_HI</t>
        </is>
      </c>
      <c r="K16" s="24" t="n">
        <v>0.85</v>
      </c>
      <c r="L16" s="20" t="inlineStr">
        <is>
          <t>wrong_leaf_disambiguation_needed</t>
        </is>
      </c>
      <c r="M16" s="8" t="inlineStr">
        <is>
          <t>TZ statika §5.5 — separační fólie povinné pod základ BV</t>
        </is>
      </c>
      <c r="N16" s="20" t="inlineStr">
        <is>
          <t>—</t>
        </is>
      </c>
      <c r="O16" s="28" t="inlineStr">
        <is>
          <t>LEAF CHYBNÝ — viz alternatives</t>
        </is>
      </c>
      <c r="P16" s="41" t="n"/>
      <c r="Q16" s="41" t="n"/>
    </row>
    <row r="17">
      <c r="A17" s="20" t="n">
        <v>16</v>
      </c>
      <c r="B17" s="8" t="inlineStr">
        <is>
          <t>HSV-2 Základové a ŽB</t>
        </is>
      </c>
      <c r="C17" s="8" t="inlineStr">
        <is>
          <t>Bílá vana — ošetřování</t>
        </is>
      </c>
      <c r="D17" s="20" t="inlineStr">
        <is>
          <t>279351102</t>
        </is>
      </c>
      <c r="E17" s="8" t="inlineStr">
        <is>
          <t>Mokré ošetřování betonu bílé vany min. 7 dní dle ČSN EN 13670 + ČBS 02 (kontrola trhlin max 0.20 mm)</t>
        </is>
      </c>
      <c r="F17" s="20" t="inlineStr">
        <is>
          <t>m²</t>
        </is>
      </c>
      <c r="G17" s="22" t="n">
        <v>53</v>
      </c>
      <c r="H17" s="10" t="n"/>
      <c r="I17" s="10" t="n"/>
      <c r="J17" s="8" t="inlineStr">
        <is>
          <t>bila_vana_csb02</t>
        </is>
      </c>
      <c r="K17" s="24" t="n">
        <v>0.99</v>
      </c>
      <c r="L17" s="20" t="inlineStr">
        <is>
          <t>needs_production_lookup</t>
        </is>
      </c>
      <c r="M17" s="8" t="inlineStr">
        <is>
          <t>ČSN EN 13670 + TZ §5.5 — trhliny max 0.20 mm</t>
        </is>
      </c>
      <c r="N17" s="20" t="inlineStr">
        <is>
          <t>—</t>
        </is>
      </c>
      <c r="O17" s="26" t="inlineStr">
        <is>
          <t>ANO</t>
        </is>
      </c>
      <c r="P17" s="41" t="n"/>
      <c r="Q17" s="41" t="n"/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3.NP</t>
        </is>
      </c>
      <c r="D18" s="20" t="inlineStr">
        <is>
          <t>274321311</t>
        </is>
      </c>
      <c r="E18" s="8" t="inlineStr">
        <is>
          <t>ŽB pozední věnec 300×250 mm po obvodu nadezdívky 3.NP, beton C25/30 XC1 + výztuž 100 kg/m³</t>
        </is>
      </c>
      <c r="F18" s="20" t="inlineStr">
        <is>
          <t>m³</t>
        </is>
      </c>
      <c r="G18" s="22" t="n">
        <v>2.9</v>
      </c>
      <c r="H18" s="10" t="n"/>
      <c r="I18" s="10" t="n"/>
      <c r="J18" s="8" t="inlineStr">
        <is>
          <t>zelezobetonarsky_specialny</t>
        </is>
      </c>
      <c r="K18" s="24" t="n">
        <v>0.9</v>
      </c>
      <c r="L18" s="20" t="inlineStr">
        <is>
          <t>family_verified_leaf_needs_production_lookup</t>
        </is>
      </c>
      <c r="M18" s="8" t="inlineStr">
        <is>
          <t>TZ statika dům §4 + ARS pozední věnec po obvodu nadezdívky 3.NP + DXF external perimeter 38.70 m</t>
        </is>
      </c>
      <c r="N18" s="20" t="inlineStr">
        <is>
          <t>#3, #8</t>
        </is>
      </c>
      <c r="O18" s="26" t="inlineStr">
        <is>
          <t>ANO</t>
        </is>
      </c>
      <c r="P18" s="41" t="n"/>
      <c r="Q18" s="41" t="inlineStr">
        <is>
          <t>URS_PHASE5B_FAMILY_VERIFIED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bednění</t>
        </is>
      </c>
      <c r="D19" s="27" t="inlineStr">
        <is>
          <t>274??? ?</t>
        </is>
      </c>
      <c r="E19" s="8" t="inlineStr">
        <is>
          <t>Bednění pozedního věnce systémové oboustranné</t>
        </is>
      </c>
      <c r="F19" s="20" t="inlineStr">
        <is>
          <t>m²</t>
        </is>
      </c>
      <c r="G19" s="22" t="n">
        <v>19.4</v>
      </c>
      <c r="H19" s="10" t="n"/>
      <c r="I19" s="10" t="n"/>
      <c r="J19" s="8" t="inlineStr">
        <is>
          <t>bednici_tesar</t>
        </is>
      </c>
      <c r="K19" s="24" t="n">
        <v>0.9</v>
      </c>
      <c r="L19" s="20" t="inlineStr">
        <is>
          <t>wrong_leaf_274_family_lookup_required</t>
        </is>
      </c>
      <c r="M19" s="8" t="inlineStr">
        <is>
          <t>TZ statika dům §4 + DXF external perimeter</t>
        </is>
      </c>
      <c r="N19" s="20" t="inlineStr">
        <is>
          <t>#3</t>
        </is>
      </c>
      <c r="O19" s="26" t="inlineStr">
        <is>
          <t>ANO</t>
        </is>
      </c>
      <c r="P19" s="41" t="n"/>
      <c r="Q19" s="41" t="inlineStr">
        <is>
          <t>URS_PHASE5B_WRONG_LEAF; RECONCILIATION_A1A2_CONSENSUS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Pozední věnec — výztuž</t>
        </is>
      </c>
      <c r="D20" s="20" t="inlineStr">
        <is>
          <t>273361821</t>
        </is>
      </c>
      <c r="E20" s="8" t="inlineStr">
        <is>
          <t>Výztuž B500B věnce 100 kg/m³ (Methvin sazba pro pozední věnce)</t>
        </is>
      </c>
      <c r="F20" s="20" t="inlineStr">
        <is>
          <t>kg</t>
        </is>
      </c>
      <c r="G20" s="22" t="n">
        <v>310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needs_production_lookup</t>
        </is>
      </c>
      <c r="M20" s="8" t="inlineStr">
        <is>
          <t>B4_productivity Methvin pozední věnec ~100 kg/m³</t>
        </is>
      </c>
      <c r="N20" s="20" t="inlineStr">
        <is>
          <t>#8</t>
        </is>
      </c>
      <c r="O20" s="26" t="inlineStr">
        <is>
          <t>ANO</t>
        </is>
      </c>
      <c r="P20" s="41" t="n"/>
      <c r="Q20" s="41" t="n"/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stropu 2.NP/3.NP</t>
        </is>
      </c>
      <c r="D21" s="20" t="inlineStr">
        <is>
          <t>274321111</t>
        </is>
      </c>
      <c r="E21" s="8" t="inlineStr">
        <is>
          <t>Nabetonávka stropu 2.NP/3.NP — beton C25/30 XC1 tl. 60 mm nad vlnu trapézového plechu 40S/160</t>
        </is>
      </c>
      <c r="F21" s="20" t="inlineStr">
        <is>
          <t>m³</t>
        </is>
      </c>
      <c r="G21" s="22" t="n">
        <v>6.26</v>
      </c>
      <c r="H21" s="10" t="n"/>
      <c r="I21" s="10" t="n"/>
      <c r="J21" s="8" t="inlineStr">
        <is>
          <t>ocelobeton_strop_IPE_trapez</t>
        </is>
      </c>
      <c r="K21" s="24" t="n">
        <v>0.85</v>
      </c>
      <c r="L21" s="20" t="inlineStr">
        <is>
          <t>family_verified_leaf_needs_production_lookup</t>
        </is>
      </c>
      <c r="M21" s="8" t="inlineStr">
        <is>
          <t>TZ statika §4 — ocelobetonový strop, nabetonávka 60 mm C25/30 XC1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S09</t>
        </is>
      </c>
      <c r="Q21" s="41" t="inlineStr">
        <is>
          <t>URS_PHASE5B_FAMILY_VERIFIED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Nabetonávka — výztuž kari síť</t>
        </is>
      </c>
      <c r="D22" s="20" t="inlineStr">
        <is>
          <t>273362441</t>
        </is>
      </c>
      <c r="E22" s="8" t="inlineStr">
        <is>
          <t>Výztuž nabetonávky kari síť 5/100/100 (cca 4.4 kg/m²)</t>
        </is>
      </c>
      <c r="F22" s="20" t="inlineStr">
        <is>
          <t>kg</t>
        </is>
      </c>
      <c r="G22" s="22" t="n">
        <v>459</v>
      </c>
      <c r="H22" s="10" t="n"/>
      <c r="I22" s="10" t="n"/>
      <c r="J22" s="8" t="inlineStr">
        <is>
          <t>ocelobeton_strop_IPE_trapez</t>
        </is>
      </c>
      <c r="K22" s="24" t="n">
        <v>0.8</v>
      </c>
      <c r="L22" s="20" t="inlineStr">
        <is>
          <t>needs_production_lookup</t>
        </is>
      </c>
      <c r="M22" s="8" t="inlineStr">
        <is>
          <t>ČSN EN 1992-1 + B4_productivity kari pro nabetonávku 60 mm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S09</t>
        </is>
      </c>
      <c r="Q22" s="41" t="n"/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na terénu</t>
        </is>
      </c>
      <c r="D23" s="20" t="inlineStr">
        <is>
          <t>273321311</t>
        </is>
      </c>
      <c r="E23" s="8" t="inlineStr">
        <is>
          <t>ŽB deska podlahy 1.NP na terénu tl. 150 mm, C25/30 XC2 + vyztužení kari 6/150/150 + okrajové pruty</t>
        </is>
      </c>
      <c r="F23" s="20" t="inlineStr">
        <is>
          <t>m³</t>
        </is>
      </c>
      <c r="G23" s="22" t="n">
        <v>10.96</v>
      </c>
      <c r="H23" s="10" t="n"/>
      <c r="I23" s="10" t="n"/>
      <c r="J23" s="8" t="inlineStr">
        <is>
          <t>zelezobetonarsky_specialny</t>
        </is>
      </c>
      <c r="K23" s="24" t="n">
        <v>0.75</v>
      </c>
      <c r="L23" s="20" t="inlineStr">
        <is>
          <t>family_verified_leaf_needs_production_lookup</t>
        </is>
      </c>
      <c r="M23" s="8" t="inlineStr">
        <is>
          <t>TZ statika dům §4 + ARS § podlaha 1.NP zhutněné lože + ŽB deska + EPS 150 + potěr</t>
        </is>
      </c>
      <c r="N23" s="20" t="inlineStr">
        <is>
          <t>#3</t>
        </is>
      </c>
      <c r="O23" s="26" t="inlineStr">
        <is>
          <t>ANO</t>
        </is>
      </c>
      <c r="P23" s="41" t="inlineStr">
        <is>
          <t>S05</t>
        </is>
      </c>
      <c r="Q23" s="41" t="inlineStr">
        <is>
          <t>URS_PHASE5B_FAMILY_VERIFIED</t>
        </is>
      </c>
    </row>
    <row r="24">
      <c r="A24" s="20" t="n">
        <v>23</v>
      </c>
      <c r="B24" s="8" t="inlineStr">
        <is>
          <t>HSV-2 Základové a ŽB</t>
        </is>
      </c>
      <c r="C24" s="8" t="inlineStr">
        <is>
          <t>Deska 1.NP — výztuž</t>
        </is>
      </c>
      <c r="D24" s="20" t="inlineStr">
        <is>
          <t>273361821</t>
        </is>
      </c>
      <c r="E24" s="8" t="inlineStr">
        <is>
          <t>Výztuž ŽB desky 1.NP — kari 6/150/150 + B500B okrajové pruty (~75 kg/m³ Methvin)</t>
        </is>
      </c>
      <c r="F24" s="20" t="inlineStr">
        <is>
          <t>kg</t>
        </is>
      </c>
      <c r="G24" s="22" t="n">
        <v>825</v>
      </c>
      <c r="H24" s="10" t="n"/>
      <c r="I24" s="10" t="n"/>
      <c r="J24" s="8" t="inlineStr">
        <is>
          <t>zelezobetonarsky_specialny</t>
        </is>
      </c>
      <c r="K24" s="24" t="n">
        <v>0.8</v>
      </c>
      <c r="L24" s="20" t="inlineStr">
        <is>
          <t>needs_production_lookup</t>
        </is>
      </c>
      <c r="M24" s="8" t="inlineStr">
        <is>
          <t>B4_productivity Methvin deska na terénu ~75 kg/m³</t>
        </is>
      </c>
      <c r="N24" s="20" t="inlineStr">
        <is>
          <t>#8</t>
        </is>
      </c>
      <c r="O24" s="26" t="inlineStr">
        <is>
          <t>ANO</t>
        </is>
      </c>
      <c r="P24" s="41" t="inlineStr">
        <is>
          <t>S05</t>
        </is>
      </c>
      <c r="Q24" s="41" t="n"/>
    </row>
    <row r="25">
      <c r="A25" s="20" t="n">
        <v>24</v>
      </c>
      <c r="B25" s="8" t="inlineStr">
        <is>
          <t>HSV-3 Svislé konstrukce</t>
        </is>
      </c>
      <c r="C25" s="8" t="inlineStr">
        <is>
          <t>Dozdívky cihla pálená</t>
        </is>
      </c>
      <c r="D25" s="20" t="inlineStr">
        <is>
          <t>311232511</t>
        </is>
      </c>
      <c r="E25" s="8" t="inlineStr">
        <is>
          <t>Lokální dozdívky a přizdívky z cihel plných pálených P10 na MVC M10 (uvedeno v TZ statika §4)</t>
        </is>
      </c>
      <c r="F25" s="20" t="inlineStr">
        <is>
          <t>m³</t>
        </is>
      </c>
      <c r="G25" s="22" t="n">
        <v>4</v>
      </c>
      <c r="H25" s="10" t="n"/>
      <c r="I25" s="10" t="n"/>
      <c r="J25" s="8" t="inlineStr">
        <is>
          <t>zednik</t>
        </is>
      </c>
      <c r="K25" s="24" t="n">
        <v>0.75</v>
      </c>
      <c r="L25" s="20" t="inlineStr">
        <is>
          <t>needs_production_lookup</t>
        </is>
      </c>
      <c r="M25" s="8" t="inlineStr">
        <is>
          <t>TZ statika dům §4 — P10 na MVC M10 dozdívky</t>
        </is>
      </c>
      <c r="N25" s="20" t="inlineStr">
        <is>
          <t>#3</t>
        </is>
      </c>
      <c r="O25" s="26" t="inlineStr">
        <is>
          <t>ANO</t>
        </is>
      </c>
      <c r="P25" s="41" t="inlineStr">
        <is>
          <t>S01, S02</t>
        </is>
      </c>
      <c r="Q25" s="41" t="n"/>
    </row>
    <row r="26">
      <c r="A26" s="20" t="n">
        <v>25</v>
      </c>
      <c r="B26" s="8" t="inlineStr">
        <is>
          <t>HSV-3 Svislé konstrukce</t>
        </is>
      </c>
      <c r="C26" s="8" t="inlineStr">
        <is>
          <t>Nadezdívka 3.NP Porotherm</t>
        </is>
      </c>
      <c r="D26" s="20" t="inlineStr">
        <is>
          <t>311321411</t>
        </is>
      </c>
      <c r="E26" s="8" t="inlineStr">
        <is>
          <t>Nadezdívka 3.NP a čela vikýřů — Porotherm 30 Profi P10 na maltu pro tenké spáry, výška 2.65 m</t>
        </is>
      </c>
      <c r="F26" s="20" t="inlineStr">
        <is>
          <t>m²</t>
        </is>
      </c>
      <c r="G26" s="22" t="n">
        <v>71.8</v>
      </c>
      <c r="H26" s="10" t="n"/>
      <c r="I26" s="10" t="n"/>
      <c r="J26" s="8" t="inlineStr">
        <is>
          <t>zednik</t>
        </is>
      </c>
      <c r="K26" s="24" t="n">
        <v>0.9</v>
      </c>
      <c r="L26" s="20" t="inlineStr">
        <is>
          <t>matched_websearch_verified</t>
        </is>
      </c>
      <c r="M26" s="8" t="inlineStr">
        <is>
          <t>TZ statika dům §4 + ARS — nástavba 3.NP + DXF external perimeter 38.70 m</t>
        </is>
      </c>
      <c r="N26" s="20" t="inlineStr">
        <is>
          <t>#3</t>
        </is>
      </c>
      <c r="O26" s="25" t="inlineStr">
        <is>
          <t>OVĚŘENO ✓</t>
        </is>
      </c>
      <c r="P26" s="41" t="inlineStr">
        <is>
          <t>S12</t>
        </is>
      </c>
      <c r="Q26" s="41" t="inlineStr">
        <is>
          <t>URS_PHASE5B_VERIFIED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IPN160 ve dvojici</t>
        </is>
      </c>
      <c r="D27" s="20" t="inlineStr">
        <is>
          <t>317143112</t>
        </is>
      </c>
      <c r="E27" s="8" t="inlineStr">
        <is>
          <t>Ocelové překlady IPN160 ve dvojici nad otvory pro nové dveře/okna v 1.NP a 2.NP (8 otvorů odhad)</t>
        </is>
      </c>
      <c r="F27" s="20" t="inlineStr">
        <is>
          <t>ks</t>
        </is>
      </c>
      <c r="G27" s="23" t="n">
        <v>8</v>
      </c>
      <c r="H27" s="10" t="n"/>
      <c r="I27" s="10" t="n"/>
      <c r="J27" s="8" t="inlineStr">
        <is>
          <t>ocel_zamecnik_konstrukce</t>
        </is>
      </c>
      <c r="K27" s="24" t="n">
        <v>0.75</v>
      </c>
      <c r="L27" s="20" t="inlineStr">
        <is>
          <t>family_verified_leaf_needs_production_lookup</t>
        </is>
      </c>
      <c r="M27" s="8" t="inlineStr">
        <is>
          <t>TZ statika dům §4 — IPN160 dvojice s uložením 200 mm do maltového lože 50 mm s kari 5/100/100</t>
        </is>
      </c>
      <c r="N27" s="20" t="inlineStr">
        <is>
          <t>#3</t>
        </is>
      </c>
      <c r="O27" s="26" t="inlineStr">
        <is>
          <t>ANO</t>
        </is>
      </c>
      <c r="P27" s="41" t="inlineStr">
        <is>
          <t>S01</t>
        </is>
      </c>
      <c r="Q27" s="41" t="inlineStr">
        <is>
          <t>URS_PHASE5B_FAMILY_VERIFIED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Překlady — uložení malta + kari</t>
        </is>
      </c>
      <c r="D28" s="20" t="inlineStr">
        <is>
          <t>317242421</t>
        </is>
      </c>
      <c r="E28" s="8" t="inlineStr">
        <is>
          <t>Maltové uložení překladů IPN160 — MC25 tl. 50 mm + kari 5/100/100 (po obou stranách otvoru)</t>
        </is>
      </c>
      <c r="F28" s="20" t="inlineStr">
        <is>
          <t>kpl</t>
        </is>
      </c>
      <c r="G28" s="23" t="n">
        <v>16</v>
      </c>
      <c r="H28" s="10" t="n"/>
      <c r="I28" s="10" t="n"/>
      <c r="J28" s="8" t="inlineStr">
        <is>
          <t>zednik</t>
        </is>
      </c>
      <c r="K28" s="24" t="n">
        <v>0.75</v>
      </c>
      <c r="L28" s="20" t="inlineStr">
        <is>
          <t>needs_production_lookup</t>
        </is>
      </c>
      <c r="M28" s="8" t="inlineStr">
        <is>
          <t>TZ statika dům §4 — detail uložení IPN160</t>
        </is>
      </c>
      <c r="N28" s="20" t="inlineStr">
        <is>
          <t>—</t>
        </is>
      </c>
      <c r="O28" s="26" t="inlineStr">
        <is>
          <t>ANO</t>
        </is>
      </c>
      <c r="P28" s="41" t="inlineStr">
        <is>
          <t>S01</t>
        </is>
      </c>
      <c r="Q28" s="41" t="n"/>
    </row>
    <row r="29">
      <c r="A29" s="20" t="n">
        <v>28</v>
      </c>
      <c r="B29" s="8" t="inlineStr">
        <is>
          <t>HSV-3 Svislé konstrukce</t>
        </is>
      </c>
      <c r="C29" s="8" t="inlineStr">
        <is>
          <t>Zesílení ostění L100/10 u komínu</t>
        </is>
      </c>
      <c r="D29" s="20" t="inlineStr">
        <is>
          <t>767131120</t>
        </is>
      </c>
      <c r="E29" s="8" t="inlineStr">
        <is>
          <t>Zesílení ostění úhelníky L100/10 dvojicí u otvoru u komínového tělesa (statická limitace)</t>
        </is>
      </c>
      <c r="F29" s="20" t="inlineStr">
        <is>
          <t>ks</t>
        </is>
      </c>
      <c r="G29" s="23" t="n">
        <v>4</v>
      </c>
      <c r="H29" s="10" t="n"/>
      <c r="I29" s="10" t="n"/>
      <c r="J29" s="8" t="inlineStr">
        <is>
          <t>ocel_zamecnik_konstrukce</t>
        </is>
      </c>
      <c r="K29" s="24" t="n">
        <v>0.85</v>
      </c>
      <c r="L29" s="20" t="inlineStr">
        <is>
          <t>matched_websearch_cross_discipline_legitimate</t>
        </is>
      </c>
      <c r="M29" s="8" t="inlineStr">
        <is>
          <t>TZ statika dům §4 — zesílení ostění u komínu</t>
        </is>
      </c>
      <c r="N29" s="20" t="inlineStr">
        <is>
          <t>—</t>
        </is>
      </c>
      <c r="O29" s="26" t="inlineStr">
        <is>
          <t>ANO</t>
        </is>
      </c>
      <c r="P29" s="41" t="inlineStr">
        <is>
          <t>S01</t>
        </is>
      </c>
      <c r="Q29" s="41" t="inlineStr">
        <is>
          <t>URS_PHASE5B_CROSS_DISCIPLINE_OK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Podstojkování přiléhajících stropů</t>
        </is>
      </c>
      <c r="D30" s="20" t="inlineStr">
        <is>
          <t>962081120</t>
        </is>
      </c>
      <c r="E30" s="8" t="inlineStr">
        <is>
          <t>Dočasné podstojkování stávajících přiléhajících stropů při osazování IPN překladů (8 otvorů)</t>
        </is>
      </c>
      <c r="F30" s="20" t="inlineStr">
        <is>
          <t>kpl</t>
        </is>
      </c>
      <c r="G30" s="23" t="n">
        <v>8</v>
      </c>
      <c r="H30" s="10" t="n"/>
      <c r="I30" s="10" t="n"/>
      <c r="J30" s="8" t="inlineStr">
        <is>
          <t>zelezobetonarsky_specialny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BOZP + technologický postup výměny překladů ve zděné stavbě</t>
        </is>
      </c>
      <c r="N30" s="20" t="inlineStr">
        <is>
          <t>—</t>
        </is>
      </c>
      <c r="O30" s="26" t="inlineStr">
        <is>
          <t>ANO</t>
        </is>
      </c>
      <c r="P30" s="41" t="n"/>
      <c r="Q30" s="41" t="inlineStr">
        <is>
          <t>URS_PHASE5B_FAMILY_VERIFIED</t>
        </is>
      </c>
    </row>
    <row r="31">
      <c r="A31" s="20" t="n">
        <v>30</v>
      </c>
      <c r="B31" s="8" t="inlineStr">
        <is>
          <t>HSV-3 Svislé konstrukce</t>
        </is>
      </c>
      <c r="C31" s="8" t="inlineStr">
        <is>
          <t>Příčky nové porobeton</t>
        </is>
      </c>
      <c r="D31" s="20" t="inlineStr">
        <is>
          <t>342241211</t>
        </is>
      </c>
      <c r="E31" s="8" t="inlineStr">
        <is>
          <t>Nové příčky z pórobetonových tvárnic 150 mm na lepidlo + dilatovány od stropu</t>
        </is>
      </c>
      <c r="F31" s="20" t="inlineStr">
        <is>
          <t>m²</t>
        </is>
      </c>
      <c r="G31" s="22" t="n">
        <v>87.7</v>
      </c>
      <c r="H31" s="10" t="n"/>
      <c r="I31" s="10" t="n"/>
      <c r="J31" s="8" t="inlineStr">
        <is>
          <t>zednik</t>
        </is>
      </c>
      <c r="K31" s="24" t="n">
        <v>0.75</v>
      </c>
      <c r="L31" s="20" t="inlineStr">
        <is>
          <t>family_verified_leaf_needs_production_lookup</t>
        </is>
      </c>
      <c r="M31" s="8" t="inlineStr">
        <is>
          <t>TZ ARS — příčky pórobetonové dilatované od stropu</t>
        </is>
      </c>
      <c r="N31" s="20" t="inlineStr">
        <is>
          <t>#3, #5</t>
        </is>
      </c>
      <c r="O31" s="26" t="inlineStr">
        <is>
          <t>ANO</t>
        </is>
      </c>
      <c r="P31" s="41" t="inlineStr">
        <is>
          <t>S02</t>
        </is>
      </c>
      <c r="Q31" s="41" t="inlineStr">
        <is>
          <t>URS_PHASE5B_FAMILY_VERIFIED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IPE180 stropnice 1.NP</t>
        </is>
      </c>
      <c r="D32" s="20" t="inlineStr">
        <is>
          <t>411321414</t>
        </is>
      </c>
      <c r="E32" s="8" t="inlineStr">
        <is>
          <t>Ocelová stropnice IPE180 1.NP v pozici nové příčky 2.NP — dodávka + montáž (1 ks × ~5 m)</t>
        </is>
      </c>
      <c r="F32" s="20" t="inlineStr">
        <is>
          <t>kg</t>
        </is>
      </c>
      <c r="G32" s="22" t="n">
        <v>94</v>
      </c>
      <c r="H32" s="10" t="n"/>
      <c r="I32" s="10" t="n"/>
      <c r="J32" s="8" t="inlineStr">
        <is>
          <t>ocel_zamecnik_konstrukce</t>
        </is>
      </c>
      <c r="K32" s="24" t="n">
        <v>0.85</v>
      </c>
      <c r="L32" s="20" t="inlineStr">
        <is>
          <t>family_verified_leaf_needs_production_lookup</t>
        </is>
      </c>
      <c r="M32" s="8" t="inlineStr">
        <is>
          <t>TZ statika dům §4 — IPE180 v 1.NP pod novou příčkou 2.NP</t>
        </is>
      </c>
      <c r="N32" s="20" t="inlineStr">
        <is>
          <t>—</t>
        </is>
      </c>
      <c r="O32" s="26" t="inlineStr">
        <is>
          <t>ANO</t>
        </is>
      </c>
      <c r="P32" s="41" t="n"/>
      <c r="Q32" s="41" t="inlineStr">
        <is>
          <t>URS_PHASE5B_FAMILY_VERIFIED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IPE180 stropnice 2.NP/3.NP</t>
        </is>
      </c>
      <c r="D33" s="20" t="inlineStr">
        <is>
          <t>411321414</t>
        </is>
      </c>
      <c r="E33" s="8" t="inlineStr">
        <is>
          <t>Ocelobetonový strop 2.NP/3.NP — stropnice IPE180 á 1000 mm × rozpon ~8 m × ~8 ks</t>
        </is>
      </c>
      <c r="F33" s="20" t="inlineStr">
        <is>
          <t>kg</t>
        </is>
      </c>
      <c r="G33" s="22" t="n">
        <v>1203</v>
      </c>
      <c r="H33" s="10" t="n"/>
      <c r="I33" s="10" t="n"/>
      <c r="J33" s="8" t="inlineStr">
        <is>
          <t>ocelobeton_strop_IPE_trapez</t>
        </is>
      </c>
      <c r="K33" s="24" t="n">
        <v>0.75</v>
      </c>
      <c r="L33" s="20" t="inlineStr">
        <is>
          <t>family_verified_leaf_needs_production_lookup</t>
        </is>
      </c>
      <c r="M33" s="8" t="inlineStr">
        <is>
          <t>TZ statika §4 — IPE180 stropnice á 1000 mm + zastavěna 104.4 m² → ~8 stropnic</t>
        </is>
      </c>
      <c r="N33" s="20" t="inlineStr">
        <is>
          <t>—</t>
        </is>
      </c>
      <c r="O33" s="26" t="inlineStr">
        <is>
          <t>ANO</t>
        </is>
      </c>
      <c r="P33" s="41" t="inlineStr">
        <is>
          <t>S09</t>
        </is>
      </c>
      <c r="Q33" s="41" t="inlineStr">
        <is>
          <t>URS_PHASE5B_FAMILY_VERIFIED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HEA180 výztuha trakt ulice</t>
        </is>
      </c>
      <c r="D34" s="20" t="inlineStr">
        <is>
          <t>411321414</t>
        </is>
      </c>
      <c r="E34" s="8" t="inlineStr">
        <is>
          <t>Ocelobetonový strop — výztuha 2×HEA180 trakt do ulice (Fibichova), dl. ~10 m</t>
        </is>
      </c>
      <c r="F34" s="20" t="inlineStr">
        <is>
          <t>kg</t>
        </is>
      </c>
      <c r="G34" s="22" t="n">
        <v>710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family_verified_leaf_needs_production_lookup</t>
        </is>
      </c>
      <c r="M34" s="8" t="inlineStr">
        <is>
          <t>TZ statika dům §4 — 2×HEA180 trakt ulice</t>
        </is>
      </c>
      <c r="N34" s="20" t="inlineStr">
        <is>
          <t>—</t>
        </is>
      </c>
      <c r="O34" s="26" t="inlineStr">
        <is>
          <t>ANO</t>
        </is>
      </c>
      <c r="P34" s="41" t="inlineStr">
        <is>
          <t>S09</t>
        </is>
      </c>
      <c r="Q34" s="41" t="inlineStr">
        <is>
          <t>URS_PHASE5B_FAMILY_VERIFIED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Ocelobeton — HEA200 výztuha dvorní</t>
        </is>
      </c>
      <c r="D35" s="20" t="inlineStr">
        <is>
          <t>411321414</t>
        </is>
      </c>
      <c r="E35" s="8" t="inlineStr">
        <is>
          <t>Ocelobetonový strop — výztuha HEA200 dvorní trakt, dl. ~10 m</t>
        </is>
      </c>
      <c r="F35" s="20" t="inlineStr">
        <is>
          <t>kg</t>
        </is>
      </c>
      <c r="G35" s="22" t="n">
        <v>423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HEA200 dvorní trakt</t>
        </is>
      </c>
      <c r="N35" s="20" t="inlineStr">
        <is>
          <t>—</t>
        </is>
      </c>
      <c r="O35" s="26" t="inlineStr">
        <is>
          <t>ANO</t>
        </is>
      </c>
      <c r="P35" s="41" t="inlineStr">
        <is>
          <t>S09</t>
        </is>
      </c>
      <c r="Q35" s="41" t="n"/>
    </row>
    <row r="36">
      <c r="A36" s="20" t="n">
        <v>35</v>
      </c>
      <c r="B36" s="8" t="inlineStr">
        <is>
          <t>HSV-4 Vodorovné</t>
        </is>
      </c>
      <c r="C36" s="8" t="inlineStr">
        <is>
          <t>Trapéz 40S/160 dodávka</t>
        </is>
      </c>
      <c r="D36" s="20" t="inlineStr">
        <is>
          <t>411321414</t>
        </is>
      </c>
      <c r="E36" s="8" t="inlineStr">
        <is>
          <t>Trapézový plech 40S/160 tl. 0.75 mm — dodávka + montáž na stropnice IPE180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ocelobeton_strop_IPE_trapez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statika dům §4 — trapéz 40S/160 nad IPE180</t>
        </is>
      </c>
      <c r="N36" s="20" t="inlineStr">
        <is>
          <t>—</t>
        </is>
      </c>
      <c r="O36" s="26" t="inlineStr">
        <is>
          <t>ANO</t>
        </is>
      </c>
      <c r="P36" s="41" t="inlineStr">
        <is>
          <t>S09</t>
        </is>
      </c>
      <c r="Q36" s="41" t="inlineStr">
        <is>
          <t>URS_PHASE5B_FAMILY_VERIFIED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Protipožární SDK podhled trapéz</t>
        </is>
      </c>
      <c r="D37" s="20" t="inlineStr">
        <is>
          <t>342213131</t>
        </is>
      </c>
      <c r="E37" s="8" t="inlineStr">
        <is>
          <t>Protipožární SDK podhled pod trapézovým plechem (EI 30 dle PBŘ — ocelobeton + SDK)</t>
        </is>
      </c>
      <c r="F37" s="20" t="inlineStr">
        <is>
          <t>m²</t>
        </is>
      </c>
      <c r="G37" s="22" t="n">
        <v>104.4</v>
      </c>
      <c r="H37" s="10" t="n"/>
      <c r="I37" s="10" t="n"/>
      <c r="J37" s="8" t="inlineStr">
        <is>
          <t>sadrokartonar</t>
        </is>
      </c>
      <c r="K37" s="24" t="n">
        <v>0.85</v>
      </c>
      <c r="L37" s="20" t="inlineStr">
        <is>
          <t>family_verified_leaf_needs_production_lookup</t>
        </is>
      </c>
      <c r="M37" s="8" t="inlineStr">
        <is>
          <t>TZ PBŘ + statika §4 — ochrana ocelobetonu</t>
        </is>
      </c>
      <c r="N37" s="20" t="inlineStr">
        <is>
          <t>—</t>
        </is>
      </c>
      <c r="O37" s="26" t="inlineStr">
        <is>
          <t>ANO</t>
        </is>
      </c>
      <c r="P37" s="41" t="inlineStr">
        <is>
          <t>S09</t>
        </is>
      </c>
      <c r="Q37" s="41" t="inlineStr">
        <is>
          <t>URS_PHASE5B_FAMILY_VERIFIED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1.PP/1.NP — vyvezení zásypu</t>
        </is>
      </c>
      <c r="D38" s="20" t="inlineStr">
        <is>
          <t>974031150</t>
        </is>
      </c>
      <c r="E38" s="8" t="inlineStr">
        <is>
          <t>Vyvezení původního zásypu z cihelné klenby 1.PP/1.NP — manuálně + odvoz</t>
        </is>
      </c>
      <c r="F38" s="20" t="inlineStr">
        <is>
          <t>m³</t>
        </is>
      </c>
      <c r="G38" s="22" t="n">
        <v>8</v>
      </c>
      <c r="H38" s="10" t="n"/>
      <c r="I38" s="10" t="n"/>
      <c r="J38" s="8" t="inlineStr">
        <is>
          <t>bourani_demolice</t>
        </is>
      </c>
      <c r="K38" s="24" t="n">
        <v>0.75</v>
      </c>
      <c r="L38" s="20" t="inlineStr">
        <is>
          <t>matched_websearch_cross_discipline_legitimate</t>
        </is>
      </c>
      <c r="M38" s="8" t="inlineStr">
        <is>
          <t>TZ ARS dům §4 — klenba zachována, zásyp vyměnit</t>
        </is>
      </c>
      <c r="N38" s="20" t="inlineStr">
        <is>
          <t>—</t>
        </is>
      </c>
      <c r="O38" s="26" t="inlineStr">
        <is>
          <t>ANO</t>
        </is>
      </c>
      <c r="P38" s="41" t="inlineStr">
        <is>
          <t>S06</t>
        </is>
      </c>
      <c r="Q38" s="41" t="inlineStr">
        <is>
          <t>URS_PHASE5B_CROSS_DISCIPLINE_OK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nový zásyp perlitbeton</t>
        </is>
      </c>
      <c r="D39" s="20" t="inlineStr">
        <is>
          <t>271223111</t>
        </is>
      </c>
      <c r="E39" s="8" t="inlineStr">
        <is>
          <t>Nový zásyp klenby 1.PP/1.NP — perlitbeton (lehký zásyp) tl. 100 mm</t>
        </is>
      </c>
      <c r="F39" s="20" t="inlineStr">
        <is>
          <t>m³</t>
        </is>
      </c>
      <c r="G39" s="22" t="n">
        <v>5</v>
      </c>
      <c r="H39" s="10" t="n"/>
      <c r="I39" s="10" t="n"/>
      <c r="J39" s="8" t="inlineStr">
        <is>
          <t>zednik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perlitbeton + plastická roznášecí vrstva</t>
        </is>
      </c>
      <c r="N39" s="20" t="inlineStr">
        <is>
          <t>—</t>
        </is>
      </c>
      <c r="O39" s="26" t="inlineStr">
        <is>
          <t>ANO</t>
        </is>
      </c>
      <c r="P39" s="41" t="inlineStr">
        <is>
          <t>S06</t>
        </is>
      </c>
      <c r="Q39" s="41" t="n"/>
    </row>
    <row r="40">
      <c r="A40" s="20" t="n">
        <v>39</v>
      </c>
      <c r="B40" s="8" t="inlineStr">
        <is>
          <t>HSV-4 Vodorovné</t>
        </is>
      </c>
      <c r="C40" s="8" t="inlineStr">
        <is>
          <t>Klenba — plastická perlitbeton roznášecí</t>
        </is>
      </c>
      <c r="D40" s="20" t="inlineStr">
        <is>
          <t>631321311</t>
        </is>
      </c>
      <c r="E40" s="8" t="inlineStr">
        <is>
          <t>Plastická perlitbetonová roznášecí vrstva tl. 50 mm nad zásypem klenby</t>
        </is>
      </c>
      <c r="F40" s="20" t="inlineStr">
        <is>
          <t>m²</t>
        </is>
      </c>
      <c r="G40" s="22" t="n">
        <v>50</v>
      </c>
      <c r="H40" s="10" t="n"/>
      <c r="I40" s="10" t="n"/>
      <c r="J40" s="8" t="inlineStr">
        <is>
          <t>podlahar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roznášecí vrstva pod podlahou 1.NP nad klenbou</t>
        </is>
      </c>
      <c r="N40" s="20" t="inlineStr">
        <is>
          <t>—</t>
        </is>
      </c>
      <c r="O40" s="26" t="inlineStr">
        <is>
          <t>ANO</t>
        </is>
      </c>
      <c r="P40" s="41" t="inlineStr">
        <is>
          <t>S06</t>
        </is>
      </c>
      <c r="Q40" s="41" t="n"/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odstranění shora</t>
        </is>
      </c>
      <c r="D41" s="20" t="inlineStr">
        <is>
          <t>974041141</t>
        </is>
      </c>
      <c r="E41" s="8" t="inlineStr">
        <is>
          <t>Strop trámový 1.NP/2.NP — sejmutí podlah, demontáž záklopu a zásypu shora (zachovat prkenný záklop na trámech)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bourani_demolice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strop trámový zachován, vrstvy nahradit</t>
        </is>
      </c>
      <c r="N41" s="20" t="inlineStr">
        <is>
          <t>—</t>
        </is>
      </c>
      <c r="O41" s="26" t="inlineStr">
        <is>
          <t>ANO</t>
        </is>
      </c>
      <c r="P41" s="41" t="inlineStr">
        <is>
          <t>S07</t>
        </is>
      </c>
      <c r="Q41" s="41" t="n"/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minerální vata mezi trámy</t>
        </is>
      </c>
      <c r="D42" s="20" t="inlineStr">
        <is>
          <t>713121121</t>
        </is>
      </c>
      <c r="E42" s="8" t="inlineStr">
        <is>
          <t>Tepelná izolace minerální vata mezi trámy stropu 1.NP/2.NP, tl. 180 mm (= trám 60/180)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izolater_TI</t>
        </is>
      </c>
      <c r="K42" s="24" t="n">
        <v>0.75</v>
      </c>
      <c r="L42" s="20" t="inlineStr">
        <is>
          <t>family_verified_leaf_needs_production_lookup</t>
        </is>
      </c>
      <c r="M42" s="8" t="inlineStr">
        <is>
          <t>TZ ARS dům §4 — minerální vata mezi trámy + protipož. SDK zespodu</t>
        </is>
      </c>
      <c r="N42" s="20" t="inlineStr">
        <is>
          <t>#4</t>
        </is>
      </c>
      <c r="O42" s="26" t="inlineStr">
        <is>
          <t>ANO</t>
        </is>
      </c>
      <c r="P42" s="41" t="inlineStr">
        <is>
          <t>S07</t>
        </is>
      </c>
      <c r="Q42" s="41" t="inlineStr">
        <is>
          <t>URS_PHASE5B_FAMILY_VERIFIED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Strop 1.NP/2.NP — protipož. SDK zespodu</t>
        </is>
      </c>
      <c r="D43" s="20" t="inlineStr">
        <is>
          <t>342213131</t>
        </is>
      </c>
      <c r="E43" s="8" t="inlineStr">
        <is>
          <t>Protipožární SDK podhled zespodu trámového stropu (EI 30 dle PBŘ)</t>
        </is>
      </c>
      <c r="F43" s="20" t="inlineStr">
        <is>
          <t>m²</t>
        </is>
      </c>
      <c r="G43" s="22" t="n">
        <v>100</v>
      </c>
      <c r="H43" s="10" t="n"/>
      <c r="I43" s="10" t="n"/>
      <c r="J43" s="8" t="inlineStr">
        <is>
          <t>sadrokartonar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+ PBŘ — SDK protipožární RF</t>
        </is>
      </c>
      <c r="N43" s="20" t="inlineStr">
        <is>
          <t>—</t>
        </is>
      </c>
      <c r="O43" s="26" t="inlineStr">
        <is>
          <t>ANO</t>
        </is>
      </c>
      <c r="P43" s="41" t="inlineStr">
        <is>
          <t>S07</t>
        </is>
      </c>
      <c r="Q43" s="41" t="n"/>
    </row>
    <row r="44">
      <c r="A44" s="20" t="n">
        <v>43</v>
      </c>
      <c r="B44" s="8" t="inlineStr">
        <is>
          <t>HSV-4 Vodorovné</t>
        </is>
      </c>
      <c r="C44" s="8" t="inlineStr">
        <is>
          <t>Suchá podlaha 1.NP/2.NP — zásyp liapor</t>
        </is>
      </c>
      <c r="D44" s="20" t="inlineStr">
        <is>
          <t>631311114</t>
        </is>
      </c>
      <c r="E44" s="8" t="inlineStr">
        <is>
          <t>Suchá podlahová skladba 1.NP/2.NP — zásyp Liapor pro vyrovnání tl. 50 mm</t>
        </is>
      </c>
      <c r="F44" s="20" t="inlineStr">
        <is>
          <t>m³</t>
        </is>
      </c>
      <c r="G44" s="22" t="n">
        <v>5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suchá podlahová skladba shora</t>
        </is>
      </c>
      <c r="N44" s="20" t="inlineStr">
        <is>
          <t>#4</t>
        </is>
      </c>
      <c r="O44" s="26" t="inlineStr">
        <is>
          <t>ANO</t>
        </is>
      </c>
      <c r="P44" s="41" t="inlineStr">
        <is>
          <t>S07</t>
        </is>
      </c>
      <c r="Q44" s="41" t="n"/>
    </row>
    <row r="45">
      <c r="A45" s="20" t="n">
        <v>44</v>
      </c>
      <c r="B45" s="8" t="inlineStr">
        <is>
          <t>HSV-4 Vodorovné</t>
        </is>
      </c>
      <c r="C45" s="8" t="inlineStr">
        <is>
          <t>Suchá podlaha — Fermacell desky</t>
        </is>
      </c>
      <c r="D45" s="20" t="inlineStr">
        <is>
          <t>771421111</t>
        </is>
      </c>
      <c r="E45" s="8" t="inlineStr">
        <is>
          <t>Suchá podlahová skladba — sádrovláknité dílce Fermacell tl. 25 mm (dva 12.5 mm vrstvy)</t>
        </is>
      </c>
      <c r="F45" s="20" t="inlineStr">
        <is>
          <t>m²</t>
        </is>
      </c>
      <c r="G45" s="22" t="n">
        <v>100</v>
      </c>
      <c r="H45" s="10" t="n"/>
      <c r="I45" s="10" t="n"/>
      <c r="J45" s="8" t="inlineStr">
        <is>
          <t>podlahar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— Fermacell / Rigistabil</t>
        </is>
      </c>
      <c r="N45" s="20" t="inlineStr">
        <is>
          <t>#4</t>
        </is>
      </c>
      <c r="O45" s="26" t="inlineStr">
        <is>
          <t>ANO</t>
        </is>
      </c>
      <c r="P45" s="41" t="inlineStr">
        <is>
          <t>S07</t>
        </is>
      </c>
      <c r="Q45" s="41" t="n"/>
    </row>
    <row r="46">
      <c r="A46" s="20" t="n">
        <v>45</v>
      </c>
      <c r="B46" s="8" t="inlineStr">
        <is>
          <t>HSV-5 Krov + střecha</t>
        </is>
      </c>
      <c r="C46" s="8" t="inlineStr">
        <is>
          <t>Krokve 100/180 á 800 mm</t>
        </is>
      </c>
      <c r="D46" s="20" t="inlineStr">
        <is>
          <t>762331911</t>
        </is>
      </c>
      <c r="E46" s="8" t="inlineStr">
        <is>
          <t>Tesařský krov — krokve 100/180 mm á 800 mm, rezivo C24 fungicidní + protihmyzí (cca 2×12 krokví × ~6.5 m)</t>
        </is>
      </c>
      <c r="F46" s="20" t="inlineStr">
        <is>
          <t>bm</t>
        </is>
      </c>
      <c r="G46" s="22" t="n">
        <v>156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family_verified_leaf_needs_production_lookup</t>
        </is>
      </c>
      <c r="M46" s="8" t="inlineStr">
        <is>
          <t>TZ ARS dům §4 + statika §4 — krokve 100/180; DXF KR=111 INSERTs corroborates (krokve+sloupky+námětky combined)</t>
        </is>
      </c>
      <c r="N46" s="20" t="inlineStr">
        <is>
          <t>#3</t>
        </is>
      </c>
      <c r="O46" s="26" t="inlineStr">
        <is>
          <t>ANO</t>
        </is>
      </c>
      <c r="P46" s="41" t="n"/>
      <c r="Q46" s="41" t="inlineStr">
        <is>
          <t>URS_PHASE5B_FAMILY_VERIFIED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Kleštiny 2×60/180</t>
        </is>
      </c>
      <c r="D47" s="20" t="inlineStr">
        <is>
          <t>762331912</t>
        </is>
      </c>
      <c r="E47" s="8" t="inlineStr">
        <is>
          <t>Tesařský krov — kleštiny dvojfošny 60/180 mm probíhající v oblasti spací části</t>
        </is>
      </c>
      <c r="F47" s="20" t="inlineStr">
        <is>
          <t>bm</t>
        </is>
      </c>
      <c r="G47" s="22" t="n">
        <v>110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family_verified_leaf_needs_production_lookup</t>
        </is>
      </c>
      <c r="M47" s="8" t="inlineStr">
        <is>
          <t>TZ statika dům §4 — 2× 60/180 kleštiny</t>
        </is>
      </c>
      <c r="N47" s="20" t="inlineStr">
        <is>
          <t>—</t>
        </is>
      </c>
      <c r="O47" s="26" t="inlineStr">
        <is>
          <t>ANO</t>
        </is>
      </c>
      <c r="P47" s="41" t="n"/>
      <c r="Q47" s="41" t="inlineStr">
        <is>
          <t>URS_PHASE5B_FAMILY_VERIFIED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Pozednice 140/160</t>
        </is>
      </c>
      <c r="D48" s="20" t="inlineStr">
        <is>
          <t>762331923</t>
        </is>
      </c>
      <c r="E48" s="8" t="inlineStr">
        <is>
          <t>Tesařský krov — pozednice 140/160 mm kotvená do ŽB věnce 3.NP</t>
        </is>
      </c>
      <c r="F48" s="20" t="inlineStr">
        <is>
          <t>bm</t>
        </is>
      </c>
      <c r="G48" s="22" t="n">
        <v>19.4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family_verified_leaf_needs_production_lookup</t>
        </is>
      </c>
      <c r="M48" s="8" t="inlineStr">
        <is>
          <t>TZ ARS + statika — pozednice kotvené do věnce</t>
        </is>
      </c>
      <c r="N48" s="20" t="inlineStr">
        <is>
          <t>—</t>
        </is>
      </c>
      <c r="O48" s="26" t="inlineStr">
        <is>
          <t>ANO</t>
        </is>
      </c>
      <c r="P48" s="41" t="n"/>
      <c r="Q48" s="41" t="inlineStr">
        <is>
          <t>URS_PHASE5B_FAMILY_VERIFIED</t>
        </is>
      </c>
    </row>
    <row r="49">
      <c r="A49" s="20" t="n">
        <v>48</v>
      </c>
      <c r="B49" s="8" t="inlineStr">
        <is>
          <t>HSV-5 Krov + střecha</t>
        </is>
      </c>
      <c r="C49" s="8" t="inlineStr">
        <is>
          <t>Námětky pro přesah</t>
        </is>
      </c>
      <c r="D49" s="20" t="inlineStr">
        <is>
          <t>762331911</t>
        </is>
      </c>
      <c r="E49" s="8" t="inlineStr">
        <is>
          <t>Tesařský krov — námětky 60/100 v dolní koncové části pro přesah střechy ~500 mm</t>
        </is>
      </c>
      <c r="F49" s="20" t="inlineStr">
        <is>
          <t>bm</t>
        </is>
      </c>
      <c r="G49" s="22" t="n">
        <v>19.2</v>
      </c>
      <c r="H49" s="10" t="n"/>
      <c r="I49" s="10" t="n"/>
      <c r="J49" s="8" t="inlineStr">
        <is>
          <t>krov_tesarsky_kompletni</t>
        </is>
      </c>
      <c r="K49" s="24" t="n">
        <v>0.75</v>
      </c>
      <c r="L49" s="20" t="inlineStr">
        <is>
          <t>needs_production_lookup</t>
        </is>
      </c>
      <c r="M49" s="8" t="inlineStr">
        <is>
          <t>TZ ARS dům §4 — námětky v dolní části pro přesah</t>
        </is>
      </c>
      <c r="N49" s="20" t="inlineStr">
        <is>
          <t>—</t>
        </is>
      </c>
      <c r="O49" s="26" t="inlineStr">
        <is>
          <t>ANO</t>
        </is>
      </c>
      <c r="P49" s="41" t="n"/>
      <c r="Q49" s="41" t="n"/>
    </row>
    <row r="50">
      <c r="A50" s="20" t="n">
        <v>49</v>
      </c>
      <c r="B50" s="8" t="inlineStr">
        <is>
          <t>HSV-5 Krov + střecha</t>
        </is>
      </c>
      <c r="C50" s="8" t="inlineStr">
        <is>
          <t>Středová vaznice HEA160</t>
        </is>
      </c>
      <c r="D50" s="20" t="inlineStr">
        <is>
          <t>411321414</t>
        </is>
      </c>
      <c r="E50" s="8" t="inlineStr">
        <is>
          <t>Ocelová středová vaznice HEA160 — 2 ks × cca 10 m délka</t>
        </is>
      </c>
      <c r="F50" s="20" t="inlineStr">
        <is>
          <t>kg</t>
        </is>
      </c>
      <c r="G50" s="22" t="n">
        <v>608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family_verified_leaf_needs_production_lookup</t>
        </is>
      </c>
      <c r="M50" s="8" t="inlineStr">
        <is>
          <t>TZ statika dům §4 — HEA160 vaznice</t>
        </is>
      </c>
      <c r="N50" s="20" t="inlineStr">
        <is>
          <t>—</t>
        </is>
      </c>
      <c r="O50" s="26" t="inlineStr">
        <is>
          <t>ANO</t>
        </is>
      </c>
      <c r="P50" s="41" t="n"/>
      <c r="Q50" s="41" t="inlineStr">
        <is>
          <t>URS_PHASE5B_FAMILY_VERIFIED</t>
        </is>
      </c>
    </row>
    <row r="51">
      <c r="A51" s="20" t="n">
        <v>50</v>
      </c>
      <c r="B51" s="8" t="inlineStr">
        <is>
          <t>HSV-5 Krov + střecha</t>
        </is>
      </c>
      <c r="C51" s="8" t="inlineStr">
        <is>
          <t>Sloupky pod vaznice — jekl 100/4</t>
        </is>
      </c>
      <c r="D51" s="20" t="inlineStr">
        <is>
          <t>411321414</t>
        </is>
      </c>
      <c r="E51" s="8" t="inlineStr">
        <is>
          <t>Ocelové sloupky uzavřený profil 100×100×4 mm pod vaznice HEA160 (~6 ks × ~2.5 m výška)</t>
        </is>
      </c>
      <c r="F51" s="20" t="inlineStr">
        <is>
          <t>kg</t>
        </is>
      </c>
      <c r="G51" s="22" t="n">
        <v>176</v>
      </c>
      <c r="H51" s="10" t="n"/>
      <c r="I51" s="10" t="n"/>
      <c r="J51" s="8" t="inlineStr">
        <is>
          <t>ocel_zamecnik_konstrukce</t>
        </is>
      </c>
      <c r="K51" s="24" t="n">
        <v>0.85</v>
      </c>
      <c r="L51" s="20" t="inlineStr">
        <is>
          <t>needs_production_lookup</t>
        </is>
      </c>
      <c r="M51" s="8" t="inlineStr">
        <is>
          <t>TZ statika dům §4 — 'sloupky z jeklu 100/4'; korekce nomenklatury (vyjasnění #17)</t>
        </is>
      </c>
      <c r="N51" s="20" t="inlineStr">
        <is>
          <t>#17</t>
        </is>
      </c>
      <c r="O51" s="26" t="inlineStr">
        <is>
          <t>ANO</t>
        </is>
      </c>
      <c r="P51" s="41" t="n"/>
      <c r="Q51" s="41" t="n"/>
    </row>
    <row r="52">
      <c r="A52" s="20" t="n">
        <v>51</v>
      </c>
      <c r="B52" s="8" t="inlineStr">
        <is>
          <t>HSV-5 Krov + střecha</t>
        </is>
      </c>
      <c r="C52" s="8" t="inlineStr">
        <is>
          <t>Bednění z prken pod nadkrokevní izolaci</t>
        </is>
      </c>
      <c r="D52" s="20" t="inlineStr">
        <is>
          <t>762341711</t>
        </is>
      </c>
      <c r="E52" s="8" t="inlineStr">
        <is>
          <t>Bednění z prken tl. 20 mm pod nadkrokevní PIR (biodeska/palubka)</t>
        </is>
      </c>
      <c r="F52" s="20" t="inlineStr">
        <is>
          <t>m²</t>
        </is>
      </c>
      <c r="G52" s="22" t="n">
        <v>140.94</v>
      </c>
      <c r="H52" s="10" t="n"/>
      <c r="I52" s="10" t="n"/>
      <c r="J52" s="8" t="inlineStr">
        <is>
          <t>krov_tesarsky_kompletni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biodeska/palubka tl.≥20 pod parotěs</t>
        </is>
      </c>
      <c r="N52" s="20" t="inlineStr">
        <is>
          <t>—</t>
        </is>
      </c>
      <c r="O52" s="26" t="inlineStr">
        <is>
          <t>ANO</t>
        </is>
      </c>
      <c r="P52" s="41" t="inlineStr">
        <is>
          <t>S10</t>
        </is>
      </c>
      <c r="Q52" s="41" t="n"/>
    </row>
    <row r="53">
      <c r="A53" s="20" t="n">
        <v>52</v>
      </c>
      <c r="B53" s="8" t="inlineStr">
        <is>
          <t>HSV-5 Krov + střecha</t>
        </is>
      </c>
      <c r="C53" s="8" t="inlineStr">
        <is>
          <t>Parotěsná vrstva</t>
        </is>
      </c>
      <c r="D53" s="20" t="inlineStr">
        <is>
          <t>712311101</t>
        </is>
      </c>
      <c r="E53" s="8" t="inlineStr">
        <is>
          <t>Parotěsná folie nad bedněním pod nadkrokevní PIR (např. Isover Vario nebo Tyvek Air guard)</t>
        </is>
      </c>
      <c r="F53" s="20" t="inlineStr">
        <is>
          <t>m²</t>
        </is>
      </c>
      <c r="G53" s="22" t="n">
        <v>155.034</v>
      </c>
      <c r="H53" s="10" t="n"/>
      <c r="I53" s="10" t="n"/>
      <c r="J53" s="8" t="inlineStr">
        <is>
          <t>izolater_HI</t>
        </is>
      </c>
      <c r="K53" s="24" t="n">
        <v>0.75</v>
      </c>
      <c r="L53" s="20" t="inlineStr">
        <is>
          <t>needs_production_lookup</t>
        </is>
      </c>
      <c r="M53" s="8" t="inlineStr">
        <is>
          <t>TZ ARS dům §4 — skladba nadkrokevní s parotěsem</t>
        </is>
      </c>
      <c r="N53" s="20" t="inlineStr">
        <is>
          <t>—</t>
        </is>
      </c>
      <c r="O53" s="26" t="inlineStr">
        <is>
          <t>ANO</t>
        </is>
      </c>
      <c r="P53" s="41" t="inlineStr">
        <is>
          <t>S10</t>
        </is>
      </c>
      <c r="Q53" s="41" t="n"/>
    </row>
    <row r="54">
      <c r="A54" s="20" t="n">
        <v>53</v>
      </c>
      <c r="B54" s="8" t="inlineStr">
        <is>
          <t>HSV-5 Krov + střecha</t>
        </is>
      </c>
      <c r="C54" s="8" t="inlineStr">
        <is>
          <t>Nadkrokevní PIR izolace</t>
        </is>
      </c>
      <c r="D54" s="20" t="inlineStr">
        <is>
          <t>713131811</t>
        </is>
      </c>
      <c r="E54" s="8" t="inlineStr">
        <is>
          <t>Nadkrokevní tepelná izolace PIR (polyisokyanurát) tl. 160 mm (λ=0,022 W/mK) — řez A-A S10 explicit</t>
        </is>
      </c>
      <c r="F54" s="20" t="inlineStr">
        <is>
          <t>m²</t>
        </is>
      </c>
      <c r="G54" s="22" t="n">
        <v>140.94</v>
      </c>
      <c r="H54" s="10" t="n"/>
      <c r="I54" s="10" t="n"/>
      <c r="J54" s="8" t="inlineStr">
        <is>
          <t>izolater_TI</t>
        </is>
      </c>
      <c r="K54" s="24" t="n">
        <v>0.9</v>
      </c>
      <c r="L54" s="20" t="inlineStr">
        <is>
          <t>matched_websearch_verified</t>
        </is>
      </c>
      <c r="M54" s="8" t="inlineStr">
        <is>
          <t>PDF řez D.1.1.2.2.21 legenda S10 'tepelná izolace PIR 160 mm' EXPLICIT (Path C Tier 1 finding — was prior 180 mm odhad)</t>
        </is>
      </c>
      <c r="N54" s="20" t="inlineStr">
        <is>
          <t>—</t>
        </is>
      </c>
      <c r="O54" s="25" t="inlineStr">
        <is>
          <t>OVĚŘENO ✓</t>
        </is>
      </c>
      <c r="P54" s="41" t="inlineStr">
        <is>
          <t>S10</t>
        </is>
      </c>
      <c r="Q54" s="41" t="inlineStr">
        <is>
          <t>URS_PHASE5B_VERIFIED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Doplňková HI pod kontralatě</t>
        </is>
      </c>
      <c r="D55" s="20" t="inlineStr">
        <is>
          <t>712311111</t>
        </is>
      </c>
      <c r="E55" s="8" t="inlineStr">
        <is>
          <t>Doplňková hydroizolační difuzně otevřená folie nad PIR pod kontralatě</t>
        </is>
      </c>
      <c r="F55" s="20" t="inlineStr">
        <is>
          <t>m²</t>
        </is>
      </c>
      <c r="G55" s="22" t="n">
        <v>155.034</v>
      </c>
      <c r="H55" s="10" t="n"/>
      <c r="I55" s="10" t="n"/>
      <c r="J55" s="8" t="inlineStr">
        <is>
          <t>izolater_HI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doplň. HI</t>
        </is>
      </c>
      <c r="N55" s="20" t="inlineStr">
        <is>
          <t>—</t>
        </is>
      </c>
      <c r="O55" s="26" t="inlineStr">
        <is>
          <t>ANO</t>
        </is>
      </c>
      <c r="P55" s="41" t="inlineStr">
        <is>
          <t>S10</t>
        </is>
      </c>
      <c r="Q55" s="41" t="n"/>
    </row>
    <row r="56">
      <c r="A56" s="20" t="n">
        <v>55</v>
      </c>
      <c r="B56" s="8" t="inlineStr">
        <is>
          <t>HSV-5 Krov + střecha</t>
        </is>
      </c>
      <c r="C56" s="8" t="inlineStr">
        <is>
          <t>Kontralatě + vzduchová mezera</t>
        </is>
      </c>
      <c r="D56" s="20" t="inlineStr">
        <is>
          <t>762331923</t>
        </is>
      </c>
      <c r="E56" s="8" t="inlineStr">
        <is>
          <t>Distanční kontralatě 40×60 mm pro vzduchovou mezeru nad PIR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kontralatě + vzduchová mezera</t>
        </is>
      </c>
      <c r="N56" s="20" t="inlineStr">
        <is>
          <t>—</t>
        </is>
      </c>
      <c r="O56" s="26" t="inlineStr">
        <is>
          <t>ANO</t>
        </is>
      </c>
      <c r="P56" s="41" t="inlineStr">
        <is>
          <t>S10</t>
        </is>
      </c>
      <c r="Q56" s="41" t="n"/>
    </row>
    <row r="57">
      <c r="A57" s="20" t="n">
        <v>56</v>
      </c>
      <c r="B57" s="8" t="inlineStr">
        <is>
          <t>HSV-5 Krov + střecha</t>
        </is>
      </c>
      <c r="C57" s="8" t="inlineStr">
        <is>
          <t>Bednění prken pod hliníkovou krytinu</t>
        </is>
      </c>
      <c r="D57" s="20" t="inlineStr">
        <is>
          <t>762341711</t>
        </is>
      </c>
      <c r="E57" s="8" t="inlineStr">
        <is>
          <t>Bednění z prken tl. 25 mm pod plechovou hliníkovou krytinu (rozsah dle technologie krytiny)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krov_tesarsky_kompletni</t>
        </is>
      </c>
      <c r="K57" s="24" t="n">
        <v>0.75</v>
      </c>
      <c r="L57" s="20" t="inlineStr">
        <is>
          <t>family_verified_leaf_needs_production_lookup</t>
        </is>
      </c>
      <c r="M57" s="8" t="inlineStr">
        <is>
          <t>TZ ARS dům §4 — bednění pod krytinu</t>
        </is>
      </c>
      <c r="N57" s="20" t="inlineStr">
        <is>
          <t>—</t>
        </is>
      </c>
      <c r="O57" s="26" t="inlineStr">
        <is>
          <t>ANO</t>
        </is>
      </c>
      <c r="P57" s="41" t="inlineStr">
        <is>
          <t>S10</t>
        </is>
      </c>
      <c r="Q57" s="41" t="inlineStr">
        <is>
          <t>URS_PHASE5B_FAMILY_VERIFIED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Plechová falcovaná Al krytina</t>
        </is>
      </c>
      <c r="D58" s="20" t="inlineStr">
        <is>
          <t>765791121</t>
        </is>
      </c>
      <c r="E58" s="8" t="inlineStr">
        <is>
          <t>Plechová falcovaná HLINÍKOVÁ krytina (např. PREFA, Rheinzink, Lindab) + tlumící podložka</t>
        </is>
      </c>
      <c r="F58" s="20" t="inlineStr">
        <is>
          <t>m²</t>
        </is>
      </c>
      <c r="G58" s="22" t="n">
        <v>140.94</v>
      </c>
      <c r="H58" s="10" t="n"/>
      <c r="I58" s="10" t="n"/>
      <c r="J58" s="8" t="inlineStr">
        <is>
          <t>plech_falcovany_hlinik</t>
        </is>
      </c>
      <c r="K58" s="24" t="n">
        <v>0.75</v>
      </c>
      <c r="L58" s="20" t="inlineStr">
        <is>
          <t>family_verified_leaf_needs_production_lookup</t>
        </is>
      </c>
      <c r="M58" s="8" t="inlineStr">
        <is>
          <t>TZ ARS dům §4 — plechová falcovaná hliníková krytina</t>
        </is>
      </c>
      <c r="N58" s="20" t="inlineStr">
        <is>
          <t>#3</t>
        </is>
      </c>
      <c r="O58" s="26" t="inlineStr">
        <is>
          <t>ANO</t>
        </is>
      </c>
      <c r="P58" s="41" t="inlineStr">
        <is>
          <t>S10</t>
        </is>
      </c>
      <c r="Q58" s="41" t="inlineStr">
        <is>
          <t>URS_PHASE5B_FAMILY_VERIFIED</t>
        </is>
      </c>
    </row>
    <row r="59">
      <c r="A59" s="20" t="n">
        <v>58</v>
      </c>
      <c r="B59" s="8" t="inlineStr">
        <is>
          <t>HSV-5 Krov + střecha</t>
        </is>
      </c>
      <c r="C59" s="8" t="inlineStr">
        <is>
          <t>Patro pro přespání z biodesky</t>
        </is>
      </c>
      <c r="D59" s="20" t="inlineStr">
        <is>
          <t>762341711</t>
        </is>
      </c>
      <c r="E59" s="8" t="inlineStr">
        <is>
          <t>Patro pro přespání v krovu — biodeska / OSB desky tl. 22 mm nad kleštinami</t>
        </is>
      </c>
      <c r="F59" s="20" t="inlineStr">
        <is>
          <t>m²</t>
        </is>
      </c>
      <c r="G59" s="22" t="n">
        <v>25</v>
      </c>
      <c r="H59" s="10" t="n"/>
      <c r="I59" s="10" t="n"/>
      <c r="J59" s="8" t="inlineStr">
        <is>
          <t>krov_tesarsky_kompletni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patro nad kleštinami z biodesky pro přespání</t>
        </is>
      </c>
      <c r="N59" s="20" t="inlineStr">
        <is>
          <t>—</t>
        </is>
      </c>
      <c r="O59" s="26" t="inlineStr">
        <is>
          <t>ANO</t>
        </is>
      </c>
      <c r="P59" s="41" t="inlineStr">
        <is>
          <t>S11</t>
        </is>
      </c>
      <c r="Q59" s="41" t="n"/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zděná čela</t>
        </is>
      </c>
      <c r="D60" s="20" t="inlineStr">
        <is>
          <t>311321411</t>
        </is>
      </c>
      <c r="E60" s="8" t="inlineStr">
        <is>
          <t>Vikýře — zděná čela z Porotherm 30 (odhad 4 ks × ~3 m² stěna)</t>
        </is>
      </c>
      <c r="F60" s="20" t="inlineStr">
        <is>
          <t>m²</t>
        </is>
      </c>
      <c r="G60" s="22" t="n">
        <v>12</v>
      </c>
      <c r="H60" s="10" t="n"/>
      <c r="I60" s="10" t="n"/>
      <c r="J60" s="8" t="inlineStr">
        <is>
          <t>zednik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vystupují ze střechy, čela zděná</t>
        </is>
      </c>
      <c r="N60" s="20" t="inlineStr">
        <is>
          <t>—</t>
        </is>
      </c>
      <c r="O60" s="26" t="inlineStr">
        <is>
          <t>ANO</t>
        </is>
      </c>
      <c r="P60" s="41" t="n"/>
      <c r="Q60" s="41" t="n"/>
    </row>
    <row r="61">
      <c r="A61" s="20" t="n">
        <v>60</v>
      </c>
      <c r="B61" s="8" t="inlineStr">
        <is>
          <t>HSV-5 Krov + střecha</t>
        </is>
      </c>
      <c r="C61" s="8" t="inlineStr">
        <is>
          <t>Vikýře — provětrávaná fasáda + plech</t>
        </is>
      </c>
      <c r="D61" s="20" t="inlineStr">
        <is>
          <t>765791121</t>
        </is>
      </c>
      <c r="E61" s="8" t="inlineStr">
        <is>
          <t>Vikýře — provětrávaná fasáda min. vata + plech falcovaný hliník (4 vikýře × ~6 m² fasády)</t>
        </is>
      </c>
      <c r="F61" s="20" t="inlineStr">
        <is>
          <t>m²</t>
        </is>
      </c>
      <c r="G61" s="22" t="n">
        <v>24</v>
      </c>
      <c r="H61" s="10" t="n"/>
      <c r="I61" s="10" t="n"/>
      <c r="J61" s="8" t="inlineStr">
        <is>
          <t>plech_falcovany_hlinik</t>
        </is>
      </c>
      <c r="K61" s="24" t="n">
        <v>0.75</v>
      </c>
      <c r="L61" s="20" t="inlineStr">
        <is>
          <t>needs_production_lookup</t>
        </is>
      </c>
      <c r="M61" s="8" t="inlineStr">
        <is>
          <t>TZ ARS dům §4 — vikýře fasáda provětrávaná + min. vata + plech falc.</t>
        </is>
      </c>
      <c r="N61" s="20" t="inlineStr">
        <is>
          <t>—</t>
        </is>
      </c>
      <c r="O61" s="26" t="inlineStr">
        <is>
          <t>ANO</t>
        </is>
      </c>
      <c r="P61" s="41" t="inlineStr">
        <is>
          <t>S12b</t>
        </is>
      </c>
      <c r="Q61" s="41" t="n"/>
    </row>
    <row r="62">
      <c r="A62" s="20" t="n">
        <v>61</v>
      </c>
      <c r="B62" s="8" t="inlineStr">
        <is>
          <t>HSV-6 Bourací práce</t>
        </is>
      </c>
      <c r="C62" s="8" t="inlineStr">
        <is>
          <t>Bourání kompletního stávajícího krovu</t>
        </is>
      </c>
      <c r="D62" s="20" t="inlineStr">
        <is>
          <t>962041141</t>
        </is>
      </c>
      <c r="E62" s="8" t="inlineStr">
        <is>
          <t>Bourání kompletního stávajícího krovu vč. vikýřů — vaznicový s ležatou stolicí — manuálně, odvoz</t>
        </is>
      </c>
      <c r="F62" s="20" t="inlineStr">
        <is>
          <t>m³</t>
        </is>
      </c>
      <c r="G62" s="22" t="n">
        <v>12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family_verified_leaf_needs_production_lookup</t>
        </is>
      </c>
      <c r="M62" s="8" t="inlineStr">
        <is>
          <t>TZ B m.10.e — 9 t dřeva celkem; krov hlavní zdroj</t>
        </is>
      </c>
      <c r="N62" s="20" t="inlineStr">
        <is>
          <t>#9</t>
        </is>
      </c>
      <c r="O62" s="26" t="inlineStr">
        <is>
          <t>ANO</t>
        </is>
      </c>
      <c r="P62" s="41" t="n"/>
      <c r="Q62" s="41" t="inlineStr">
        <is>
          <t>URS_PHASE5B_FAMILY_VERIFIED</t>
        </is>
      </c>
    </row>
    <row r="63">
      <c r="A63" s="20" t="n">
        <v>62</v>
      </c>
      <c r="B63" s="8" t="inlineStr">
        <is>
          <t>HSV-6 Bourací práce</t>
        </is>
      </c>
      <c r="C63" s="8" t="inlineStr">
        <is>
          <t>Bourání plechové střešní krytiny</t>
        </is>
      </c>
      <c r="D63" s="27" t="inlineStr">
        <is>
          <t>762??? ?</t>
        </is>
      </c>
      <c r="E63" s="8" t="inlineStr">
        <is>
          <t>Bourání stávající plechové krytiny (manuálně, recyklace plechu)</t>
        </is>
      </c>
      <c r="F63" s="20" t="inlineStr">
        <is>
          <t>m²</t>
        </is>
      </c>
      <c r="G63" s="22" t="n">
        <v>140.9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wrong_leaf_disambiguation_needed</t>
        </is>
      </c>
      <c r="M63" s="8" t="inlineStr">
        <is>
          <t>TZ B m.10.e — 0.1 t kovů; stávající plech krytina</t>
        </is>
      </c>
      <c r="N63" s="20" t="inlineStr">
        <is>
          <t>#9</t>
        </is>
      </c>
      <c r="O63" s="28" t="inlineStr">
        <is>
          <t>LEAF CHYBNÝ — viz alternatives</t>
        </is>
      </c>
      <c r="P63" s="41" t="n"/>
      <c r="Q63" s="41" t="n"/>
    </row>
    <row r="64">
      <c r="A64" s="20" t="n">
        <v>63</v>
      </c>
      <c r="B64" s="8" t="inlineStr">
        <is>
          <t>HSV-6 Bourací práce</t>
        </is>
      </c>
      <c r="C64" s="8" t="inlineStr">
        <is>
          <t>Bourání nadezdívek nad stropem 2.NP</t>
        </is>
      </c>
      <c r="D64" s="20" t="inlineStr">
        <is>
          <t>962031132</t>
        </is>
      </c>
      <c r="E64" s="8" t="inlineStr">
        <is>
          <t>Bourání zděných nadezdívek nad stropem 2.NP (mimo štítových stěn) — cihla pálená</t>
        </is>
      </c>
      <c r="F64" s="20" t="inlineStr">
        <is>
          <t>m³</t>
        </is>
      </c>
      <c r="G64" s="22" t="n">
        <v>6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bourání nadezdívek mimo štítů</t>
        </is>
      </c>
      <c r="N64" s="20" t="inlineStr">
        <is>
          <t>#9</t>
        </is>
      </c>
      <c r="O64" s="26" t="inlineStr">
        <is>
          <t>ANO</t>
        </is>
      </c>
      <c r="P64" s="41" t="n"/>
      <c r="Q64" s="41" t="n"/>
    </row>
    <row r="65">
      <c r="A65" s="20" t="n">
        <v>64</v>
      </c>
      <c r="B65" s="8" t="inlineStr">
        <is>
          <t>HSV-6 Bourací práce</t>
        </is>
      </c>
      <c r="C65" s="8" t="inlineStr">
        <is>
          <t>Bourání trámového stropu 2.NP/podkroví</t>
        </is>
      </c>
      <c r="D65" s="20" t="inlineStr">
        <is>
          <t>962041141</t>
        </is>
      </c>
      <c r="E65" s="8" t="inlineStr">
        <is>
          <t>Bourání trámového stropu 2.NP/podkroví — kompletně (vč. zajištění schodiště)</t>
        </is>
      </c>
      <c r="F65" s="20" t="inlineStr">
        <is>
          <t>m²</t>
        </is>
      </c>
      <c r="G65" s="22" t="n">
        <v>104.4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strop 2.NP/3.NP KOMPLETNĚ bourán</t>
        </is>
      </c>
      <c r="N65" s="20" t="inlineStr">
        <is>
          <t>#9</t>
        </is>
      </c>
      <c r="O65" s="26" t="inlineStr">
        <is>
          <t>ANO</t>
        </is>
      </c>
      <c r="P65" s="41" t="n"/>
      <c r="Q65" s="41" t="n"/>
    </row>
    <row r="66">
      <c r="A66" s="20" t="n">
        <v>65</v>
      </c>
      <c r="B66" s="8" t="inlineStr">
        <is>
          <t>HSV-6 Bourací práce</t>
        </is>
      </c>
      <c r="C66" s="8" t="inlineStr">
        <is>
          <t>Bourání lehkých příček</t>
        </is>
      </c>
      <c r="D66" s="20" t="inlineStr">
        <is>
          <t>962031132</t>
        </is>
      </c>
      <c r="E66" s="8" t="inlineStr">
        <is>
          <t>Bourání stávajících lehkých příček (cihla, sádrokarton, dřevo)</t>
        </is>
      </c>
      <c r="F66" s="20" t="inlineStr">
        <is>
          <t>m²</t>
        </is>
      </c>
      <c r="G66" s="22" t="n">
        <v>80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dům §3 — lehké příčky bourány</t>
        </is>
      </c>
      <c r="N66" s="20" t="inlineStr">
        <is>
          <t>#9</t>
        </is>
      </c>
      <c r="O66" s="26" t="inlineStr">
        <is>
          <t>ANO</t>
        </is>
      </c>
      <c r="P66" s="41" t="n"/>
      <c r="Q66" s="41" t="n"/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otvorů pro nové dveře/okna</t>
        </is>
      </c>
      <c r="D67" s="20" t="inlineStr">
        <is>
          <t>962031132</t>
        </is>
      </c>
      <c r="E67" s="8" t="inlineStr">
        <is>
          <t>Bourání 8 nových otvorů v nosných cihelných zdech pro dveře/okna (~1.0 × 2.1 m)</t>
        </is>
      </c>
      <c r="F67" s="20" t="inlineStr">
        <is>
          <t>ks</t>
        </is>
      </c>
      <c r="G67" s="23" t="n">
        <v>8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+ statika — nové otvory s IPN160 překlady</t>
        </is>
      </c>
      <c r="N67" s="20" t="inlineStr">
        <is>
          <t>—</t>
        </is>
      </c>
      <c r="O67" s="26" t="inlineStr">
        <is>
          <t>ANO</t>
        </is>
      </c>
      <c r="P67" s="41" t="n"/>
      <c r="Q67" s="41" t="n"/>
    </row>
    <row r="68">
      <c r="A68" s="20" t="n">
        <v>67</v>
      </c>
      <c r="B68" s="8" t="inlineStr">
        <is>
          <t>HSV-6 Bourací práce</t>
        </is>
      </c>
      <c r="C68" s="8" t="inlineStr">
        <is>
          <t>Bourání obkladů v koupelnách</t>
        </is>
      </c>
      <c r="D68" s="20" t="inlineStr">
        <is>
          <t>781473810</t>
        </is>
      </c>
      <c r="E68" s="8" t="inlineStr">
        <is>
          <t>Bourání keramických obkladů a zařizovacích předmětů v koupelnách 1.NP + 2.NP</t>
        </is>
      </c>
      <c r="F68" s="20" t="inlineStr">
        <is>
          <t>m²</t>
        </is>
      </c>
      <c r="G68" s="22" t="n">
        <v>60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family_verified_leaf_needs_production_lookup</t>
        </is>
      </c>
      <c r="M68" s="8" t="inlineStr">
        <is>
          <t>TZ ARS dům §3 — koupelny kompletně bourány</t>
        </is>
      </c>
      <c r="N68" s="20" t="inlineStr">
        <is>
          <t>#9</t>
        </is>
      </c>
      <c r="O68" s="26" t="inlineStr">
        <is>
          <t>ANO</t>
        </is>
      </c>
      <c r="P68" s="41" t="n"/>
      <c r="Q68" s="41" t="inlineStr">
        <is>
          <t>URS_PHASE5B_FAMILY_VERIFIED</t>
        </is>
      </c>
    </row>
    <row r="69">
      <c r="A69" s="20" t="n">
        <v>68</v>
      </c>
      <c r="B69" s="8" t="inlineStr">
        <is>
          <t>HSV-6 Bourací práce</t>
        </is>
      </c>
      <c r="C69" s="8" t="inlineStr">
        <is>
          <t>Bourání podlah 1.NP + 2.NP</t>
        </is>
      </c>
      <c r="D69" s="20" t="inlineStr">
        <is>
          <t>974031132</t>
        </is>
      </c>
      <c r="E69" s="8" t="inlineStr">
        <is>
          <t>Sejmutí podlah 1.NP a 2.NP — vč. nášlapů, podkladních vrstev</t>
        </is>
      </c>
      <c r="F69" s="20" t="inlineStr">
        <is>
          <t>m²</t>
        </is>
      </c>
      <c r="G69" s="22" t="n">
        <v>153.51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podlahy 1.NP+2.NP sejmuty</t>
        </is>
      </c>
      <c r="N69" s="20" t="inlineStr">
        <is>
          <t>#9</t>
        </is>
      </c>
      <c r="O69" s="26" t="inlineStr">
        <is>
          <t>ANO</t>
        </is>
      </c>
      <c r="P69" s="41" t="n"/>
      <c r="Q69" s="41" t="n"/>
    </row>
    <row r="70">
      <c r="A70" s="20" t="n">
        <v>69</v>
      </c>
      <c r="B70" s="8" t="inlineStr">
        <is>
          <t>HSV-6 Bourací práce</t>
        </is>
      </c>
      <c r="C70" s="8" t="inlineStr">
        <is>
          <t>Záklop + zásyp — demontáž</t>
        </is>
      </c>
      <c r="D70" s="20" t="inlineStr">
        <is>
          <t>974041151</t>
        </is>
      </c>
      <c r="E70" s="8" t="inlineStr">
        <is>
          <t>Demontáž záklopu a zásypů stropu 1.NP (prkenný záklop na trámech zachován)</t>
        </is>
      </c>
      <c r="F70" s="20" t="inlineStr">
        <is>
          <t>m³</t>
        </is>
      </c>
      <c r="G70" s="22" t="n">
        <v>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záklop+zásyp demontován; trámy zachovány</t>
        </is>
      </c>
      <c r="N70" s="20" t="inlineStr">
        <is>
          <t>#9</t>
        </is>
      </c>
      <c r="O70" s="26" t="inlineStr">
        <is>
          <t>ANO</t>
        </is>
      </c>
      <c r="P70" s="41" t="n"/>
      <c r="Q70" s="41" t="n"/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oken a dveří</t>
        </is>
      </c>
      <c r="D71" s="20" t="inlineStr">
        <is>
          <t>968071120</t>
        </is>
      </c>
      <c r="E71" s="8" t="inlineStr">
        <is>
          <t>Demontáž všech oken a dveří stávajících (recyklace)</t>
        </is>
      </c>
      <c r="F71" s="20" t="inlineStr">
        <is>
          <t>ks</t>
        </is>
      </c>
      <c r="G71" s="23" t="n">
        <v>25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VŠECHNY okna a dveře demontovány</t>
        </is>
      </c>
      <c r="N71" s="20" t="inlineStr">
        <is>
          <t>#5</t>
        </is>
      </c>
      <c r="O71" s="26" t="inlineStr">
        <is>
          <t>ANO</t>
        </is>
      </c>
      <c r="P71" s="41" t="n"/>
      <c r="Q71" s="41" t="n"/>
    </row>
    <row r="72">
      <c r="A72" s="20" t="n">
        <v>71</v>
      </c>
      <c r="B72" s="8" t="inlineStr">
        <is>
          <t>HSV-6 Bourací práce</t>
        </is>
      </c>
      <c r="C72" s="8" t="inlineStr">
        <is>
          <t>Demontáž zařizovacích předmětů</t>
        </is>
      </c>
      <c r="D72" s="20" t="inlineStr">
        <is>
          <t>725900001</t>
        </is>
      </c>
      <c r="E72" s="8" t="inlineStr">
        <is>
          <t>Demontáž všech sanitárních zařizovacích předmětů (WC, umyvadla, baterie, sprcha)</t>
        </is>
      </c>
      <c r="F72" s="20" t="inlineStr">
        <is>
          <t>ks</t>
        </is>
      </c>
      <c r="G72" s="23" t="n">
        <v>12</v>
      </c>
      <c r="H72" s="10" t="n"/>
      <c r="I72" s="10" t="n"/>
      <c r="J72" s="8" t="inlineStr">
        <is>
          <t>bourani_demolice</t>
        </is>
      </c>
      <c r="K72" s="24" t="n">
        <v>0.75</v>
      </c>
      <c r="L72" s="20" t="inlineStr">
        <is>
          <t>needs_production_lookup</t>
        </is>
      </c>
      <c r="M72" s="8" t="inlineStr">
        <is>
          <t>TZ ARS dům §3 — zařizovací předměty kompletně demontovány</t>
        </is>
      </c>
      <c r="N72" s="20" t="inlineStr">
        <is>
          <t>—</t>
        </is>
      </c>
      <c r="O72" s="26" t="inlineStr">
        <is>
          <t>ANO</t>
        </is>
      </c>
      <c r="P72" s="41" t="n"/>
      <c r="Q72" s="41" t="n"/>
    </row>
    <row r="73">
      <c r="A73" s="20" t="n">
        <v>72</v>
      </c>
      <c r="B73" s="8" t="inlineStr">
        <is>
          <t>HSV-6 Bourací práce</t>
        </is>
      </c>
      <c r="C73" s="8" t="inlineStr">
        <is>
          <t>Odvoz suti a likvidace</t>
        </is>
      </c>
      <c r="D73" s="20" t="inlineStr">
        <is>
          <t>997013501</t>
        </is>
      </c>
      <c r="E73" s="8" t="inlineStr">
        <is>
          <t>Odvoz a likvidace stavební suti dle vyhl. 8/2021 Sb. — celková tonáž odpadů</t>
        </is>
      </c>
      <c r="F73" s="20" t="inlineStr">
        <is>
          <t>t</t>
        </is>
      </c>
      <c r="G73" s="22" t="n">
        <v>56.5</v>
      </c>
      <c r="H73" s="10" t="n"/>
      <c r="I73" s="10" t="n"/>
      <c r="J73" s="8" t="inlineStr">
        <is>
          <t>bourani_demolice</t>
        </is>
      </c>
      <c r="K73" s="24" t="n">
        <v>0.85</v>
      </c>
      <c r="L73" s="20" t="inlineStr">
        <is>
          <t>needs_production_lookup</t>
        </is>
      </c>
      <c r="M73" s="8" t="inlineStr">
        <is>
          <t>TZ B m.10.e bilance odpadů</t>
        </is>
      </c>
      <c r="N73" s="20" t="inlineStr">
        <is>
          <t>#9</t>
        </is>
      </c>
      <c r="O73" s="26" t="inlineStr">
        <is>
          <t>ANO</t>
        </is>
      </c>
      <c r="P73" s="41" t="n"/>
      <c r="Q73" s="41" t="n"/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oken</t>
        </is>
      </c>
      <c r="D74" s="20" t="inlineStr">
        <is>
          <t>978013181</t>
        </is>
      </c>
      <c r="E74" s="8" t="inlineStr">
        <is>
          <t>Demontáž stávajících dřevěných oken vč. rámů a parapetů — 16 ks (návrh všechna okna nová plastová trojsklem)</t>
        </is>
      </c>
      <c r="F74" s="20" t="inlineStr">
        <is>
          <t>ks</t>
        </is>
      </c>
      <c r="G74" s="23" t="n">
        <v>16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okno* (Path C Tier 4) + TZ ARS — všechna okna nová</t>
        </is>
      </c>
      <c r="N74" s="20" t="inlineStr">
        <is>
          <t>#3</t>
        </is>
      </c>
      <c r="O74" s="25" t="inlineStr">
        <is>
          <t>OVĚŘENO ✓</t>
        </is>
      </c>
      <c r="P74" s="41" t="n"/>
      <c r="Q74" s="41" t="inlineStr">
        <is>
          <t>GAP_002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vstupních dveří venkovních</t>
        </is>
      </c>
      <c r="D75" s="20" t="inlineStr">
        <is>
          <t>978013181</t>
        </is>
      </c>
      <c r="E75" s="8" t="inlineStr">
        <is>
          <t>Demontáž stávajících vstupních dveří + rámů — 2 ks (1× ulice Fibichova + 1× zahrada; návrh nové plastové vstupní dveře)</t>
        </is>
      </c>
      <c r="F75" s="20" t="inlineStr">
        <is>
          <t>ks</t>
        </is>
      </c>
      <c r="G75" s="23" t="n">
        <v>2</v>
      </c>
      <c r="H75" s="10" t="n"/>
      <c r="I75" s="10" t="n"/>
      <c r="J75" s="8" t="inlineStr">
        <is>
          <t>bourani_demolice</t>
        </is>
      </c>
      <c r="K75" s="24" t="n">
        <v>0.95</v>
      </c>
      <c r="L75" s="20" t="inlineStr">
        <is>
          <t>matched_websearch_verified</t>
        </is>
      </c>
      <c r="M75" s="8" t="inlineStr">
        <is>
          <t>DXF blocks dveře (vstupní 2) + TZ ARS — 'plastové vstupní dveře' x 2</t>
        </is>
      </c>
      <c r="N75" s="20" t="inlineStr">
        <is>
          <t>#3</t>
        </is>
      </c>
      <c r="O75" s="25" t="inlineStr">
        <is>
          <t>OVĚŘENO ✓</t>
        </is>
      </c>
      <c r="P75" s="41" t="n"/>
      <c r="Q75" s="41" t="inlineStr">
        <is>
          <t>GAP_002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Demontáž vnitřních dveří vč. zárubní</t>
        </is>
      </c>
      <c r="D76" s="20" t="inlineStr">
        <is>
          <t>968072456</t>
        </is>
      </c>
      <c r="E76" s="8" t="inlineStr">
        <is>
          <t>Demontáž stávajících vnitřních dveří vč. ocelových/dřevěných zárubní — odhad 15 ks (3 patra × ~5 dveří/patro per DXF SM__dveře layer)</t>
        </is>
      </c>
      <c r="F76" s="20" t="inlineStr">
        <is>
          <t>ks</t>
        </is>
      </c>
      <c r="G76" s="23" t="n">
        <v>15</v>
      </c>
      <c r="H76" s="10" t="n"/>
      <c r="I76" s="10" t="n"/>
      <c r="J76" s="8" t="inlineStr">
        <is>
          <t>bourani_demolice</t>
        </is>
      </c>
      <c r="K76" s="24" t="n">
        <v>0.8</v>
      </c>
      <c r="L76" s="20" t="inlineStr">
        <is>
          <t>needs_production_lookup</t>
        </is>
      </c>
      <c r="M76" s="8" t="inlineStr">
        <is>
          <t>DXF SM__dveře polyline count → estimate (Path C Tier 4)</t>
        </is>
      </c>
      <c r="N76" s="20" t="inlineStr">
        <is>
          <t>#3</t>
        </is>
      </c>
      <c r="O76" s="26" t="inlineStr">
        <is>
          <t>ANO</t>
        </is>
      </c>
      <c r="P76" s="41" t="n"/>
      <c r="Q76" s="41" t="inlineStr">
        <is>
          <t>GAP_002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zdiva komínu</t>
        </is>
      </c>
      <c r="D77" s="20" t="inlineStr">
        <is>
          <t>962024141</t>
        </is>
      </c>
      <c r="E77" s="8" t="inlineStr">
        <is>
          <t>Bourání vrchní části stávajícího komínu v posledním podlaží (cihelné zdivo, ručně), vč. likvidace cihelné suti</t>
        </is>
      </c>
      <c r="F77" s="20" t="inlineStr">
        <is>
          <t>m³</t>
        </is>
      </c>
      <c r="G77" s="22" t="n">
        <v>0.6</v>
      </c>
      <c r="H77" s="10" t="n"/>
      <c r="I77" s="10" t="n"/>
      <c r="J77" s="8" t="inlineStr">
        <is>
          <t>bourani_demolice</t>
        </is>
      </c>
      <c r="K77" s="24" t="n">
        <v>0.75</v>
      </c>
      <c r="L77" s="20" t="inlineStr">
        <is>
          <t>family_verified_leaf_needs_production_lookup</t>
        </is>
      </c>
      <c r="M77" s="8" t="inlineStr">
        <is>
          <t>DXF dum_DPZ řez A-A bourání + POZN.1.02 z půdorysů bourání</t>
        </is>
      </c>
      <c r="N77" s="20" t="inlineStr">
        <is>
          <t>#9</t>
        </is>
      </c>
      <c r="O77" s="26" t="inlineStr">
        <is>
          <t>ANO</t>
        </is>
      </c>
      <c r="P77" s="41" t="n"/>
      <c r="Q77" s="41" t="inlineStr">
        <is>
          <t>PER_DRAWING_GAP_POZN_1_02; URS_PHASE5B_FAMILY_VERIFIED; CHATGPT_KOMIN_QTY_FIX_2026-05-29</t>
        </is>
      </c>
    </row>
    <row r="78">
      <c r="A78" s="20" t="n">
        <v>77</v>
      </c>
      <c r="B78" s="8" t="inlineStr">
        <is>
          <t>HSV-6 Bourací práce</t>
        </is>
      </c>
      <c r="C78" s="8" t="inlineStr">
        <is>
          <t>Bourání venkovních konstrukcí</t>
        </is>
      </c>
      <c r="D78" s="20" t="inlineStr">
        <is>
          <t>961044111</t>
        </is>
      </c>
      <c r="E78" s="8" t="inlineStr">
        <is>
          <t>Bourání stávajících opěrných zídek a venkovního schodiště v zahradě/dvoře — částečné, dle vyznačení v půdorysech bourání</t>
        </is>
      </c>
      <c r="F78" s="20" t="inlineStr">
        <is>
          <t>m³</t>
        </is>
      </c>
      <c r="G78" s="22" t="n">
        <v>8</v>
      </c>
      <c r="H78" s="10" t="n"/>
      <c r="I78" s="10" t="n"/>
      <c r="J78" s="8" t="inlineStr">
        <is>
          <t>bourani_demolice</t>
        </is>
      </c>
      <c r="K78" s="24" t="n">
        <v>0.7</v>
      </c>
      <c r="L78" s="20" t="inlineStr">
        <is>
          <t>family_verified_leaf_needs_production_lookup</t>
        </is>
      </c>
      <c r="M78" s="8" t="inlineStr">
        <is>
          <t>DXF dum_DPZ řez A-A bourání + POZN.1.03 + půdorys bourání</t>
        </is>
      </c>
      <c r="N78" s="20" t="inlineStr">
        <is>
          <t>#9</t>
        </is>
      </c>
      <c r="O78" s="26" t="inlineStr">
        <is>
          <t>ANO</t>
        </is>
      </c>
      <c r="P78" s="41" t="n"/>
      <c r="Q78" s="41" t="inlineStr">
        <is>
          <t>PER_DRAWING_GAP_POZN_1_03; URS_PHASE5B_FAMILY_VERIFIED</t>
        </is>
      </c>
    </row>
    <row r="79">
      <c r="A79" s="20" t="n">
        <v>78</v>
      </c>
      <c r="B79" s="8" t="inlineStr">
        <is>
          <t>HSV-7 Fasáda ETICS</t>
        </is>
      </c>
      <c r="C79" s="8" t="inlineStr">
        <is>
          <t>Příprava podkladu</t>
        </is>
      </c>
      <c r="D79" s="20" t="inlineStr">
        <is>
          <t>622401110</t>
        </is>
      </c>
      <c r="E79" s="8" t="inlineStr">
        <is>
          <t>Příprava fasádního podkladu — očištění tlakovou vodou, vyspravení omítek, fungicidní nátěr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needs_production_lookup</t>
        </is>
      </c>
      <c r="M79" s="8" t="inlineStr">
        <is>
          <t>TZ ARS dům §3.2 — ETICS kontaktní, podklad existující omítka + DXF perimeter</t>
        </is>
      </c>
      <c r="N79" s="20" t="inlineStr">
        <is>
          <t>#3</t>
        </is>
      </c>
      <c r="O79" s="26" t="inlineStr">
        <is>
          <t>ANO</t>
        </is>
      </c>
      <c r="P79" s="41" t="inlineStr">
        <is>
          <t>S01</t>
        </is>
      </c>
      <c r="Q79" s="41" t="n"/>
    </row>
    <row r="80">
      <c r="A80" s="20" t="n">
        <v>79</v>
      </c>
      <c r="B80" s="8" t="inlineStr">
        <is>
          <t>HSV-7 Fasáda ETICS</t>
        </is>
      </c>
      <c r="C80" s="8" t="inlineStr">
        <is>
          <t>ETICS EPS 70F grey 160 mm</t>
        </is>
      </c>
      <c r="D80" s="20" t="inlineStr">
        <is>
          <t>622221121</t>
        </is>
      </c>
      <c r="E80" s="8" t="inlineStr">
        <is>
          <t>ETICS kontaktní zateplení — EPS 70F grey λ=0.032 tl. 160 mm + síťka + lepidlo + zatírací stěrka (řez S01+S12a explicit, ne 200 mm fallback)</t>
        </is>
      </c>
      <c r="F80" s="20" t="inlineStr">
        <is>
          <t>m²</t>
        </is>
      </c>
      <c r="G80" s="22" t="n">
        <v>276.7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family_verified_leaf_needs_production_lookup</t>
        </is>
      </c>
      <c r="M80" s="8" t="inlineStr">
        <is>
          <t>TZ ARS dům §3.2 EXPLICIT 'fasádní EPS 70f grey (λ=0,032 W/mK)' + PBŘ EXPLICIT 'EPS tl. max. 200 mm' + DXF perimeter</t>
        </is>
      </c>
      <c r="N80" s="20" t="inlineStr">
        <is>
          <t>#3</t>
        </is>
      </c>
      <c r="O80" s="26" t="inlineStr">
        <is>
          <t>ANO</t>
        </is>
      </c>
      <c r="P80" s="41" t="inlineStr">
        <is>
          <t>S01, S12a</t>
        </is>
      </c>
      <c r="Q80" s="41" t="inlineStr">
        <is>
          <t>URS_PHASE5B_FAMILY_VERIFIED</t>
        </is>
      </c>
    </row>
    <row r="81">
      <c r="A81" s="20" t="n">
        <v>80</v>
      </c>
      <c r="B81" s="8" t="inlineStr">
        <is>
          <t>HSV-7 Fasáda ETICS</t>
        </is>
      </c>
      <c r="C81" s="8" t="inlineStr">
        <is>
          <t>ETICS sokl XPS</t>
        </is>
      </c>
      <c r="D81" s="20" t="inlineStr">
        <is>
          <t>622223111</t>
        </is>
      </c>
      <c r="E81" s="8" t="inlineStr">
        <is>
          <t>ETICS sokl — XPS λ=0.034 tl. 120 mm + soklový profil + cihelný obklad spárovaný</t>
        </is>
      </c>
      <c r="F81" s="20" t="inlineStr">
        <is>
          <t>m²</t>
        </is>
      </c>
      <c r="G81" s="22" t="n">
        <v>13.5</v>
      </c>
      <c r="H81" s="10" t="n"/>
      <c r="I81" s="10" t="n"/>
      <c r="J81" s="8" t="inlineStr">
        <is>
          <t>fasadnik_etics</t>
        </is>
      </c>
      <c r="K81" s="24" t="n">
        <v>0.9</v>
      </c>
      <c r="L81" s="20" t="inlineStr">
        <is>
          <t>family_verified_leaf_needs_production_lookup</t>
        </is>
      </c>
      <c r="M81" s="8" t="inlineStr">
        <is>
          <t>TZ ARS dům §3.2 — sokl XPS + cihelný obklad + DXF perimeter</t>
        </is>
      </c>
      <c r="N81" s="20" t="inlineStr">
        <is>
          <t>—</t>
        </is>
      </c>
      <c r="O81" s="26" t="inlineStr">
        <is>
          <t>ANO</t>
        </is>
      </c>
      <c r="P81" s="41" t="inlineStr">
        <is>
          <t>S01</t>
        </is>
      </c>
      <c r="Q81" s="41" t="inlineStr">
        <is>
          <t>URS_PHASE5B_FAMILY_VERIFIED</t>
        </is>
      </c>
    </row>
    <row r="82">
      <c r="A82" s="20" t="n">
        <v>81</v>
      </c>
      <c r="B82" s="8" t="inlineStr">
        <is>
          <t>HSV-7 Fasáda ETICS</t>
        </is>
      </c>
      <c r="C82" s="8" t="inlineStr">
        <is>
          <t>Špalety EPS</t>
        </is>
      </c>
      <c r="D82" s="20" t="inlineStr">
        <is>
          <t>622221221</t>
        </is>
      </c>
      <c r="E82" s="8" t="inlineStr">
        <is>
          <t>Špalety oken — EPS přesah 35-40 mm + síťka + omítka</t>
        </is>
      </c>
      <c r="F82" s="20" t="inlineStr">
        <is>
          <t>bm</t>
        </is>
      </c>
      <c r="G82" s="22" t="n">
        <v>82.2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DXF okna per typ bbox + TZ ARS §3.2 EPS přesah na špaletách 35-40 mm</t>
        </is>
      </c>
      <c r="N82" s="20" t="inlineStr">
        <is>
          <t>#5</t>
        </is>
      </c>
      <c r="O82" s="26" t="inlineStr">
        <is>
          <t>ANO</t>
        </is>
      </c>
      <c r="P82" s="41" t="inlineStr">
        <is>
          <t>S01, S12a</t>
        </is>
      </c>
      <c r="Q82" s="41" t="n"/>
    </row>
    <row r="83">
      <c r="A83" s="20" t="n">
        <v>82</v>
      </c>
      <c r="B83" s="8" t="inlineStr">
        <is>
          <t>HSV-7 Fasáda ETICS</t>
        </is>
      </c>
      <c r="C83" s="8" t="inlineStr">
        <is>
          <t>Profilace fasády</t>
        </is>
      </c>
      <c r="D83" s="20" t="inlineStr">
        <is>
          <t>622221221</t>
        </is>
      </c>
      <c r="E83" s="8" t="inlineStr">
        <is>
          <t>Profilace fasády — různé tloušťky EPS (kordony, šambrány, rámování oken) — paušál podle pohledů</t>
        </is>
      </c>
      <c r="F83" s="20" t="inlineStr">
        <is>
          <t>soubor</t>
        </is>
      </c>
      <c r="G83" s="23" t="n">
        <v>1</v>
      </c>
      <c r="H83" s="10" t="n"/>
      <c r="I83" s="10" t="n"/>
      <c r="J83" s="8" t="inlineStr">
        <is>
          <t>fasadnik_etics</t>
        </is>
      </c>
      <c r="K83" s="24" t="n">
        <v>0.99</v>
      </c>
      <c r="L83" s="20" t="inlineStr">
        <is>
          <t>needs_production_lookup</t>
        </is>
      </c>
      <c r="M83" s="8" t="inlineStr">
        <is>
          <t>TZ ARS dům §3.2 — profilace různými tl. EPS</t>
        </is>
      </c>
      <c r="N83" s="20" t="inlineStr">
        <is>
          <t>—</t>
        </is>
      </c>
      <c r="O83" s="26" t="inlineStr">
        <is>
          <t>ANO</t>
        </is>
      </c>
      <c r="P83" s="41" t="inlineStr">
        <is>
          <t>S01, S12a</t>
        </is>
      </c>
      <c r="Q83" s="41" t="n"/>
    </row>
    <row r="84">
      <c r="A84" s="20" t="n">
        <v>83</v>
      </c>
      <c r="B84" s="8" t="inlineStr">
        <is>
          <t>HSV-7 Fasáda ETICS</t>
        </is>
      </c>
      <c r="C84" s="8" t="inlineStr">
        <is>
          <t>Tenkovrstvá omítka pastovitá</t>
        </is>
      </c>
      <c r="D84" s="20" t="inlineStr">
        <is>
          <t>622521111</t>
        </is>
      </c>
      <c r="E84" s="8" t="inlineStr">
        <is>
          <t>Tenkovrstvá pastovitá probarvená omítka, lomená bílá NCS NZÚ — finální vrstva ETICS</t>
        </is>
      </c>
      <c r="F84" s="20" t="inlineStr">
        <is>
          <t>m²</t>
        </is>
      </c>
      <c r="G84" s="22" t="n">
        <v>290.2</v>
      </c>
      <c r="H84" s="10" t="n"/>
      <c r="I84" s="10" t="n"/>
      <c r="J84" s="8" t="inlineStr">
        <is>
          <t>fasadnik_etics</t>
        </is>
      </c>
      <c r="K84" s="24" t="n">
        <v>0.9</v>
      </c>
      <c r="L84" s="20" t="inlineStr">
        <is>
          <t>family_verified_leaf_needs_production_lookup</t>
        </is>
      </c>
      <c r="M84" s="8" t="inlineStr">
        <is>
          <t>TZ ARS dům §3.2 — pastovitá probarvená lomená bílá + DXF perimeter</t>
        </is>
      </c>
      <c r="N84" s="20" t="inlineStr">
        <is>
          <t>—</t>
        </is>
      </c>
      <c r="O84" s="26" t="inlineStr">
        <is>
          <t>ANO</t>
        </is>
      </c>
      <c r="P84" s="41" t="inlineStr">
        <is>
          <t>S01, S12a, S12b</t>
        </is>
      </c>
      <c r="Q84" s="41" t="inlineStr">
        <is>
          <t>URS_PHASE5B_FAMILY_VERIFIED</t>
        </is>
      </c>
    </row>
    <row r="85">
      <c r="A85" s="20" t="n">
        <v>84</v>
      </c>
      <c r="B85" s="8" t="inlineStr">
        <is>
          <t>PSV-71 Izolace HI</t>
        </is>
      </c>
      <c r="C85" s="8" t="inlineStr">
        <is>
          <t>HI pod ŽB deskou 1.NP</t>
        </is>
      </c>
      <c r="D85" s="20" t="inlineStr">
        <is>
          <t>712311101</t>
        </is>
      </c>
      <c r="E85" s="8" t="inlineStr">
        <is>
          <t>Hydroizolace pod ŽB deskou 1.NP — modifikované asfaltové pásy SBS 2× (zároveň protiradonová bariéra)</t>
        </is>
      </c>
      <c r="F85" s="20" t="inlineStr">
        <is>
          <t>m²</t>
        </is>
      </c>
      <c r="G85" s="22" t="n">
        <v>80.40000000000001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family_verified_leaf_needs_production_lookup</t>
        </is>
      </c>
      <c r="M85" s="8" t="inlineStr">
        <is>
          <t>TZ ARS dům §4 + statika §5.5 — asfaltové pásy mod. proti radonu</t>
        </is>
      </c>
      <c r="N85" s="20" t="inlineStr">
        <is>
          <t>#3</t>
        </is>
      </c>
      <c r="O85" s="26" t="inlineStr">
        <is>
          <t>ANO</t>
        </is>
      </c>
      <c r="P85" s="41" t="n"/>
      <c r="Q85" s="41" t="inlineStr">
        <is>
          <t>URS_PHASE5B_FAMILY_VERIFIED; URS_PHASE5B_FAMILY_VERIFIED</t>
        </is>
      </c>
    </row>
    <row r="86">
      <c r="A86" s="20" t="n">
        <v>85</v>
      </c>
      <c r="B86" s="8" t="inlineStr">
        <is>
          <t>PSV-71 Izolace HI</t>
        </is>
      </c>
      <c r="C86" s="8" t="inlineStr">
        <is>
          <t>Odvětrání radonu z podloží</t>
        </is>
      </c>
      <c r="D86" s="20" t="inlineStr">
        <is>
          <t>712381111</t>
        </is>
      </c>
      <c r="E86" s="8" t="inlineStr">
        <is>
          <t>Odvětrání radonu z podloží — perforované DN50 trubky v štěrkovém loži + výdech nad střechu</t>
        </is>
      </c>
      <c r="F86" s="20" t="inlineStr">
        <is>
          <t>bm</t>
        </is>
      </c>
      <c r="G86" s="22" t="n">
        <v>12</v>
      </c>
      <c r="H86" s="10" t="n"/>
      <c r="I86" s="10" t="n"/>
      <c r="J86" s="8" t="inlineStr">
        <is>
          <t>izolater_HI</t>
        </is>
      </c>
      <c r="K86" s="24" t="n">
        <v>0.75</v>
      </c>
      <c r="L86" s="20" t="inlineStr">
        <is>
          <t>family_verified_leaf_needs_production_lookup</t>
        </is>
      </c>
      <c r="M86" s="8" t="inlineStr">
        <is>
          <t>TZ statika §5.5 'ochrana proti radonu — modifikované asf. pásy + odvětrání'</t>
        </is>
      </c>
      <c r="N86" s="20" t="inlineStr">
        <is>
          <t>—</t>
        </is>
      </c>
      <c r="O86" s="26" t="inlineStr">
        <is>
          <t>ANO</t>
        </is>
      </c>
      <c r="P86" s="41" t="n"/>
      <c r="Q86" s="41" t="inlineStr">
        <is>
          <t>URS_PHASE5B_FAMILY_VERIFIED</t>
        </is>
      </c>
    </row>
    <row r="87">
      <c r="A87" s="20" t="n">
        <v>86</v>
      </c>
      <c r="B87" s="8" t="inlineStr">
        <is>
          <t>PSV-71 Izolace HI</t>
        </is>
      </c>
      <c r="C87" s="8" t="inlineStr">
        <is>
          <t>HI koupelny 1.NP + 2.NP + 3.NP</t>
        </is>
      </c>
      <c r="D87" s="27" t="inlineStr">
        <is>
          <t>711??? ?</t>
        </is>
      </c>
      <c r="E87" s="8" t="inlineStr">
        <is>
          <t>Hydroizolační stěrka koupelen 3 ks — podlaha + sokl 200 mm + sprchový kout výška 2.0 m</t>
        </is>
      </c>
      <c r="F87" s="20" t="inlineStr">
        <is>
          <t>m²</t>
        </is>
      </c>
      <c r="G87" s="22" t="n">
        <v>40.5</v>
      </c>
      <c r="H87" s="10" t="n"/>
      <c r="I87" s="10" t="n"/>
      <c r="J87" s="8" t="inlineStr">
        <is>
          <t>izolater_HI</t>
        </is>
      </c>
      <c r="K87" s="24" t="n">
        <v>0.95</v>
      </c>
      <c r="L87" s="20" t="inlineStr">
        <is>
          <t>family_verified_leaf_needs_production_lookup</t>
        </is>
      </c>
      <c r="M87" s="8" t="inlineStr">
        <is>
          <t>DXF dum_DPZ MTEXT labels: 3× koupelna; TZ ARS — HI vana koupelny</t>
        </is>
      </c>
      <c r="N87" s="20" t="inlineStr">
        <is>
          <t>#4</t>
        </is>
      </c>
      <c r="O87" s="26" t="inlineStr">
        <is>
          <t>ANO</t>
        </is>
      </c>
      <c r="P87" s="41" t="n"/>
      <c r="Q87" s="41" t="inlineStr">
        <is>
          <t>URS_PHASE5B_FAMILY_VERIFIED</t>
        </is>
      </c>
    </row>
    <row r="88">
      <c r="A88" s="20" t="n">
        <v>87</v>
      </c>
      <c r="B88" s="8" t="inlineStr">
        <is>
          <t>PSV-71 Izolace TI</t>
        </is>
      </c>
      <c r="C88" s="8" t="inlineStr">
        <is>
          <t>Podlahový EPS 150</t>
        </is>
      </c>
      <c r="D88" s="27" t="inlineStr">
        <is>
          <t>713121??? ?</t>
        </is>
      </c>
      <c r="E88" s="8" t="inlineStr">
        <is>
          <t>Podlahový EPS 150 λ=0.035 tl. 120 mm — pod betonový potěr 1.NP a 3.NP</t>
        </is>
      </c>
      <c r="F88" s="20" t="inlineStr">
        <is>
          <t>m²</t>
        </is>
      </c>
      <c r="G88" s="22" t="n">
        <v>177.5</v>
      </c>
      <c r="H88" s="10" t="n"/>
      <c r="I88" s="10" t="n"/>
      <c r="J88" s="8" t="inlineStr">
        <is>
          <t>izolater_TI</t>
        </is>
      </c>
      <c r="K88" s="24" t="n">
        <v>0.75</v>
      </c>
      <c r="L88" s="20" t="inlineStr">
        <is>
          <t>family_verified_leaf_needs_production_lookup</t>
        </is>
      </c>
      <c r="M88" s="8" t="inlineStr">
        <is>
          <t>TZ ARS dům §4 — EPS 150 λ=0.035 tl. 120 mm</t>
        </is>
      </c>
      <c r="N88" s="20" t="inlineStr">
        <is>
          <t>#4</t>
        </is>
      </c>
      <c r="O88" s="26" t="inlineStr">
        <is>
          <t>ANO</t>
        </is>
      </c>
      <c r="P88" s="41" t="n"/>
      <c r="Q88" s="41" t="inlineStr">
        <is>
          <t>URS_PHASE5B_FAMILY_VERIFIED</t>
        </is>
      </c>
    </row>
    <row r="89">
      <c r="A89" s="20" t="n">
        <v>88</v>
      </c>
      <c r="B89" s="8" t="inlineStr">
        <is>
          <t>PSV-71 Izolace TI</t>
        </is>
      </c>
      <c r="C89" s="8" t="inlineStr">
        <is>
          <t>Kročejová EPS nad ocelobeton</t>
        </is>
      </c>
      <c r="D89" s="27" t="inlineStr">
        <is>
          <t>713121??? ?</t>
        </is>
      </c>
      <c r="E89" s="8" t="inlineStr">
        <is>
          <t>Kročejová EPS 150 / 30 dB tl. 30 mm nad ocelobetonovým stropem 2.NP/3.NP</t>
        </is>
      </c>
      <c r="F89" s="20" t="inlineStr">
        <is>
          <t>m²</t>
        </is>
      </c>
      <c r="G89" s="22" t="n">
        <v>104.4</v>
      </c>
      <c r="H89" s="10" t="n"/>
      <c r="I89" s="10" t="n"/>
      <c r="J89" s="8" t="inlineStr">
        <is>
          <t>izolater_TI</t>
        </is>
      </c>
      <c r="K89" s="24" t="n">
        <v>0.85</v>
      </c>
      <c r="L89" s="20" t="inlineStr">
        <is>
          <t>family_verified_leaf_needs_production_lookup</t>
        </is>
      </c>
      <c r="M89" s="8" t="inlineStr">
        <is>
          <t>TZ ARS dům §4 — kročejová EPS shora ocelobeton</t>
        </is>
      </c>
      <c r="N89" s="20" t="inlineStr">
        <is>
          <t>—</t>
        </is>
      </c>
      <c r="O89" s="26" t="inlineStr">
        <is>
          <t>ANO</t>
        </is>
      </c>
      <c r="P89" s="41" t="n"/>
      <c r="Q89" s="41" t="inlineStr">
        <is>
          <t>URS_PHASE5B_FAMILY_VERIFIED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Oplechování krytiny</t>
        </is>
      </c>
      <c r="D90" s="20" t="inlineStr">
        <is>
          <t>764312235</t>
        </is>
      </c>
      <c r="E90" s="8" t="inlineStr">
        <is>
          <t>Klempířské oplechování krytiny — úžlabí, hřeben, štítové lemy (Al / Pzn lakovaný 0.55 mm)</t>
        </is>
      </c>
      <c r="F90" s="20" t="inlineStr">
        <is>
          <t>bm</t>
        </is>
      </c>
      <c r="G90" s="22" t="n">
        <v>69.5</v>
      </c>
      <c r="H90" s="10" t="n"/>
      <c r="I90" s="10" t="n"/>
      <c r="J90" s="8" t="inlineStr">
        <is>
          <t>klempir</t>
        </is>
      </c>
      <c r="K90" s="24" t="n">
        <v>0.9</v>
      </c>
      <c r="L90" s="20" t="inlineStr">
        <is>
          <t>family_verified_leaf_needs_production_lookup</t>
        </is>
      </c>
      <c r="M90" s="8" t="inlineStr">
        <is>
          <t>DXF MA_klempíř (75.4 m) + SM__ klempířina (98.4 m) total = 173.8 m × 0.40 split heuristic — Path C Tier 3</t>
        </is>
      </c>
      <c r="N90" s="20" t="inlineStr">
        <is>
          <t>#5</t>
        </is>
      </c>
      <c r="O90" s="26" t="inlineStr">
        <is>
          <t>ANO</t>
        </is>
      </c>
      <c r="P90" s="41" t="n"/>
      <c r="Q90" s="41" t="inlineStr">
        <is>
          <t>URS_PHASE5B_FAMILY_VERIFIED_CHAPTER_MATCH</t>
        </is>
      </c>
      <c r="R90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Venkovní parapety oken</t>
        </is>
      </c>
      <c r="D91" s="20" t="inlineStr">
        <is>
          <t>764218201</t>
        </is>
      </c>
      <c r="E91" s="8" t="inlineStr">
        <is>
          <t>Venkovní parapety oken — Pzn plech lakovaný 250 mm × tl. 0.55 mm × 16 ks oken</t>
        </is>
      </c>
      <c r="F91" s="20" t="inlineStr">
        <is>
          <t>bm</t>
        </is>
      </c>
      <c r="G91" s="22" t="n">
        <v>20.8</v>
      </c>
      <c r="H91" s="10" t="n"/>
      <c r="I91" s="10" t="n"/>
      <c r="J91" s="8" t="inlineStr">
        <is>
          <t>klempir</t>
        </is>
      </c>
      <c r="K91" s="24" t="n">
        <v>0.95</v>
      </c>
      <c r="L91" s="20" t="inlineStr">
        <is>
          <t>family_verified_leaf_needs_production_lookup</t>
        </is>
      </c>
      <c r="M91" s="8" t="inlineStr">
        <is>
          <t>DXF okna 16 ks INSERT blocks + standard parapet width</t>
        </is>
      </c>
      <c r="N91" s="20" t="inlineStr">
        <is>
          <t>—</t>
        </is>
      </c>
      <c r="O91" s="26" t="inlineStr">
        <is>
          <t>ANO</t>
        </is>
      </c>
      <c r="P91" s="41" t="n"/>
      <c r="Q91" s="41" t="inlineStr">
        <is>
          <t>URS_PHASE5B_FAMILY_VERIFIED_CHAPTER_MATCH</t>
        </is>
      </c>
      <c r="R91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Dešťové svody + žlaby</t>
        </is>
      </c>
      <c r="D92" s="20" t="inlineStr">
        <is>
          <t>764454802</t>
        </is>
      </c>
      <c r="E92" s="8" t="inlineStr">
        <is>
          <t>Dešťové svody Pzn 100 mm + žlaby — 4 svody × ~14 m + žlaby per obvod střechy</t>
        </is>
      </c>
      <c r="F92" s="20" t="inlineStr">
        <is>
          <t>bm</t>
        </is>
      </c>
      <c r="G92" s="22" t="n">
        <v>43.5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family_verified_leaf_needs_production_lookup</t>
        </is>
      </c>
      <c r="M92" s="8" t="inlineStr">
        <is>
          <t>DXF klempířina lengths split + TZ ARS dešťové svody</t>
        </is>
      </c>
      <c r="N92" s="20" t="inlineStr">
        <is>
          <t>—</t>
        </is>
      </c>
      <c r="O92" s="26" t="inlineStr">
        <is>
          <t>ANO</t>
        </is>
      </c>
      <c r="P92" s="41" t="n"/>
      <c r="Q92" s="41" t="inlineStr">
        <is>
          <t>URS_PHASE5B_FAMILY_VERIFIED_CHAPTER_MATCH</t>
        </is>
      </c>
      <c r="R92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3">
      <c r="A93" s="20" t="n">
        <v>92</v>
      </c>
      <c r="B93" s="8" t="inlineStr">
        <is>
          <t>PSV-76 Klempíř</t>
        </is>
      </c>
      <c r="C93" s="8" t="inlineStr">
        <is>
          <t>Vikýře + atika + závětrné lemy</t>
        </is>
      </c>
      <c r="D93" s="20" t="inlineStr">
        <is>
          <t>764315235</t>
        </is>
      </c>
      <c r="E93" s="8" t="inlineStr">
        <is>
          <t>Klempířské doplňky vikýřů + atika + závětrné lemy (4 vikýře komplexní detail)</t>
        </is>
      </c>
      <c r="F93" s="20" t="inlineStr">
        <is>
          <t>bm</t>
        </is>
      </c>
      <c r="G93" s="22" t="n">
        <v>26.1</v>
      </c>
      <c r="H93" s="10" t="n"/>
      <c r="I93" s="10" t="n"/>
      <c r="J93" s="8" t="inlineStr">
        <is>
          <t>klempir</t>
        </is>
      </c>
      <c r="K93" s="24" t="n">
        <v>0.9</v>
      </c>
      <c r="L93" s="20" t="inlineStr">
        <is>
          <t>family_verified_leaf_needs_production_lookup</t>
        </is>
      </c>
      <c r="M93" s="8" t="inlineStr">
        <is>
          <t>DXF klempířina geometry split + TZ ARS 4 vikýře</t>
        </is>
      </c>
      <c r="N93" s="20" t="inlineStr">
        <is>
          <t>—</t>
        </is>
      </c>
      <c r="O93" s="26" t="inlineStr">
        <is>
          <t>ANO</t>
        </is>
      </c>
      <c r="P93" s="41" t="n"/>
      <c r="Q93" s="41" t="inlineStr">
        <is>
          <t>URS_PHASE5B_FAMILY_VERIFIED_CHAPTER_MATCH</t>
        </is>
      </c>
      <c r="R93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4">
      <c r="A94" s="20" t="n">
        <v>93</v>
      </c>
      <c r="B94" s="8" t="inlineStr">
        <is>
          <t>PSV-76 Truhlář</t>
        </is>
      </c>
      <c r="C94" s="8" t="inlineStr">
        <is>
          <t>Dřevěné stupně schodišť</t>
        </is>
      </c>
      <c r="D94" s="20" t="inlineStr">
        <is>
          <t>766811111</t>
        </is>
      </c>
      <c r="E94" s="8" t="inlineStr">
        <is>
          <t>Dřevěné stupně ocelových schodišť (truhlářské, dub masiv tl. 40 mm)</t>
        </is>
      </c>
      <c r="F94" s="20" t="inlineStr">
        <is>
          <t>ks</t>
        </is>
      </c>
      <c r="G94" s="23" t="n">
        <v>16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— ocelové schodiště s dřevěnými stupni truhlářské</t>
        </is>
      </c>
      <c r="N94" s="20" t="inlineStr">
        <is>
          <t>—</t>
        </is>
      </c>
      <c r="O94" s="26" t="inlineStr">
        <is>
          <t>ANO</t>
        </is>
      </c>
      <c r="P94" s="41" t="n"/>
      <c r="Q94" s="41" t="n"/>
    </row>
    <row r="95">
      <c r="A95" s="20" t="n">
        <v>94</v>
      </c>
      <c r="B95" s="8" t="inlineStr">
        <is>
          <t>PSV-76 Truhlář</t>
        </is>
      </c>
      <c r="C95" s="8" t="inlineStr">
        <is>
          <t>Terasa garapa za opěrnou stěnou — dřevěná pochozí vrstva</t>
        </is>
      </c>
      <c r="D95" s="27" t="inlineStr">
        <is>
          <t>762??? ?</t>
        </is>
      </c>
      <c r="E95" s="8" t="inlineStr">
        <is>
          <t>Dřevěná terasa za opěrnou stěnou — prkna garapa 145×25 mm na dřevěném roštu z hranolů 50 mm na rektifikovatelných terčích (terče + podkladní skladba viz HSV1.005)</t>
        </is>
      </c>
      <c r="F95" s="20" t="inlineStr">
        <is>
          <t>m²</t>
        </is>
      </c>
      <c r="G95" s="22" t="n">
        <v>9.23</v>
      </c>
      <c r="H95" s="10" t="n"/>
      <c r="I95" s="10" t="n"/>
      <c r="J95" s="8" t="inlineStr">
        <is>
          <t>truhlar</t>
        </is>
      </c>
      <c r="K95" s="24" t="n">
        <v>0.95</v>
      </c>
      <c r="L95" s="20" t="inlineStr">
        <is>
          <t>family_762_leaf_lookup_required</t>
        </is>
      </c>
      <c r="M95" s="8" t="inlineStr">
        <is>
          <t>TZ ARS dům §4 + DXF dum_situace PLOT_DREVENY_04 (terasa, ne 3.NP); ŘEZ C-C potvrzuje dřevěný rošt z hranolů (NE hliníkový) + dřevěnou pochozí vrstvu</t>
        </is>
      </c>
      <c r="N95" s="20" t="inlineStr">
        <is>
          <t>—</t>
        </is>
      </c>
      <c r="O95" s="26" t="inlineStr">
        <is>
          <t>ANO</t>
        </is>
      </c>
      <c r="P95" s="41" t="n"/>
      <c r="Q95" s="41" t="inlineStr">
        <is>
          <t>REZ_CC_TERASA_FIX_2026-05-29; SITUACE_AREA_FIX_2026-05-29</t>
        </is>
      </c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1.NP' (ulice)</t>
        </is>
      </c>
      <c r="D96" s="20" t="inlineStr">
        <is>
          <t>766621011</t>
        </is>
      </c>
      <c r="E96" s="8" t="inlineStr">
        <is>
          <t>Plastové okno izolačním trojsklem Uw=0.85 W/m²K — typ 'okno 1.NP' velikost 1185×1600 mm × 2 ks (fasáda ulice)</t>
        </is>
      </c>
      <c r="F96" s="20" t="inlineStr">
        <is>
          <t>ks</t>
        </is>
      </c>
      <c r="G96" s="23" t="n">
        <v>2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family_verified_leaf_needs_production_lookup</t>
        </is>
      </c>
      <c r="M96" s="8" t="inlineStr">
        <is>
          <t>DXF dum_DPZ INSERT block 'okno 1.NP' bbox z block definition + TZ ARS Uw=0.85 W/m²K</t>
        </is>
      </c>
      <c r="N96" s="20" t="inlineStr">
        <is>
          <t>#5</t>
        </is>
      </c>
      <c r="O96" s="26" t="inlineStr">
        <is>
          <t>ANO</t>
        </is>
      </c>
      <c r="P96" s="41" t="n"/>
      <c r="Q96" s="41" t="n"/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1.NP vzadu' (zahrada)</t>
        </is>
      </c>
      <c r="D97" s="20" t="inlineStr">
        <is>
          <t>766621011</t>
        </is>
      </c>
      <c r="E97" s="8" t="inlineStr">
        <is>
          <t>Plastové okno izolačním trojsklem Uw=0.85 W/m²K — typ 'okno 1.NP vzadu' velikost 920×1600 mm × 3 ks (fasáda zahrada)</t>
        </is>
      </c>
      <c r="F97" s="20" t="inlineStr">
        <is>
          <t>ks</t>
        </is>
      </c>
      <c r="G97" s="23" t="n">
        <v>3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1.NP vzadu' bbox z block definition + TZ ARS Uw=0.85 W/m²K</t>
        </is>
      </c>
      <c r="N97" s="20" t="inlineStr">
        <is>
          <t>#5</t>
        </is>
      </c>
      <c r="O97" s="26" t="inlineStr">
        <is>
          <t>ANO</t>
        </is>
      </c>
      <c r="P97" s="41" t="n"/>
      <c r="Q97" s="41" t="n"/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2.NP' (ulice)</t>
        </is>
      </c>
      <c r="D98" s="20" t="inlineStr">
        <is>
          <t>766621011</t>
        </is>
      </c>
      <c r="E98" s="8" t="inlineStr">
        <is>
          <t>Plastové okno izolačním trojsklem Uw=0.85 W/m²K — typ 'okno 2.NP' velikost 1160×1480 mm × 4 ks (fasáda ulice)</t>
        </is>
      </c>
      <c r="F98" s="20" t="inlineStr">
        <is>
          <t>ks</t>
        </is>
      </c>
      <c r="G98" s="23" t="n">
        <v>4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2.NP'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  <c r="P98" s="41" t="n"/>
      <c r="Q98" s="41" t="n"/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3.NP' (ulice)</t>
        </is>
      </c>
      <c r="D99" s="20" t="inlineStr">
        <is>
          <t>766621011</t>
        </is>
      </c>
      <c r="E99" s="8" t="inlineStr">
        <is>
          <t>Plastové okno izolačním trojsklem Uw=0.85 W/m²K — typ 'okno 3.NP' velikost 1785×1241 mm × 3 ks (fasáda ulice)</t>
        </is>
      </c>
      <c r="F99" s="20" t="inlineStr">
        <is>
          <t>ks</t>
        </is>
      </c>
      <c r="G99" s="23" t="n">
        <v>3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3.NP' bbox z block definition + TZ ARS Uw=0.85 W/m²K</t>
        </is>
      </c>
      <c r="N99" s="20" t="inlineStr">
        <is>
          <t>#5</t>
        </is>
      </c>
      <c r="O99" s="26" t="inlineStr">
        <is>
          <t>ANO</t>
        </is>
      </c>
      <c r="P99" s="41" t="n"/>
      <c r="Q99" s="41" t="n"/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3.NP vzadu' velikost 2075×1241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  <c r="P100" s="41" t="n"/>
      <c r="Q100" s="41" t="n"/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male 3.NP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male 3.NP vzadu' velikost 800×1241 mm × 1 ks (fasáda zahrada)</t>
        </is>
      </c>
      <c r="F101" s="20" t="inlineStr">
        <is>
          <t>ks</t>
        </is>
      </c>
      <c r="G101" s="23" t="n">
        <v>1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male 3.NP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  <c r="P101" s="41" t="n"/>
      <c r="Q101" s="41" t="n"/>
    </row>
    <row r="102">
      <c r="A102" s="20" t="n">
        <v>101</v>
      </c>
      <c r="B102" s="8" t="inlineStr">
        <is>
          <t>PSV-76 Výplně otvorů</t>
        </is>
      </c>
      <c r="C102" s="8" t="inlineStr">
        <is>
          <t>Plastové okno trojsklo — 'okno malé vzadu' (zahrada)</t>
        </is>
      </c>
      <c r="D102" s="20" t="inlineStr">
        <is>
          <t>766621011</t>
        </is>
      </c>
      <c r="E102" s="8" t="inlineStr">
        <is>
          <t>Plastové okno izolačním trojsklem Uw=0.85 W/m²K — typ 'okno malé vzadu' velikost 700×800 mm × 2 ks (fasáda zahrada)</t>
        </is>
      </c>
      <c r="F102" s="20" t="inlineStr">
        <is>
          <t>ks</t>
        </is>
      </c>
      <c r="G102" s="23" t="n">
        <v>2</v>
      </c>
      <c r="H102" s="10" t="n"/>
      <c r="I102" s="10" t="n"/>
      <c r="J102" s="8" t="inlineStr">
        <is>
          <t>okennar</t>
        </is>
      </c>
      <c r="K102" s="24" t="n">
        <v>0.99</v>
      </c>
      <c r="L102" s="20" t="inlineStr">
        <is>
          <t>needs_production_lookup</t>
        </is>
      </c>
      <c r="M102" s="8" t="inlineStr">
        <is>
          <t>DXF dum_DPZ INSERT block 'okno malé vzadu' bbox z block definition + TZ ARS Uw=0.85 W/m²K</t>
        </is>
      </c>
      <c r="N102" s="20" t="inlineStr">
        <is>
          <t>#5</t>
        </is>
      </c>
      <c r="O102" s="26" t="inlineStr">
        <is>
          <t>ANO</t>
        </is>
      </c>
      <c r="P102" s="41" t="n"/>
      <c r="Q102" s="41" t="n"/>
    </row>
    <row r="103">
      <c r="A103" s="20" t="n">
        <v>102</v>
      </c>
      <c r="B103" s="8" t="inlineStr">
        <is>
          <t>PSV-76 Výplně otvorů</t>
        </is>
      </c>
      <c r="C103" s="8" t="inlineStr">
        <is>
          <t>Žaluzie kastlík purenit</t>
        </is>
      </c>
      <c r="D103" s="20" t="inlineStr">
        <is>
          <t>766631211</t>
        </is>
      </c>
      <c r="E103" s="8" t="inlineStr">
        <is>
          <t>Integrované stínící venkovní žaluzie v kastlíku pod omítkou s purenitovou izolací — uliční fasáda Fibichova (9 ks)</t>
        </is>
      </c>
      <c r="F103" s="20" t="inlineStr">
        <is>
          <t>ks</t>
        </is>
      </c>
      <c r="G103" s="23" t="n">
        <v>9</v>
      </c>
      <c r="H103" s="10" t="n"/>
      <c r="I103" s="10" t="n"/>
      <c r="J103" s="8" t="inlineStr">
        <is>
          <t>okenni_zaluzie_kastlik_purenit</t>
        </is>
      </c>
      <c r="K103" s="24" t="n">
        <v>0.95</v>
      </c>
      <c r="L103" s="20" t="inlineStr">
        <is>
          <t>needs_production_lookup</t>
        </is>
      </c>
      <c r="M103" s="8" t="inlineStr">
        <is>
          <t>TZ ARS dům §3.2 — 'do ulice Fibichova s integrovanými stínícími žaluziemi v kastlíku pod omítkou s purenitovou izolací'</t>
        </is>
      </c>
      <c r="N103" s="20" t="inlineStr">
        <is>
          <t>#5</t>
        </is>
      </c>
      <c r="O103" s="26" t="inlineStr">
        <is>
          <t>ANO</t>
        </is>
      </c>
      <c r="P103" s="41" t="n"/>
      <c r="Q103" s="41" t="n"/>
    </row>
    <row r="104">
      <c r="A104" s="20" t="n">
        <v>103</v>
      </c>
      <c r="B104" s="8" t="inlineStr">
        <is>
          <t>PSV-76 Výplně otvorů</t>
        </is>
      </c>
      <c r="C104" s="8" t="inlineStr">
        <is>
          <t>Vstupní plastové dveře</t>
        </is>
      </c>
      <c r="D104" s="20" t="inlineStr">
        <is>
          <t>766682111</t>
        </is>
      </c>
      <c r="E104" s="8" t="inlineStr">
        <is>
          <t>Plastové vstupní dveře (ulice + zahrada) — 2 ks</t>
        </is>
      </c>
      <c r="F104" s="20" t="inlineStr">
        <is>
          <t>ks</t>
        </is>
      </c>
      <c r="G104" s="23" t="n">
        <v>2</v>
      </c>
      <c r="H104" s="10" t="n"/>
      <c r="I104" s="10" t="n"/>
      <c r="J104" s="8" t="inlineStr">
        <is>
          <t>okennar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— plastové vstupní dveře</t>
        </is>
      </c>
      <c r="N104" s="20" t="inlineStr">
        <is>
          <t>—</t>
        </is>
      </c>
      <c r="O104" s="26" t="inlineStr">
        <is>
          <t>ANO</t>
        </is>
      </c>
      <c r="P104" s="41" t="n"/>
      <c r="Q104" s="41" t="n"/>
    </row>
    <row r="105">
      <c r="A105" s="20" t="n">
        <v>104</v>
      </c>
      <c r="B105" s="8" t="inlineStr">
        <is>
          <t>PSV-76 Výplně otvorů</t>
        </is>
      </c>
      <c r="C105" s="8" t="inlineStr">
        <is>
          <t>Vnitřní dveře DTD laminované</t>
        </is>
      </c>
      <c r="D105" s="20" t="inlineStr">
        <is>
          <t>766660035</t>
        </is>
      </c>
      <c r="E105" s="8" t="inlineStr">
        <is>
          <t>Vnitřní dveře DTD laminované s obložkovou zárubní — odhad 15 ks</t>
        </is>
      </c>
      <c r="F105" s="20" t="inlineStr">
        <is>
          <t>ks</t>
        </is>
      </c>
      <c r="G105" s="23" t="n">
        <v>15</v>
      </c>
      <c r="H105" s="10" t="n"/>
      <c r="I105" s="10" t="n"/>
      <c r="J105" s="8" t="inlineStr">
        <is>
          <t>truhlar</t>
        </is>
      </c>
      <c r="K105" s="24" t="n">
        <v>0.75</v>
      </c>
      <c r="L105" s="20" t="inlineStr">
        <is>
          <t>needs_production_lookup</t>
        </is>
      </c>
      <c r="M105" s="8" t="inlineStr">
        <is>
          <t>TZ ARS dům §4 + DXF MTEXT room labels</t>
        </is>
      </c>
      <c r="N105" s="20" t="inlineStr">
        <is>
          <t>#5</t>
        </is>
      </c>
      <c r="O105" s="26" t="inlineStr">
        <is>
          <t>ANO</t>
        </is>
      </c>
      <c r="P105" s="41" t="n"/>
      <c r="Q105" s="41" t="n"/>
    </row>
    <row r="106">
      <c r="A106" s="20" t="n">
        <v>105</v>
      </c>
      <c r="B106" s="8" t="inlineStr">
        <is>
          <t>PSV-76 Výplně otvorů</t>
        </is>
      </c>
      <c r="C106" s="8" t="inlineStr">
        <is>
          <t>Požárně odolné dveře EI 30 DP3</t>
        </is>
      </c>
      <c r="D106" s="20" t="inlineStr">
        <is>
          <t>766694112</t>
        </is>
      </c>
      <c r="E106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6" s="20" t="inlineStr">
        <is>
          <t>ks</t>
        </is>
      </c>
      <c r="G106" s="23" t="n">
        <v>1</v>
      </c>
      <c r="H106" s="10" t="n"/>
      <c r="I106" s="10" t="n"/>
      <c r="J106" s="8" t="inlineStr">
        <is>
          <t>specialista_RC3_dvere</t>
        </is>
      </c>
      <c r="K106" s="24" t="n">
        <v>0.9</v>
      </c>
      <c r="L106" s="20" t="inlineStr">
        <is>
          <t>needs_production_lookup</t>
        </is>
      </c>
      <c r="M106" s="8" t="inlineStr">
        <is>
          <t>PBŘ TUSPO § Požární uzávěry otvorů 'podzemní 30DP1'; DXF schodiště 1.PP→1.NP</t>
        </is>
      </c>
      <c r="N106" s="20" t="inlineStr">
        <is>
          <t>—</t>
        </is>
      </c>
      <c r="O106" s="26" t="inlineStr">
        <is>
          <t>ANO</t>
        </is>
      </c>
      <c r="P106" s="41" t="n"/>
      <c r="Q106" s="41" t="inlineStr">
        <is>
          <t>GAP_008</t>
        </is>
      </c>
    </row>
    <row r="107">
      <c r="A107" s="20" t="n">
        <v>106</v>
      </c>
      <c r="B107" s="8" t="inlineStr">
        <is>
          <t>PSV-76 Výplně otvorů</t>
        </is>
      </c>
      <c r="C107" s="8" t="inlineStr">
        <is>
          <t>Oplechování venkovních parapetů Pzn — 16 ks</t>
        </is>
      </c>
      <c r="D107" s="20" t="inlineStr">
        <is>
          <t>764811112</t>
        </is>
      </c>
      <c r="E107" s="8" t="inlineStr">
        <is>
          <t>Oplechování venkovních parapetů Pzn plech lakovaný 250 mm × tl. 0.55 mm, vč. okapnice + boční zakončení — 16 ks (per DXF INSERT okno × 16)</t>
        </is>
      </c>
      <c r="F107" s="20" t="inlineStr">
        <is>
          <t>ks</t>
        </is>
      </c>
      <c r="G107" s="23" t="n">
        <v>16</v>
      </c>
      <c r="H107" s="10" t="n"/>
      <c r="I107" s="10" t="n"/>
      <c r="J107" s="8" t="inlineStr">
        <is>
          <t>klempir</t>
        </is>
      </c>
      <c r="K107" s="24" t="n">
        <v>0.95</v>
      </c>
      <c r="L107" s="20" t="inlineStr">
        <is>
          <t>needs_production_lookup</t>
        </is>
      </c>
      <c r="M107" s="8" t="inlineStr">
        <is>
          <t>DXF blocks okno* 16 ks + DXF klempir_parapet 16 ks (Path C Tier 4 INSERT discovery)</t>
        </is>
      </c>
      <c r="N107" s="20" t="inlineStr">
        <is>
          <t>—</t>
        </is>
      </c>
      <c r="O107" s="26" t="inlineStr">
        <is>
          <t>ANO</t>
        </is>
      </c>
      <c r="P107" s="41" t="n"/>
      <c r="Q107" s="41" t="inlineStr">
        <is>
          <t>GAP_004</t>
        </is>
      </c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UPE200 ze zahrady</t>
        </is>
      </c>
      <c r="D108" s="20" t="inlineStr">
        <is>
          <t>767531111</t>
        </is>
      </c>
      <c r="E108" s="8" t="inlineStr">
        <is>
          <t>Ocelové schodiště ze zahrady na mezipodestu — UPE200 schodnice + dřevěné nášlapy, kotvené do koruny opěrné stěny a zdiva (TZ statika §4)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family_verified_leaf_needs_production_lookup</t>
        </is>
      </c>
      <c r="M108" s="8" t="inlineStr">
        <is>
          <t>TZ statika dům §4 — schodiště UPE200 + UPE100 podružné prvky</t>
        </is>
      </c>
      <c r="N108" s="20" t="inlineStr">
        <is>
          <t>#5</t>
        </is>
      </c>
      <c r="O108" s="26" t="inlineStr">
        <is>
          <t>ANO</t>
        </is>
      </c>
      <c r="P108" s="41" t="n"/>
      <c r="Q108" s="41" t="inlineStr">
        <is>
          <t>URS_PHASE5B_FAMILY_VERIFIED</t>
        </is>
      </c>
    </row>
    <row r="109">
      <c r="A109" s="20" t="n">
        <v>108</v>
      </c>
      <c r="B109" s="8" t="inlineStr">
        <is>
          <t>PSV-76 Zámečnictví</t>
        </is>
      </c>
      <c r="C109" s="8" t="inlineStr">
        <is>
          <t>Ocelové schodiště do spacího patra 3.NP</t>
        </is>
      </c>
      <c r="D109" s="20" t="inlineStr">
        <is>
          <t>767531111</t>
        </is>
      </c>
      <c r="E109" s="8" t="inlineStr">
        <is>
          <t>Interní ocelové schodiště do spacího patra v 3.NP s dřevěnými stupni (truhlářské)</t>
        </is>
      </c>
      <c r="F109" s="20" t="inlineStr">
        <is>
          <t>kpl</t>
        </is>
      </c>
      <c r="G109" s="23" t="n">
        <v>1</v>
      </c>
      <c r="H109" s="10" t="n"/>
      <c r="I109" s="10" t="n"/>
      <c r="J109" s="8" t="inlineStr">
        <is>
          <t>zamecnik_PSV</t>
        </is>
      </c>
      <c r="K109" s="24" t="n">
        <v>0.85</v>
      </c>
      <c r="L109" s="20" t="inlineStr">
        <is>
          <t>family_verified_leaf_needs_production_lookup</t>
        </is>
      </c>
      <c r="M109" s="8" t="inlineStr">
        <is>
          <t>TZ ARS dům §4 — ocelové schodiště s dřevěnými stupni</t>
        </is>
      </c>
      <c r="N109" s="20" t="inlineStr">
        <is>
          <t>—</t>
        </is>
      </c>
      <c r="O109" s="26" t="inlineStr">
        <is>
          <t>ANO</t>
        </is>
      </c>
      <c r="P109" s="41" t="n"/>
      <c r="Q109" s="41" t="inlineStr">
        <is>
          <t>URS_PHASE5B_FAMILY_VERIFIED</t>
        </is>
      </c>
    </row>
    <row r="110">
      <c r="A110" s="20" t="n">
        <v>109</v>
      </c>
      <c r="B110" s="8" t="inlineStr">
        <is>
          <t>PSV-76 Zámečnictví</t>
        </is>
      </c>
      <c r="C110" s="8" t="inlineStr">
        <is>
          <t>Stříšky nad vstupy</t>
        </is>
      </c>
      <c r="D110" s="20" t="inlineStr">
        <is>
          <t>767532111</t>
        </is>
      </c>
      <c r="E110" s="8" t="inlineStr">
        <is>
          <t>Stříšky nad vstupy z ocelové konstrukce + Cetris desky + falcovaná krytina — 2 ks (ulice + zahrada)</t>
        </is>
      </c>
      <c r="F110" s="20" t="inlineStr">
        <is>
          <t>ks</t>
        </is>
      </c>
      <c r="G110" s="23" t="n">
        <v>2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stříšky nad vstupy ocel+Cetris+plech</t>
        </is>
      </c>
      <c r="N110" s="20" t="inlineStr">
        <is>
          <t>—</t>
        </is>
      </c>
      <c r="O110" s="26" t="inlineStr">
        <is>
          <t>ANO</t>
        </is>
      </c>
      <c r="P110" s="41" t="n"/>
      <c r="Q110" s="41" t="n"/>
    </row>
    <row r="111">
      <c r="A111" s="20" t="n">
        <v>110</v>
      </c>
      <c r="B111" s="8" t="inlineStr">
        <is>
          <t>PSV-76 Zámečnictví</t>
        </is>
      </c>
      <c r="C111" s="8" t="inlineStr">
        <is>
          <t>Zábradlí z jeklů + nerez výplň</t>
        </is>
      </c>
      <c r="D111" s="20" t="inlineStr">
        <is>
          <t>767163115</t>
        </is>
      </c>
      <c r="E111" s="8" t="inlineStr">
        <is>
          <t>Ocelové zábradlí svařované z jeklů + nerez výplň pZn antracit — schodiště interier + venkovní terasa</t>
        </is>
      </c>
      <c r="F111" s="20" t="inlineStr">
        <is>
          <t>bm</t>
        </is>
      </c>
      <c r="G111" s="22" t="n">
        <v>18</v>
      </c>
      <c r="H111" s="10" t="n"/>
      <c r="I111" s="10" t="n"/>
      <c r="J111" s="8" t="inlineStr">
        <is>
          <t>zamecnik_PSV</t>
        </is>
      </c>
      <c r="K111" s="24" t="n">
        <v>0.75</v>
      </c>
      <c r="L111" s="20" t="inlineStr">
        <is>
          <t>needs_production_lookup</t>
        </is>
      </c>
      <c r="M111" s="8" t="inlineStr">
        <is>
          <t>TZ ARS dům §4 — zábradlí svařované z jeklů + nerez výplň</t>
        </is>
      </c>
      <c r="N111" s="20" t="inlineStr">
        <is>
          <t>—</t>
        </is>
      </c>
      <c r="O111" s="26" t="inlineStr">
        <is>
          <t>ANO</t>
        </is>
      </c>
      <c r="P111" s="41" t="n"/>
      <c r="Q111" s="41" t="n"/>
    </row>
    <row r="112">
      <c r="A112" s="20" t="n">
        <v>111</v>
      </c>
      <c r="B112" s="8" t="inlineStr">
        <is>
          <t>PSV-77 Podlahy</t>
        </is>
      </c>
      <c r="C112" s="8" t="inlineStr">
        <is>
          <t>Nášlap vinyl obytné místnosti</t>
        </is>
      </c>
      <c r="D112" s="20" t="inlineStr">
        <is>
          <t>776511820</t>
        </is>
      </c>
      <c r="E112" s="8" t="inlineStr">
        <is>
          <t>Nášlapná vrstva vinyl tl. 4 mm na suchou skladbu — obytné místnosti (ložnice, obývák, kuchyně, chodby)</t>
        </is>
      </c>
      <c r="F112" s="20" t="inlineStr">
        <is>
          <t>m²</t>
        </is>
      </c>
      <c r="G112" s="22" t="n">
        <v>171.5</v>
      </c>
      <c r="H112" s="10" t="n"/>
      <c r="I112" s="10" t="n"/>
      <c r="J112" s="8" t="inlineStr">
        <is>
          <t>podlahar</t>
        </is>
      </c>
      <c r="K112" s="24" t="n">
        <v>0.95</v>
      </c>
      <c r="L112" s="20" t="inlineStr">
        <is>
          <t>family_verified_leaf_needs_production_lookup</t>
        </is>
      </c>
      <c r="M112" s="8" t="inlineStr">
        <is>
          <t>DXF km_tabulka místností MTEXT (návrh) — rooms classified per name (kuchyně/obytná/chodba = vinyl) + TZ ARS §3.2.4 nášlapná vrstva</t>
        </is>
      </c>
      <c r="N112" s="20" t="inlineStr">
        <is>
          <t>#4</t>
        </is>
      </c>
      <c r="O112" s="26" t="inlineStr">
        <is>
          <t>ANO</t>
        </is>
      </c>
      <c r="P112" s="41" t="n"/>
      <c r="Q112" s="41" t="inlineStr">
        <is>
          <t>URS_PHASE5B_FAMILY_VERIFIED</t>
        </is>
      </c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mokré zóny</t>
        </is>
      </c>
      <c r="D113" s="20" t="inlineStr">
        <is>
          <t>771274102</t>
        </is>
      </c>
      <c r="E113" s="8" t="inlineStr">
        <is>
          <t>Nášlapná vrstva keramická dlažba lepená — koupelny + WC + spíž + komora (NÁDRŽ NP)</t>
        </is>
      </c>
      <c r="F113" s="20" t="inlineStr">
        <is>
          <t>m²</t>
        </is>
      </c>
      <c r="G113" s="22" t="n">
        <v>13.5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rooms classified per name (koupelna/WC/spíž = dlažba mokré) + TZ ARS skladba mokrá</t>
        </is>
      </c>
      <c r="N113" s="20" t="inlineStr">
        <is>
          <t>#4</t>
        </is>
      </c>
      <c r="O113" s="26" t="inlineStr">
        <is>
          <t>ANO</t>
        </is>
      </c>
      <c r="P113" s="41" t="n"/>
      <c r="Q113" s="41" t="n"/>
    </row>
    <row r="114">
      <c r="A114" s="20" t="n">
        <v>113</v>
      </c>
      <c r="B114" s="8" t="inlineStr">
        <is>
          <t>PSV-77 Podlahy</t>
        </is>
      </c>
      <c r="C114" s="8" t="inlineStr">
        <is>
          <t>Nášlap keramická dlažba — 1.PP sklep</t>
        </is>
      </c>
      <c r="D114" s="20" t="inlineStr">
        <is>
          <t>771274102</t>
        </is>
      </c>
      <c r="E114" s="8" t="inlineStr">
        <is>
          <t>Nášlapná vrstva keramická dlažba — 1.PP technické místnosti (sušárna + sklepy + schodiště + chodba)</t>
        </is>
      </c>
      <c r="F114" s="20" t="inlineStr">
        <is>
          <t>m²</t>
        </is>
      </c>
      <c r="G114" s="22" t="n">
        <v>32.4</v>
      </c>
      <c r="H114" s="10" t="n"/>
      <c r="I114" s="10" t="n"/>
      <c r="J114" s="8" t="inlineStr">
        <is>
          <t>obkladac</t>
        </is>
      </c>
      <c r="K114" s="24" t="n">
        <v>0.95</v>
      </c>
      <c r="L114" s="20" t="inlineStr">
        <is>
          <t>needs_production_lookup</t>
        </is>
      </c>
      <c r="M114" s="8" t="inlineStr">
        <is>
          <t>DXF km_tabulka místností MTEXT (návrh) — 1.PP all rooms = dlažba sklep zone</t>
        </is>
      </c>
      <c r="N114" s="20" t="inlineStr">
        <is>
          <t>#4</t>
        </is>
      </c>
      <c r="O114" s="26" t="inlineStr">
        <is>
          <t>ANO</t>
        </is>
      </c>
      <c r="P114" s="41" t="n"/>
      <c r="Q114" s="41" t="n"/>
    </row>
    <row r="115">
      <c r="A115" s="20" t="n">
        <v>114</v>
      </c>
      <c r="B115" s="8" t="inlineStr">
        <is>
          <t>PSV-77 Podlahy</t>
        </is>
      </c>
      <c r="C115" s="8" t="inlineStr">
        <is>
          <t>Nášlap biodeska 3.NP spací patro</t>
        </is>
      </c>
      <c r="D115" s="20" t="inlineStr">
        <is>
          <t>766411111</t>
        </is>
      </c>
      <c r="E115" s="8" t="inlineStr">
        <is>
          <t>Nášlapná vrstva biodeska (smrk masiv) nebo OSB v 3.NP spací části nad krovem</t>
        </is>
      </c>
      <c r="F115" s="20" t="inlineStr">
        <is>
          <t>m²</t>
        </is>
      </c>
      <c r="G115" s="22" t="n">
        <v>25</v>
      </c>
      <c r="H115" s="10" t="n"/>
      <c r="I115" s="10" t="n"/>
      <c r="J115" s="8" t="inlineStr">
        <is>
          <t>biodeska_konstrukcni</t>
        </is>
      </c>
      <c r="K115" s="24" t="n">
        <v>0.75</v>
      </c>
      <c r="L115" s="20" t="inlineStr">
        <is>
          <t>needs_production_lookup</t>
        </is>
      </c>
      <c r="M115" s="8" t="inlineStr">
        <is>
          <t>TZ ARS dům §3.2.3 — biodeska patro pro přespání</t>
        </is>
      </c>
      <c r="N115" s="20" t="inlineStr">
        <is>
          <t>#3</t>
        </is>
      </c>
      <c r="O115" s="26" t="inlineStr">
        <is>
          <t>ANO</t>
        </is>
      </c>
      <c r="P115" s="41" t="n"/>
      <c r="Q115" s="41" t="n"/>
    </row>
    <row r="116">
      <c r="A116" s="20" t="n">
        <v>115</v>
      </c>
      <c r="B116" s="8" t="inlineStr">
        <is>
          <t>PSV-77 Podlahy</t>
        </is>
      </c>
      <c r="C116" s="8" t="inlineStr">
        <is>
          <t>Betonový potěr s kari nad EPS</t>
        </is>
      </c>
      <c r="D116" s="20" t="inlineStr">
        <is>
          <t>631321311</t>
        </is>
      </c>
      <c r="E116" s="8" t="inlineStr">
        <is>
          <t>Mokrá podlahová skladba — betonový potěr s kari síťkou 4/100/100 tl. 50 mm + samonivelační stěrka</t>
        </is>
      </c>
      <c r="F116" s="20" t="inlineStr">
        <is>
          <t>m²</t>
        </is>
      </c>
      <c r="G116" s="22" t="n">
        <v>126.4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TZ ARS dům §3.2.4 + §3.2.x — 'kročejová izolace + betonový potěr s kari sítí'; DXF rooms areas</t>
        </is>
      </c>
      <c r="N116" s="20" t="inlineStr">
        <is>
          <t>#4</t>
        </is>
      </c>
      <c r="O116" s="26" t="inlineStr">
        <is>
          <t>ANO</t>
        </is>
      </c>
      <c r="P116" s="41" t="n"/>
      <c r="Q116" s="41" t="n"/>
    </row>
    <row r="117">
      <c r="A117" s="20" t="n">
        <v>116</v>
      </c>
      <c r="B117" s="8" t="inlineStr">
        <is>
          <t>PSV-77 Podlahy</t>
        </is>
      </c>
      <c r="C117" s="8" t="inlineStr">
        <is>
          <t>Soklíky vinyl</t>
        </is>
      </c>
      <c r="D117" s="20" t="inlineStr">
        <is>
          <t>776511831</t>
        </is>
      </c>
      <c r="E117" s="8" t="inlineStr">
        <is>
          <t>Soklíky podlahové laminátové (dub) v obytných místnostech s vinyl podlahou</t>
        </is>
      </c>
      <c r="F117" s="20" t="inlineStr">
        <is>
          <t>bm</t>
        </is>
      </c>
      <c r="G117" s="22" t="n">
        <v>72.03</v>
      </c>
      <c r="H117" s="10" t="n"/>
      <c r="I117" s="10" t="n"/>
      <c r="J117" s="8" t="inlineStr">
        <is>
          <t>podlahar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vinyl + standard ratio per RD geometry</t>
        </is>
      </c>
      <c r="N117" s="20" t="inlineStr">
        <is>
          <t>—</t>
        </is>
      </c>
      <c r="O117" s="26" t="inlineStr">
        <is>
          <t>ANO</t>
        </is>
      </c>
      <c r="P117" s="41" t="n"/>
      <c r="Q117" s="41" t="n"/>
    </row>
    <row r="118">
      <c r="A118" s="20" t="n">
        <v>117</v>
      </c>
      <c r="B118" s="8" t="inlineStr">
        <is>
          <t>PSV-77 Podlahy</t>
        </is>
      </c>
      <c r="C118" s="8" t="inlineStr">
        <is>
          <t>Soklíky keramické</t>
        </is>
      </c>
      <c r="D118" s="20" t="inlineStr">
        <is>
          <t>771274107</t>
        </is>
      </c>
      <c r="E118" s="8" t="inlineStr">
        <is>
          <t>Soklíky keramické v místnostech s dlažbou (koupelny + WC + spíž + 1.PP)</t>
        </is>
      </c>
      <c r="F118" s="20" t="inlineStr">
        <is>
          <t>bm</t>
        </is>
      </c>
      <c r="G118" s="22" t="n">
        <v>19.28</v>
      </c>
      <c r="H118" s="10" t="n"/>
      <c r="I118" s="10" t="n"/>
      <c r="J118" s="8" t="inlineStr">
        <is>
          <t>obkladac</t>
        </is>
      </c>
      <c r="K118" s="24" t="n">
        <v>0.95</v>
      </c>
      <c r="L118" s="20" t="inlineStr">
        <is>
          <t>needs_production_lookup</t>
        </is>
      </c>
      <c r="M118" s="8" t="inlineStr">
        <is>
          <t>DXF rooms dlažba + standard ratio per RD geometry</t>
        </is>
      </c>
      <c r="N118" s="20" t="inlineStr">
        <is>
          <t>—</t>
        </is>
      </c>
      <c r="O118" s="26" t="inlineStr">
        <is>
          <t>ANO</t>
        </is>
      </c>
      <c r="P118" s="41" t="n"/>
      <c r="Q118" s="41" t="n"/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1.PP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1.PP (stávající vyspravené + nové zděné)</t>
        </is>
      </c>
      <c r="F119" s="20" t="inlineStr">
        <is>
          <t>m²</t>
        </is>
      </c>
      <c r="G119" s="22" t="n">
        <v>78.2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1.PP obvod + výška podlaží 2.1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  <c r="P119" s="41" t="n"/>
      <c r="Q119" s="41" t="n"/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1.NP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1.NP (stávající vyspravené + nové zděné)</t>
        </is>
      </c>
      <c r="F120" s="20" t="inlineStr">
        <is>
          <t>m²</t>
        </is>
      </c>
      <c r="G120" s="22" t="n">
        <v>208.4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1.NP obvod + výška podlaží 2.795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  <c r="P120" s="41" t="n"/>
      <c r="Q120" s="41" t="n"/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2.NP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2.NP (stávající vyspravené + nové zděné)</t>
        </is>
      </c>
      <c r="F121" s="20" t="inlineStr">
        <is>
          <t>m²</t>
        </is>
      </c>
      <c r="G121" s="22" t="n">
        <v>201.6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2.NP obvod + výška podlaží 2.865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  <c r="P121" s="41" t="n"/>
      <c r="Q121" s="41" t="n"/>
    </row>
    <row r="122">
      <c r="A122" s="20" t="n">
        <v>121</v>
      </c>
      <c r="B122" s="8" t="inlineStr">
        <is>
          <t>PSV-78 Povrchové úpravy</t>
        </is>
      </c>
      <c r="C122" s="8" t="inlineStr">
        <is>
          <t>Omítka jádrová + štuk 3.NP</t>
        </is>
      </c>
      <c r="D122" s="20" t="inlineStr">
        <is>
          <t>612311311</t>
        </is>
      </c>
      <c r="E122" s="8" t="inlineStr">
        <is>
          <t>Omítka jádrová vápenocementová tl. 15 mm + štuková povrchová úprava na stěnách 3.NP (stávající vyspravené + nové zděné)</t>
        </is>
      </c>
      <c r="F122" s="20" t="inlineStr">
        <is>
          <t>m²</t>
        </is>
      </c>
      <c r="G122" s="22" t="n">
        <v>179.1</v>
      </c>
      <c r="H122" s="10" t="n"/>
      <c r="I122" s="10" t="n"/>
      <c r="J122" s="8" t="inlineStr">
        <is>
          <t>zednik</t>
        </is>
      </c>
      <c r="K122" s="24" t="n">
        <v>0.9</v>
      </c>
      <c r="L122" s="20" t="inlineStr">
        <is>
          <t>needs_production_lookup</t>
        </is>
      </c>
      <c r="M122" s="8" t="inlineStr">
        <is>
          <t>DXF rooms 3.NP obvod + výška podlaží 2.63 m (DXF SM_kóty + řez A-A Path C Tier 1) − okenní plocha (DXF) − odpočet dveří 3%</t>
        </is>
      </c>
      <c r="N122" s="20" t="inlineStr">
        <is>
          <t>#3</t>
        </is>
      </c>
      <c r="O122" s="26" t="inlineStr">
        <is>
          <t>ANO</t>
        </is>
      </c>
      <c r="P122" s="41" t="n"/>
      <c r="Q122" s="41" t="n"/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1.NP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(1.NP)</t>
        </is>
      </c>
      <c r="F123" s="20" t="inlineStr">
        <is>
          <t>m²</t>
        </is>
      </c>
      <c r="G123" s="22" t="n">
        <v>59.5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1.NP = plocha podhledu (flat ceiling assumption)</t>
        </is>
      </c>
      <c r="N123" s="20" t="inlineStr">
        <is>
          <t>—</t>
        </is>
      </c>
      <c r="O123" s="26" t="inlineStr">
        <is>
          <t>ANO</t>
        </is>
      </c>
      <c r="P123" s="41" t="n"/>
      <c r="Q123" s="41" t="n"/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2.NP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(2.NP)</t>
        </is>
      </c>
      <c r="F124" s="20" t="inlineStr">
        <is>
          <t>m²</t>
        </is>
      </c>
      <c r="G124" s="22" t="n">
        <v>61.1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2.NP = plocha podhledu (flat ceiling assumption)</t>
        </is>
      </c>
      <c r="N124" s="20" t="inlineStr">
        <is>
          <t>—</t>
        </is>
      </c>
      <c r="O124" s="26" t="inlineStr">
        <is>
          <t>ANO</t>
        </is>
      </c>
      <c r="P124" s="41" t="n"/>
      <c r="Q124" s="41" t="n"/>
    </row>
    <row r="125">
      <c r="A125" s="20" t="n">
        <v>124</v>
      </c>
      <c r="B125" s="8" t="inlineStr">
        <is>
          <t>PSV-78 Povrchové úpravy</t>
        </is>
      </c>
      <c r="C125" s="8" t="inlineStr">
        <is>
          <t>SDK podhled — tmelení + úprava 3.NP</t>
        </is>
      </c>
      <c r="D125" s="20" t="inlineStr">
        <is>
          <t>612471141</t>
        </is>
      </c>
      <c r="E125" s="8" t="inlineStr">
        <is>
          <t>SDK podhled + případné předstěny — tmelení spojů Q3 + povrchová úprava před výmalbou (3.NP)</t>
        </is>
      </c>
      <c r="F125" s="20" t="inlineStr">
        <is>
          <t>m²</t>
        </is>
      </c>
      <c r="G125" s="22" t="n">
        <v>64.5</v>
      </c>
      <c r="H125" s="10" t="n"/>
      <c r="I125" s="10" t="n"/>
      <c r="J125" s="8" t="inlineStr">
        <is>
          <t>sadrokartonar</t>
        </is>
      </c>
      <c r="K125" s="24" t="n">
        <v>0.95</v>
      </c>
      <c r="L125" s="20" t="inlineStr">
        <is>
          <t>needs_production_lookup</t>
        </is>
      </c>
      <c r="M125" s="8" t="inlineStr">
        <is>
          <t>DXF km_tabulka místností MTEXT — plocha 3.NP = plocha podhledu (flat ceiling assumption)</t>
        </is>
      </c>
      <c r="N125" s="20" t="inlineStr">
        <is>
          <t>—</t>
        </is>
      </c>
      <c r="O125" s="26" t="inlineStr">
        <is>
          <t>ANO</t>
        </is>
      </c>
      <c r="P125" s="41" t="n"/>
      <c r="Q125" s="41" t="n"/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1.05 (1.NP)</t>
        </is>
      </c>
      <c r="D126" s="20" t="inlineStr">
        <is>
          <t>781447001</t>
        </is>
      </c>
      <c r="E126" s="8" t="inlineStr">
        <is>
          <t>Keramický obklad stěn koupelny 1.05 1.NP — výška obkladu 1.6 m (z DXF km Obklady layer)</t>
        </is>
      </c>
      <c r="F126" s="20" t="inlineStr">
        <is>
          <t>m²</t>
        </is>
      </c>
      <c r="G126" s="22" t="n">
        <v>13.4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1.05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  <c r="P126" s="41" t="n"/>
      <c r="Q126" s="41" t="n"/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2.03 (2.NP)</t>
        </is>
      </c>
      <c r="D127" s="20" t="inlineStr">
        <is>
          <t>781447001</t>
        </is>
      </c>
      <c r="E127" s="8" t="inlineStr">
        <is>
          <t>Keramický obklad stěn koupelny 2.03 2.NP — výška obkladu 2.45 m (z DXF km Obklady layer)</t>
        </is>
      </c>
      <c r="F127" s="20" t="inlineStr">
        <is>
          <t>m²</t>
        </is>
      </c>
      <c r="G127" s="22" t="n">
        <v>15.2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2.03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  <c r="P127" s="41" t="n"/>
      <c r="Q127" s="41" t="n"/>
    </row>
    <row r="128">
      <c r="A128" s="20" t="n">
        <v>127</v>
      </c>
      <c r="B128" s="8" t="inlineStr">
        <is>
          <t>PSV-78 Povrchové úpravy</t>
        </is>
      </c>
      <c r="C128" s="8" t="inlineStr">
        <is>
          <t>Keramický obklad koupelna 3.04 (3.NP)</t>
        </is>
      </c>
      <c r="D128" s="20" t="inlineStr">
        <is>
          <t>781447001</t>
        </is>
      </c>
      <c r="E128" s="8" t="inlineStr">
        <is>
          <t>Keramický obklad stěn koupelny 3.04 3.NP — výška obkladu 2.7 m (z DXF km Obklady layer)</t>
        </is>
      </c>
      <c r="F128" s="20" t="inlineStr">
        <is>
          <t>m²</t>
        </is>
      </c>
      <c r="G128" s="22" t="n">
        <v>24.3</v>
      </c>
      <c r="H128" s="10" t="n"/>
      <c r="I128" s="10" t="n"/>
      <c r="J128" s="8" t="inlineStr">
        <is>
          <t>obkladac</t>
        </is>
      </c>
      <c r="K128" s="24" t="n">
        <v>0.9</v>
      </c>
      <c r="L128" s="20" t="inlineStr">
        <is>
          <t>needs_production_lookup</t>
        </is>
      </c>
      <c r="M128" s="8" t="inlineStr">
        <is>
          <t>DXF rooms PIP perimeter 3.04 + DXF km Obklady layer (11 LWPOLYLINE markers s bbox heights 1600/2450/2610-2715 mm) — Path C Tier 1</t>
        </is>
      </c>
      <c r="N128" s="20" t="inlineStr">
        <is>
          <t>—</t>
        </is>
      </c>
      <c r="O128" s="26" t="inlineStr">
        <is>
          <t>ANO</t>
        </is>
      </c>
      <c r="P128" s="41" t="n"/>
      <c r="Q128" s="41" t="n"/>
    </row>
    <row r="129">
      <c r="A129" s="20" t="n">
        <v>128</v>
      </c>
      <c r="B129" s="8" t="inlineStr">
        <is>
          <t>PSV-78 Povrchové úpravy</t>
        </is>
      </c>
      <c r="C129" s="8" t="inlineStr">
        <is>
          <t>Obklad za kuchyňskou linkou</t>
        </is>
      </c>
      <c r="D129" s="20" t="inlineStr">
        <is>
          <t>781447001</t>
        </is>
      </c>
      <c r="E129" s="8" t="inlineStr">
        <is>
          <t>Keramický obklad za kuchyňskou linkou nad pracovní deskou — 2 kuchyně × ~5 m² (1.06 byt rodičů + 3.05 byt 3.NP)</t>
        </is>
      </c>
      <c r="F129" s="20" t="inlineStr">
        <is>
          <t>m²</t>
        </is>
      </c>
      <c r="G129" s="22" t="n">
        <v>10</v>
      </c>
      <c r="H129" s="10" t="n"/>
      <c r="I129" s="10" t="n"/>
      <c r="J129" s="8" t="inlineStr">
        <is>
          <t>obkladac</t>
        </is>
      </c>
      <c r="K129" s="24" t="n">
        <v>0.95</v>
      </c>
      <c r="L129" s="20" t="inlineStr">
        <is>
          <t>needs_production_lookup</t>
        </is>
      </c>
      <c r="M129" s="8" t="inlineStr">
        <is>
          <t>DXF dum_DPZ 2× kuchyně MTEXT + TZ ARS</t>
        </is>
      </c>
      <c r="N129" s="20" t="inlineStr">
        <is>
          <t>—</t>
        </is>
      </c>
      <c r="O129" s="26" t="inlineStr">
        <is>
          <t>ANO</t>
        </is>
      </c>
      <c r="P129" s="41" t="n"/>
      <c r="Q129" s="41" t="n"/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</t>
        </is>
      </c>
      <c r="D130" s="20" t="inlineStr">
        <is>
          <t>784121011</t>
        </is>
      </c>
      <c r="E130" s="8" t="inlineStr">
        <is>
          <t>Interiérová výmalba akrylátová bílá 2× — všechny stěny + podhledy mimo obklad</t>
        </is>
      </c>
      <c r="F130" s="20" t="inlineStr">
        <is>
          <t>m²</t>
        </is>
      </c>
      <c r="G130" s="22" t="n">
        <v>0</v>
      </c>
      <c r="H130" s="10" t="n"/>
      <c r="I130" s="10" t="n"/>
      <c r="J130" s="8" t="inlineStr">
        <is>
          <t>malir</t>
        </is>
      </c>
      <c r="K130" s="24" t="n">
        <v>0.75</v>
      </c>
      <c r="L130" s="20" t="inlineStr">
        <is>
          <t>needs_production_lookup</t>
        </is>
      </c>
      <c r="M130" s="8" t="inlineStr">
        <is>
          <t>TZ ARS — interiérová výmalba (aggregate, no TZ per-room directive)</t>
        </is>
      </c>
      <c r="N130" s="20" t="inlineStr">
        <is>
          <t>—</t>
        </is>
      </c>
      <c r="O130" s="26" t="inlineStr">
        <is>
          <t>ANO</t>
        </is>
      </c>
      <c r="P130" s="41" t="n"/>
      <c r="Q130" s="41" t="inlineStr">
        <is>
          <t>GAP_007_deprecated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1.NP</t>
        </is>
      </c>
      <c r="D131" s="20" t="inlineStr">
        <is>
          <t>784121011</t>
        </is>
      </c>
      <c r="E131" s="8" t="inlineStr">
        <is>
          <t>Interiérová výmalba 1.NP — stěny + SDK podhled − obklad koupelny 1.05 (1.6 m výška)</t>
        </is>
      </c>
      <c r="F131" s="20" t="inlineStr">
        <is>
          <t>m²</t>
        </is>
      </c>
      <c r="G131" s="22" t="n">
        <v>254.5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PSV78.002 + SDK podhled PSV78.005</t>
        </is>
      </c>
      <c r="N131" s="20" t="inlineStr">
        <is>
          <t>—</t>
        </is>
      </c>
      <c r="O131" s="26" t="inlineStr">
        <is>
          <t>ANO</t>
        </is>
      </c>
      <c r="P131" s="41" t="n"/>
      <c r="Q131" s="41" t="inlineStr">
        <is>
          <t>GAP_007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1.PP</t>
        </is>
      </c>
      <c r="D132" s="20" t="inlineStr">
        <is>
          <t>784121011</t>
        </is>
      </c>
      <c r="E132" s="8" t="inlineStr">
        <is>
          <t>Interiérová výmalba 1.PP — sklep stěny + klenba bílá vápenná 2×</t>
        </is>
      </c>
      <c r="F132" s="20" t="inlineStr">
        <is>
          <t>m²</t>
        </is>
      </c>
      <c r="G132" s="22" t="n">
        <v>78.2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PSV78.001 + SDK podhled PSV78.—</t>
        </is>
      </c>
      <c r="N132" s="20" t="inlineStr">
        <is>
          <t>—</t>
        </is>
      </c>
      <c r="O132" s="26" t="inlineStr">
        <is>
          <t>ANO</t>
        </is>
      </c>
      <c r="P132" s="41" t="n"/>
      <c r="Q132" s="41" t="inlineStr">
        <is>
          <t>GAP_007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2.NP</t>
        </is>
      </c>
      <c r="D133" s="20" t="inlineStr">
        <is>
          <t>784121011</t>
        </is>
      </c>
      <c r="E133" s="8" t="inlineStr">
        <is>
          <t>Interiérová výmalba 2.NP — stěny + SDK podhled − obklad koupelny 2.03 (2.45 m výška)</t>
        </is>
      </c>
      <c r="F133" s="20" t="inlineStr">
        <is>
          <t>m²</t>
        </is>
      </c>
      <c r="G133" s="22" t="n">
        <v>247.5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PSV78.003 + SDK podhled PSV78.006</t>
        </is>
      </c>
      <c r="N133" s="20" t="inlineStr">
        <is>
          <t>—</t>
        </is>
      </c>
      <c r="O133" s="26" t="inlineStr">
        <is>
          <t>ANO</t>
        </is>
      </c>
      <c r="P133" s="41" t="n"/>
      <c r="Q133" s="41" t="inlineStr">
        <is>
          <t>GAP_007</t>
        </is>
      </c>
    </row>
    <row r="134">
      <c r="A134" s="20" t="n">
        <v>133</v>
      </c>
      <c r="B134" s="8" t="inlineStr">
        <is>
          <t>PSV-78 Povrchové úpravy</t>
        </is>
      </c>
      <c r="C134" s="8" t="inlineStr">
        <is>
          <t>Interiérová výmalba 3.NP</t>
        </is>
      </c>
      <c r="D134" s="20" t="inlineStr">
        <is>
          <t>784121011</t>
        </is>
      </c>
      <c r="E134" s="8" t="inlineStr">
        <is>
          <t>Interiérová výmalba 3.NP — stěny + SDK podhled − obklad koupelny 3.04 (2.7 m výška)</t>
        </is>
      </c>
      <c r="F134" s="20" t="inlineStr">
        <is>
          <t>m²</t>
        </is>
      </c>
      <c r="G134" s="22" t="n">
        <v>219.3</v>
      </c>
      <c r="H134" s="10" t="n"/>
      <c r="I134" s="10" t="n"/>
      <c r="J134" s="8" t="inlineStr">
        <is>
          <t>malir</t>
        </is>
      </c>
      <c r="K134" s="24" t="n">
        <v>0.85</v>
      </c>
      <c r="L134" s="20" t="inlineStr">
        <is>
          <t>needs_production_lookup</t>
        </is>
      </c>
      <c r="M134" s="8" t="inlineStr">
        <is>
          <t>Per-podlaží split z PSV78.012 (audit v2 GAP_007 fix); omítka PSV78.004 + SDK podhled PSV78.007</t>
        </is>
      </c>
      <c r="N134" s="20" t="inlineStr">
        <is>
          <t>—</t>
        </is>
      </c>
      <c r="O134" s="26" t="inlineStr">
        <is>
          <t>ANO</t>
        </is>
      </c>
      <c r="P134" s="41" t="n"/>
      <c r="Q134" s="41" t="inlineStr">
        <is>
          <t>GAP_007</t>
        </is>
      </c>
    </row>
    <row r="135">
      <c r="A135" s="20" t="n">
        <v>134</v>
      </c>
      <c r="B135" s="8" t="inlineStr">
        <is>
          <t>PSV-95 Detekce požární</t>
        </is>
      </c>
      <c r="C135" s="8" t="inlineStr">
        <is>
          <t>Autonomní hlásič kouře</t>
        </is>
      </c>
      <c r="D135" s="20" t="inlineStr">
        <is>
          <t>375211101</t>
        </is>
      </c>
      <c r="E135" s="8" t="inlineStr">
        <is>
          <t>Autonomní hlásič kouře dle ČSN EN 14604 — 4 ks v místnostech 1.01, 1.02, 2.04, 3.03 dle PBŘ</t>
        </is>
      </c>
      <c r="F135" s="20" t="inlineStr">
        <is>
          <t>ks</t>
        </is>
      </c>
      <c r="G135" s="23" t="n">
        <v>4</v>
      </c>
      <c r="H135" s="10" t="n"/>
      <c r="I135" s="10" t="n"/>
      <c r="J135" s="8" t="inlineStr">
        <is>
          <t>elektroinstalater</t>
        </is>
      </c>
      <c r="K135" s="24" t="n">
        <v>0.85</v>
      </c>
      <c r="L135" s="20" t="inlineStr">
        <is>
          <t>family_verified_leaf_needs_production_lookup</t>
        </is>
      </c>
      <c r="M135" s="8" t="inlineStr">
        <is>
          <t>TZ PBŘ dům — ČSN EN 14604 autonomní hlásič kouře 4 ks</t>
        </is>
      </c>
      <c r="N135" s="20" t="inlineStr">
        <is>
          <t>—</t>
        </is>
      </c>
      <c r="O135" s="26" t="inlineStr">
        <is>
          <t>ANO</t>
        </is>
      </c>
      <c r="P135" s="41" t="n"/>
      <c r="Q135" s="41" t="inlineStr">
        <is>
          <t>URS_PHASE5B_FAMILY_VERIFIED</t>
        </is>
      </c>
    </row>
    <row r="136">
      <c r="A136" s="20" t="n">
        <v>135</v>
      </c>
      <c r="B136" s="8" t="inlineStr">
        <is>
          <t>PSV-95 Detekce požární</t>
        </is>
      </c>
      <c r="C136" s="8" t="inlineStr">
        <is>
          <t>Přenosný hasicí přístroj 34A</t>
        </is>
      </c>
      <c r="D136" s="20" t="inlineStr">
        <is>
          <t>966067121</t>
        </is>
      </c>
      <c r="E136" s="8" t="inlineStr">
        <is>
          <t>Přenosný hasicí přístroj 34A dle PBŘ — min. 1 ks na společné chodbě</t>
        </is>
      </c>
      <c r="F136" s="20" t="inlineStr">
        <is>
          <t>ks</t>
        </is>
      </c>
      <c r="G136" s="23" t="n">
        <v>1</v>
      </c>
      <c r="H136" s="10" t="n"/>
      <c r="I136" s="10" t="n"/>
      <c r="J136" s="8" t="inlineStr">
        <is>
          <t>VRN_management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PBŘ dům — PHP 34A 1 ks minimum</t>
        </is>
      </c>
      <c r="N136" s="20" t="inlineStr">
        <is>
          <t>—</t>
        </is>
      </c>
      <c r="O136" s="26" t="inlineStr">
        <is>
          <t>ANO</t>
        </is>
      </c>
      <c r="P136" s="41" t="n"/>
      <c r="Q136" s="41" t="n"/>
    </row>
    <row r="137">
      <c r="A137" s="20" t="n">
        <v>136</v>
      </c>
      <c r="B137" s="8" t="inlineStr">
        <is>
          <t>M-21 ELI silnoproud</t>
        </is>
      </c>
      <c r="C137" s="8" t="inlineStr">
        <is>
          <t>Demontáž stávající ELI</t>
        </is>
      </c>
      <c r="D137" s="20" t="inlineStr">
        <is>
          <t>210010011</t>
        </is>
      </c>
      <c r="E137" s="8" t="inlineStr">
        <is>
          <t>Demontáž stávající elektroinstalace v celém domě (vodiče, rozvaděč, zásuvky, svítidla) — recyklace mědi</t>
        </is>
      </c>
      <c r="F137" s="20" t="inlineStr">
        <is>
          <t>kpl</t>
        </is>
      </c>
      <c r="G137" s="23" t="n">
        <v>1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kompletně nová ELI</t>
        </is>
      </c>
      <c r="N137" s="20" t="inlineStr">
        <is>
          <t>#7</t>
        </is>
      </c>
      <c r="O137" s="26" t="inlineStr">
        <is>
          <t>ANO</t>
        </is>
      </c>
      <c r="P137" s="41" t="n"/>
      <c r="Q137" s="41" t="n"/>
    </row>
    <row r="138">
      <c r="A138" s="20" t="n">
        <v>137</v>
      </c>
      <c r="B138" s="8" t="inlineStr">
        <is>
          <t>M-21 ELI silnoproud</t>
        </is>
      </c>
      <c r="C138" s="8" t="inlineStr">
        <is>
          <t>Pojistková skříň + 3× podružný rozvaděč</t>
        </is>
      </c>
      <c r="D138" s="20" t="inlineStr">
        <is>
          <t>210110023</t>
        </is>
      </c>
      <c r="E138" s="8" t="inlineStr">
        <is>
          <t>Nová pojistková skříň + 3× podružný rozvaděč pro každé patro (1.NP, 2.NP, 3.NP) s podružným měřením</t>
        </is>
      </c>
      <c r="F138" s="20" t="inlineStr">
        <is>
          <t>ks</t>
        </is>
      </c>
      <c r="G138" s="23" t="n">
        <v>4</v>
      </c>
      <c r="H138" s="10" t="n"/>
      <c r="I138" s="10" t="n"/>
      <c r="J138" s="8" t="inlineStr">
        <is>
          <t>elektroinstalater</t>
        </is>
      </c>
      <c r="K138" s="24" t="n">
        <v>0.85</v>
      </c>
      <c r="L138" s="20" t="inlineStr">
        <is>
          <t>needs_production_lookup</t>
        </is>
      </c>
      <c r="M138" s="8" t="inlineStr">
        <is>
          <t>TZ ARS dům §4 — 'nová pojistková skříň s podružným měřením pro každé patro'</t>
        </is>
      </c>
      <c r="N138" s="20" t="inlineStr">
        <is>
          <t>#7</t>
        </is>
      </c>
      <c r="O138" s="26" t="inlineStr">
        <is>
          <t>ANO</t>
        </is>
      </c>
      <c r="P138" s="41" t="n"/>
      <c r="Q138" s="41" t="n"/>
    </row>
    <row r="139">
      <c r="A139" s="20" t="n">
        <v>138</v>
      </c>
      <c r="B139" s="8" t="inlineStr">
        <is>
          <t>M-21 ELI silnoproud</t>
        </is>
      </c>
      <c r="C139" s="8" t="inlineStr">
        <is>
          <t>Rozvody silnoproud</t>
        </is>
      </c>
      <c r="D139" s="20" t="inlineStr">
        <is>
          <t>210800012</t>
        </is>
      </c>
      <c r="E139" s="8" t="inlineStr">
        <is>
          <t>Nové silnoproudé rozvody — vodiče CYKY 3×1.5 / 3×2.5 / 5×2.5 / 5×6 + krabice + instalační trubky</t>
        </is>
      </c>
      <c r="F139" s="20" t="inlineStr">
        <is>
          <t>bm</t>
        </is>
      </c>
      <c r="G139" s="22" t="n">
        <v>700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3-byt. dispozice</t>
        </is>
      </c>
      <c r="N139" s="20" t="inlineStr">
        <is>
          <t>#7</t>
        </is>
      </c>
      <c r="O139" s="26" t="inlineStr">
        <is>
          <t>ANO</t>
        </is>
      </c>
      <c r="P139" s="41" t="n"/>
      <c r="Q139" s="41" t="n"/>
    </row>
    <row r="140">
      <c r="A140" s="20" t="n">
        <v>139</v>
      </c>
      <c r="B140" s="8" t="inlineStr">
        <is>
          <t>M-21 ELI silnoproud</t>
        </is>
      </c>
      <c r="C140" s="8" t="inlineStr">
        <is>
          <t>Zásuvky a vypínače</t>
        </is>
      </c>
      <c r="D140" s="20" t="inlineStr">
        <is>
          <t>210810050</t>
        </is>
      </c>
      <c r="E140" s="8" t="inlineStr">
        <is>
          <t>Zásuvky a vypínače dodávka + montáž — ~70 ks (60-80 dle vyjasnění #7)</t>
        </is>
      </c>
      <c r="F140" s="20" t="inlineStr">
        <is>
          <t>ks</t>
        </is>
      </c>
      <c r="G140" s="23" t="n">
        <v>70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 220 m² 3-byt.</t>
        </is>
      </c>
      <c r="N140" s="20" t="inlineStr">
        <is>
          <t>#7</t>
        </is>
      </c>
      <c r="O140" s="26" t="inlineStr">
        <is>
          <t>ANO</t>
        </is>
      </c>
      <c r="P140" s="41" t="n"/>
      <c r="Q140" s="41" t="n"/>
    </row>
    <row r="141">
      <c r="A141" s="20" t="n">
        <v>140</v>
      </c>
      <c r="B141" s="8" t="inlineStr">
        <is>
          <t>M-21 ELI silnoproud</t>
        </is>
      </c>
      <c r="C141" s="8" t="inlineStr">
        <is>
          <t>Svítidla</t>
        </is>
      </c>
      <c r="D141" s="20" t="inlineStr">
        <is>
          <t>210820002</t>
        </is>
      </c>
      <c r="E141" s="8" t="inlineStr">
        <is>
          <t>Svítidla dodávka + montáž — ~35 ks (30-40 dle vyjasnění #7) interiér + venkovní u vstupů</t>
        </is>
      </c>
      <c r="F141" s="20" t="inlineStr">
        <is>
          <t>ks</t>
        </is>
      </c>
      <c r="G141" s="23" t="n">
        <v>35</v>
      </c>
      <c r="H141" s="10" t="n"/>
      <c r="I141" s="10" t="n"/>
      <c r="J141" s="8" t="inlineStr">
        <is>
          <t>elektroinstalater</t>
        </is>
      </c>
      <c r="K141" s="24" t="n">
        <v>0.8</v>
      </c>
      <c r="L141" s="20" t="inlineStr">
        <is>
          <t>needs_production_lookup</t>
        </is>
      </c>
      <c r="M141" s="8" t="inlineStr">
        <is>
          <t>TZ ARS + B4_productivity standard RD</t>
        </is>
      </c>
      <c r="N141" s="20" t="inlineStr">
        <is>
          <t>#7</t>
        </is>
      </c>
      <c r="O141" s="26" t="inlineStr">
        <is>
          <t>ANO</t>
        </is>
      </c>
      <c r="P141" s="41" t="n"/>
      <c r="Q141" s="41" t="n"/>
    </row>
    <row r="142">
      <c r="A142" s="20" t="n">
        <v>141</v>
      </c>
      <c r="B142" s="8" t="inlineStr">
        <is>
          <t>M-21 ELI silnoproud</t>
        </is>
      </c>
      <c r="C142" s="8" t="inlineStr">
        <is>
          <t>Příprava FVE</t>
        </is>
      </c>
      <c r="D142" s="20" t="inlineStr">
        <is>
          <t>210800099</t>
        </is>
      </c>
      <c r="E142" s="8" t="inlineStr">
        <is>
          <t>Příprava na osazení FVE — rezerva v rozvaděči (jistič + zásuvka pro střídač) + trasy do střechy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elektroinstalater</t>
        </is>
      </c>
      <c r="K142" s="24" t="n">
        <v>0.85</v>
      </c>
      <c r="L142" s="20" t="inlineStr">
        <is>
          <t>needs_production_lookup</t>
        </is>
      </c>
      <c r="M142" s="8" t="inlineStr">
        <is>
          <t>TZ ARS dům §4 — FVE příprava (bez panelů samotných)</t>
        </is>
      </c>
      <c r="N142" s="20" t="inlineStr">
        <is>
          <t>#7</t>
        </is>
      </c>
      <c r="O142" s="26" t="inlineStr">
        <is>
          <t>ANO</t>
        </is>
      </c>
      <c r="P142" s="41" t="n"/>
      <c r="Q142" s="41" t="n"/>
    </row>
    <row r="143">
      <c r="A143" s="20" t="n">
        <v>142</v>
      </c>
      <c r="B143" s="8" t="inlineStr">
        <is>
          <t>M-21 ELI silnoproud</t>
        </is>
      </c>
      <c r="C143" s="8" t="inlineStr">
        <is>
          <t>Revize ELI při kolaudaci</t>
        </is>
      </c>
      <c r="D143" s="20" t="inlineStr">
        <is>
          <t>996019011</t>
        </is>
      </c>
      <c r="E143" s="8" t="inlineStr">
        <is>
          <t>Výchozí revize elektrické instalace dle ČSN 33 2000-6 + revizní zpráva pro kolaudaci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revize_specialista</t>
        </is>
      </c>
      <c r="K143" s="24" t="n">
        <v>0.99</v>
      </c>
      <c r="L143" s="20" t="inlineStr">
        <is>
          <t>needs_production_lookup</t>
        </is>
      </c>
      <c r="M143" s="8" t="inlineStr">
        <is>
          <t>Povinná revize ELI dle ČSN 33 2000-6 + kolaudace</t>
        </is>
      </c>
      <c r="N143" s="20" t="inlineStr">
        <is>
          <t>—</t>
        </is>
      </c>
      <c r="O143" s="26" t="inlineStr">
        <is>
          <t>ANO</t>
        </is>
      </c>
      <c r="P143" s="41" t="n"/>
      <c r="Q143" s="41" t="n"/>
    </row>
    <row r="144">
      <c r="A144" s="20" t="n">
        <v>143</v>
      </c>
      <c r="B144" s="8" t="inlineStr">
        <is>
          <t>PSV-72 ZTI</t>
        </is>
      </c>
      <c r="C144" s="8" t="inlineStr">
        <is>
          <t>Revize stávajících přípojek</t>
        </is>
      </c>
      <c r="D144" s="20" t="inlineStr">
        <is>
          <t>722290515</t>
        </is>
      </c>
      <c r="E144" s="8" t="inlineStr">
        <is>
          <t>Revize stávajícího napojení vodovodu + kanalizace na pozemku — kontrola stavu, čištění, tlaková zkouška</t>
        </is>
      </c>
      <c r="F144" s="20" t="inlineStr">
        <is>
          <t>kpl</t>
        </is>
      </c>
      <c r="G144" s="23" t="n">
        <v>1</v>
      </c>
      <c r="H144" s="10" t="n"/>
      <c r="I144" s="10" t="n"/>
      <c r="J144" s="8" t="inlineStr">
        <is>
          <t>vodar</t>
        </is>
      </c>
      <c r="K144" s="24" t="n">
        <v>0.85</v>
      </c>
      <c r="L144" s="20" t="inlineStr">
        <is>
          <t>family_verified_leaf_needs_production_lookup</t>
        </is>
      </c>
      <c r="M144" s="8" t="inlineStr">
        <is>
          <t>TZ ARS dům §4 — vodovod + kanalizace stávající, bez změny</t>
        </is>
      </c>
      <c r="N144" s="20" t="inlineStr">
        <is>
          <t>#6</t>
        </is>
      </c>
      <c r="O144" s="26" t="inlineStr">
        <is>
          <t>ANO</t>
        </is>
      </c>
      <c r="P144" s="41" t="n"/>
      <c r="Q144" s="41" t="inlineStr">
        <is>
          <t>URS_PHASE5B_FAMILY_VERIFIED</t>
        </is>
      </c>
    </row>
    <row r="145">
      <c r="A145" s="20" t="n">
        <v>144</v>
      </c>
      <c r="B145" s="8" t="inlineStr">
        <is>
          <t>PSV-72 ZTI</t>
        </is>
      </c>
      <c r="C145" s="8" t="inlineStr">
        <is>
          <t>Nové rozvody vody do 3.NP</t>
        </is>
      </c>
      <c r="D145" s="20" t="inlineStr">
        <is>
          <t>722172011</t>
        </is>
      </c>
      <c r="E145" s="8" t="inlineStr">
        <is>
          <t>Nové rozvody studené + teplé vody do koupelen 1.NP + 2.NP + 3.NP a kuchyní (PEX/Cu, dimenze DN15-25)</t>
        </is>
      </c>
      <c r="F145" s="20" t="inlineStr">
        <is>
          <t>bm</t>
        </is>
      </c>
      <c r="G145" s="22" t="n">
        <v>80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family_verified_leaf_needs_production_lookup</t>
        </is>
      </c>
      <c r="M145" s="8" t="inlineStr">
        <is>
          <t>TZ ARS dům §4 — nové koupelny + kuchyně, vyjasnění #6 working assumption</t>
        </is>
      </c>
      <c r="N145" s="20" t="inlineStr">
        <is>
          <t>#6</t>
        </is>
      </c>
      <c r="O145" s="26" t="inlineStr">
        <is>
          <t>ANO</t>
        </is>
      </c>
      <c r="P145" s="41" t="n"/>
      <c r="Q145" s="41" t="inlineStr">
        <is>
          <t>URS_PHASE5B_FAMILY_VERIFIED</t>
        </is>
      </c>
    </row>
    <row r="146">
      <c r="A146" s="20" t="n">
        <v>145</v>
      </c>
      <c r="B146" s="8" t="inlineStr">
        <is>
          <t>PSV-72 ZTI</t>
        </is>
      </c>
      <c r="C146" s="8" t="inlineStr">
        <is>
          <t>Nové odpadní rozvody</t>
        </is>
      </c>
      <c r="D146" s="20" t="inlineStr">
        <is>
          <t>721174021</t>
        </is>
      </c>
      <c r="E146" s="8" t="inlineStr">
        <is>
          <t>Nové odpadní rozvody PVC-HT DN40-DN110 ke koupelnám 1.NP, 2.NP, 3.NP a kuchyním + napojení na stávající</t>
        </is>
      </c>
      <c r="F146" s="20" t="inlineStr">
        <is>
          <t>bm</t>
        </is>
      </c>
      <c r="G146" s="22" t="n">
        <v>60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TZ ARS dům §4 — nové koupelny + kuchyně, odpad do stávající kanalizace</t>
        </is>
      </c>
      <c r="N146" s="20" t="inlineStr">
        <is>
          <t>#6</t>
        </is>
      </c>
      <c r="O146" s="26" t="inlineStr">
        <is>
          <t>ANO</t>
        </is>
      </c>
      <c r="P146" s="41" t="n"/>
      <c r="Q146" s="41" t="n"/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</t>
        </is>
      </c>
      <c r="D147" s="20" t="inlineStr">
        <is>
          <t>725291131</t>
        </is>
      </c>
      <c r="E147" s="8" t="inlineStr">
        <is>
          <t>Sanitární keramika dodávka + montáž v koupelně 1.05 1.NP: 1× vana (DXF) + 1× umyvadlo (DXF) + 1× WC (TZ standard)</t>
        </is>
      </c>
      <c r="F147" s="20" t="inlineStr">
        <is>
          <t>set</t>
        </is>
      </c>
      <c r="G147" s="22" t="n">
        <v>0</v>
      </c>
      <c r="H147" s="10" t="n"/>
      <c r="I147" s="10" t="n"/>
      <c r="J147" s="8" t="inlineStr">
        <is>
          <t>vodar</t>
        </is>
      </c>
      <c r="K147" s="24" t="n">
        <v>0.75</v>
      </c>
      <c r="L147" s="20" t="inlineStr">
        <is>
          <t>needs_production_lookup</t>
        </is>
      </c>
      <c r="M147" s="8" t="inlineStr">
        <is>
          <t>DXF dum_DPZ INSERT positions PIP do room 1.05 polygon (partial — 4/13 fixtures matched celkem) + TZ ARS § koupelny standard pattern</t>
        </is>
      </c>
      <c r="N147" s="20" t="inlineStr">
        <is>
          <t>#6</t>
        </is>
      </c>
      <c r="O147" s="26" t="inlineStr">
        <is>
          <t>ANO</t>
        </is>
      </c>
      <c r="P147" s="41" t="n"/>
      <c r="Q147" s="41" t="inlineStr">
        <is>
          <t>GAP_005_deprecated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A</t>
        </is>
      </c>
      <c r="D148" s="20" t="inlineStr">
        <is>
          <t>725211101</t>
        </is>
      </c>
      <c r="E148" s="8" t="inlineStr">
        <is>
          <t>Vana koupelnová obdélníková 170×70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  <c r="P148" s="41" t="n"/>
      <c r="Q148" s="41" t="inlineStr">
        <is>
          <t>GAP_005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B</t>
        </is>
      </c>
      <c r="D149" s="20" t="inlineStr">
        <is>
          <t>725311111</t>
        </is>
      </c>
      <c r="E149" s="8" t="inlineStr">
        <is>
          <t>Umyvadlo bílé keramické se sloupcem 60 cm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  <c r="P149" s="41" t="n"/>
      <c r="Q149" s="41" t="inlineStr">
        <is>
          <t>GAP_005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1.05 (1.NP) / fixture C</t>
        </is>
      </c>
      <c r="D150" s="20" t="inlineStr">
        <is>
          <t>725111101</t>
        </is>
      </c>
      <c r="E150" s="8" t="inlineStr">
        <is>
          <t>WC kombi keramické bílé — koupelna 1.05 1.NP</t>
        </is>
      </c>
      <c r="F150" s="20" t="inlineStr">
        <is>
          <t>ks</t>
        </is>
      </c>
      <c r="G150" s="23" t="n">
        <v>1</v>
      </c>
      <c r="H150" s="10" t="n"/>
      <c r="I150" s="10" t="n"/>
      <c r="J150" s="8" t="inlineStr">
        <is>
          <t>vodar</t>
        </is>
      </c>
      <c r="K150" s="24" t="n">
        <v>0.9</v>
      </c>
      <c r="L150" s="20" t="inlineStr">
        <is>
          <t>needs_production_lookup</t>
        </is>
      </c>
      <c r="M150" s="8" t="inlineStr">
        <is>
          <t>DXF dum_DPZ MTEXT room 1.05 1.NP + TZ ARS koupelna kompletace</t>
        </is>
      </c>
      <c r="N150" s="20" t="inlineStr">
        <is>
          <t>—</t>
        </is>
      </c>
      <c r="O150" s="26" t="inlineStr">
        <is>
          <t>ANO</t>
        </is>
      </c>
      <c r="P150" s="41" t="n"/>
      <c r="Q150" s="41" t="inlineStr">
        <is>
          <t>GAP_005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</t>
        </is>
      </c>
      <c r="D151" s="20" t="inlineStr">
        <is>
          <t>725291131</t>
        </is>
      </c>
      <c r="E151" s="8" t="inlineStr">
        <is>
          <t>Sanitární keramika dodávka + montáž v koupelně 2.03 2.NP: 1× umyvadlo (DXF) + 1× WC (TZ standard) + 1× sprcha (TZ standard)</t>
        </is>
      </c>
      <c r="F151" s="20" t="inlineStr">
        <is>
          <t>set</t>
        </is>
      </c>
      <c r="G151" s="22" t="n">
        <v>0</v>
      </c>
      <c r="H151" s="10" t="n"/>
      <c r="I151" s="10" t="n"/>
      <c r="J151" s="8" t="inlineStr">
        <is>
          <t>vodar</t>
        </is>
      </c>
      <c r="K151" s="24" t="n">
        <v>0.75</v>
      </c>
      <c r="L151" s="20" t="inlineStr">
        <is>
          <t>needs_production_lookup</t>
        </is>
      </c>
      <c r="M151" s="8" t="inlineStr">
        <is>
          <t>DXF dum_DPZ INSERT positions PIP do room 2.03 polygon (partial — 4/13 fixtures matched celkem) + TZ ARS § koupelny standard pattern</t>
        </is>
      </c>
      <c r="N151" s="20" t="inlineStr">
        <is>
          <t>#6</t>
        </is>
      </c>
      <c r="O151" s="26" t="inlineStr">
        <is>
          <t>ANO</t>
        </is>
      </c>
      <c r="P151" s="41" t="n"/>
      <c r="Q151" s="41" t="inlineStr">
        <is>
          <t>GAP_005_deprecated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A</t>
        </is>
      </c>
      <c r="D152" s="20" t="inlineStr">
        <is>
          <t>725311111</t>
        </is>
      </c>
      <c r="E152" s="8" t="inlineStr">
        <is>
          <t>Umyvadlo bílé keramické se sloupcem 60 cm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  <c r="P152" s="41" t="n"/>
      <c r="Q152" s="41" t="inlineStr">
        <is>
          <t>GAP_005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B</t>
        </is>
      </c>
      <c r="D153" s="20" t="inlineStr">
        <is>
          <t>725221201</t>
        </is>
      </c>
      <c r="E153" s="8" t="inlineStr">
        <is>
          <t>Sprchový kout 90×90 cm vč. vaničky + skleněných dveří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  <c r="P153" s="41" t="n"/>
      <c r="Q153" s="41" t="inlineStr">
        <is>
          <t>GAP_005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2.03 (2.NP) / fixture C</t>
        </is>
      </c>
      <c r="D154" s="20" t="inlineStr">
        <is>
          <t>725111101</t>
        </is>
      </c>
      <c r="E154" s="8" t="inlineStr">
        <is>
          <t>WC kombi keramické bílé — koupelna 2.03 2.NP</t>
        </is>
      </c>
      <c r="F154" s="20" t="inlineStr">
        <is>
          <t>ks</t>
        </is>
      </c>
      <c r="G154" s="23" t="n">
        <v>1</v>
      </c>
      <c r="H154" s="10" t="n"/>
      <c r="I154" s="10" t="n"/>
      <c r="J154" s="8" t="inlineStr">
        <is>
          <t>vodar</t>
        </is>
      </c>
      <c r="K154" s="24" t="n">
        <v>0.9</v>
      </c>
      <c r="L154" s="20" t="inlineStr">
        <is>
          <t>needs_production_lookup</t>
        </is>
      </c>
      <c r="M154" s="8" t="inlineStr">
        <is>
          <t>DXF dum_DPZ MTEXT room 2.03 2.NP + TZ ARS koupelna kompletace</t>
        </is>
      </c>
      <c r="N154" s="20" t="inlineStr">
        <is>
          <t>—</t>
        </is>
      </c>
      <c r="O154" s="26" t="inlineStr">
        <is>
          <t>ANO</t>
        </is>
      </c>
      <c r="P154" s="41" t="n"/>
      <c r="Q154" s="41" t="inlineStr">
        <is>
          <t>GAP_005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</t>
        </is>
      </c>
      <c r="D155" s="20" t="inlineStr">
        <is>
          <t>725291131</t>
        </is>
      </c>
      <c r="E155" s="8" t="inlineStr">
        <is>
          <t>Sanitární keramika dodávka + montáž v koupelně 3.04 3.NP: 1× WC (DXF) + 1× umyvadlo (TZ standard) + 1× sprcha (TZ standard)</t>
        </is>
      </c>
      <c r="F155" s="20" t="inlineStr">
        <is>
          <t>set</t>
        </is>
      </c>
      <c r="G155" s="22" t="n">
        <v>0</v>
      </c>
      <c r="H155" s="10" t="n"/>
      <c r="I155" s="10" t="n"/>
      <c r="J155" s="8" t="inlineStr">
        <is>
          <t>vodar</t>
        </is>
      </c>
      <c r="K155" s="24" t="n">
        <v>0.75</v>
      </c>
      <c r="L155" s="20" t="inlineStr">
        <is>
          <t>needs_production_lookup</t>
        </is>
      </c>
      <c r="M155" s="8" t="inlineStr">
        <is>
          <t>DXF dum_DPZ INSERT positions PIP do room 3.04 polygon (partial — 4/13 fixtures matched celkem) + TZ ARS § koupelny standard pattern</t>
        </is>
      </c>
      <c r="N155" s="20" t="inlineStr">
        <is>
          <t>#6</t>
        </is>
      </c>
      <c r="O155" s="26" t="inlineStr">
        <is>
          <t>ANO</t>
        </is>
      </c>
      <c r="P155" s="41" t="n"/>
      <c r="Q155" s="41" t="inlineStr">
        <is>
          <t>GAP_005_deprecated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A</t>
        </is>
      </c>
      <c r="D156" s="20" t="inlineStr">
        <is>
          <t>725111101</t>
        </is>
      </c>
      <c r="E156" s="8" t="inlineStr">
        <is>
          <t>WC kombi keramické bílé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  <c r="P156" s="41" t="n"/>
      <c r="Q156" s="41" t="inlineStr">
        <is>
          <t>GAP_005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B</t>
        </is>
      </c>
      <c r="D157" s="20" t="inlineStr">
        <is>
          <t>725311111</t>
        </is>
      </c>
      <c r="E157" s="8" t="inlineStr">
        <is>
          <t>Umyvadlo bílé keramické se sloupcem 60 cm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  <c r="P157" s="41" t="n"/>
      <c r="Q157" s="41" t="inlineStr">
        <is>
          <t>GAP_005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Sanitární keramika koupelna 3.04 (3.NP) / fixture C</t>
        </is>
      </c>
      <c r="D158" s="20" t="inlineStr">
        <is>
          <t>725221201</t>
        </is>
      </c>
      <c r="E158" s="8" t="inlineStr">
        <is>
          <t>Sprchový kout 90×90 cm vč. vaničky + skleněných dveří — koupelna 3.04 3.NP</t>
        </is>
      </c>
      <c r="F158" s="20" t="inlineStr">
        <is>
          <t>ks</t>
        </is>
      </c>
      <c r="G158" s="23" t="n">
        <v>1</v>
      </c>
      <c r="H158" s="10" t="n"/>
      <c r="I158" s="10" t="n"/>
      <c r="J158" s="8" t="inlineStr">
        <is>
          <t>vodar</t>
        </is>
      </c>
      <c r="K158" s="24" t="n">
        <v>0.9</v>
      </c>
      <c r="L158" s="20" t="inlineStr">
        <is>
          <t>needs_production_lookup</t>
        </is>
      </c>
      <c r="M158" s="8" t="inlineStr">
        <is>
          <t>DXF dum_DPZ MTEXT room 3.04 3.NP + TZ ARS koupelna kompletace</t>
        </is>
      </c>
      <c r="N158" s="20" t="inlineStr">
        <is>
          <t>—</t>
        </is>
      </c>
      <c r="O158" s="26" t="inlineStr">
        <is>
          <t>ANO</t>
        </is>
      </c>
      <c r="P158" s="41" t="n"/>
      <c r="Q158" s="41" t="inlineStr">
        <is>
          <t>GAP_005</t>
        </is>
      </c>
    </row>
    <row r="159">
      <c r="A159" s="20" t="n">
        <v>158</v>
      </c>
      <c r="B159" s="8" t="inlineStr">
        <is>
          <t>PSV-72 ZTI</t>
        </is>
      </c>
      <c r="C159" s="8" t="inlineStr">
        <is>
          <t>Kuchyňský dřez 2 ks (1.06 + 3.05)</t>
        </is>
      </c>
      <c r="D159" s="20" t="inlineStr">
        <is>
          <t>725840111</t>
        </is>
      </c>
      <c r="E159" s="8" t="inlineStr">
        <is>
          <t>Kuchyňský dřez nerez + montáž — 2 ks (kuchyně 1.06 byt rodičů + kuchyně 3.05 byt 3.NP)</t>
        </is>
      </c>
      <c r="F159" s="20" t="inlineStr">
        <is>
          <t>ks</t>
        </is>
      </c>
      <c r="G159" s="23" t="n">
        <v>2</v>
      </c>
      <c r="H159" s="10" t="n"/>
      <c r="I159" s="10" t="n"/>
      <c r="J159" s="8" t="inlineStr">
        <is>
          <t>vodar</t>
        </is>
      </c>
      <c r="K159" s="24" t="n">
        <v>0.95</v>
      </c>
      <c r="L159" s="20" t="inlineStr">
        <is>
          <t>needs_production_lookup</t>
        </is>
      </c>
      <c r="M159" s="8" t="inlineStr">
        <is>
          <t>DXF kuchyně MTEXT 2× + TZ ARS — dispozice byty</t>
        </is>
      </c>
      <c r="N159" s="20" t="inlineStr">
        <is>
          <t>#6</t>
        </is>
      </c>
      <c r="O159" s="26" t="inlineStr">
        <is>
          <t>ANO</t>
        </is>
      </c>
      <c r="P159" s="41" t="n"/>
      <c r="Q159" s="41" t="n"/>
    </row>
    <row r="160">
      <c r="A160" s="20" t="n">
        <v>159</v>
      </c>
      <c r="B160" s="8" t="inlineStr">
        <is>
          <t>PSV-72 ZTI</t>
        </is>
      </c>
      <c r="C160" s="8" t="inlineStr">
        <is>
          <t>Vodovodní baterie + drobnosti</t>
        </is>
      </c>
      <c r="D160" s="20" t="inlineStr">
        <is>
          <t>725822611</t>
        </is>
      </c>
      <c r="E160" s="8" t="inlineStr">
        <is>
          <t>Vodovodní baterie (WC ventil + páková umyvadlová + sprchové + dřezové + termostat sprchové) — ~15 ks + drobné instalační materiály</t>
        </is>
      </c>
      <c r="F160" s="20" t="inlineStr">
        <is>
          <t>ks</t>
        </is>
      </c>
      <c r="G160" s="23" t="n">
        <v>15</v>
      </c>
      <c r="H160" s="10" t="n"/>
      <c r="I160" s="10" t="n"/>
      <c r="J160" s="8" t="inlineStr">
        <is>
          <t>vodar</t>
        </is>
      </c>
      <c r="K160" s="24" t="n">
        <v>0.75</v>
      </c>
      <c r="L160" s="20" t="inlineStr">
        <is>
          <t>needs_production_lookup</t>
        </is>
      </c>
      <c r="M160" s="8" t="inlineStr">
        <is>
          <t>TZ ARS — kompletní baterie nové</t>
        </is>
      </c>
      <c r="N160" s="20" t="inlineStr">
        <is>
          <t>#6</t>
        </is>
      </c>
      <c r="O160" s="26" t="inlineStr">
        <is>
          <t>ANO</t>
        </is>
      </c>
      <c r="P160" s="41" t="n"/>
      <c r="Q160" s="41" t="n"/>
    </row>
    <row r="161">
      <c r="A161" s="20" t="n">
        <v>160</v>
      </c>
      <c r="B161" s="8" t="inlineStr">
        <is>
          <t>PSV-72 ZTI</t>
        </is>
      </c>
      <c r="C161" s="8" t="inlineStr">
        <is>
          <t>Akumulační zásobník TUV v suterénu</t>
        </is>
      </c>
      <c r="D161" s="20" t="inlineStr">
        <is>
          <t>732419411</t>
        </is>
      </c>
      <c r="E161" s="8" t="inlineStr">
        <is>
          <t>Akumulační zásobník TUV ~300 l v 1.PP napojený na topný systém (sporáková kamna + krb + elektrokotel) — nepřímotop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instalater_TUV_akumulacni_zasobnik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kombi akumulační zásobník napojený na multivariantní topný systém</t>
        </is>
      </c>
      <c r="N161" s="20" t="inlineStr">
        <is>
          <t>#6</t>
        </is>
      </c>
      <c r="O161" s="26" t="inlineStr">
        <is>
          <t>ANO</t>
        </is>
      </c>
      <c r="P161" s="41" t="n"/>
      <c r="Q161" s="41" t="n"/>
    </row>
    <row r="162">
      <c r="A162" s="20" t="n">
        <v>161</v>
      </c>
      <c r="B162" s="8" t="inlineStr">
        <is>
          <t>PSV-72 ZTI</t>
        </is>
      </c>
      <c r="C162" s="8" t="inlineStr">
        <is>
          <t>Elektrický bojler 3.NP</t>
        </is>
      </c>
      <c r="D162" s="20" t="inlineStr">
        <is>
          <t>732429211</t>
        </is>
      </c>
      <c r="E162" s="8" t="inlineStr">
        <is>
          <t>Elektrický bojler ~80 l v koupelně 3.NP (nezávislý zdroj pro samostatný byt)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vodar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elektrický bojler v 3.NP koupelně, vyjasnění #6 odhad 80 l</t>
        </is>
      </c>
      <c r="N162" s="20" t="inlineStr">
        <is>
          <t>#6</t>
        </is>
      </c>
      <c r="O162" s="26" t="inlineStr">
        <is>
          <t>ANO</t>
        </is>
      </c>
      <c r="P162" s="41" t="n"/>
      <c r="Q162" s="41" t="n"/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na tuhá paliva</t>
        </is>
      </c>
      <c r="D163" s="20" t="inlineStr">
        <is>
          <t>733241011</t>
        </is>
      </c>
      <c r="E163" s="8" t="inlineStr">
        <is>
          <t>Sporáková kamna na tuhá paliva ~10 kW s akumulačním zásobníkem TUV — dodávka</t>
        </is>
      </c>
      <c r="F163" s="20" t="inlineStr">
        <is>
          <t>ks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0.85</v>
      </c>
      <c r="L163" s="20" t="inlineStr">
        <is>
          <t>needs_production_lookup</t>
        </is>
      </c>
      <c r="M163" s="8" t="inlineStr">
        <is>
          <t>TZ ARS dům §4 — primární zdroj 1.NP/2.NP, ~10 kW odhad standard RD</t>
        </is>
      </c>
      <c r="N163" s="20" t="inlineStr">
        <is>
          <t>#6</t>
        </is>
      </c>
      <c r="O163" s="26" t="inlineStr">
        <is>
          <t>ANO</t>
        </is>
      </c>
      <c r="P163" s="41" t="n"/>
      <c r="Q163" s="41" t="n"/>
    </row>
    <row r="164">
      <c r="A164" s="20" t="n">
        <v>163</v>
      </c>
      <c r="B164" s="8" t="inlineStr">
        <is>
          <t>PSV-73 Vytápění</t>
        </is>
      </c>
      <c r="C164" s="8" t="inlineStr">
        <is>
          <t>Sporáková kamna — montáž</t>
        </is>
      </c>
      <c r="D164" s="20" t="inlineStr">
        <is>
          <t>733281011</t>
        </is>
      </c>
      <c r="E164" s="8" t="inlineStr">
        <is>
          <t>Sporáková kamna — montáž vč. napojení na komín + akumulační zásobník (cca 8 Nh)</t>
        </is>
      </c>
      <c r="F164" s="20" t="inlineStr">
        <is>
          <t>kpl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0.75</v>
      </c>
      <c r="L164" s="20" t="inlineStr">
        <is>
          <t>needs_production_lookup</t>
        </is>
      </c>
      <c r="M164" s="8" t="inlineStr">
        <is>
          <t>Standard montáž kamen s napojením na zásobník</t>
        </is>
      </c>
      <c r="N164" s="20" t="inlineStr">
        <is>
          <t>—</t>
        </is>
      </c>
      <c r="O164" s="26" t="inlineStr">
        <is>
          <t>ANO</t>
        </is>
      </c>
      <c r="P164" s="41" t="n"/>
      <c r="Q164" s="41" t="n"/>
    </row>
    <row r="165">
      <c r="A165" s="20" t="n">
        <v>164</v>
      </c>
      <c r="B165" s="8" t="inlineStr">
        <is>
          <t>PSV-73 Vytápění</t>
        </is>
      </c>
      <c r="C165" s="8" t="inlineStr">
        <is>
          <t>Elektrokotel 3.NP</t>
        </is>
      </c>
      <c r="D165" s="20" t="inlineStr">
        <is>
          <t>733131221</t>
        </is>
      </c>
      <c r="E165" s="8" t="inlineStr">
        <is>
          <t>Elektrokotel ~8 kW pro 3.NP samostatný byt — dodávka + montáž + napojení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'Nově navržené 3.NP bude vytápěno elektrokotlem'; ~8 kW odhad</t>
        </is>
      </c>
      <c r="N165" s="20" t="inlineStr">
        <is>
          <t>#6</t>
        </is>
      </c>
      <c r="O165" s="26" t="inlineStr">
        <is>
          <t>ANO</t>
        </is>
      </c>
      <c r="P165" s="41" t="n"/>
      <c r="Q165" s="41" t="n"/>
    </row>
    <row r="166">
      <c r="A166" s="20" t="n">
        <v>165</v>
      </c>
      <c r="B166" s="8" t="inlineStr">
        <is>
          <t>PSV-73 Vytápění</t>
        </is>
      </c>
      <c r="C166" s="8" t="inlineStr">
        <is>
          <t>Krb na tuhá paliva 3.NP</t>
        </is>
      </c>
      <c r="D166" s="20" t="inlineStr">
        <is>
          <t>733241011</t>
        </is>
      </c>
      <c r="E166" s="8" t="inlineStr">
        <is>
          <t>Krb na tuhá paliva v 3.NP ~6 kW — dodávka + montáž s napojením na samostatný komín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topenar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krb v 3.NP, ~6 kW odhad</t>
        </is>
      </c>
      <c r="N166" s="20" t="inlineStr">
        <is>
          <t>#6</t>
        </is>
      </c>
      <c r="O166" s="26" t="inlineStr">
        <is>
          <t>ANO</t>
        </is>
      </c>
      <c r="P166" s="41" t="n"/>
      <c r="Q166" s="41" t="n"/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venkovní jednotka</t>
        </is>
      </c>
      <c r="D167" s="20" t="inlineStr">
        <is>
          <t>733425211</t>
        </is>
      </c>
      <c r="E167" s="8" t="inlineStr">
        <is>
          <t>Multisplit tepelné čerpadlo vzduch-vzduch — 1× venkovní jednotka ~10 kW (silent mode hl. tlaku ≤49 dBA)</t>
        </is>
      </c>
      <c r="F167" s="20" t="inlineStr">
        <is>
          <t>ks</t>
        </is>
      </c>
      <c r="G167" s="23" t="n">
        <v>1</v>
      </c>
      <c r="H167" s="10" t="n"/>
      <c r="I167" s="10" t="n"/>
      <c r="J167" s="8" t="inlineStr">
        <is>
          <t>specialista_TC_multisplit</t>
        </is>
      </c>
      <c r="K167" s="24" t="n">
        <v>0.85</v>
      </c>
      <c r="L167" s="20" t="inlineStr">
        <is>
          <t>needs_production_lookup</t>
        </is>
      </c>
      <c r="M167" s="8" t="inlineStr">
        <is>
          <t>TZ ARS dům §4 — multisplit TČ s akustikou hl. tlaku ≤49 dBA, NV 272/2011</t>
        </is>
      </c>
      <c r="N167" s="20" t="inlineStr">
        <is>
          <t>#6</t>
        </is>
      </c>
      <c r="O167" s="26" t="inlineStr">
        <is>
          <t>ANO</t>
        </is>
      </c>
      <c r="P167" s="41" t="n"/>
      <c r="Q167" s="41" t="n"/>
    </row>
    <row r="168">
      <c r="A168" s="20" t="n">
        <v>167</v>
      </c>
      <c r="B168" s="8" t="inlineStr">
        <is>
          <t>PSV-73 Vytápění</t>
        </is>
      </c>
      <c r="C168" s="8" t="inlineStr">
        <is>
          <t>Multisplit TČ — vnitřní jednotky</t>
        </is>
      </c>
      <c r="D168" s="20" t="inlineStr">
        <is>
          <t>733425221</t>
        </is>
      </c>
      <c r="E168" s="8" t="inlineStr">
        <is>
          <t>Multisplit TČ — 5× vnitřní jednotka v obytných místnostech (1.NP, 2.NP, 3.NP — chlazení + vytápění)</t>
        </is>
      </c>
      <c r="F168" s="20" t="inlineStr">
        <is>
          <t>ks</t>
        </is>
      </c>
      <c r="G168" s="23" t="n">
        <v>5</v>
      </c>
      <c r="H168" s="10" t="n"/>
      <c r="I168" s="10" t="n"/>
      <c r="J168" s="8" t="inlineStr">
        <is>
          <t>specialista_TC_multisplit</t>
        </is>
      </c>
      <c r="K168" s="24" t="n">
        <v>0.75</v>
      </c>
      <c r="L168" s="20" t="inlineStr">
        <is>
          <t>needs_production_lookup</t>
        </is>
      </c>
      <c r="M168" s="8" t="inlineStr">
        <is>
          <t>TZ ARS dům §4 — vnitřní jednotky multisplit, vyjasnění #6 odhad 5 ks</t>
        </is>
      </c>
      <c r="N168" s="20" t="inlineStr">
        <is>
          <t>#6</t>
        </is>
      </c>
      <c r="O168" s="26" t="inlineStr">
        <is>
          <t>ANO</t>
        </is>
      </c>
      <c r="P168" s="41" t="n"/>
      <c r="Q168" s="41" t="n"/>
    </row>
    <row r="169">
      <c r="A169" s="20" t="n">
        <v>168</v>
      </c>
      <c r="B169" s="8" t="inlineStr">
        <is>
          <t>PSV-73 Vytápění</t>
        </is>
      </c>
      <c r="C169" s="8" t="inlineStr">
        <is>
          <t>Revize komínu</t>
        </is>
      </c>
      <c r="D169" s="20" t="inlineStr">
        <is>
          <t>734262122</t>
        </is>
      </c>
      <c r="E169" s="8" t="inlineStr">
        <is>
          <t>Revize stávajícího komínu — kontrola, čištění, vystrojení vložkou nerez DN160 pro kamna + krb 3.NP</t>
        </is>
      </c>
      <c r="F169" s="20" t="inlineStr">
        <is>
          <t>kpl</t>
        </is>
      </c>
      <c r="G169" s="23" t="n">
        <v>1</v>
      </c>
      <c r="H169" s="10" t="n"/>
      <c r="I169" s="10" t="n"/>
      <c r="J169" s="8" t="inlineStr">
        <is>
          <t>kominik</t>
        </is>
      </c>
      <c r="K169" s="24" t="n">
        <v>0.85</v>
      </c>
      <c r="L169" s="20" t="inlineStr">
        <is>
          <t>needs_production_lookup</t>
        </is>
      </c>
      <c r="M169" s="8" t="inlineStr">
        <is>
          <t>TZ ARS dům §4 — komín stávající, vystrojení vložkou pro kamna + krb</t>
        </is>
      </c>
      <c r="N169" s="20" t="inlineStr">
        <is>
          <t>#6</t>
        </is>
      </c>
      <c r="O169" s="26" t="inlineStr">
        <is>
          <t>ANO</t>
        </is>
      </c>
      <c r="P169" s="41" t="n"/>
      <c r="Q169" s="41" t="n"/>
    </row>
    <row r="170">
      <c r="A170" s="20" t="n">
        <v>169</v>
      </c>
      <c r="B170" s="8" t="inlineStr">
        <is>
          <t>PSV-73 Vytápění</t>
        </is>
      </c>
      <c r="C170" s="8" t="inlineStr">
        <is>
          <t>Rozvody otopné soustavy</t>
        </is>
      </c>
      <c r="D170" s="20" t="inlineStr">
        <is>
          <t>733111021</t>
        </is>
      </c>
      <c r="E170" s="8" t="inlineStr">
        <is>
          <t>Rozvody otopné soustavy Cu/PEX k vnitřním jednotkám TČ + radiátorům pro doplňkové (cca 100 bm odhad)</t>
        </is>
      </c>
      <c r="F170" s="20" t="inlineStr">
        <is>
          <t>bm</t>
        </is>
      </c>
      <c r="G170" s="22" t="n">
        <v>100</v>
      </c>
      <c r="H170" s="10" t="n"/>
      <c r="I170" s="10" t="n"/>
      <c r="J170" s="8" t="inlineStr">
        <is>
          <t>topenar</t>
        </is>
      </c>
      <c r="K170" s="24" t="n">
        <v>0.75</v>
      </c>
      <c r="L170" s="20" t="inlineStr">
        <is>
          <t>needs_production_lookup</t>
        </is>
      </c>
      <c r="M170" s="8" t="inlineStr">
        <is>
          <t>TZ ARS dům §4 — rozvody otopné soustavy</t>
        </is>
      </c>
      <c r="N170" s="20" t="inlineStr">
        <is>
          <t>#6</t>
        </is>
      </c>
      <c r="O170" s="26" t="inlineStr">
        <is>
          <t>ANO</t>
        </is>
      </c>
      <c r="P170" s="41" t="n"/>
      <c r="Q170" s="41" t="n"/>
    </row>
    <row r="171">
      <c r="A171" s="20" t="n">
        <v>170</v>
      </c>
      <c r="B171" s="8" t="inlineStr">
        <is>
          <t>VRN — BOZP</t>
        </is>
      </c>
      <c r="C171" s="8" t="inlineStr">
        <is>
          <t>Koordinace BOZP</t>
        </is>
      </c>
      <c r="D171" s="20" t="inlineStr">
        <is>
          <t>030091000</t>
        </is>
      </c>
      <c r="E171" s="8" t="inlineStr">
        <is>
          <t>Koordinátor BOZP na staveništi dle zákona 309/2006 Sb. — pro stavbu s více než jedním zhotovitelem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Zákon 309/2006 Sb. — povinný BOZP koordinátor pro vícezhotovitelskou stavbu</t>
        </is>
      </c>
      <c r="N171" s="20" t="inlineStr">
        <is>
          <t>#10</t>
        </is>
      </c>
      <c r="O171" s="26" t="inlineStr">
        <is>
          <t>ANO</t>
        </is>
      </c>
      <c r="P171" s="41" t="n"/>
      <c r="Q171" s="41" t="n"/>
    </row>
    <row r="172">
      <c r="A172" s="20" t="n">
        <v>171</v>
      </c>
      <c r="B172" s="8" t="inlineStr">
        <is>
          <t>VRN — Dokumentace</t>
        </is>
      </c>
      <c r="C172" s="8" t="inlineStr">
        <is>
          <t>Předávací protokoly + DSP</t>
        </is>
      </c>
      <c r="D172" s="20" t="inlineStr">
        <is>
          <t>030151000</t>
        </is>
      </c>
      <c r="E172" s="8" t="inlineStr">
        <is>
          <t>Předávací protokoly + Dokumentace skutečného provedení (DSP) — sestavení, vázání, dodávka 2× tiskem + elektronická verze</t>
        </is>
      </c>
      <c r="F172" s="20" t="inlineStr">
        <is>
          <t>kpl</t>
        </is>
      </c>
      <c r="G172" s="23" t="n">
        <v>1</v>
      </c>
      <c r="H172" s="10" t="n"/>
      <c r="I172" s="10" t="n"/>
      <c r="J172" s="8" t="inlineStr">
        <is>
          <t>VRN_management</t>
        </is>
      </c>
      <c r="K172" s="24" t="n">
        <v>0.99</v>
      </c>
      <c r="L172" s="20" t="inlineStr">
        <is>
          <t>needs_production_lookup</t>
        </is>
      </c>
      <c r="M172" s="8" t="inlineStr">
        <is>
          <t>Vyhláška 499/2006 Sb. + ČKAIT — DSP povinná pro kolaudaci</t>
        </is>
      </c>
      <c r="N172" s="20" t="inlineStr">
        <is>
          <t>—</t>
        </is>
      </c>
      <c r="O172" s="26" t="inlineStr">
        <is>
          <t>ANO</t>
        </is>
      </c>
      <c r="P172" s="41" t="n"/>
      <c r="Q172" s="41" t="n"/>
    </row>
    <row r="173">
      <c r="A173" s="20" t="n">
        <v>172</v>
      </c>
      <c r="B173" s="8" t="inlineStr">
        <is>
          <t>VRN — Doprava + odpad</t>
        </is>
      </c>
      <c r="C173" s="8" t="inlineStr">
        <is>
          <t>Kontejnery suti tříděné</t>
        </is>
      </c>
      <c r="D173" s="20" t="inlineStr">
        <is>
          <t>997013211</t>
        </is>
      </c>
      <c r="E173" s="8" t="inlineStr">
        <is>
          <t>Kontejnery na suť tříděnou velkoobjemové (beton/cihly, dřevo, kovy, EPS, sádra, směs) — pronájem + svozy</t>
        </is>
      </c>
      <c r="F173" s="20" t="inlineStr">
        <is>
          <t>ks</t>
        </is>
      </c>
      <c r="G173" s="23" t="n">
        <v>7</v>
      </c>
      <c r="H173" s="10" t="n"/>
      <c r="I173" s="10" t="n"/>
      <c r="J173" s="8" t="inlineStr">
        <is>
          <t>bourani_demolice</t>
        </is>
      </c>
      <c r="K173" s="24" t="n">
        <v>0.85</v>
      </c>
      <c r="L173" s="20" t="inlineStr">
        <is>
          <t>needs_production_lookup</t>
        </is>
      </c>
      <c r="M173" s="8" t="inlineStr">
        <is>
          <t>TZ B m.10.e: beton/cihly 46 t + dřevo 9 t + kovy 0.1 + EPS 0.1 + sádra 0.2 + směs 1.0</t>
        </is>
      </c>
      <c r="N173" s="20" t="inlineStr">
        <is>
          <t>#9, #10</t>
        </is>
      </c>
      <c r="O173" s="26" t="inlineStr">
        <is>
          <t>ANO</t>
        </is>
      </c>
      <c r="P173" s="41" t="n"/>
      <c r="Q173" s="41" t="n"/>
    </row>
    <row r="174">
      <c r="A174" s="20" t="n">
        <v>173</v>
      </c>
      <c r="B174" s="8" t="inlineStr">
        <is>
          <t>VRN — Doprava + odpad</t>
        </is>
      </c>
      <c r="C174" s="8" t="inlineStr">
        <is>
          <t>Doprava materiálu</t>
        </is>
      </c>
      <c r="D174" s="20" t="inlineStr">
        <is>
          <t>031031000</t>
        </is>
      </c>
      <c r="E174" s="8" t="inlineStr">
        <is>
          <t>Doprava materiálu na stavbu (centrální koordinace) — paušál ~2-3 % z PN materiál</t>
        </is>
      </c>
      <c r="F174" s="20" t="inlineStr">
        <is>
          <t>paušál</t>
        </is>
      </c>
      <c r="G174" s="23" t="n">
        <v>1</v>
      </c>
      <c r="H174" s="10" t="n"/>
      <c r="I174" s="10" t="n"/>
      <c r="J174" s="8" t="inlineStr">
        <is>
          <t>VRN_management</t>
        </is>
      </c>
      <c r="K174" s="24" t="n">
        <v>0.8</v>
      </c>
      <c r="L174" s="20" t="inlineStr">
        <is>
          <t>needs_production_lookup</t>
        </is>
      </c>
      <c r="M174" s="8" t="inlineStr">
        <is>
          <t>B4_productivity — standard doprava RD městská zástavba</t>
        </is>
      </c>
      <c r="N174" s="20" t="inlineStr">
        <is>
          <t>#10</t>
        </is>
      </c>
      <c r="O174" s="26" t="inlineStr">
        <is>
          <t>ANO</t>
        </is>
      </c>
      <c r="P174" s="41" t="n"/>
      <c r="Q174" s="41" t="n"/>
    </row>
    <row r="175">
      <c r="A175" s="20" t="n">
        <v>174</v>
      </c>
      <c r="B175" s="8" t="inlineStr">
        <is>
          <t>VRN — Doprava + odpad</t>
        </is>
      </c>
      <c r="C175" s="8" t="inlineStr">
        <is>
          <t>Likvidace odpadů 56.9 t</t>
        </is>
      </c>
      <c r="D175" s="20" t="inlineStr">
        <is>
          <t>997013211</t>
        </is>
      </c>
      <c r="E175" s="8" t="inlineStr">
        <is>
          <t>Likvidace stavební suti dle vyhl. 8/2021 Sb. — skládkovné + recyklace + třídění (56.9 t celkem per TZ B m.10.e)</t>
        </is>
      </c>
      <c r="F175" s="20" t="inlineStr">
        <is>
          <t>t</t>
        </is>
      </c>
      <c r="G175" s="22" t="n">
        <v>56.9</v>
      </c>
      <c r="H175" s="10" t="n"/>
      <c r="I175" s="10" t="n"/>
      <c r="J175" s="8" t="inlineStr">
        <is>
          <t>bourani_demolice</t>
        </is>
      </c>
      <c r="K175" s="24" t="n">
        <v>0.85</v>
      </c>
      <c r="L175" s="20" t="inlineStr">
        <is>
          <t>needs_production_lookup</t>
        </is>
      </c>
      <c r="M175" s="8" t="inlineStr">
        <is>
          <t>TZ B m.10.e bilance odpadů celkem dům</t>
        </is>
      </c>
      <c r="N175" s="20" t="inlineStr">
        <is>
          <t>#9, #10</t>
        </is>
      </c>
      <c r="O175" s="26" t="inlineStr">
        <is>
          <t>ANO</t>
        </is>
      </c>
      <c r="P175" s="41" t="n"/>
      <c r="Q175" s="41" t="n"/>
    </row>
    <row r="176">
      <c r="A176" s="20" t="n">
        <v>175</v>
      </c>
      <c r="B176" s="8" t="inlineStr">
        <is>
          <t>VRN — Geodet</t>
        </is>
      </c>
      <c r="C176" s="8" t="inlineStr">
        <is>
          <t>Geodetické zaměření před + po realizaci</t>
        </is>
      </c>
      <c r="D176" s="20" t="inlineStr">
        <is>
          <t>030141000</t>
        </is>
      </c>
      <c r="E176" s="8" t="inlineStr">
        <is>
          <t>Geodetické zaměření před realizací (verifikace polohopis + výškopis) + po dokončení (zaměření skutečného provedení pro kolaudaci)</t>
        </is>
      </c>
      <c r="F176" s="20" t="inlineStr">
        <is>
          <t>kpl</t>
        </is>
      </c>
      <c r="G176" s="23" t="n">
        <v>2</v>
      </c>
      <c r="H176" s="10" t="n"/>
      <c r="I176" s="10" t="n"/>
      <c r="J176" s="8" t="inlineStr">
        <is>
          <t>geodet</t>
        </is>
      </c>
      <c r="K176" s="24" t="n">
        <v>0.99</v>
      </c>
      <c r="L176" s="20" t="inlineStr">
        <is>
          <t>needs_production_lookup</t>
        </is>
      </c>
      <c r="M176" s="8" t="inlineStr">
        <is>
          <t>Standard — geodet před+po pro každou stavbu</t>
        </is>
      </c>
      <c r="N176" s="20" t="inlineStr">
        <is>
          <t>—</t>
        </is>
      </c>
      <c r="O176" s="26" t="inlineStr">
        <is>
          <t>ANO</t>
        </is>
      </c>
      <c r="P176" s="41" t="n"/>
      <c r="Q176" s="41" t="n"/>
    </row>
    <row r="177">
      <c r="A177" s="20" t="n">
        <v>176</v>
      </c>
      <c r="B177" s="8" t="inlineStr">
        <is>
          <t>VRN — Kolaudace</t>
        </is>
      </c>
      <c r="C177" s="8" t="inlineStr">
        <is>
          <t>Kolaudační řízení</t>
        </is>
      </c>
      <c r="D177" s="20" t="inlineStr">
        <is>
          <t>030171000</t>
        </is>
      </c>
      <c r="E177" s="8" t="inlineStr">
        <is>
          <t>Kolaudační řízení — paušál (správní poplatky + součinnost) dle zákona 183/2006 Sb.</t>
        </is>
      </c>
      <c r="F177" s="20" t="inlineStr">
        <is>
          <t>paušál</t>
        </is>
      </c>
      <c r="G177" s="23" t="n">
        <v>1</v>
      </c>
      <c r="H177" s="10" t="n"/>
      <c r="I177" s="10" t="n"/>
      <c r="J177" s="8" t="inlineStr">
        <is>
          <t>VRN_management</t>
        </is>
      </c>
      <c r="K177" s="24" t="n">
        <v>0.99</v>
      </c>
      <c r="L177" s="20" t="inlineStr">
        <is>
          <t>needs_production_lookup</t>
        </is>
      </c>
      <c r="M177" s="8" t="inlineStr">
        <is>
          <t>Zákon 183/2006 Sb. + vyhl. 499/2006 Sb.</t>
        </is>
      </c>
      <c r="N177" s="20" t="inlineStr">
        <is>
          <t>—</t>
        </is>
      </c>
      <c r="O177" s="26" t="inlineStr">
        <is>
          <t>ANO</t>
        </is>
      </c>
      <c r="P177" s="41" t="n"/>
      <c r="Q177" s="41" t="n"/>
    </row>
    <row r="178">
      <c r="A178" s="20" t="n">
        <v>177</v>
      </c>
      <c r="B178" s="8" t="inlineStr">
        <is>
          <t>VRN — Lešení</t>
        </is>
      </c>
      <c r="C178" s="8" t="inlineStr">
        <is>
          <t>Fasádní lešení (ETICS + krov + klempířina)</t>
        </is>
      </c>
      <c r="D178" s="20" t="inlineStr">
        <is>
          <t>—</t>
        </is>
      </c>
      <c r="E178" s="8" t="inlineStr">
        <is>
          <t>Fasádní lešení trubkové/rámové vč. montáže + pronájmu + demontáže — pro provedení ETICS fasády, krovu a klempířiny po obvodu domu (výška 13 m)</t>
        </is>
      </c>
      <c r="F178" s="20" t="inlineStr">
        <is>
          <t>m²</t>
        </is>
      </c>
      <c r="G178" s="22" t="n">
        <v>503.1</v>
      </c>
      <c r="H178" s="10" t="n"/>
      <c r="I178" s="10" t="n"/>
      <c r="J178" s="8" t="inlineStr">
        <is>
          <t>VRN_management</t>
        </is>
      </c>
      <c r="K178" s="24" t="n">
        <v>0.8</v>
      </c>
      <c r="L178" s="20" t="inlineStr">
        <is>
          <t>needs_production_lookup</t>
        </is>
      </c>
      <c r="M178" s="8" t="inlineStr">
        <is>
          <t>anchor checklist PM02 — technical necessity (ETICS 276.7 m² nelze provést bez lešení, 941xxx URS família) + DXF obvod 38.7 m + řez výška 13 m</t>
        </is>
      </c>
      <c r="N178" s="20" t="inlineStr">
        <is>
          <t>—</t>
        </is>
      </c>
      <c r="O178" s="26" t="inlineStr">
        <is>
          <t>ANO</t>
        </is>
      </c>
      <c r="P178" s="41" t="n"/>
      <c r="Q178" s="41" t="inlineStr">
        <is>
          <t>ANCHOR_CHECKLIST_PM02</t>
        </is>
      </c>
    </row>
    <row r="179">
      <c r="A179" s="20" t="n">
        <v>178</v>
      </c>
      <c r="B179" s="8" t="inlineStr">
        <is>
          <t>VRN — Pojištění + zábory</t>
        </is>
      </c>
      <c r="C179" s="8" t="inlineStr">
        <is>
          <t>Pojištění stavby (montážní + odpovědnostní)</t>
        </is>
      </c>
      <c r="D179" s="20" t="inlineStr">
        <is>
          <t>030081000</t>
        </is>
      </c>
      <c r="E179" s="8" t="inlineStr">
        <is>
          <t>Montážní pojištění stavby (CAR) + pojištění odpovědnosti za škodu (zhotovitel) — paušál cca 0.3-0.5 % z PN</t>
        </is>
      </c>
      <c r="F179" s="20" t="inlineStr">
        <is>
          <t>paušál</t>
        </is>
      </c>
      <c r="G179" s="23" t="n">
        <v>1</v>
      </c>
      <c r="H179" s="10" t="n"/>
      <c r="I179" s="10" t="n"/>
      <c r="J179" s="8" t="inlineStr">
        <is>
          <t>VRN_management</t>
        </is>
      </c>
      <c r="K179" s="24" t="n">
        <v>0.99</v>
      </c>
      <c r="L179" s="20" t="inlineStr">
        <is>
          <t>needs_production_lookup</t>
        </is>
      </c>
      <c r="M179" s="8" t="inlineStr">
        <is>
          <t>Standard zhotovitel — pojistná povinnost</t>
        </is>
      </c>
      <c r="N179" s="20" t="inlineStr">
        <is>
          <t>#10</t>
        </is>
      </c>
      <c r="O179" s="26" t="inlineStr">
        <is>
          <t>ANO</t>
        </is>
      </c>
      <c r="P179" s="41" t="n"/>
      <c r="Q179" s="41" t="n"/>
    </row>
    <row r="180">
      <c r="A180" s="20" t="n">
        <v>179</v>
      </c>
      <c r="B180" s="8" t="inlineStr">
        <is>
          <t>VRN — Pojištění + zábory</t>
        </is>
      </c>
      <c r="C180" s="8" t="inlineStr">
        <is>
          <t>Krátkodobé zábory ul. Fibichova</t>
        </is>
      </c>
      <c r="D180" s="20" t="inlineStr">
        <is>
          <t>030083000</t>
        </is>
      </c>
      <c r="E180" s="8" t="inlineStr">
        <is>
          <t>Krátkodobé zábory ulice Fibichova pro materiál a kontejnery (povolení MU Jáchymov + DI) — odhad 30 dnů kumulativně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VRN_management</t>
        </is>
      </c>
      <c r="K180" s="24" t="n">
        <v>0.75</v>
      </c>
      <c r="L180" s="20" t="inlineStr">
        <is>
          <t>needs_production_lookup</t>
        </is>
      </c>
      <c r="M180" s="8" t="inlineStr">
        <is>
          <t>TZ B m.10 + situace — řadovka ul. Fibichova</t>
        </is>
      </c>
      <c r="N180" s="20" t="inlineStr">
        <is>
          <t>#10</t>
        </is>
      </c>
      <c r="O180" s="26" t="inlineStr">
        <is>
          <t>ANO</t>
        </is>
      </c>
      <c r="P180" s="41" t="n"/>
      <c r="Q180" s="41" t="n"/>
    </row>
    <row r="181">
      <c r="A181" s="20" t="n">
        <v>180</v>
      </c>
      <c r="B181" s="8" t="inlineStr">
        <is>
          <t>VRN — Průzkumy</t>
        </is>
      </c>
      <c r="C181" s="8" t="inlineStr">
        <is>
          <t>Mykologický průzkum dřeva při bourání</t>
        </is>
      </c>
      <c r="D181" s="20" t="inlineStr">
        <is>
          <t>030131000</t>
        </is>
      </c>
      <c r="E181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mykolog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ARS dům §3.2.3 + POZN.2.05 z půdorysů návrh + řez A-A návrh (explicit dřevokazný hmyz scope per drawing wording)</t>
        </is>
      </c>
      <c r="N181" s="20" t="inlineStr">
        <is>
          <t>#10</t>
        </is>
      </c>
      <c r="O181" s="26" t="inlineStr">
        <is>
          <t>ANO</t>
        </is>
      </c>
      <c r="P181" s="41" t="n"/>
      <c r="Q181" s="41" t="inlineStr">
        <is>
          <t>PER_DRAWING_ENRICHMENT_POZN_2_05</t>
        </is>
      </c>
    </row>
    <row r="182">
      <c r="A182" s="20" t="n">
        <v>181</v>
      </c>
      <c r="B182" s="8" t="inlineStr">
        <is>
          <t>VRN — Průzkumy</t>
        </is>
      </c>
      <c r="C182" s="8" t="inlineStr">
        <is>
          <t>Azbestový průzkum podrobný před demolicí</t>
        </is>
      </c>
      <c r="D182" s="20" t="inlineStr">
        <is>
          <t>030133000</t>
        </is>
      </c>
      <c r="E182" s="8" t="inlineStr">
        <is>
          <t>Azbestový průzkum podrobný před demolicí — laboratorní vzorky a posudek (B kap. m.7.a předběžně negativní, ale podrobný před bouráním povinný)</t>
        </is>
      </c>
      <c r="F182" s="20" t="inlineStr">
        <is>
          <t>kpl</t>
        </is>
      </c>
      <c r="G182" s="23" t="n">
        <v>1</v>
      </c>
      <c r="H182" s="10" t="n"/>
      <c r="I182" s="10" t="n"/>
      <c r="J182" s="8" t="inlineStr">
        <is>
          <t>azbestovy_specialista</t>
        </is>
      </c>
      <c r="K182" s="24" t="n">
        <v>0.85</v>
      </c>
      <c r="L182" s="20" t="inlineStr">
        <is>
          <t>needs_production_lookup</t>
        </is>
      </c>
      <c r="M182" s="8" t="inlineStr">
        <is>
          <t>TZ B m.7.a + ARS §3.2 — azbestový průzkum povinný před demolicí</t>
        </is>
      </c>
      <c r="N182" s="20" t="inlineStr">
        <is>
          <t>#10</t>
        </is>
      </c>
      <c r="O182" s="26" t="inlineStr">
        <is>
          <t>ANO</t>
        </is>
      </c>
      <c r="P182" s="41" t="n"/>
      <c r="Q182" s="41" t="n"/>
    </row>
    <row r="183">
      <c r="A183" s="20" t="n">
        <v>182</v>
      </c>
      <c r="B183" s="8" t="inlineStr">
        <is>
          <t>VRN — Přesun hmot</t>
        </is>
      </c>
      <c r="C183" s="8" t="inlineStr">
        <is>
          <t>Přesun hmot pro budovu</t>
        </is>
      </c>
      <c r="D183" s="20" t="inlineStr">
        <is>
          <t>—</t>
        </is>
      </c>
      <c r="E183" s="8" t="inlineStr">
        <is>
          <t>Přesun hmot pro budovu — vnitrostaveništní vertikální + horizontální doprava materiálu a hmot (rekonstrukce vícepodlažní RD + nástavba 3.NP)</t>
        </is>
      </c>
      <c r="F183" s="20" t="inlineStr">
        <is>
          <t>t</t>
        </is>
      </c>
      <c r="G183" s="22" t="n">
        <v>0</v>
      </c>
      <c r="H183" s="10" t="n"/>
      <c r="I183" s="10" t="n"/>
      <c r="J183" s="8" t="inlineStr">
        <is>
          <t>VRN_management</t>
        </is>
      </c>
      <c r="K183" s="24" t="n">
        <v>0.6</v>
      </c>
      <c r="L183" s="20" t="inlineStr">
        <is>
          <t>needs_production_lookup</t>
        </is>
      </c>
      <c r="M183" s="8" t="inlineStr">
        <is>
          <t>anchor checklist PM01 — technical necessity (povinná položka každého rozpočtu, 998xxx URS família)</t>
        </is>
      </c>
      <c r="N183" s="20" t="inlineStr">
        <is>
          <t>—</t>
        </is>
      </c>
      <c r="O183" s="26" t="inlineStr">
        <is>
          <t>ANO</t>
        </is>
      </c>
      <c r="P183" s="41" t="n"/>
      <c r="Q183" s="41" t="inlineStr">
        <is>
          <t>ANCHOR_CHECKLIST_PM01</t>
        </is>
      </c>
    </row>
    <row r="184">
      <c r="A184" s="20" t="n">
        <v>183</v>
      </c>
      <c r="B184" s="8" t="inlineStr">
        <is>
          <t>VRN — Revize</t>
        </is>
      </c>
      <c r="C184" s="8" t="inlineStr">
        <is>
          <t>Revize hydrantu vnějšího</t>
        </is>
      </c>
      <c r="D184" s="20" t="inlineStr">
        <is>
          <t>030161000</t>
        </is>
      </c>
      <c r="E184" s="8" t="inlineStr">
        <is>
          <t>Revize vnějšího hydrantu pro požární zabezpečení (DN min. 80, vzdálenost 100 m dle TZ PBŘ) — periodická kontrola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revize_specialista</t>
        </is>
      </c>
      <c r="K184" s="24" t="n">
        <v>0.85</v>
      </c>
      <c r="L184" s="20" t="inlineStr">
        <is>
          <t>needs_production_lookup</t>
        </is>
      </c>
      <c r="M184" s="8" t="inlineStr">
        <is>
          <t>TZ PBŘ dům — vnější odběrné místo požární vody, revize před kolaudací</t>
        </is>
      </c>
      <c r="N184" s="20" t="inlineStr">
        <is>
          <t>—</t>
        </is>
      </c>
      <c r="O184" s="26" t="inlineStr">
        <is>
          <t>ANO</t>
        </is>
      </c>
      <c r="P184" s="41" t="n"/>
      <c r="Q184" s="41" t="n"/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Buňky kancelář + sociální</t>
        </is>
      </c>
      <c r="D185" s="20" t="inlineStr">
        <is>
          <t>030011000</t>
        </is>
      </c>
      <c r="E185" s="8" t="inlineStr">
        <is>
          <t>Zařízení staveniště — buňka kancelář + sociální buňka (WC + šatna), pronájem ~8 měsíců</t>
        </is>
      </c>
      <c r="F185" s="20" t="inlineStr">
        <is>
          <t>kpl-měs</t>
        </is>
      </c>
      <c r="G185" s="23" t="n">
        <v>8</v>
      </c>
      <c r="H185" s="10" t="n"/>
      <c r="I185" s="10" t="n"/>
      <c r="J185" s="8" t="inlineStr">
        <is>
          <t>VRN_management</t>
        </is>
      </c>
      <c r="K185" s="24" t="n">
        <v>0.8</v>
      </c>
      <c r="L185" s="20" t="inlineStr">
        <is>
          <t>needs_production_lookup</t>
        </is>
      </c>
      <c r="M185" s="8" t="inlineStr">
        <is>
          <t>TZ B m.1.m realizace 2026-2027 + standard staveniště RD městská zástavba</t>
        </is>
      </c>
      <c r="N185" s="20" t="inlineStr">
        <is>
          <t>#10</t>
        </is>
      </c>
      <c r="O185" s="26" t="inlineStr">
        <is>
          <t>ANO</t>
        </is>
      </c>
      <c r="P185" s="41" t="n"/>
      <c r="Q185" s="41" t="n"/>
    </row>
    <row r="186">
      <c r="A186" s="20" t="n">
        <v>185</v>
      </c>
      <c r="B186" s="8" t="inlineStr">
        <is>
          <t>VRN — Zařízení staveniště</t>
        </is>
      </c>
      <c r="C186" s="8" t="inlineStr">
        <is>
          <t>Mobilní WC</t>
        </is>
      </c>
      <c r="D186" s="20" t="inlineStr">
        <is>
          <t>030013000</t>
        </is>
      </c>
      <c r="E186" s="8" t="inlineStr">
        <is>
          <t>Mobilní chemické WC TOI TOI pro pracovníky — pronájem ~8 měsíců</t>
        </is>
      </c>
      <c r="F186" s="20" t="inlineStr">
        <is>
          <t>ks-měs</t>
        </is>
      </c>
      <c r="G186" s="23" t="n">
        <v>8</v>
      </c>
      <c r="H186" s="10" t="n"/>
      <c r="I186" s="10" t="n"/>
      <c r="J186" s="8" t="inlineStr">
        <is>
          <t>VRN_management</t>
        </is>
      </c>
      <c r="K186" s="24" t="n">
        <v>0.8</v>
      </c>
      <c r="L186" s="20" t="inlineStr">
        <is>
          <t>needs_production_lookup</t>
        </is>
      </c>
      <c r="M186" s="8" t="inlineStr">
        <is>
          <t>BOZP — mobilní WC povinné pro stavbu RD</t>
        </is>
      </c>
      <c r="N186" s="20" t="inlineStr">
        <is>
          <t>#10</t>
        </is>
      </c>
      <c r="O186" s="26" t="inlineStr">
        <is>
          <t>ANO</t>
        </is>
      </c>
      <c r="P186" s="41" t="n"/>
      <c r="Q186" s="41" t="n"/>
    </row>
    <row r="187">
      <c r="A187" s="20" t="n">
        <v>186</v>
      </c>
      <c r="B187" s="8" t="inlineStr">
        <is>
          <t>VRN — Zařízení staveniště</t>
        </is>
      </c>
      <c r="C187" s="8" t="inlineStr">
        <is>
          <t>El. odběr + vodovodní odběr stavby</t>
        </is>
      </c>
      <c r="D187" s="20" t="inlineStr">
        <is>
          <t>031011000</t>
        </is>
      </c>
      <c r="E187" s="8" t="inlineStr">
        <is>
          <t>El. odběr stavby (zřízení staveništního rozvaděče + měřič) + vodovodní odběr (zřízení staveništní přípojky + vodoměr) — ~8 měsíců</t>
        </is>
      </c>
      <c r="F187" s="20" t="inlineStr">
        <is>
          <t>kpl</t>
        </is>
      </c>
      <c r="G187" s="23" t="n">
        <v>1</v>
      </c>
      <c r="H187" s="10" t="n"/>
      <c r="I187" s="10" t="n"/>
      <c r="J187" s="8" t="inlineStr">
        <is>
          <t>VRN_management</t>
        </is>
      </c>
      <c r="K187" s="24" t="n">
        <v>0.8</v>
      </c>
      <c r="L187" s="20" t="inlineStr">
        <is>
          <t>needs_production_lookup</t>
        </is>
      </c>
      <c r="M187" s="8" t="inlineStr">
        <is>
          <t>Standard staveniště — el. + voda zřízení a odběr po dobu stavby</t>
        </is>
      </c>
      <c r="N187" s="20" t="inlineStr">
        <is>
          <t>#10</t>
        </is>
      </c>
      <c r="O187" s="26" t="inlineStr">
        <is>
          <t>ANO</t>
        </is>
      </c>
      <c r="P187" s="41" t="n"/>
      <c r="Q187" s="41" t="n"/>
    </row>
    <row r="188">
      <c r="A188" s="20" t="n">
        <v>187</v>
      </c>
      <c r="B188" s="8" t="inlineStr">
        <is>
          <t>VRN — Zařízení staveniště</t>
        </is>
      </c>
      <c r="C188" s="8" t="inlineStr">
        <is>
          <t>Voda staveniště</t>
        </is>
      </c>
      <c r="D188" s="20" t="inlineStr">
        <is>
          <t>012103101</t>
        </is>
      </c>
      <c r="E188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8" s="20" t="inlineStr">
        <is>
          <t>kpl</t>
        </is>
      </c>
      <c r="G188" s="23" t="n">
        <v>1</v>
      </c>
      <c r="H188" s="10" t="n"/>
      <c r="I188" s="10" t="n"/>
      <c r="J188" s="8" t="inlineStr">
        <is>
          <t>VRN_management</t>
        </is>
      </c>
      <c r="K188" s="24" t="n">
        <v>0.9</v>
      </c>
      <c r="L188" s="20" t="inlineStr">
        <is>
          <t>needs_production_lookup</t>
        </is>
      </c>
      <c r="M188" s="8" t="inlineStr">
        <is>
          <t>TZ B Souhrnná m.5 — 'Stávající vodovodní přípojka z veřejného vodovodu'</t>
        </is>
      </c>
      <c r="N188" s="20" t="inlineStr">
        <is>
          <t>—</t>
        </is>
      </c>
      <c r="O188" s="26" t="inlineStr">
        <is>
          <t>ANO</t>
        </is>
      </c>
      <c r="P188" s="41" t="n"/>
      <c r="Q188" s="41" t="inlineStr">
        <is>
          <t>GAP_003</t>
        </is>
      </c>
    </row>
  </sheetData>
  <autoFilter ref="A1:O188"/>
  <conditionalFormatting sqref="K2:K188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  <c r="P2" s="41" t="n"/>
      <c r="Q2" s="41" t="inlineStr">
        <is>
          <t>URS_PHASE5B_CROSS_DISCIPLINE_OK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  <c r="P5" s="41" t="n"/>
      <c r="Q5" s="41" t="n"/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S01_sklad</t>
        </is>
      </c>
      <c r="Q6" s="41" t="n"/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  <c r="P7" s="41" t="n"/>
      <c r="Q7" s="41" t="n"/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  <c r="P8" s="41" t="inlineStr">
        <is>
          <t>S03a_sklad, S03b_sklad</t>
        </is>
      </c>
      <c r="Q8" s="41" t="n"/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family_verified_leaf_needs_production_lookup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  <c r="P10" s="41" t="n"/>
      <c r="Q10" s="41" t="n"/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  <c r="P11" s="41" t="n"/>
      <c r="Q11" s="41" t="n"/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matched_websearch_cross_discipline_legitimate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  <c r="P12" s="41" t="inlineStr">
        <is>
          <t>S01_sklad, S05_sklad</t>
        </is>
      </c>
      <c r="Q12" s="41" t="inlineStr">
        <is>
          <t>URS_PHASE5B_CROSS_DISCIPLINE_OK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  <c r="P13" s="41" t="inlineStr">
        <is>
          <t>S05_sklad</t>
        </is>
      </c>
      <c r="Q13" s="41" t="n"/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  <c r="P14" s="41" t="inlineStr">
        <is>
          <t>S04_sklad</t>
        </is>
      </c>
      <c r="Q14" s="41" t="n"/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  <c r="P15" s="41" t="inlineStr">
        <is>
          <t>S03a_sklad, S03b_sklad</t>
        </is>
      </c>
      <c r="Q15" s="41" t="n"/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family_verified_leaf_needs_production_lookup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  <c r="P16" s="41" t="inlineStr">
        <is>
          <t>S03a_sklad, S03b_sklad</t>
        </is>
      </c>
      <c r="Q16" s="41" t="inlineStr">
        <is>
          <t>URS_PHASE5B_FAMILY_VERIFIED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  <c r="P17" s="41" t="inlineStr">
        <is>
          <t>S02_sklad</t>
        </is>
      </c>
      <c r="Q17" s="41" t="n"/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  <c r="P18" s="41" t="inlineStr">
        <is>
          <t>S02_sklad</t>
        </is>
      </c>
      <c r="Q18" s="41" t="n"/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  <c r="P19" s="41" t="inlineStr">
        <is>
          <t>S02_sklad</t>
        </is>
      </c>
      <c r="Q19" s="41" t="n"/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  <c r="P20" s="41" t="inlineStr">
        <is>
          <t>S02_sklad</t>
        </is>
      </c>
      <c r="Q20" s="41" t="n"/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44.6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family_verified_leaf_needs_production_lookup</t>
        </is>
      </c>
      <c r="M21" s="8" t="inlineStr">
        <is>
          <t>DXF sklad_DPZ km_tabulka místností + Phase 3.5 sklad qty crosscheck (Pattern 17 Phase 0a Layer 2 + Pattern 31 CEV Matrix D.2)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S02_sklad</t>
        </is>
      </c>
      <c r="Q21" s="41" t="inlineStr">
        <is>
          <t>PHASE_3_5_SKLAD_QTY_DXF_VERIFY; URS_PHASE5B_FAMILY_VERIFIED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S02_sklad</t>
        </is>
      </c>
      <c r="Q22" s="41" t="n"/>
    </row>
    <row r="23">
      <c r="A23" s="20" t="n">
        <v>22</v>
      </c>
      <c r="B23" s="8" t="inlineStr">
        <is>
          <t>HSV-5 Komunikace + schodiště</t>
        </is>
      </c>
      <c r="C23" s="8" t="inlineStr">
        <is>
          <t>Sklad mezipodesta schodiště prefa</t>
        </is>
      </c>
      <c r="D23" s="20" t="inlineStr">
        <is>
          <t>121301101</t>
        </is>
      </c>
      <c r="E23" s="8" t="inlineStr">
        <is>
          <t>Sklad mezipodesta schodiště — prefa betonové stupně (9 ks × 179.5×250 mm) + kladecí vrstva zavlhlého betonu nad ŽB podkladní deskou (S05 sklad skladba)</t>
        </is>
      </c>
      <c r="F23" s="20" t="inlineStr">
        <is>
          <t>m²</t>
        </is>
      </c>
      <c r="G23" s="22" t="n">
        <v>5.5</v>
      </c>
      <c r="H23" s="10" t="n"/>
      <c r="I23" s="10" t="n"/>
      <c r="J23" s="8" t="inlineStr">
        <is>
          <t>betonar</t>
        </is>
      </c>
      <c r="K23" s="24" t="n">
        <v>0.95</v>
      </c>
      <c r="L23" s="20" t="inlineStr">
        <is>
          <t>needs_production_lookup</t>
        </is>
      </c>
      <c r="M23" s="8" t="inlineStr">
        <is>
          <t>DXF sklad_DPZ km_tabulka místností room 1.02 + DXF dimension 9×179.5×250 mm + Phase 3.5 sklad S-code mapping (S05 sklad schodiště skladba)</t>
        </is>
      </c>
      <c r="N23" s="20" t="inlineStr">
        <is>
          <t>—</t>
        </is>
      </c>
      <c r="O23" s="26" t="inlineStr">
        <is>
          <t>ANO</t>
        </is>
      </c>
      <c r="P23" s="41" t="inlineStr">
        <is>
          <t>S05_sklad</t>
        </is>
      </c>
      <c r="Q23" s="41" t="inlineStr">
        <is>
          <t>PHASE_3_5_SKLAD_MEZIPODESTA_GAP</t>
        </is>
      </c>
    </row>
    <row r="24">
      <c r="A24" s="20" t="n">
        <v>23</v>
      </c>
      <c r="B24" s="8" t="inlineStr">
        <is>
          <t>PSV-76 Výplně otvorů</t>
        </is>
      </c>
      <c r="C24" s="8" t="inlineStr">
        <is>
          <t>Bezpečnostní dveře RC3 sklad</t>
        </is>
      </c>
      <c r="D24" s="20" t="inlineStr">
        <is>
          <t>766682111</t>
        </is>
      </c>
      <c r="E24" s="8" t="inlineStr">
        <is>
          <t>Bezpečnostní dveře RC3 v ocelové zárubni — vrata skladu (TZ statika §1.4 RC3 certifikované)</t>
        </is>
      </c>
      <c r="F24" s="20" t="inlineStr">
        <is>
          <t>ks</t>
        </is>
      </c>
      <c r="G24" s="23" t="n">
        <v>1</v>
      </c>
      <c r="H24" s="10" t="n"/>
      <c r="I24" s="10" t="n"/>
      <c r="J24" s="8" t="inlineStr">
        <is>
          <t>specialista_RC3_dvere</t>
        </is>
      </c>
      <c r="K24" s="24" t="n">
        <v>0.85</v>
      </c>
      <c r="L24" s="20" t="inlineStr">
        <is>
          <t>needs_production_lookup</t>
        </is>
      </c>
      <c r="M24" s="8" t="inlineStr">
        <is>
          <t>TZ statika sklad §1.4 — RC3 bezpečnostní dveře v ocelové zárubni</t>
        </is>
      </c>
      <c r="N24" s="20" t="inlineStr">
        <is>
          <t>—</t>
        </is>
      </c>
      <c r="O24" s="26" t="inlineStr">
        <is>
          <t>ANO</t>
        </is>
      </c>
      <c r="P24" s="41" t="n"/>
      <c r="Q24" s="41" t="n"/>
    </row>
    <row r="25">
      <c r="A25" s="20" t="n">
        <v>24</v>
      </c>
      <c r="B25" s="8" t="inlineStr">
        <is>
          <t>PSV-77 Podlahy</t>
        </is>
      </c>
      <c r="C25" s="8" t="inlineStr">
        <is>
          <t>Betonová dlažba sklad</t>
        </is>
      </c>
      <c r="D25" s="27" t="inlineStr">
        <is>
          <t>596??? ?</t>
        </is>
      </c>
      <c r="E25" s="8" t="inlineStr">
        <is>
          <t>Betonová dlažba do pískového lože — povrch podlahy skladu (~21 m²)</t>
        </is>
      </c>
      <c r="F25" s="20" t="inlineStr">
        <is>
          <t>m²</t>
        </is>
      </c>
      <c r="G25" s="22" t="n">
        <v>17.6</v>
      </c>
      <c r="H25" s="10" t="n"/>
      <c r="I25" s="10" t="n"/>
      <c r="J25" s="8" t="inlineStr">
        <is>
          <t>podlahar</t>
        </is>
      </c>
      <c r="K25" s="24" t="n">
        <v>0.95</v>
      </c>
      <c r="L25" s="20" t="inlineStr">
        <is>
          <t>wrong_leaf_disambiguation_needed</t>
        </is>
      </c>
      <c r="M25" s="8" t="inlineStr">
        <is>
          <t>DXF sklad_DPZ km_tabulka místností + Phase 3.5 sklad qty crosscheck (Pattern 17 Phase 0a Layer 2 + Pattern 31 CEV Matrix D.2)</t>
        </is>
      </c>
      <c r="N25" s="20" t="inlineStr">
        <is>
          <t>—</t>
        </is>
      </c>
      <c r="O25" s="28" t="inlineStr">
        <is>
          <t>LEAF CHYBNÝ — viz alternatives</t>
        </is>
      </c>
      <c r="P25" s="41" t="inlineStr">
        <is>
          <t>S01_sklad</t>
        </is>
      </c>
      <c r="Q25" s="41" t="inlineStr">
        <is>
          <t>PHASE_3_5_SKLAD_QTY_DXF_VERIFY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Doprava prefa H-BLOK auto s hyd. rukou</t>
        </is>
      </c>
      <c r="D26" s="20" t="inlineStr">
        <is>
          <t>031032000</t>
        </is>
      </c>
      <c r="E26" s="8" t="inlineStr">
        <is>
          <t>Doprava prefa H-BLOK Standard z výrobny Herkul (Obrnice) auto s hydraulickou rukou — celkem ~60 ks bloků</t>
        </is>
      </c>
      <c r="F26" s="20" t="inlineStr">
        <is>
          <t>kpl</t>
        </is>
      </c>
      <c r="G26" s="23" t="n">
        <v>1</v>
      </c>
      <c r="H26" s="10" t="n"/>
      <c r="I26" s="10" t="n"/>
      <c r="J26" s="8" t="inlineStr">
        <is>
          <t>prefa_bloky_specialista</t>
        </is>
      </c>
      <c r="K26" s="24" t="n">
        <v>0.85</v>
      </c>
      <c r="L26" s="20" t="inlineStr">
        <is>
          <t>needs_production_lookup</t>
        </is>
      </c>
      <c r="M26" s="8" t="inlineStr">
        <is>
          <t>TZ statika sklad §4 + ARS — auto s hyd. rukou pro osazení H-BLOK</t>
        </is>
      </c>
      <c r="N26" s="20" t="inlineStr">
        <is>
          <t>—</t>
        </is>
      </c>
      <c r="O26" s="26" t="inlineStr">
        <is>
          <t>ANO</t>
        </is>
      </c>
      <c r="P26" s="41" t="n"/>
      <c r="Q26" s="41" t="n"/>
    </row>
    <row r="27">
      <c r="A27" s="20" t="n">
        <v>26</v>
      </c>
      <c r="B27" s="8" t="inlineStr">
        <is>
          <t>VRN — Doprava + odpad</t>
        </is>
      </c>
      <c r="C27" s="8" t="inlineStr">
        <is>
          <t>Likvidace odpadu sklad</t>
        </is>
      </c>
      <c r="D27" s="20" t="inlineStr">
        <is>
          <t>997013211</t>
        </is>
      </c>
      <c r="E27" s="8" t="inlineStr">
        <is>
          <t>Likvidace odpadu sklad — kameny ze zídek + výkop + dřevo (drobné množství)</t>
        </is>
      </c>
      <c r="F27" s="20" t="inlineStr">
        <is>
          <t>t</t>
        </is>
      </c>
      <c r="G27" s="22" t="n">
        <v>8</v>
      </c>
      <c r="H27" s="10" t="n"/>
      <c r="I27" s="10" t="n"/>
      <c r="J27" s="8" t="inlineStr">
        <is>
          <t>bourani_demolice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sklad §3 — kamenné zídky + schodiště odstraneny</t>
        </is>
      </c>
      <c r="N27" s="20" t="inlineStr">
        <is>
          <t>—</t>
        </is>
      </c>
      <c r="O27" s="26" t="inlineStr">
        <is>
          <t>ANO</t>
        </is>
      </c>
      <c r="P27" s="41" t="n"/>
      <c r="Q27" s="41" t="n"/>
    </row>
    <row r="28">
      <c r="A28" s="20" t="n">
        <v>27</v>
      </c>
      <c r="B28" s="8" t="inlineStr">
        <is>
          <t>VRN — Geodet</t>
        </is>
      </c>
      <c r="C28" s="8" t="inlineStr">
        <is>
          <t>Geodetické vytýčení sklad</t>
        </is>
      </c>
      <c r="D28" s="20" t="inlineStr">
        <is>
          <t>030141000</t>
        </is>
      </c>
      <c r="E28" s="8" t="inlineStr">
        <is>
          <t>Geodetické vytýčení sklad+parking+schodiště ze situace (před realizací)</t>
        </is>
      </c>
      <c r="F28" s="20" t="inlineStr">
        <is>
          <t>kpl</t>
        </is>
      </c>
      <c r="G28" s="23" t="n">
        <v>1</v>
      </c>
      <c r="H28" s="10" t="n"/>
      <c r="I28" s="10" t="n"/>
      <c r="J28" s="8" t="inlineStr">
        <is>
          <t>geodet</t>
        </is>
      </c>
      <c r="K28" s="24" t="n">
        <v>0.99</v>
      </c>
      <c r="L28" s="20" t="inlineStr">
        <is>
          <t>needs_production_lookup</t>
        </is>
      </c>
      <c r="M28" s="8" t="inlineStr">
        <is>
          <t>Standard — geodet vytýčení pro každý nový objekt</t>
        </is>
      </c>
      <c r="N28" s="20" t="inlineStr">
        <is>
          <t>—</t>
        </is>
      </c>
      <c r="O28" s="26" t="inlineStr">
        <is>
          <t>ANO</t>
        </is>
      </c>
      <c r="P28" s="41" t="n"/>
      <c r="Q28" s="41" t="n"/>
    </row>
    <row r="29">
      <c r="A29" s="20" t="n">
        <v>28</v>
      </c>
      <c r="B29" s="8" t="inlineStr">
        <is>
          <t>VRN — Společné</t>
        </is>
      </c>
      <c r="C29" s="8" t="inlineStr">
        <is>
          <t>Podíl na obecných VRN dům</t>
        </is>
      </c>
      <c r="D29" s="20" t="inlineStr">
        <is>
          <t>030001000</t>
        </is>
      </c>
      <c r="E29" s="8" t="inlineStr">
        <is>
          <t>Podíl na obecných VRN domu (buňky, BOZP, pojištění, kolaudace) — paušál ~10 % nákladů sklad nebo % alokace</t>
        </is>
      </c>
      <c r="F29" s="20" t="inlineStr">
        <is>
          <t>paušál</t>
        </is>
      </c>
      <c r="G29" s="23" t="n">
        <v>1</v>
      </c>
      <c r="H29" s="10" t="n"/>
      <c r="I29" s="10" t="n"/>
      <c r="J29" s="8" t="inlineStr">
        <is>
          <t>VRN_management</t>
        </is>
      </c>
      <c r="K29" s="24" t="n">
        <v>0.8</v>
      </c>
      <c r="L29" s="20" t="inlineStr">
        <is>
          <t>needs_production_lookup</t>
        </is>
      </c>
      <c r="M29" s="8" t="inlineStr">
        <is>
          <t>Standard zhotovitel — alokace VRN pro paralelně realizovaný sklad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n"/>
    </row>
  </sheetData>
  <autoFilter ref="A1:O29"/>
  <conditionalFormatting sqref="K2:K29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  <row r="25">
      <c r="A25" s="43" t="inlineStr">
        <is>
          <t>SKLAD-NAMESPACE SKLADBY (260217_sklad)</t>
        </is>
      </c>
    </row>
    <row r="26">
      <c r="A26" s="30" t="inlineStr">
        <is>
          <t>Per Pattern 24 (multi-namespace S-code/F-code handling) — sklad has own S01-S05 namespace, distinct from dům S01-S12b legenda above. Cross-validated against DXF km_kóty layer + drawing screenshots + ChatGPT cross-check.</t>
        </is>
      </c>
    </row>
    <row r="28">
      <c r="A28" s="44" t="inlineStr">
        <is>
          <t>S01_sklad — podlaha sklad</t>
        </is>
      </c>
      <c r="B28" s="44" t="inlineStr">
        <is>
          <t>1. betonová dlažba 50 mm
2. kladecí vrstva - kamenná drť 4-8 mm 40 mm
3. podkladní nosná vrstva - kamenná drť 4-8 mm 150 mm
4. zhutněná zemní pláň (30 MPa)</t>
        </is>
      </c>
      <c r="C28" s="44" t="inlineStr">
        <is>
          <t>Drawing screenshot D.1.1.02.R1 (sklad půdorys) + DXF km_kóty layer S-code call-outs</t>
        </is>
      </c>
      <c r="D28" s="44" t="inlineStr">
        <is>
          <t>DXF dum_DPZ + sklad_DPZ km_kóty (Phase 3.5 cross-check)</t>
        </is>
      </c>
      <c r="E28" s="44" t="inlineStr">
        <is>
          <t>room 0.01 (sklad) — items: HSV1.005, HSV2.005, PSV77.001</t>
        </is>
      </c>
      <c r="F28" s="44" t="inlineStr">
        <is>
          <t>17.60 m²</t>
        </is>
      </c>
      <c r="G28" s="44" t="inlineStr">
        <is>
          <t>drawing_explicit + DXF cross-validated</t>
        </is>
      </c>
    </row>
    <row r="29">
      <c r="A29" s="44" t="inlineStr">
        <is>
          <t>S02_sklad — stropní konstrukce (parking roof = sklad ceiling)</t>
        </is>
      </c>
      <c r="B29" s="44" t="inlineStr">
        <is>
          <t>1. pojezdový ocelový pororošt 50 mm
2. nosná ocelová konstrukce - ocel. nosníky 180 mm
3. hydroizolační fólie
4. záklop z dřevěných prken 20 mm
5. dřevěné nosné trámy - KVH 100/160 160 mm</t>
        </is>
      </c>
      <c r="C29" s="44" t="inlineStr">
        <is>
          <t>Drawing screenshot D.1.1.02.R1 (sklad půdorys) + DXF km_kóty layer S-code call-outs</t>
        </is>
      </c>
      <c r="D29" s="44" t="inlineStr">
        <is>
          <t>DXF dum_DPZ + sklad_DPZ km_kóty (Phase 3.5 cross-check)</t>
        </is>
      </c>
      <c r="E29" s="44" t="inlineStr">
        <is>
          <t>parking 1.01 (stání) — sklad ceiling — items: HSV4.001, HSV4.002, HSV4.003, HSV4.004, HSV4.005</t>
        </is>
      </c>
      <c r="F29" s="44" t="inlineStr">
        <is>
          <t>44.60 m²</t>
        </is>
      </c>
      <c r="G29" s="44" t="inlineStr">
        <is>
          <t>drawing_explicit + DXF cross-validated</t>
        </is>
      </c>
    </row>
    <row r="30">
      <c r="A30" s="44" t="inlineStr">
        <is>
          <t>S03a_sklad — obvodová stěna pod úrovní terénu</t>
        </is>
      </c>
      <c r="B30" s="44" t="inlineStr">
        <is>
          <t>1. povrch surový bez omítky
2. obvodová stěna (dle legendy materiálů)
3. betonové tvárnice ztraceného bednění 250 mm
4. asfaltová penetrace
5. 2× hydroizolační + protiradonový pás z modif. asfaltu 2×4 mm
6. drenážní vrstva - nopová folie 20 mm</t>
        </is>
      </c>
      <c r="C30" s="44" t="inlineStr">
        <is>
          <t>Drawing screenshot D.1.1.02.R1 (sklad půdorys) + DXF km_kóty layer S-code call-outs</t>
        </is>
      </c>
      <c r="D30" s="44" t="inlineStr">
        <is>
          <t>DXF dum_DPZ + sklad_DPZ km_kóty (Phase 3.5 cross-check)</t>
        </is>
      </c>
      <c r="E30" s="44" t="inlineStr">
        <is>
          <t>obvod skladu pod terénem — items: HSV2.001, HSV3.002, HSV3.003</t>
        </is>
      </c>
      <c r="F30" s="44" t="inlineStr">
        <is>
          <t>46.50 m²</t>
        </is>
      </c>
      <c r="G30" s="44" t="inlineStr">
        <is>
          <t>drawing_explicit + DXF cross-validated</t>
        </is>
      </c>
    </row>
    <row r="31">
      <c r="A31" s="44" t="inlineStr">
        <is>
          <t>S03b_sklad — obvodová stěna nad úrovní terénu</t>
        </is>
      </c>
      <c r="B31" s="44" t="inlineStr">
        <is>
          <t>1. povrch surový bez omítky
2. obvodová stěna (dle legendy materiálů)
3. betonové tvárnice ztraceného bednění 250 mm
4. povrch surový bez omítky (exterior)</t>
        </is>
      </c>
      <c r="C31" s="44" t="inlineStr">
        <is>
          <t>Drawing screenshot D.1.1.02.R1 (sklad půdorys) + DXF km_kóty layer S-code call-outs</t>
        </is>
      </c>
      <c r="D31" s="44" t="inlineStr">
        <is>
          <t>DXF dum_DPZ + sklad_DPZ km_kóty (Phase 3.5 cross-check)</t>
        </is>
      </c>
      <c r="E31" s="44" t="inlineStr">
        <is>
          <t>obvod skladu nad terénem — items: HSV2.001, HSV3.002, HSV3.003</t>
        </is>
      </c>
      <c r="F31" s="44" t="inlineStr">
        <is>
          <t>46.50 m²</t>
        </is>
      </c>
      <c r="G31" s="44" t="inlineStr">
        <is>
          <t>drawing_explicit + DXF cross-validated</t>
        </is>
      </c>
    </row>
    <row r="32">
      <c r="A32" s="44" t="inlineStr">
        <is>
          <t>S04_sklad — opěrná stěna (zadní, prefa Herkul)</t>
        </is>
      </c>
      <c r="B32" s="44" t="inlineStr">
        <is>
          <t>1. povrch surový bez omítky
2. opěrná stěna (dle legendy materiálů)
3. betonové prefa bloky usazené na zámek 600 mm
4. asfaltová penetrace
5. 2× hydroizolační + protiradonový pás z modif. asfaltu 2×4 mm
6. drenážní vrstva - nopová folie 20 mm</t>
        </is>
      </c>
      <c r="C32" s="44" t="inlineStr">
        <is>
          <t>Drawing screenshot D.1.1.02.R1 (sklad půdorys) + DXF km_kóty layer S-code call-outs</t>
        </is>
      </c>
      <c r="D32" s="44" t="inlineStr">
        <is>
          <t>DXF dum_DPZ + sklad_DPZ km_kóty (Phase 3.5 cross-check)</t>
        </is>
      </c>
      <c r="E32" s="44" t="inlineStr">
        <is>
          <t>zadní opěrná stěna prefa Herkul — items: HSV3.001</t>
        </is>
      </c>
      <c r="F32" s="44" t="inlineStr">
        <is>
          <t>—</t>
        </is>
      </c>
      <c r="G32" s="44" t="inlineStr">
        <is>
          <t>drawing_explicit + DXF cross-validated</t>
        </is>
      </c>
    </row>
    <row r="33">
      <c r="A33" s="44" t="inlineStr">
        <is>
          <t>S05_sklad — schodiště přístupové ke skladu</t>
        </is>
      </c>
      <c r="B33" s="44" t="inlineStr">
        <is>
          <t>1. schod z betonového prefa bloku
2. kladecí vrstva ze zavlhlého betonu
3. podkladní betonová deska
4. zhutněná zemní pláň</t>
        </is>
      </c>
      <c r="C33" s="44" t="inlineStr">
        <is>
          <t>Drawing screenshot D.1.1.02.R1 (sklad půdorys) + DXF km_kóty layer S-code call-outs</t>
        </is>
      </c>
      <c r="D33" s="44" t="inlineStr">
        <is>
          <t>DXF dum_DPZ + sklad_DPZ km_kóty (Phase 3.5 cross-check)</t>
        </is>
      </c>
      <c r="E33" s="44" t="inlineStr">
        <is>
          <t>room 1.02 (mezipodesta schodiště) — items: HSV2.005, HSV2.006, HSV5.001</t>
        </is>
      </c>
      <c r="F33" s="44" t="inlineStr">
        <is>
          <t>5.50 m²</t>
        </is>
      </c>
      <c r="G33" s="44" t="inlineStr">
        <is>
          <t>drawing_explicit + DXF cross-validated</t>
        </is>
      </c>
    </row>
    <row r="35">
      <c r="A35" s="43" t="inlineStr">
        <is>
          <t>EXTERIOR SKLADBY (DXF-sourced — dům scope, garden)</t>
        </is>
      </c>
    </row>
    <row r="36">
      <c r="A36" s="44" t="inlineStr">
        <is>
          <t>Anglický dvorek — Anglický dvorek — vstup do 1.PP ze zahrady</t>
        </is>
      </c>
      <c r="B36" s="44" t="inlineStr">
        <is>
          <t>1. Betonová dlažba 50 mm
2. Kladecí vrstva - kamenná drť 4-8 mm 40 mm
3. Podkladní nosná vrstva - kamenná drť 4-8 mm 150 mm
4. Zhutněná zemní pláň (30 MPa)</t>
        </is>
      </c>
      <c r="C36" s="44" t="inlineStr">
        <is>
          <t>TZ ARS dům §6.2 + DXF SM__Popisy bubliny (Phase 3.1 external skladba)</t>
        </is>
      </c>
      <c r="D36" s="44" t="inlineStr">
        <is>
          <t>DXF dum_DPZ SM__Popisy bubliny (decoded from broken CMap via Phase 3.1 fallback)</t>
        </is>
      </c>
      <c r="E36" s="44" t="inlineStr">
        <is>
          <t>Vstup do 1.PP ze zahrady — items: HSV1.004</t>
        </is>
      </c>
      <c r="F36" s="44" t="inlineStr">
        <is>
          <t>—</t>
        </is>
      </c>
      <c r="G36" s="44" t="inlineStr">
        <is>
          <t>DXF_decoded + TZ ARS explicit</t>
        </is>
      </c>
    </row>
    <row r="37">
      <c r="A37" s="44" t="inlineStr">
        <is>
          <t>Terasa — Terasa za opěrnou stěnou (garapa dřevěná prkna)</t>
        </is>
      </c>
      <c r="B37" s="44" t="inlineStr">
        <is>
          <t>1. Terasová dřevěná prkna 25 mm (garapa)
2. Rektifikovatelné terče pro terasu 50 mm
3. Betonové dlaždice 50 mm
4. Štěrkový podsyp 16/32 mm 100 mm
5. Hrubý podsyp 4/8 mm 150 mm
6. Geotextilie</t>
        </is>
      </c>
      <c r="C37" s="44" t="inlineStr">
        <is>
          <t>TZ ARS dům §6.2 terasa + DXF SM__Popisy bubliny (Phase 3.1 external skladba)</t>
        </is>
      </c>
      <c r="D37" s="44" t="inlineStr">
        <is>
          <t>DXF dum_DPZ SM__Popisy bubliny (decoded from broken CMap via Phase 3.1 fallback)</t>
        </is>
      </c>
      <c r="E37" s="44" t="inlineStr">
        <is>
          <t>Terasa za opěrnou stěnou (zahrada) — items: HSV1.005</t>
        </is>
      </c>
      <c r="F37" s="44" t="inlineStr">
        <is>
          <t>—</t>
        </is>
      </c>
      <c r="G37" s="44" t="inlineStr">
        <is>
          <t>DXF_decoded + TZ ARS explicit</t>
        </is>
      </c>
    </row>
  </sheetData>
  <mergeCells count="9">
    <mergeCell ref="A1:G1"/>
    <mergeCell ref="A21:G21"/>
    <mergeCell ref="A22:G22"/>
    <mergeCell ref="A35:G35"/>
    <mergeCell ref="A26:G26"/>
    <mergeCell ref="A2:G2"/>
    <mergeCell ref="A25:G25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70" customWidth="1" min="4" max="4"/>
  </cols>
  <sheetData>
    <row r="1">
      <c r="A1" s="42" t="inlineStr">
        <is>
          <t>CEV — Comprehensive Extraction Verification (final state)</t>
        </is>
      </c>
    </row>
    <row r="3">
      <c r="A3" s="43" t="inlineStr">
        <is>
          <t>Matrix A — TZ → items.json</t>
        </is>
      </c>
    </row>
    <row r="4">
      <c r="A4" s="6" t="inlineStr">
        <is>
          <t>Verdict</t>
        </is>
      </c>
      <c r="B4" s="6" t="inlineStr">
        <is>
          <t>Count</t>
        </is>
      </c>
      <c r="C4" s="6" t="inlineStr"/>
      <c r="D4" s="6" t="inlineStr">
        <is>
          <t>Note</t>
        </is>
      </c>
    </row>
    <row r="5">
      <c r="A5" s="44" t="inlineStr">
        <is>
          <t>COVERED</t>
        </is>
      </c>
      <c r="B5" s="44" t="n">
        <v>117</v>
      </c>
      <c r="C5" s="44" t="inlineStr"/>
      <c r="D5" s="44" t="inlineStr">
        <is>
          <t>TZ paragraph matched ≥1 item</t>
        </is>
      </c>
    </row>
    <row r="6">
      <c r="A6" s="44" t="inlineStr">
        <is>
          <t>N/A_DOCUMENTED</t>
        </is>
      </c>
      <c r="B6" s="44" t="n">
        <v>100</v>
      </c>
      <c r="C6" s="44" t="inlineStr"/>
      <c r="D6" s="44" t="inlineStr">
        <is>
          <t>stávající/zachováno/nevyskytuje-se markers; PDF extraction noise filtered</t>
        </is>
      </c>
    </row>
    <row r="7">
      <c r="A7" s="44" t="inlineStr">
        <is>
          <t>GAP</t>
        </is>
      </c>
      <c r="B7" s="44" t="n">
        <v>0</v>
      </c>
      <c r="C7" s="44" t="inlineStr"/>
      <c r="D7" s="44" t="inlineStr">
        <is>
          <t>0 — every TZ requirement has a corresponding item or explicit N/A</t>
        </is>
      </c>
    </row>
    <row r="8">
      <c r="A8" s="44" t="inlineStr">
        <is>
          <t>EXTRA</t>
        </is>
      </c>
      <c r="B8" s="44" t="n">
        <v>31</v>
      </c>
      <c r="C8" s="44" t="inlineStr"/>
      <c r="D8" s="44" t="inlineStr">
        <is>
          <t>Items without TZ backing — all sub-classified legitimate (DXF-sourced / universal VRN / audit-derived / TZ-implicit)</t>
        </is>
      </c>
    </row>
    <row r="9">
      <c r="A9" s="44" t="inlineStr">
        <is>
          <t>items_touched</t>
        </is>
      </c>
      <c r="B9" s="44" t="n">
        <v>164</v>
      </c>
      <c r="C9" s="44" t="inlineStr">
        <is>
          <t>of</t>
        </is>
      </c>
      <c r="D9" s="44" t="inlineStr">
        <is>
          <t>215</t>
        </is>
      </c>
    </row>
    <row r="11">
      <c r="A11" s="43" t="inlineStr">
        <is>
          <t>Matrix B — DXF entities → items.json</t>
        </is>
      </c>
    </row>
    <row r="12">
      <c r="A12" s="6" t="inlineStr">
        <is>
          <t>Verdict</t>
        </is>
      </c>
      <c r="B12" s="6" t="inlineStr">
        <is>
          <t>Count</t>
        </is>
      </c>
      <c r="C12" s="6" t="inlineStr"/>
      <c r="D12" s="6" t="inlineStr">
        <is>
          <t>Note</t>
        </is>
      </c>
    </row>
    <row r="13">
      <c r="A13" s="44" t="inlineStr">
        <is>
          <t>COVERED</t>
        </is>
      </c>
      <c r="B13" s="44" t="n">
        <v>7</v>
      </c>
      <c r="C13" s="44" t="inlineStr"/>
      <c r="D13" s="44" t="inlineStr">
        <is>
          <t>DXF entity consumed by ≥1 item</t>
        </is>
      </c>
    </row>
    <row r="14">
      <c r="A14" s="44" t="inlineStr">
        <is>
          <t>N/A_DOCUMENTED</t>
        </is>
      </c>
      <c r="B14" s="44" t="n">
        <v>6</v>
      </c>
      <c r="C14" s="44" t="inlineStr"/>
      <c r="D14" s="44" t="inlineStr">
        <is>
          <t>Meta blocks (razítko/severka/řezová značka) + investor scope (kuchyně)</t>
        </is>
      </c>
    </row>
    <row r="15">
      <c r="A15" s="44" t="inlineStr">
        <is>
          <t>GAP</t>
        </is>
      </c>
      <c r="B15" s="44" t="n">
        <v>0</v>
      </c>
      <c r="C15" s="44" t="inlineStr"/>
      <c r="D15" s="44" t="inlineStr">
        <is>
          <t>0</t>
        </is>
      </c>
    </row>
    <row r="16">
      <c r="A16" s="44" t="inlineStr">
        <is>
          <t>EXTRA</t>
        </is>
      </c>
      <c r="B16" s="44" t="n">
        <v>0</v>
      </c>
      <c r="C16" s="44" t="inlineStr"/>
      <c r="D16" s="44" t="inlineStr">
        <is>
          <t>0</t>
        </is>
      </c>
    </row>
    <row r="18">
      <c r="A18" s="43" t="inlineStr">
        <is>
          <t>Matrix B — per-entity verdicts</t>
        </is>
      </c>
    </row>
    <row r="19">
      <c r="A19" s="6" t="inlineStr">
        <is>
          <t>DXF entity</t>
        </is>
      </c>
      <c r="B19" s="6" t="inlineStr">
        <is>
          <t>Verdict</t>
        </is>
      </c>
      <c r="C19" s="6" t="inlineStr">
        <is>
          <t>Items found</t>
        </is>
      </c>
      <c r="D19" s="6" t="inlineStr">
        <is>
          <t>Logic</t>
        </is>
      </c>
    </row>
    <row r="20">
      <c r="A20" s="44" t="inlineStr">
        <is>
          <t>DXF_PP_SVETLA_VYSKA</t>
        </is>
      </c>
      <c r="B20" s="44" t="inlineStr">
        <is>
          <t>COVERED</t>
        </is>
      </c>
      <c r="C20" s="44" t="n">
        <v>8</v>
      </c>
      <c r="D20" s="44" t="inlineStr">
        <is>
          <t>Per-podlaží světlé výšky (2100/2795/2865/2630) drive omítka stěn area per podlaží + skladba volume.</t>
        </is>
      </c>
    </row>
    <row r="21">
      <c r="A21" s="44" t="inlineStr">
        <is>
          <t>DXF_SKLADBA_CODES</t>
        </is>
      </c>
      <c r="B21" s="44" t="inlineStr">
        <is>
          <t>COVERED</t>
        </is>
      </c>
      <c r="C21" s="44" t="n">
        <v>20</v>
      </c>
      <c r="D21" s="44" t="inlineStr">
        <is>
          <t>Each decoded S-code skladba is implemented by per-layer items across kapitolas {PSV-78, PSV-71, PSV-77, HSV-5, HSV-7, HS</t>
        </is>
      </c>
    </row>
    <row r="22">
      <c r="A22" s="44" t="inlineStr">
        <is>
          <t>DXF_KLEMPIRINA</t>
        </is>
      </c>
      <c r="B22" s="44" t="inlineStr">
        <is>
          <t>COVERED</t>
        </is>
      </c>
      <c r="C22" s="44" t="n">
        <v>4</v>
      </c>
      <c r="D22" s="44" t="inlineStr">
        <is>
          <t>DXF total klempířina 173.8 m must be split across PSV-76 Klempíř items.</t>
        </is>
      </c>
    </row>
    <row r="23">
      <c r="A23" s="44" t="inlineStr">
        <is>
          <t>DXF_OKNA_INSERT</t>
        </is>
      </c>
      <c r="B23" s="44" t="inlineStr">
        <is>
          <t>COVERED</t>
        </is>
      </c>
      <c r="C23" s="44" t="n">
        <v>8</v>
      </c>
      <c r="D23" s="44" t="inlineStr">
        <is>
          <t>DXF okno INSERT count should be consumed by PSV-76 Výplně otvorů items.</t>
        </is>
      </c>
    </row>
    <row r="24">
      <c r="A24" s="44" t="inlineStr">
        <is>
          <t>DXF_KROKVE_INSERT</t>
        </is>
      </c>
      <c r="B24" s="44" t="inlineStr">
        <is>
          <t>COVERED</t>
        </is>
      </c>
      <c r="C24" s="44" t="n">
        <v>1</v>
      </c>
      <c r="D24" s="44" t="inlineStr">
        <is>
          <t>111 krokev INSERTs ↔ HSV-5 krov tesařský — verify count consistency with item mnozstvi (bm).</t>
        </is>
      </c>
    </row>
    <row r="25">
      <c r="A25" s="44" t="inlineStr">
        <is>
          <t>DXF_SANIT_INSERT</t>
        </is>
      </c>
      <c r="B25" s="44" t="inlineStr">
        <is>
          <t>COVERED</t>
        </is>
      </c>
      <c r="C25" s="44" t="n">
        <v>10</v>
      </c>
      <c r="D25" s="44" t="inlineStr">
        <is>
          <t>Sanit ks count ↔ PSV-72 ZTI items.</t>
        </is>
      </c>
    </row>
    <row r="26">
      <c r="A26" s="44" t="inlineStr">
        <is>
          <t>DXF_KUCHYNE_INSERT</t>
        </is>
      </c>
      <c r="B26" s="44" t="inlineStr">
        <is>
          <t>N/A_DOCUMENTED</t>
        </is>
      </c>
      <c r="C26" s="44" t="n">
        <v>0</v>
      </c>
      <c r="D26" s="44" t="inlineStr">
        <is>
          <t>Kitchen appliances generally investor-supplied — expect no items in rozpočet.</t>
        </is>
      </c>
    </row>
    <row r="27">
      <c r="A27" s="44" t="inlineStr">
        <is>
          <t>DXF_ROOM_NUMBERS</t>
        </is>
      </c>
      <c r="B27" s="44" t="inlineStr">
        <is>
          <t>N/A_DOCUMENTED</t>
        </is>
      </c>
      <c r="C27" s="44" t="n">
        <v>0</v>
      </c>
      <c r="D27" s="44" t="inlineStr">
        <is>
          <t>Per-room labels feed per-podlaží/per-zone areas but rozpočet items aggregate at kapitola level.</t>
        </is>
      </c>
    </row>
    <row r="28">
      <c r="A28" s="44" t="inlineStr">
        <is>
          <t>DXF_MATERIAL_MARKERS</t>
        </is>
      </c>
      <c r="B28" s="44" t="inlineStr">
        <is>
          <t>COVERED</t>
        </is>
      </c>
      <c r="C28" s="44" t="n">
        <v>9</v>
      </c>
      <c r="D28" s="44" t="inlineStr">
        <is>
          <t>Material markers (ETICS/EPS/MW/PIR) consumed by PSV-71 + HSV-7 items.</t>
        </is>
      </c>
    </row>
    <row r="29">
      <c r="A29" s="44" t="inlineStr">
        <is>
          <t>DXF_POZN_REFS</t>
        </is>
      </c>
      <c r="B29" s="44" t="inlineStr">
        <is>
          <t>N/A_DOCUMENTED</t>
        </is>
      </c>
      <c r="C29" s="44" t="n">
        <v>0</v>
      </c>
      <c r="D29" s="44" t="inlineStr">
        <is>
          <t>POZN. refs are cross-link metadata — no direct items expected.</t>
        </is>
      </c>
    </row>
    <row r="30">
      <c r="A30" s="44" t="inlineStr">
        <is>
          <t>DXF_DIMENSIONS_BANDS</t>
        </is>
      </c>
      <c r="B30" s="44" t="inlineStr">
        <is>
          <t>N/A_DOCUMENTED</t>
        </is>
      </c>
      <c r="C30" s="44" t="n">
        <v>0</v>
      </c>
      <c r="D30" s="44" t="inlineStr">
        <is>
          <t>Dimensions are supporting evidence for quantity computation across items.</t>
        </is>
      </c>
    </row>
    <row r="31">
      <c r="A31" s="44" t="inlineStr">
        <is>
          <t>DXF_EMBEDDED_TABLES</t>
        </is>
      </c>
      <c r="B31" s="44" t="inlineStr">
        <is>
          <t>N/A_DOCUMENTED</t>
        </is>
      </c>
      <c r="C31" s="44" t="n">
        <v>0</v>
      </c>
      <c r="D31" s="44" t="inlineStr">
        <is>
          <t>Embedded tables (legendy, výpisy) feed item attributes — not items themselves.</t>
        </is>
      </c>
    </row>
    <row r="32">
      <c r="A32" s="44" t="inlineStr">
        <is>
          <t>DXF_META_BLOCKS</t>
        </is>
      </c>
      <c r="B32" s="44" t="inlineStr">
        <is>
          <t>N/A_DOCUMENTED</t>
        </is>
      </c>
      <c r="C32" s="44" t="n">
        <v>4</v>
      </c>
      <c r="D32" s="44" t="inlineStr">
        <is>
          <t>razítko/severka/řezová značka = drawing meta (no items). Nábytek = investor scope. Plot dřevěný (133) — check if zahrnut</t>
        </is>
      </c>
    </row>
    <row r="34">
      <c r="A34" s="43" t="inlineStr">
        <is>
          <t>Matrix C — items.json sources → corpora</t>
        </is>
      </c>
    </row>
    <row r="35">
      <c r="A35" s="6" t="inlineStr">
        <is>
          <t>Verdict</t>
        </is>
      </c>
      <c r="B35" s="6" t="inlineStr">
        <is>
          <t>Count</t>
        </is>
      </c>
      <c r="C35" s="6" t="inlineStr">
        <is>
          <t>%</t>
        </is>
      </c>
      <c r="D35" s="6" t="inlineStr">
        <is>
          <t>Note</t>
        </is>
      </c>
    </row>
    <row r="36">
      <c r="A36" s="44" t="inlineStr">
        <is>
          <t>VERIFIED</t>
        </is>
      </c>
      <c r="B36" s="44" t="n">
        <v>163</v>
      </c>
      <c r="C36" s="44" t="inlineStr">
        <is>
          <t>77.3 %</t>
        </is>
      </c>
      <c r="D36" s="44" t="inlineStr">
        <is>
          <t>All claim parts verifiable in TZ/DXF corpora</t>
        </is>
      </c>
    </row>
    <row r="37">
      <c r="A37" s="44" t="inlineStr">
        <is>
          <t>PARTIAL</t>
        </is>
      </c>
      <c r="B37" s="44" t="n">
        <v>48</v>
      </c>
      <c r="C37" s="44" t="inlineStr">
        <is>
          <t>22.7 %</t>
        </is>
      </c>
      <c r="D37" s="44" t="inlineStr">
        <is>
          <t>Primary claim verified; secondary technical detail at sub-paragraph granularity</t>
        </is>
      </c>
    </row>
    <row r="38">
      <c r="A38" s="44" t="inlineStr">
        <is>
          <t>NOT_VERIFIABLE</t>
        </is>
      </c>
      <c r="B38" s="44" t="n">
        <v>0</v>
      </c>
      <c r="C38" s="44" t="inlineStr">
        <is>
          <t>0.0 %</t>
        </is>
      </c>
      <c r="D38" s="44" t="inlineStr">
        <is>
          <t>0 — every item has at least one verifiable claim</t>
        </is>
      </c>
    </row>
    <row r="40">
      <c r="A40" s="43" t="inlineStr">
        <is>
          <t>Matrix D — cross-document consistency</t>
        </is>
      </c>
    </row>
    <row r="41">
      <c r="A41" s="6" t="inlineStr">
        <is>
          <t>Fact</t>
        </is>
      </c>
      <c r="B41" s="6" t="inlineStr">
        <is>
          <t>Verdict</t>
        </is>
      </c>
      <c r="C41" s="6" t="inlineStr"/>
      <c r="D41" s="6" t="inlineStr">
        <is>
          <t>Note</t>
        </is>
      </c>
    </row>
    <row r="42">
      <c r="A42" s="44" t="inlineStr">
        <is>
          <t>Per-podlaží světlé výšky (2100/2795/2865/2630 mm)</t>
        </is>
      </c>
      <c r="B42" s="44" t="inlineStr">
        <is>
          <t>CONSISTENT</t>
        </is>
      </c>
      <c r="C42" s="44" t="inlineStr"/>
      <c r="D42" s="44" t="inlineStr"/>
    </row>
    <row r="43">
      <c r="A43" s="44" t="inlineStr">
        <is>
          <t>Sklad geometrie (6.35 m × 3.34 m + parking 7 m)</t>
        </is>
      </c>
      <c r="B43" s="44" t="inlineStr">
        <is>
          <t>CONSISTENT</t>
        </is>
      </c>
      <c r="C43" s="44" t="inlineStr"/>
      <c r="D43" s="44" t="inlineStr"/>
    </row>
    <row r="44">
      <c r="A44" s="44" t="inlineStr">
        <is>
          <t>ETICS thickness (160 mm canonical per v4.31 changelog; 200 mm was a silent-drift before correction)</t>
        </is>
      </c>
      <c r="B44" s="44" t="inlineStr">
        <is>
          <t>CONSISTENT</t>
        </is>
      </c>
      <c r="C44" s="44" t="inlineStr"/>
      <c r="D44" s="44" t="inlineStr">
        <is>
          <t>Applied thickness pulled from 'tl. N mm' pattern, negation/max contexts ('ne 200 mm fallback', 'max 200 mm povolena') ignored. Verdict CONSI</t>
        </is>
      </c>
    </row>
    <row r="45">
      <c r="A45" s="44" t="inlineStr">
        <is>
          <t>Klempířina length reconciliation (DXF total vs PSV-76 items sum)</t>
        </is>
      </c>
      <c r="B45" s="44" t="inlineStr">
        <is>
          <t>CONSISTENT</t>
        </is>
      </c>
      <c r="C45" s="44" t="inlineStr"/>
      <c r="D45" s="44" t="inlineStr"/>
    </row>
    <row r="46">
      <c r="A46" s="44" t="inlineStr">
        <is>
          <t>Item count phrasing across MD outputs</t>
        </is>
      </c>
      <c r="B46" s="44" t="inlineStr">
        <is>
          <t>REVIEW</t>
        </is>
      </c>
      <c r="C46" s="44" t="inlineStr"/>
      <c r="D46" s="44" t="inlineStr">
        <is>
          <t>Per Alexandra's gate-2 disposition: standardize phrasing '208 total (204 active, 4 deprecated audit-trail)' across all MDs during Matrix D +</t>
        </is>
      </c>
    </row>
    <row r="47">
      <c r="A47" s="44" t="inlineStr">
        <is>
          <t>Word otázky count + resolution status</t>
        </is>
      </c>
      <c r="B47" s="44" t="inlineStr">
        <is>
          <t>REVIEW</t>
        </is>
      </c>
      <c r="C47" s="44" t="inlineStr"/>
      <c r="D47" s="44" t="inlineStr">
        <is>
          <t>Intro text says '18 otázek' but actual count is 20 — Q19 + Q20 added later. Header-detected RESOLVED: Q4 / Q5-partial / Q18 / Q20. Per Alexa</t>
        </is>
      </c>
    </row>
    <row r="49">
      <c r="A49" s="43" t="inlineStr">
        <is>
          <t>Per-drawing extraction completeness audit</t>
        </is>
      </c>
    </row>
    <row r="50">
      <c r="A50" s="6" t="inlineStr">
        <is>
          <t>POZN ref</t>
        </is>
      </c>
      <c r="B50" s="6" t="inlineStr">
        <is>
          <t>Verdict</t>
        </is>
      </c>
      <c r="C50" s="6" t="inlineStr">
        <is>
          <t>Drawn in N</t>
        </is>
      </c>
      <c r="D50" s="6" t="inlineStr">
        <is>
          <t>Decoded summary</t>
        </is>
      </c>
    </row>
    <row r="51">
      <c r="A51" s="44" t="inlineStr">
        <is>
          <t>POZN.1.01</t>
        </is>
      </c>
      <c r="B51" s="44" t="inlineStr">
        <is>
          <t>META</t>
        </is>
      </c>
      <c r="C51" s="44" t="n">
        <v>1</v>
      </c>
      <c r="D51" s="44" t="inlineStr">
        <is>
          <t>Legenda bourání meta (lists demolition categories) — not a procurement item itself.</t>
        </is>
      </c>
    </row>
    <row r="52">
      <c r="A52" s="44" t="inlineStr">
        <is>
          <t>POZN.1.02</t>
        </is>
      </c>
      <c r="B52" s="44" t="inlineStr">
        <is>
          <t>GAP</t>
        </is>
      </c>
      <c r="C52" s="44" t="n">
        <v>5</v>
      </c>
      <c r="D52" s="44" t="inlineStr">
        <is>
          <t>Zbourání vrchní části komínu v posledním podlaží</t>
        </is>
      </c>
    </row>
    <row r="53">
      <c r="A53" s="44" t="inlineStr">
        <is>
          <t>POZN.1.03</t>
        </is>
      </c>
      <c r="B53" s="44" t="inlineStr">
        <is>
          <t>GAP</t>
        </is>
      </c>
      <c r="C53" s="44" t="n">
        <v>1</v>
      </c>
      <c r="D53" s="44" t="inlineStr">
        <is>
          <t>Částečné bourání opěrných zídek a schodiště (zahrada / dvůr)</t>
        </is>
      </c>
    </row>
    <row r="54">
      <c r="A54" s="44" t="inlineStr">
        <is>
          <t>POZN.1.1</t>
        </is>
      </c>
      <c r="B54" s="44" t="inlineStr">
        <is>
          <t>META</t>
        </is>
      </c>
      <c r="C54" s="44" t="n">
        <v>1</v>
      </c>
      <c r="D54" s="44" t="inlineStr">
        <is>
          <t>Výškový systém Balt: ±0,000 = +662,05 m.n.m. (coordinate datum reference)</t>
        </is>
      </c>
    </row>
    <row r="55">
      <c r="A55" s="44" t="inlineStr">
        <is>
          <t>POZN.2.01</t>
        </is>
      </c>
      <c r="B55" s="44" t="inlineStr">
        <is>
          <t>COVERED</t>
        </is>
      </c>
      <c r="C55" s="44" t="n">
        <v>6</v>
      </c>
      <c r="D55" s="44" t="inlineStr">
        <is>
          <t>Nový vstup do domu přes mezipodestu — lehká ocelová konstrukce přisazená k domu</t>
        </is>
      </c>
    </row>
    <row r="56">
      <c r="A56" s="44" t="inlineStr">
        <is>
          <t>POZN.2.02</t>
        </is>
      </c>
      <c r="B56" s="44" t="inlineStr">
        <is>
          <t>PARTIAL</t>
        </is>
      </c>
      <c r="C56" s="44" t="n">
        <v>6</v>
      </c>
      <c r="D56" s="44" t="inlineStr">
        <is>
          <t>Opěrná stěna jako bílá vana + drenáž a odvod vody za opěrnou stěnou</t>
        </is>
      </c>
    </row>
    <row r="57">
      <c r="A57" s="44" t="inlineStr">
        <is>
          <t>POZN.2.03</t>
        </is>
      </c>
      <c r="B57" s="44" t="inlineStr">
        <is>
          <t>COVERED</t>
        </is>
      </c>
      <c r="C57" s="44" t="n">
        <v>7</v>
      </c>
      <c r="D57" s="44" t="inlineStr">
        <is>
          <t>Posílení stropu/podlahy osazením nové stropnice (viz statika)</t>
        </is>
      </c>
    </row>
    <row r="58">
      <c r="A58" s="44" t="inlineStr">
        <is>
          <t>POZN.2.04</t>
        </is>
      </c>
      <c r="B58" s="44" t="inlineStr">
        <is>
          <t>COVERED</t>
        </is>
      </c>
      <c r="C58" s="44" t="n">
        <v>7</v>
      </c>
      <c r="D58" s="44" t="inlineStr">
        <is>
          <t>ŽB ztužující věnec (viz statika)</t>
        </is>
      </c>
    </row>
    <row r="59">
      <c r="A59" s="44" t="inlineStr">
        <is>
          <t>POZN.2.05</t>
        </is>
      </c>
      <c r="B59" s="44" t="inlineStr">
        <is>
          <t>ENRICHMENT</t>
        </is>
      </c>
      <c r="C59" s="44" t="n">
        <v>0</v>
      </c>
      <c r="D59" s="44" t="inlineStr">
        <is>
          <t>Mykologický průzkum + průzkum výskytu dřevokazního hmyzu stávajících trámových stropů</t>
        </is>
      </c>
    </row>
    <row r="61">
      <c r="A61" s="43" t="inlineStr">
        <is>
          <t>Phase 3 + 4 dispositions applied</t>
        </is>
      </c>
    </row>
    <row r="62">
      <c r="A62" s="6" t="inlineStr">
        <is>
          <t>Action</t>
        </is>
      </c>
      <c r="B62" s="6" t="inlineStr">
        <is>
          <t>Count</t>
        </is>
      </c>
      <c r="C62" s="6" t="inlineStr"/>
      <c r="D62" s="6" t="inlineStr">
        <is>
          <t>Note</t>
        </is>
      </c>
    </row>
    <row r="63">
      <c r="A63" s="44" t="inlineStr">
        <is>
          <t>New items added (3 GAPs)</t>
        </is>
      </c>
      <c r="B63" s="44" t="n">
        <v>3</v>
      </c>
      <c r="C63" s="44" t="inlineStr"/>
      <c r="D63" s="44" t="inlineStr">
        <is>
          <t>HSV6.016 komín + HSV6.017 opěrné zídky + HSV1.015 drenáž za BV</t>
        </is>
      </c>
    </row>
    <row r="64">
      <c r="A64" s="44" t="inlineStr">
        <is>
          <t>VRN.001/Průzkumy enriched</t>
        </is>
      </c>
      <c r="B64" s="44" t="n">
        <v>1</v>
      </c>
      <c r="C64" s="44" t="inlineStr"/>
      <c r="D64" s="44" t="inlineStr">
        <is>
          <t>+ dřevokazný hmyz survey</t>
        </is>
      </c>
    </row>
    <row r="65">
      <c r="A65" s="44" t="inlineStr">
        <is>
          <t>Skladba traceability tagged</t>
        </is>
      </c>
      <c r="B65" s="44" t="n">
        <v>40</v>
      </c>
      <c r="C65" s="44" t="inlineStr"/>
      <c r="D65" s="44" t="inlineStr">
        <is>
          <t>38 S-code + 2 external (Anglický dvorek + Terasa)</t>
        </is>
      </c>
    </row>
    <row r="66">
      <c r="A66" s="44" t="inlineStr">
        <is>
          <t>Klempířina reconciliation note</t>
        </is>
      </c>
      <c r="B66" s="44" t="n">
        <v>4</v>
      </c>
      <c r="C66" s="44" t="inlineStr"/>
      <c r="D66" s="44" t="inlineStr">
        <is>
          <t>Δ -8 % vs DXF MA_klempíř — flag for Karel walkthrough</t>
        </is>
      </c>
    </row>
    <row r="67">
      <c r="A67" s="44" t="inlineStr">
        <is>
          <t>Q21 added to Word otázky</t>
        </is>
      </c>
      <c r="B67" s="44" t="n">
        <v>1</v>
      </c>
      <c r="C67" s="44" t="inlineStr"/>
      <c r="D67" s="44" t="inlineStr">
        <is>
          <t>Plot dřevěný — working assumption out-of-scope</t>
        </is>
      </c>
    </row>
    <row r="70">
      <c r="A70" s="43" t="inlineStr">
        <is>
          <t>Klempířina reconciliation (Phase 3.3)</t>
        </is>
      </c>
    </row>
    <row r="71">
      <c r="A71" s="6" t="inlineStr">
        <is>
          <t>Source</t>
        </is>
      </c>
      <c r="B71" s="6" t="inlineStr">
        <is>
          <t>Length (m)</t>
        </is>
      </c>
      <c r="C71" s="6" t="inlineStr">
        <is>
          <t>Δ vs DXF</t>
        </is>
      </c>
      <c r="D71" s="6" t="inlineStr">
        <is>
          <t>Note</t>
        </is>
      </c>
    </row>
    <row r="72">
      <c r="A72" s="44" t="inlineStr">
        <is>
          <t>DXF MA_klempíř (30 entities)</t>
        </is>
      </c>
      <c r="B72" s="44" t="n">
        <v>75.40000000000001</v>
      </c>
      <c r="C72" s="44" t="inlineStr">
        <is>
          <t>—</t>
        </is>
      </c>
      <c r="D72" s="44" t="inlineStr"/>
    </row>
    <row r="73">
      <c r="A73" s="44" t="inlineStr">
        <is>
          <t>DXF SM__ klempířina (45 entities)</t>
        </is>
      </c>
      <c r="B73" s="44" t="n">
        <v>98.40000000000001</v>
      </c>
      <c r="C73" s="44" t="inlineStr">
        <is>
          <t>—</t>
        </is>
      </c>
      <c r="D73" s="44" t="inlineStr"/>
    </row>
    <row r="74">
      <c r="A74" s="44" t="inlineStr">
        <is>
          <t>DXF total</t>
        </is>
      </c>
      <c r="B74" s="44" t="n">
        <v>173.8</v>
      </c>
      <c r="C74" s="44" t="inlineStr">
        <is>
          <t>0 %</t>
        </is>
      </c>
      <c r="D74" s="44" t="inlineStr">
        <is>
          <t>Reference</t>
        </is>
      </c>
    </row>
    <row r="75">
      <c r="A75" s="44" t="inlineStr">
        <is>
          <t>Items PSV-76 Klempíř sum</t>
        </is>
      </c>
      <c r="B75" s="44" t="n">
        <v>159.9</v>
      </c>
      <c r="C75" s="44" t="inlineStr">
        <is>
          <t>-8.0 %</t>
        </is>
      </c>
      <c r="D75" s="44" t="inlineStr">
        <is>
          <t>Within ±15 % tolerance — flag for Karel walkthrough; possible missing klempíř segment ~14 m</t>
        </is>
      </c>
    </row>
  </sheetData>
  <mergeCells count="8">
    <mergeCell ref="A40:D40"/>
    <mergeCell ref="A18:D18"/>
    <mergeCell ref="A70:D70"/>
    <mergeCell ref="A61:D61"/>
    <mergeCell ref="A34:D34"/>
    <mergeCell ref="A3:D3"/>
    <mergeCell ref="A11:D1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2026-05-31T19:18:48Z</dcterms:created>
  <dcterms:modified xmlns:dcterms="http://purl.org/dc/terms/" xmlns:xsi="http://www.w3.org/2001/XMLSchema-instance" xsi:type="dcterms:W3CDTF">2026-05-31T19:18:49Z</dcterms:modified>
</cp:coreProperties>
</file>
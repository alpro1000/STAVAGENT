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'Var_A_Agregovany_Sklad'!$A$1:$G$8</definedName>
    <definedName name="_xlnm._FilterDatabase" localSheetId="3" hidden="1">'Var_C_Hybrid'!$A$1:$J$116</definedName>
    <definedName name="_xlnm._FilterDatabase" localSheetId="4" hidden="1">'Var_B_Polozkovy_Dum'!$A$1:$O$185</definedName>
    <definedName name="_xlnm._FilterDatabase" localSheetId="5" hidden="1">'Var_B_Polozkovy_Sklad'!$A$1:$O$28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2026-05-26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30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180 + sklad 27 = 207 aktivních + 4 deprecated). Cílový rozsah pro produkční pricing.</t>
        </is>
      </c>
      <c r="C25" s="9" t="n">
        <v>171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207 (180 dum + 27 sklad) + 4 deprecated audit-trail = 211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(3.8 %) ✓ | 9 wrong leaf flagged (4.3 %) ⚠ | 194 needs_production_lookup (91.9 %)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211 položek celkem (184 dum + 27 sklad), 4 corpus patterns aplikované, zero-fabrication policy.
Confidence distribution: 17×0.99 · 28×0.95 · 34×0.90 · 43×0.85 · 18×0.80 · 70×0.75 · 1×0.70.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(+12 dalších)</t>
        </is>
      </c>
      <c r="D17" s="9" t="n">
        <v>16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PSV-76 — Výplně otvorů + klempířina + zámečnictví + truhlář</t>
        </is>
      </c>
      <c r="C6" s="8" t="inlineStr">
        <is>
          <t>Bezpečnostní dveře RC3 sklad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PSV-77 — Podlahy</t>
        </is>
      </c>
      <c r="C7" s="8" t="inlineStr">
        <is>
          <t>Betonová dlažba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VRN — Vedlejší rozpočtové náklady</t>
        </is>
      </c>
      <c r="C8" s="8" t="inlineStr">
        <is>
          <t>Doprava prefa H-BLOK auto s hyd. rukou; Likvidace odpadu sklad; Geodetické vytýčení sklad; Podíl na obecných VRN dům</t>
        </is>
      </c>
      <c r="D8" s="9" t="n">
        <v>4</v>
      </c>
      <c r="E8" s="10" t="n"/>
      <c r="F8" s="10" t="n"/>
      <c r="G8" s="8" t="inlineStr">
        <is>
          <t>agregát — detail viz List B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21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21" t="inlineStr">
        <is>
          <t>PSV-76 — Výplně otvorů + klempířina + zámečnictví + truhlář</t>
        </is>
      </c>
      <c r="D105" s="8" t="inlineStr">
        <is>
          <t>[agregát] 1 položek: Bezpečnostní dveře RC3 sklad</t>
        </is>
      </c>
      <c r="E105" s="20" t="inlineStr">
        <is>
          <t>kpl</t>
        </is>
      </c>
      <c r="F105" s="9" t="n">
        <v>1</v>
      </c>
      <c r="G105" s="10" t="n"/>
      <c r="H105" s="10" t="n"/>
      <c r="I105" s="8" t="inlineStr">
        <is>
          <t>—</t>
        </is>
      </c>
      <c r="J105" s="8" t="inlineStr">
        <is>
          <t>agregát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PSV-77 — Podlahy</t>
        </is>
      </c>
      <c r="D106" s="8" t="inlineStr">
        <is>
          <t>[agregát] 1 položek: Betonová dlažba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VRN — Vedlejší rozpočtové náklady</t>
        </is>
      </c>
      <c r="D107" s="8" t="inlineStr">
        <is>
          <t>[agregát] 4 položek: Doprava prefa H-BLOK auto s hyd. rukou; Likvidace odpadu sklad; Geodetické vytýčení sklad; … (+1 dalších)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260219_dum</t>
        </is>
      </c>
      <c r="C108" s="21" t="inlineStr">
        <is>
          <t>M-21 — Elektroinstalace silnoproudá</t>
        </is>
      </c>
      <c r="D108" s="8" t="inlineStr">
        <is>
          <t>[agregát] 7 položek: Demontáž stávající ELI; Pojistková skříň + 3× podružný rozvaděč; Rozvody silnoproud; … (+4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PSV-71 — Izolace HI + TI</t>
        </is>
      </c>
      <c r="D109" s="8" t="inlineStr">
        <is>
          <t>[agregát] 5 položek: HI pod ŽB deskou 1.NP; Odvětrání radonu z podloží; HI koupelny 1.NP + 2.NP + 3.NP; … (+2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PSV-72 — ZTI (vodovod + kanalizace + sanita)</t>
        </is>
      </c>
      <c r="D110" s="8" t="inlineStr">
        <is>
          <t>[agregát] 19 položek: Revize stávajících přípojek; Nové rozvody vody do 3.NP; Nové odpadní rozvody; … (+16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PSV-73 — Vytápění + komín</t>
        </is>
      </c>
      <c r="D111" s="8" t="inlineStr">
        <is>
          <t>[agregát] 8 položek: Sporáková kamna na tuhá paliva; Sporáková kamna — montáž; Elektrokotel 3.NP; … (+5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PSV-76 — Výplně otvorů + klempířina + zámečnictví + truhlář</t>
        </is>
      </c>
      <c r="D112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PSV-77 — Podlahy</t>
        </is>
      </c>
      <c r="D113" s="8" t="inlineStr">
        <is>
          <t>[agregát] 7 položek: Nášlap vinyl obytné místnosti; Nášlap keramická dlažba — mokré zóny; Nášlap keramická dlažba — 1.PP sklep; … (+4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PSV-78 — Povrchové úpravy</t>
        </is>
      </c>
      <c r="D114" s="8" t="inlineStr">
        <is>
          <t>[agregát] 16 položek: Omítka jádrová + štuk 1.PP; Omítka jádrová + štuk 1.NP; Omítka jádrová + štuk 2.NP; … (+13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PSV-95 — Detekce požární</t>
        </is>
      </c>
      <c r="D115" s="8" t="inlineStr">
        <is>
          <t>[agregát] 2 položek: Autonomní hlásič kouře; Přenosný hasicí přístroj 34A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VRN — Vedlejší rozpočtové náklady</t>
        </is>
      </c>
      <c r="D116" s="8" t="inlineStr">
        <is>
          <t>[agregát] 16 položek: Buňky kancelář + sociální; Mobilní WC; El. odběr + vodovodní odběr stavby;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</sheetData>
  <autoFilter ref="A1:J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matched_websearch_verified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  <c r="P7" s="41" t="n"/>
      <c r="Q7" s="41" t="n"/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8" t="inlineStr">
        <is>
          <t>LEAF CHYBNÝ — viz alternatives</t>
        </is>
      </c>
      <c r="P8" s="41" t="n"/>
      <c r="Q8" s="41" t="n"/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  <c r="P14" s="41" t="n"/>
      <c r="Q14" s="41" t="n"/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  <c r="P15" s="41" t="n"/>
      <c r="Q15" s="41" t="n"/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  <c r="P18" s="41" t="n"/>
      <c r="Q18" s="41" t="n"/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S09</t>
        </is>
      </c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n"/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  <c r="P22" s="41" t="inlineStr">
        <is>
          <t>S05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  <c r="P23" s="41" t="inlineStr">
        <is>
          <t>S05</t>
        </is>
      </c>
      <c r="Q23" s="41" t="n"/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  <c r="P24" s="41" t="inlineStr">
        <is>
          <t>S01, S02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needs_production_lookup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S12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  <c r="P26" s="41" t="inlineStr">
        <is>
          <t>S01</t>
        </is>
      </c>
      <c r="Q26" s="41" t="n"/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S01</t>
        </is>
      </c>
      <c r="Q27" s="41" t="n"/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  <c r="P30" s="41" t="inlineStr">
        <is>
          <t>S02</t>
        </is>
      </c>
      <c r="Q30" s="41" t="n"/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n"/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  <c r="P32" s="41" t="inlineStr">
        <is>
          <t>S09</t>
        </is>
      </c>
      <c r="Q32" s="41" t="n"/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n"/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n"/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n"/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S06</t>
        </is>
      </c>
      <c r="Q37" s="41" t="n"/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n"/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S07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  <c r="P42" s="41" t="inlineStr">
        <is>
          <t>S07</t>
        </is>
      </c>
      <c r="Q42" s="41" t="n"/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  <c r="P45" s="41" t="n"/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  <c r="P46" s="41" t="n"/>
      <c r="Q46" s="41" t="n"/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n"/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n"/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  <c r="P50" s="41" t="n"/>
      <c r="Q50" s="41" t="n"/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  <c r="P51" s="41" t="inlineStr">
        <is>
          <t>S10</t>
        </is>
      </c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needs_production_lookup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  <c r="P54" s="41" t="inlineStr">
        <is>
          <t>S10</t>
        </is>
      </c>
      <c r="Q54" s="41" t="n"/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  <c r="P57" s="41" t="inlineStr">
        <is>
          <t>S10</t>
        </is>
      </c>
      <c r="Q57" s="41" t="n"/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  <c r="P58" s="41" t="inlineStr">
        <is>
          <t>S11</t>
        </is>
      </c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  <c r="P59" s="41" t="n"/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S12b</t>
        </is>
      </c>
      <c r="Q60" s="41" t="n"/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  <c r="P61" s="41" t="n"/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  <c r="P62" s="41" t="n"/>
      <c r="Q62" s="41" t="n"/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matched_websearch_verified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5" t="inlineStr">
        <is>
          <t>OVĚŘENO ✓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n"/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  <c r="P73" s="41" t="n"/>
      <c r="Q73" s="41" t="inlineStr">
        <is>
          <t>GAP_002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  <c r="P76" s="41" t="n"/>
      <c r="Q76" s="41" t="inlineStr">
        <is>
          <t>PER_DRAWING_GAP_POZN_1_02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PER_DRAWING_GAP_POZN_1_03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  <c r="P78" s="41" t="inlineStr">
        <is>
          <t>S01</t>
        </is>
      </c>
      <c r="Q78" s="41" t="n"/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S01, S12a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  <c r="P80" s="41" t="inlineStr">
        <is>
          <t>S01</t>
        </is>
      </c>
      <c r="Q80" s="41" t="n"/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  <c r="P81" s="41" t="inlineStr">
        <is>
          <t>S01, S12a</t>
        </is>
      </c>
      <c r="Q81" s="41" t="n"/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S12a, S12b</t>
        </is>
      </c>
      <c r="Q83" s="41" t="n"/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n"/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  <c r="P85" s="41" t="n"/>
      <c r="Q85" s="41" t="n"/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wrong_leaf_disambiguation_needed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8" t="inlineStr">
        <is>
          <t>LEAF CHYBNÝ — viz alternatives</t>
        </is>
      </c>
      <c r="P86" s="41" t="n"/>
      <c r="Q86" s="41" t="n"/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wrong_leaf_disambiguation_needed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8" t="inlineStr">
        <is>
          <t>LEAF CHYBNÝ — viz alternatives</t>
        </is>
      </c>
      <c r="P87" s="41" t="n"/>
      <c r="Q87" s="41" t="n"/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wrong_leaf_disambiguation_needed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8" t="inlineStr">
        <is>
          <t>LEAF CHYBNÝ — viz alternatives</t>
        </is>
      </c>
      <c r="P88" s="41" t="n"/>
      <c r="Q88" s="41" t="n"/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  <c r="P89" s="41" t="n"/>
      <c r="Q89" s="41" t="n"/>
      <c r="R89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  <c r="P90" s="41" t="n"/>
      <c r="Q90" s="41" t="n"/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n"/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n"/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n"/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  <c r="P95" s="41" t="n"/>
      <c r="Q95" s="41" t="n"/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GAP_008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GAP_004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inlineStr">
        <is>
          <t>GAP_007_deprecated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n"/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n"/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inlineStr">
        <is>
          <t>GAP_005_deprecated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GAP_005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  <c r="P150" s="41" t="n"/>
      <c r="Q150" s="41" t="inlineStr">
        <is>
          <t>GAP_005_deprecated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  <c r="P151" s="41" t="n"/>
      <c r="Q151" s="41" t="inlineStr">
        <is>
          <t>GAP_005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  <c r="P154" s="41" t="n"/>
      <c r="Q154" s="41" t="inlineStr">
        <is>
          <t>GAP_005_deprecated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inlineStr">
        <is>
          <t>GAP_005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Pojištění + zábory</t>
        </is>
      </c>
      <c r="C177" s="8" t="inlineStr">
        <is>
          <t>Pojištění stavby (montážní + odpovědnostní)</t>
        </is>
      </c>
      <c r="D177" s="20" t="inlineStr">
        <is>
          <t>030081000</t>
        </is>
      </c>
      <c r="E177" s="8" t="inlineStr">
        <is>
          <t>Montážní pojištění stavby (CAR) + pojištění odpovědnosti za škodu (zhotovitel) — paušál cca 0.3-0.5 % z PN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Standard zhotovitel — pojistná povinnost</t>
        </is>
      </c>
      <c r="N177" s="20" t="inlineStr">
        <is>
          <t>#10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Krátkodobé zábory ul. Fibichova</t>
        </is>
      </c>
      <c r="D178" s="20" t="inlineStr">
        <is>
          <t>030083000</t>
        </is>
      </c>
      <c r="E178" s="8" t="inlineStr">
        <is>
          <t>Krátkodobé zábory ulice Fibichova pro materiál a kontejnery (povolení MU Jáchymov + DI) — odhad 30 dnů kumulativně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0.75</v>
      </c>
      <c r="L178" s="20" t="inlineStr">
        <is>
          <t>needs_production_lookup</t>
        </is>
      </c>
      <c r="M178" s="8" t="inlineStr">
        <is>
          <t>TZ B m.10 + situace — řadovka ul. Fibichova</t>
        </is>
      </c>
      <c r="N178" s="20" t="inlineStr">
        <is>
          <t>#10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VRN — Průzkumy</t>
        </is>
      </c>
      <c r="C179" s="8" t="inlineStr">
        <is>
          <t>Mykologický průzkum dřeva při bourání</t>
        </is>
      </c>
      <c r="D179" s="20" t="inlineStr">
        <is>
          <t>030131000</t>
        </is>
      </c>
      <c r="E179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mykolog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§3.2.3 + POZN.2.05 z půdorysů návrh + řez A-A návrh (explicit dřevokazný hmyz scope per drawing wording)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inlineStr">
        <is>
          <t>PER_DRAWING_ENRICHMENT_POZN_2_05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Azbestový průzkum podrobný před demolicí</t>
        </is>
      </c>
      <c r="D180" s="20" t="inlineStr">
        <is>
          <t>030133000</t>
        </is>
      </c>
      <c r="E180" s="8" t="inlineStr">
        <is>
          <t>Azbestový průzkum podrobný před demolicí — laboratorní vzorky a posudek (B kap. m.7.a předběžně negativní, ale podrobný před bouráním povinný)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azbestovy_specialista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B m.7.a + ARS §3.2 — azbestový průzkum povinný před demolicí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Revize</t>
        </is>
      </c>
      <c r="C181" s="8" t="inlineStr">
        <is>
          <t>Revize hydrantu vnějšího</t>
        </is>
      </c>
      <c r="D181" s="20" t="inlineStr">
        <is>
          <t>030161000</t>
        </is>
      </c>
      <c r="E181" s="8" t="inlineStr">
        <is>
          <t>Revize vnějšího hydrantu pro požární zabezpečení (DN min. 80, vzdálenost 100 m dle TZ PBŘ) — periodická kontrola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revize_specialista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PBŘ dům — vnější odběrné místo požární vody, revize před kolaudací</t>
        </is>
      </c>
      <c r="N181" s="20" t="inlineStr">
        <is>
          <t>—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VRN — Zařízení staveniště</t>
        </is>
      </c>
      <c r="C182" s="8" t="inlineStr">
        <is>
          <t>Buňky kancelář + sociální</t>
        </is>
      </c>
      <c r="D182" s="20" t="inlineStr">
        <is>
          <t>030011000</t>
        </is>
      </c>
      <c r="E182" s="8" t="inlineStr">
        <is>
          <t>Zařízení staveniště — buňka kancelář + sociální buňka (WC + šatna), pronájem ~8 měsíců</t>
        </is>
      </c>
      <c r="F182" s="20" t="inlineStr">
        <is>
          <t>kpl-měs</t>
        </is>
      </c>
      <c r="G182" s="23" t="n">
        <v>8</v>
      </c>
      <c r="H182" s="10" t="n"/>
      <c r="I182" s="10" t="n"/>
      <c r="J182" s="8" t="inlineStr">
        <is>
          <t>VRN_management</t>
        </is>
      </c>
      <c r="K182" s="24" t="n">
        <v>0.8</v>
      </c>
      <c r="L182" s="20" t="inlineStr">
        <is>
          <t>needs_production_lookup</t>
        </is>
      </c>
      <c r="M182" s="8" t="inlineStr">
        <is>
          <t>TZ B m.1.m realizace 2026-2027 + standard staveniště RD městská zástavba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Zařízení staveniště</t>
        </is>
      </c>
      <c r="C183" s="8" t="inlineStr">
        <is>
          <t>Mobilní WC</t>
        </is>
      </c>
      <c r="D183" s="20" t="inlineStr">
        <is>
          <t>030013000</t>
        </is>
      </c>
      <c r="E183" s="8" t="inlineStr">
        <is>
          <t>Mobilní chemické WC TOI TOI pro pracovníky — pronájem ~8 měsíců</t>
        </is>
      </c>
      <c r="F183" s="20" t="inlineStr">
        <is>
          <t>ks-měs</t>
        </is>
      </c>
      <c r="G183" s="23" t="n">
        <v>8</v>
      </c>
      <c r="H183" s="10" t="n"/>
      <c r="I183" s="10" t="n"/>
      <c r="J183" s="8" t="inlineStr">
        <is>
          <t>VRN_management</t>
        </is>
      </c>
      <c r="K183" s="24" t="n">
        <v>0.8</v>
      </c>
      <c r="L183" s="20" t="inlineStr">
        <is>
          <t>needs_production_lookup</t>
        </is>
      </c>
      <c r="M183" s="8" t="inlineStr">
        <is>
          <t>BOZP — mobilní WC povinné pro stavbu RD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El. odběr + vodovodní odběr stavby</t>
        </is>
      </c>
      <c r="D184" s="20" t="inlineStr">
        <is>
          <t>031011000</t>
        </is>
      </c>
      <c r="E184" s="8" t="inlineStr">
        <is>
          <t>El. odběr stavby (zřízení staveništního rozvaděče + měřič) + vodovodní odběr (zřízení staveništní přípojky + vodoměr) — ~8 měsíců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Standard staveniště — el. + voda zřízení a odběr po dobu stavby</t>
        </is>
      </c>
      <c r="N184" s="20" t="inlineStr">
        <is>
          <t>#10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Voda staveniště</t>
        </is>
      </c>
      <c r="D185" s="20" t="inlineStr">
        <is>
          <t>012103101</t>
        </is>
      </c>
      <c r="E185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</v>
      </c>
      <c r="L185" s="20" t="inlineStr">
        <is>
          <t>needs_production_lookup</t>
        </is>
      </c>
      <c r="M185" s="8" t="inlineStr">
        <is>
          <t>TZ B Souhrnná m.5 — 'Stávající vodovodní přípojka z veřejného vodovodu'</t>
        </is>
      </c>
      <c r="N185" s="20" t="inlineStr">
        <is>
          <t>—</t>
        </is>
      </c>
      <c r="O185" s="26" t="inlineStr">
        <is>
          <t>ANO</t>
        </is>
      </c>
      <c r="P185" s="41" t="n"/>
      <c r="Q185" s="41" t="inlineStr">
        <is>
          <t>GAP_003</t>
        </is>
      </c>
    </row>
  </sheetData>
  <autoFilter ref="A1:O185"/>
  <conditionalFormatting sqref="K2:K18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n"/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n"/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n"/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n"/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n"/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21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TZ statika sklad §1.4 — pojezdové pororošty</t>
        </is>
      </c>
      <c r="N21" s="20" t="inlineStr">
        <is>
          <t>—</t>
        </is>
      </c>
      <c r="O21" s="26" t="inlineStr">
        <is>
          <t>ANO</t>
        </is>
      </c>
      <c r="P21" s="41" t="n"/>
      <c r="Q21" s="41" t="n"/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n"/>
      <c r="Q22" s="41" t="n"/>
    </row>
    <row r="23">
      <c r="A23" s="20" t="n">
        <v>22</v>
      </c>
      <c r="B23" s="8" t="inlineStr">
        <is>
          <t>PSV-76 Výplně otvorů</t>
        </is>
      </c>
      <c r="C23" s="8" t="inlineStr">
        <is>
          <t>Bezpečnostní dveře RC3 sklad</t>
        </is>
      </c>
      <c r="D23" s="20" t="inlineStr">
        <is>
          <t>766682111</t>
        </is>
      </c>
      <c r="E23" s="8" t="inlineStr">
        <is>
          <t>Bezpečnostní dveře RC3 v ocelové zárubni — vrata skladu (TZ statika §1.4 RC3 certifikované)</t>
        </is>
      </c>
      <c r="F23" s="20" t="inlineStr">
        <is>
          <t>ks</t>
        </is>
      </c>
      <c r="G23" s="23" t="n">
        <v>1</v>
      </c>
      <c r="H23" s="10" t="n"/>
      <c r="I23" s="10" t="n"/>
      <c r="J23" s="8" t="inlineStr">
        <is>
          <t>specialista_RC3_dvere</t>
        </is>
      </c>
      <c r="K23" s="24" t="n">
        <v>0.85</v>
      </c>
      <c r="L23" s="20" t="inlineStr">
        <is>
          <t>needs_production_lookup</t>
        </is>
      </c>
      <c r="M23" s="8" t="inlineStr">
        <is>
          <t>TZ statika sklad §1.4 — RC3 bezpečnostní dveře v ocelové zárubni</t>
        </is>
      </c>
      <c r="N23" s="20" t="inlineStr">
        <is>
          <t>—</t>
        </is>
      </c>
      <c r="O23" s="26" t="inlineStr">
        <is>
          <t>ANO</t>
        </is>
      </c>
      <c r="P23" s="41" t="n"/>
      <c r="Q23" s="41" t="n"/>
    </row>
    <row r="24">
      <c r="A24" s="20" t="n">
        <v>23</v>
      </c>
      <c r="B24" s="8" t="inlineStr">
        <is>
          <t>PSV-77 Podlahy</t>
        </is>
      </c>
      <c r="C24" s="8" t="inlineStr">
        <is>
          <t>Betonová dlažba sklad</t>
        </is>
      </c>
      <c r="D24" s="27" t="inlineStr">
        <is>
          <t>596??? ?</t>
        </is>
      </c>
      <c r="E24" s="8" t="inlineStr">
        <is>
          <t>Betonová dlažba do pískového lože — povrch podlahy skladu (~21 m²)</t>
        </is>
      </c>
      <c r="F24" s="20" t="inlineStr">
        <is>
          <t>m²</t>
        </is>
      </c>
      <c r="G24" s="22" t="n">
        <v>21.209</v>
      </c>
      <c r="H24" s="10" t="n"/>
      <c r="I24" s="10" t="n"/>
      <c r="J24" s="8" t="inlineStr">
        <is>
          <t>podlahar</t>
        </is>
      </c>
      <c r="K24" s="24" t="n">
        <v>0.95</v>
      </c>
      <c r="L24" s="20" t="inlineStr">
        <is>
          <t>wrong_leaf_disambiguation_needed</t>
        </is>
      </c>
      <c r="M24" s="8" t="inlineStr">
        <is>
          <t>TZ statika sklad §4 + DXF DIMENSION</t>
        </is>
      </c>
      <c r="N24" s="20" t="inlineStr">
        <is>
          <t>—</t>
        </is>
      </c>
      <c r="O24" s="28" t="inlineStr">
        <is>
          <t>LEAF CHYBNÝ — viz alternatives</t>
        </is>
      </c>
      <c r="P24" s="41" t="n"/>
      <c r="Q24" s="41" t="n"/>
    </row>
    <row r="25">
      <c r="A25" s="20" t="n">
        <v>24</v>
      </c>
      <c r="B25" s="8" t="inlineStr">
        <is>
          <t>VRN — Doprava + odpad</t>
        </is>
      </c>
      <c r="C25" s="8" t="inlineStr">
        <is>
          <t>Doprava prefa H-BLOK auto s hyd. rukou</t>
        </is>
      </c>
      <c r="D25" s="20" t="inlineStr">
        <is>
          <t>031032000</t>
        </is>
      </c>
      <c r="E25" s="8" t="inlineStr">
        <is>
          <t>Doprava prefa H-BLOK Standard z výrobny Herkul (Obrnice) auto s hydraulickou rukou — celkem ~60 ks bloků</t>
        </is>
      </c>
      <c r="F25" s="20" t="inlineStr">
        <is>
          <t>kpl</t>
        </is>
      </c>
      <c r="G25" s="23" t="n">
        <v>1</v>
      </c>
      <c r="H25" s="10" t="n"/>
      <c r="I25" s="10" t="n"/>
      <c r="J25" s="8" t="inlineStr">
        <is>
          <t>prefa_bloky_specialista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§4 + ARS — auto s hyd. rukou pro osazení H-BLOK</t>
        </is>
      </c>
      <c r="N25" s="20" t="inlineStr">
        <is>
          <t>—</t>
        </is>
      </c>
      <c r="O25" s="26" t="inlineStr">
        <is>
          <t>ANO</t>
        </is>
      </c>
      <c r="P25" s="41" t="n"/>
      <c r="Q25" s="41" t="n"/>
    </row>
    <row r="26">
      <c r="A26" s="20" t="n">
        <v>25</v>
      </c>
      <c r="B26" s="8" t="inlineStr">
        <is>
          <t>VRN — Doprava + odpad</t>
        </is>
      </c>
      <c r="C26" s="8" t="inlineStr">
        <is>
          <t>Likvidace odpadu sklad</t>
        </is>
      </c>
      <c r="D26" s="20" t="inlineStr">
        <is>
          <t>997013211</t>
        </is>
      </c>
      <c r="E26" s="8" t="inlineStr">
        <is>
          <t>Likvidace odpadu sklad — kameny ze zídek + výkop + dřevo (drobné množství)</t>
        </is>
      </c>
      <c r="F26" s="20" t="inlineStr">
        <is>
          <t>t</t>
        </is>
      </c>
      <c r="G26" s="22" t="n">
        <v>8</v>
      </c>
      <c r="H26" s="10" t="n"/>
      <c r="I26" s="10" t="n"/>
      <c r="J26" s="8" t="inlineStr">
        <is>
          <t>bourani_demolice</t>
        </is>
      </c>
      <c r="K26" s="24" t="n">
        <v>0.75</v>
      </c>
      <c r="L26" s="20" t="inlineStr">
        <is>
          <t>needs_production_lookup</t>
        </is>
      </c>
      <c r="M26" s="8" t="inlineStr">
        <is>
          <t>TZ ARS sklad §3 — kamenné zídky + schodiště odstraneny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Geodet</t>
        </is>
      </c>
      <c r="C27" s="8" t="inlineStr">
        <is>
          <t>Geodetické vytýčení sklad</t>
        </is>
      </c>
      <c r="D27" s="20" t="inlineStr">
        <is>
          <t>030141000</t>
        </is>
      </c>
      <c r="E27" s="8" t="inlineStr">
        <is>
          <t>Geodetické vytýčení sklad+parking+schodiště ze situace (před realizací)</t>
        </is>
      </c>
      <c r="F27" s="20" t="inlineStr">
        <is>
          <t>kpl</t>
        </is>
      </c>
      <c r="G27" s="23" t="n">
        <v>1</v>
      </c>
      <c r="H27" s="10" t="n"/>
      <c r="I27" s="10" t="n"/>
      <c r="J27" s="8" t="inlineStr">
        <is>
          <t>geodet</t>
        </is>
      </c>
      <c r="K27" s="24" t="n">
        <v>0.99</v>
      </c>
      <c r="L27" s="20" t="inlineStr">
        <is>
          <t>needs_production_lookup</t>
        </is>
      </c>
      <c r="M27" s="8" t="inlineStr">
        <is>
          <t>Standard — geodet vytýčení pro každý nový objekt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Společné</t>
        </is>
      </c>
      <c r="C28" s="8" t="inlineStr">
        <is>
          <t>Podíl na obecných VRN dům</t>
        </is>
      </c>
      <c r="D28" s="20" t="inlineStr">
        <is>
          <t>030001000</t>
        </is>
      </c>
      <c r="E28" s="8" t="inlineStr">
        <is>
          <t>Podíl na obecných VRN domu (buňky, BOZP, pojištění, kolaudace) — paušál ~10 % nákladů sklad nebo % alokace</t>
        </is>
      </c>
      <c r="F28" s="20" t="inlineStr">
        <is>
          <t>paušál</t>
        </is>
      </c>
      <c r="G28" s="23" t="n">
        <v>1</v>
      </c>
      <c r="H28" s="10" t="n"/>
      <c r="I28" s="10" t="n"/>
      <c r="J28" s="8" t="inlineStr">
        <is>
          <t>VRN_management</t>
        </is>
      </c>
      <c r="K28" s="24" t="n">
        <v>0.8</v>
      </c>
      <c r="L28" s="20" t="inlineStr">
        <is>
          <t>needs_production_lookup</t>
        </is>
      </c>
      <c r="M28" s="8" t="inlineStr">
        <is>
          <t>Standard zhotovitel — alokace VRN pro paralelně realizovaný sklad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</sheetData>
  <autoFilter ref="A1:O28"/>
  <conditionalFormatting sqref="K2:K2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0.95–0.95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28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211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2026-05-26T18:52:50Z</dcterms:created>
  <dcterms:modified xmlns:dcterms="http://purl.org/dc/terms/" xmlns:xsi="http://www.w3.org/2001/XMLSchema-instance" xsi:type="dcterms:W3CDTF">2026-05-26T18:55:41Z</dcterms:modified>
</cp:coreProperties>
</file>
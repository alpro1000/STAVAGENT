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6 ks</t>
        </is>
      </c>
      <c r="G20" s="2" t="inlineStr">
        <is>
          <t>m³</t>
        </is>
      </c>
      <c r="H20" s="2" t="n">
        <v>1.5</v>
      </c>
      <c r="I20" s="3" t="inlineStr">
        <is>
          <t>6 patek × 0.5 × 0.5 × 1.0 m hl. = 1.5 m³</t>
        </is>
      </c>
      <c r="J20" s="2" t="inlineStr">
        <is>
          <t>132211101</t>
        </is>
      </c>
      <c r="K20" s="3" t="inlineStr">
        <is>
          <t>výkres D.1.1.02 — 6 patek spočítáno (řada 785+5×1000+435 mm), rozteč IPE 1000 mm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2.64</v>
      </c>
      <c r="I21" s="3" t="inlineStr">
        <is>
          <t>podlaha sklad 17.6 m² (legenda místností) × 0.15 m podkladní kamenná drť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31.85</v>
      </c>
      <c r="I22" s="3">
        <f> součet hloubení sklad + figura + patky (25.5+4.85+1.5)</f>
        <v/>
      </c>
      <c r="J22" s="2" t="inlineStr"/>
      <c r="K22" s="3">
        <f> součet HSV-1 sklad hloubení (patky 6 ks)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6 ks</t>
        </is>
      </c>
      <c r="G43" s="2" t="inlineStr">
        <is>
          <t>ks</t>
        </is>
      </c>
      <c r="H43" s="2" t="n">
        <v>6</v>
      </c>
      <c r="I43" s="3" t="inlineStr">
        <is>
          <t>6 ks (výkres D.1.1.02 — 6 štvercových patek pod IPE180)</t>
        </is>
      </c>
      <c r="J43" s="2" t="inlineStr">
        <is>
          <t>273313811</t>
        </is>
      </c>
      <c r="K43" s="3" t="inlineStr">
        <is>
          <t>D.1.1.02 (6 patek + 6× IPE180 spočítáno na výkrese; rozteč 1000, řada 785+5×1000+435)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6 ks</t>
        </is>
      </c>
      <c r="G44" s="2" t="inlineStr">
        <is>
          <t>ks</t>
        </is>
      </c>
      <c r="H44" s="2" t="n">
        <v>6</v>
      </c>
      <c r="I44" s="3" t="inlineStr">
        <is>
          <t>6 ks (= spodní, výkres D.1.1.02)</t>
        </is>
      </c>
      <c r="J44" s="2" t="inlineStr">
        <is>
          <t>311233812</t>
        </is>
      </c>
      <c r="K44" s="3" t="inlineStr">
        <is>
          <t>D.1.1.02 (6 patek + 6× IPE180 spočítáno na výkrese; rozteč 1000, řada 785+5×1000+435)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6.18</v>
      </c>
      <c r="I45" s="3">
        <f> montáž × 1.03</f>
        <v/>
      </c>
      <c r="J45" s="2" t="inlineStr"/>
      <c r="K45" s="3" t="inlineStr">
        <is>
          <t>D.1.1.02 (6 patek + 6× IPE180 spočítáno na výkrese; rozteč 1000, řada 785+5×1000+435)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1.75</v>
      </c>
      <c r="I46" s="3" t="inlineStr">
        <is>
          <t>patky horní (0.3×0.3×0.5×6 = 0.27) + zídka lemující + věnec nad patkami (odhad ~1.5 m³) = ~1.75 m³</t>
        </is>
      </c>
      <c r="J46" s="2" t="inlineStr">
        <is>
          <t>273321321</t>
        </is>
      </c>
      <c r="K46" s="3" t="inlineStr">
        <is>
          <t>TZ statika sklad §3 + výkres D.1.1.02 (6 patek)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18</v>
      </c>
      <c r="I59" s="3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J59" s="2" t="inlineStr">
        <is>
          <t>311233815</t>
        </is>
      </c>
      <c r="K59" s="3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— tvarovky ztraceného bednění tl. 250 mm × výška 2.4 m + zalití C25/30</t>
        </is>
      </c>
      <c r="G60" s="2" t="inlineStr">
        <is>
          <t>m²</t>
        </is>
      </c>
      <c r="H60" s="2" t="n">
        <v>46.5</v>
      </c>
      <c r="I60" s="3" t="inlineStr">
        <is>
          <t>obvod 19.4 m × výška 2.4 m = 46.6</t>
        </is>
      </c>
      <c r="J60" s="2" t="inlineStr">
        <is>
          <t>311233811</t>
        </is>
      </c>
      <c r="K60" s="3" t="inlineStr">
        <is>
          <t>TZ statika sklad §4 + DXF DIMENSION obvod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— tvarovky ztraceného be)</t>
        </is>
      </c>
      <c r="G61" s="2" t="inlineStr">
        <is>
          <t>m²</t>
        </is>
      </c>
      <c r="H61" s="2" t="n">
        <v>46.5</v>
      </c>
      <c r="I61" s="3">
        <f> montáž 1:1</f>
        <v/>
      </c>
      <c r="J61" s="2" t="inlineStr"/>
      <c r="K61" s="3" t="inlineStr">
        <is>
          <t>TZ statika sklad §4 + DXF DIMENSION obvod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1398</v>
      </c>
      <c r="I62" s="3" t="inlineStr">
        <is>
          <t>46.6 × 30 kg/m² = 1398</t>
        </is>
      </c>
      <c r="J62" s="2" t="inlineStr">
        <is>
          <t>273361821</t>
        </is>
      </c>
      <c r="K62" s="3" t="inlineStr">
        <is>
          <t>B4_productivity Methvin — výztuž do ZB tvarovek tl. 250 mm</t>
        </is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1398</v>
      </c>
      <c r="I63" s="3">
        <f> montáž 1:1</f>
        <v/>
      </c>
      <c r="J63" s="2" t="inlineStr"/>
      <c r="K63" s="3" t="inlineStr">
        <is>
          <t>B4_productivity Methvin — výztuž do ZB tvarovek tl. 250 mm</t>
        </is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36.74</v>
      </c>
      <c r="I82" s="3" t="inlineStr">
        <is>
          <t>6.35/0.625 = 10.16 → 11 ks × 3.34 m (rozpon 3.1 + uložení) = 36.74 bm</t>
        </is>
      </c>
      <c r="J82" s="2" t="inlineStr">
        <is>
          <t>762341110</t>
        </is>
      </c>
      <c r="K82" s="3" t="inlineStr">
        <is>
          <t>TZ statika sklad §4 + DXF DIMENSION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40.41</v>
      </c>
      <c r="I83" s="3">
        <f> montáž × 1.10</f>
        <v/>
      </c>
      <c r="J83" s="2" t="inlineStr"/>
      <c r="K83" s="3" t="inlineStr">
        <is>
          <t>TZ statika sklad §4 + DXF DIMENSION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21.209</v>
      </c>
      <c r="I84" s="3">
        <f> 21.2 m² strop skladu</f>
        <v/>
      </c>
      <c r="J84" s="2" t="inlineStr">
        <is>
          <t>762331110</t>
        </is>
      </c>
      <c r="K84" s="3" t="inlineStr">
        <is>
          <t>TZ statika sklad §4 + DXF</t>
        </is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22.26945</v>
      </c>
      <c r="I85" s="3" t="inlineStr">
        <is>
          <t>21.2 × 1.05 přesah</t>
        </is>
      </c>
      <c r="J85" s="2" t="inlineStr">
        <is>
          <t>712331101</t>
        </is>
      </c>
      <c r="K85" s="3" t="inlineStr">
        <is>
          <t>TZ statika sklad §4 — HI souvrství</t>
        </is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24.5</v>
      </c>
      <c r="I86" s="3">
        <f> montáž × 1.10</f>
        <v/>
      </c>
      <c r="J86" s="2" t="inlineStr"/>
      <c r="K86" s="3" t="inlineStr">
        <is>
          <t>TZ statika sklad §4 — HI souvrství</t>
        </is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6 m × 6 ks</t>
        </is>
      </c>
      <c r="G87" s="2" t="inlineStr">
        <is>
          <t>kg</t>
        </is>
      </c>
      <c r="H87" s="2" t="n">
        <v>790</v>
      </c>
      <c r="I87" s="3" t="inlineStr">
        <is>
          <t>6 ks IPE180 × 7.0 m × 18.8 kg/m = 789.6 → 790 kg (výkres D.1.1.02: 6 nosníků)</t>
        </is>
      </c>
      <c r="J87" s="2" t="inlineStr">
        <is>
          <t>411321414</t>
        </is>
      </c>
      <c r="K87" s="3" t="inlineStr">
        <is>
          <t>výkres D.1.1.02 — 6× IPE180 á 7.0 m; ČSN hmotnost 18.8 kg/m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813.7</v>
      </c>
      <c r="I88" s="3">
        <f> montáž × 1.03</f>
        <v/>
      </c>
      <c r="J88" s="2" t="inlineStr"/>
      <c r="K88" s="3" t="inlineStr">
        <is>
          <t>výkres D.1.1.02 — 6× IPE180 á 7.0 m; ČSN hmotnost 18.8 kg/m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1420</v>
      </c>
      <c r="I90" s="3" t="inlineStr">
        <is>
          <t>IPE 790 kg + pororošt 630 kg = 1420 kg žárově zinkováno (IPE 6 ks)</t>
        </is>
      </c>
      <c r="J90" s="2" t="inlineStr">
        <is>
          <t>783201001</t>
        </is>
      </c>
      <c r="K90" s="3">
        <f> HSV4.004 (6 ks) + HSV4.005 pororošt hmotnost</f>
        <v/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1448.4</v>
      </c>
      <c r="I91" s="3">
        <f> montáž × 1.02</f>
        <v/>
      </c>
      <c r="J91" s="2" t="inlineStr"/>
      <c r="K91" s="3">
        <f> HSV4.004 (6 ks) + HSV4.005 pororošt hmotnost</f>
        <v/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do pískového lože — povrch podlahy skladu (~21 m²)</t>
        </is>
      </c>
      <c r="G226" s="2" t="inlineStr">
        <is>
          <t>m²</t>
        </is>
      </c>
      <c r="H226" s="2" t="n">
        <v>17.6</v>
      </c>
      <c r="I226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226" s="2" t="inlineStr"/>
      <c r="K226" s="3" t="inlineStr">
        <is>
          <t>DXF sklad_DPZ km_tabulka místností + Phase 3.5 sklad qty crosscheck (Pattern 17 Phase 0a Layer 2 + Pattern 31 CEV Matrix D.2)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Sklad mezipodesta schodiště — prefa betonové stupně (9 ks × 179.5×250 mm) + kladecí vrstva zavlhlého betonu nad ŽB podkladní deskou (S05 sklad skladba)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Dodatek PD č.1 (E.01) / DI PČR požadavek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Dodatek PD č.1 (E.01) / DI PČR požadavek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Dodatek PD č.1 (E.01) / DI PČR požadavek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</sheetData>
  <autoFilter ref="A1:M3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2026-06-02T07:08:23Z</dcterms:created>
  <dcterms:modified xmlns:dcterms="http://purl.org/dc/terms/" xmlns:xsi="http://www.w3.org/2001/XMLSchema-instance" xsi:type="dcterms:W3CDTF">2026-06-02T07:08:23Z</dcterms:modified>
</cp:coreProperties>
</file>
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SUM('SO_260219_Dum'!I53:I447)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48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SUMIFS(I51:I448,L51:L448,C16)</f>
        <v/>
      </c>
    </row>
    <row r="17">
      <c r="B17" s="17" t="n"/>
      <c r="C17" s="5" t="inlineStr">
        <is>
          <t>HSV-2 Základové a ŽB</t>
        </is>
      </c>
      <c r="D17" s="7">
        <f>SUMIFS(I51:I448,L51:L448,C17)</f>
        <v/>
      </c>
    </row>
    <row r="18">
      <c r="B18" s="17" t="n"/>
      <c r="C18" s="5" t="inlineStr">
        <is>
          <t>HSV-3 Svislé konstrukce</t>
        </is>
      </c>
      <c r="D18" s="7">
        <f>SUMIFS(I51:I448,L51:L448,C18)</f>
        <v/>
      </c>
    </row>
    <row r="19">
      <c r="B19" s="17" t="n"/>
      <c r="C19" s="5" t="inlineStr">
        <is>
          <t>HSV-4 Vodorovné</t>
        </is>
      </c>
      <c r="D19" s="7">
        <f>SUMIFS(I51:I448,L51:L448,C19)</f>
        <v/>
      </c>
    </row>
    <row r="20">
      <c r="B20" s="17" t="n"/>
      <c r="C20" s="5" t="inlineStr">
        <is>
          <t>HSV-5 Krov + střecha</t>
        </is>
      </c>
      <c r="D20" s="7">
        <f>SUMIFS(I51:I448,L51:L448,C20)</f>
        <v/>
      </c>
    </row>
    <row r="21">
      <c r="B21" s="17" t="n"/>
      <c r="C21" s="5" t="inlineStr">
        <is>
          <t>HSV-6 Bourací práce</t>
        </is>
      </c>
      <c r="D21" s="7">
        <f>SUMIFS(I51:I448,L51:L448,C21)</f>
        <v/>
      </c>
    </row>
    <row r="22">
      <c r="B22" s="17" t="n"/>
      <c r="C22" s="5" t="inlineStr">
        <is>
          <t>HSV-7 Fasáda ETICS</t>
        </is>
      </c>
      <c r="D22" s="7">
        <f>SUMIFS(I51:I448,L51:L448,C22)</f>
        <v/>
      </c>
    </row>
    <row r="23">
      <c r="B23" s="17" t="n"/>
      <c r="C23" s="5" t="inlineStr">
        <is>
          <t>M-21 ELI silnoproud</t>
        </is>
      </c>
      <c r="D23" s="7">
        <f>SUMIFS(I51:I448,L51:L448,C23)</f>
        <v/>
      </c>
    </row>
    <row r="24">
      <c r="B24" s="17" t="n"/>
      <c r="C24" s="5" t="inlineStr">
        <is>
          <t>PSV-71 Izolace HI</t>
        </is>
      </c>
      <c r="D24" s="7">
        <f>SUMIFS(I51:I448,L51:L448,C24)</f>
        <v/>
      </c>
    </row>
    <row r="25">
      <c r="B25" s="17" t="n"/>
      <c r="C25" s="5" t="inlineStr">
        <is>
          <t>PSV-71 Izolace TI</t>
        </is>
      </c>
      <c r="D25" s="7">
        <f>SUMIFS(I51:I448,L51:L448,C25)</f>
        <v/>
      </c>
    </row>
    <row r="26">
      <c r="B26" s="17" t="n"/>
      <c r="C26" s="5" t="inlineStr">
        <is>
          <t>PSV-72 ZTI</t>
        </is>
      </c>
      <c r="D26" s="7">
        <f>SUMIFS(I51:I448,L51:L448,C26)</f>
        <v/>
      </c>
    </row>
    <row r="27">
      <c r="B27" s="17" t="n"/>
      <c r="C27" s="5" t="inlineStr">
        <is>
          <t>PSV-73 Vytápění</t>
        </is>
      </c>
      <c r="D27" s="7">
        <f>SUMIFS(I51:I448,L51:L448,C27)</f>
        <v/>
      </c>
    </row>
    <row r="28">
      <c r="B28" s="17" t="n"/>
      <c r="C28" s="5" t="inlineStr">
        <is>
          <t>PSV-76 Klempíř</t>
        </is>
      </c>
      <c r="D28" s="7">
        <f>SUMIFS(I51:I448,L51:L448,C28)</f>
        <v/>
      </c>
    </row>
    <row r="29">
      <c r="B29" s="17" t="n"/>
      <c r="C29" s="5" t="inlineStr">
        <is>
          <t>PSV-76 Truhlář</t>
        </is>
      </c>
      <c r="D29" s="7">
        <f>SUMIFS(I51:I448,L51:L448,C29)</f>
        <v/>
      </c>
    </row>
    <row r="30">
      <c r="B30" s="17" t="n"/>
      <c r="C30" s="5" t="inlineStr">
        <is>
          <t>PSV-76 Výplně otvorů</t>
        </is>
      </c>
      <c r="D30" s="7">
        <f>SUMIFS(I51:I448,L51:L448,C30)</f>
        <v/>
      </c>
    </row>
    <row r="31">
      <c r="B31" s="17" t="n"/>
      <c r="C31" s="5" t="inlineStr">
        <is>
          <t>PSV-76 Zámečnictví</t>
        </is>
      </c>
      <c r="D31" s="7">
        <f>SUMIFS(I51:I448,L51:L448,C31)</f>
        <v/>
      </c>
    </row>
    <row r="32">
      <c r="B32" s="17" t="n"/>
      <c r="C32" s="5" t="inlineStr">
        <is>
          <t>PSV-77 Podlahy</t>
        </is>
      </c>
      <c r="D32" s="7">
        <f>SUMIFS(I51:I448,L51:L448,C32)</f>
        <v/>
      </c>
    </row>
    <row r="33">
      <c r="B33" s="17" t="n"/>
      <c r="C33" s="5" t="inlineStr">
        <is>
          <t>PSV-78 Povrchové úpravy</t>
        </is>
      </c>
      <c r="D33" s="7">
        <f>SUMIFS(I51:I448,L51:L448,C33)</f>
        <v/>
      </c>
    </row>
    <row r="34">
      <c r="B34" s="17" t="n"/>
      <c r="C34" s="5" t="inlineStr">
        <is>
          <t>PSV-95 Detekce požární</t>
        </is>
      </c>
      <c r="D34" s="7">
        <f>SUMIFS(I51:I448,L51:L448,C34)</f>
        <v/>
      </c>
    </row>
    <row r="35">
      <c r="B35" s="17" t="n"/>
      <c r="C35" s="5" t="inlineStr">
        <is>
          <t>VRN — Zařízení staveniště</t>
        </is>
      </c>
      <c r="D35" s="7">
        <f>SUMIFS(I51:I448,L51:L448,C35)</f>
        <v/>
      </c>
    </row>
    <row r="36">
      <c r="B36" s="17" t="n"/>
      <c r="C36" s="5" t="inlineStr">
        <is>
          <t>VRN — Přesun hmot</t>
        </is>
      </c>
      <c r="D36" s="7">
        <f>SUMIFS(I51:I448,L51:L448,C36)</f>
        <v/>
      </c>
    </row>
    <row r="37">
      <c r="B37" s="17" t="n"/>
      <c r="C37" s="5" t="inlineStr">
        <is>
          <t>VRN — Lešení</t>
        </is>
      </c>
      <c r="D37" s="7">
        <f>SUMIFS(I51:I448,L51:L448,C37)</f>
        <v/>
      </c>
    </row>
    <row r="38">
      <c r="B38" s="17" t="n"/>
      <c r="C38" s="5" t="inlineStr">
        <is>
          <t>VRN — Doprava + odpad</t>
        </is>
      </c>
      <c r="D38" s="7">
        <f>SUMIFS(I51:I448,L51:L448,C38)</f>
        <v/>
      </c>
    </row>
    <row r="39">
      <c r="B39" s="17" t="n"/>
      <c r="C39" s="5" t="inlineStr">
        <is>
          <t>VRN — Geodet</t>
        </is>
      </c>
      <c r="D39" s="7">
        <f>SUMIFS(I51:I448,L51:L448,C39)</f>
        <v/>
      </c>
    </row>
    <row r="40">
      <c r="B40" s="17" t="n"/>
      <c r="C40" s="5" t="inlineStr">
        <is>
          <t>VRN — Průzkumy</t>
        </is>
      </c>
      <c r="D40" s="7">
        <f>SUMIFS(I51:I448,L51:L448,C40)</f>
        <v/>
      </c>
    </row>
    <row r="41">
      <c r="B41" s="17" t="n"/>
      <c r="C41" s="5" t="inlineStr">
        <is>
          <t>VRN — BOZP</t>
        </is>
      </c>
      <c r="D41" s="7">
        <f>SUMIFS(I51:I448,L51:L448,C41)</f>
        <v/>
      </c>
    </row>
    <row r="42">
      <c r="B42" s="17" t="n"/>
      <c r="C42" s="5" t="inlineStr">
        <is>
          <t>VRN — Dokumentace</t>
        </is>
      </c>
      <c r="D42" s="7">
        <f>SUMIFS(I51:I448,L51:L448,C42)</f>
        <v/>
      </c>
    </row>
    <row r="43">
      <c r="B43" s="17" t="n"/>
      <c r="C43" s="5" t="inlineStr">
        <is>
          <t>VRN — Kolaudace</t>
        </is>
      </c>
      <c r="D43" s="7">
        <f>SUMIFS(I51:I448,L51:L448,C43)</f>
        <v/>
      </c>
    </row>
    <row r="44">
      <c r="B44" s="17" t="n"/>
      <c r="C44" s="5" t="inlineStr">
        <is>
          <t>VRN — Pojištění + zábory</t>
        </is>
      </c>
      <c r="D44" s="7">
        <f>SUMIFS(I51:I448,L51:L448,C44)</f>
        <v/>
      </c>
    </row>
    <row r="45">
      <c r="B45" s="17" t="n"/>
      <c r="C45" s="5" t="inlineStr">
        <is>
          <t>VRN — Revize</t>
        </is>
      </c>
      <c r="D45" s="7">
        <f>SUMIFS(I51:I448,L51:L448,C45)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30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PDF řez C-C explicit composition + anglický dvorek ~30 m² odhad (2.5 × 2.0 m + odkop k vstupu 1.PP)</t>
        </is>
      </c>
      <c r="F60" s="17" t="n"/>
      <c r="G60" s="30" t="n">
        <v>30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30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PDF řez C-C explicit composition — terasa ~30 m² (rozměry z TZ ARS dům §4 terasa za op. stěnou). ŘEZ C-C: dlaždice = roznášecí vrstva POD terče (NE na terče); terče nesou dřevěnou pochozí vrstvu PSV76.002.</t>
        </is>
      </c>
      <c r="F62" s="17" t="n"/>
      <c r="G62" s="30" t="n">
        <v>30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1" t="n"/>
      <c r="C71" s="22" t="inlineStr">
        <is>
          <t>D</t>
        </is>
      </c>
      <c r="D71" s="22" t="inlineStr">
        <is>
          <t>HSV-2</t>
        </is>
      </c>
      <c r="E71" s="22" t="inlineStr">
        <is>
          <t>HSV-2 Základové a ŽB</t>
        </is>
      </c>
      <c r="F71" s="21" t="n"/>
      <c r="G71" s="21" t="n"/>
      <c r="H71" s="21" t="n"/>
      <c r="I71" s="21" t="n"/>
      <c r="J71" s="21" t="n"/>
      <c r="K71" s="21" t="n"/>
      <c r="L71" s="21" t="n"/>
    </row>
    <row r="72">
      <c r="B72" s="23" t="n">
        <v>10</v>
      </c>
      <c r="C72" s="23" t="inlineStr">
        <is>
          <t>K</t>
        </is>
      </c>
      <c r="D72" s="24" t="inlineStr">
        <is>
          <t>274321321</t>
        </is>
      </c>
      <c r="E72" s="24" t="inlineStr">
        <is>
          <t>Bílá vana ČBS 02 — pata úhlové opěrné stěny 250×1200 mm × L=10 m, C25/30 XC3 XF1 XA1 CL0.4 Dmax22 S3</t>
        </is>
      </c>
      <c r="F72" s="23" t="inlineStr">
        <is>
          <t>m³</t>
        </is>
      </c>
      <c r="G72" s="25" t="n">
        <v>3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https://www.cs-urs.cz/podminky/cu202/801-1-Budovy-a-haly---z]</t>
        </is>
      </c>
      <c r="L72" s="5" t="inlineStr">
        <is>
          <t>HSV-2 Základové a ŽB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0.25 × 1.20 × 10 = 3.0</t>
        </is>
      </c>
      <c r="F73" s="17" t="n"/>
      <c r="G73" s="30" t="n">
        <v>3</v>
      </c>
      <c r="H73" s="17" t="n"/>
      <c r="I73" s="17" t="n"/>
      <c r="J73" s="17" t="n"/>
      <c r="K73" s="17" t="n"/>
      <c r="L73" s="17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stěna úhlová tl. 250 mm × výška 2050 mm × L=10 m, beton C25/30 XC3 XF1 XA1 (trhliny max 0.20 mm)</t>
        </is>
      </c>
      <c r="F74" s="23" t="inlineStr">
        <is>
          <t>m³</t>
        </is>
      </c>
      <c r="G74" s="25" t="n">
        <v>5.12</v>
      </c>
      <c r="H74" s="26" t="n"/>
      <c r="I74" s="26">
        <f>IF(H74="",0,G74*H74)</f>
        <v/>
      </c>
      <c r="J74" s="23" t="inlineStr">
        <is>
          <t>ÚRS 2026</t>
        </is>
      </c>
      <c r="K74" s="32" t="inlineStr">
        <is>
          <t>? needs production lookup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2.05 × 10 = 5.13</t>
        </is>
      </c>
      <c r="F75" s="17" t="n"/>
      <c r="G75" s="30" t="n">
        <v>5.12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/>
      <c r="E76" s="24" t="inlineStr">
        <is>
          <t>Systémové oboustranné bednění bílé vany — DOKA Framax / PERI MAXIMO, vč. těsnění pracovních spár bobtnavý pásek bentonit (TZ §5.5)</t>
        </is>
      </c>
      <c r="F76" s="23" t="inlineStr">
        <is>
          <t>m²</t>
        </is>
      </c>
      <c r="G76" s="25" t="n">
        <v>65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2×2.05×10 (svislé) + 2×1.20×10 (pata) = 41 + 24 = 65</t>
        </is>
      </c>
      <c r="F77" s="17" t="n"/>
      <c r="G77" s="30" t="n">
        <v>65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>
        <is>
          <t>273361821</t>
        </is>
      </c>
      <c r="E78" s="24" t="inlineStr">
        <is>
          <t>Výztuž bílé vany B500B 120 kg/m³ (empirická sazba Methvin pro úhlové opěrné stěny W0)</t>
        </is>
      </c>
      <c r="F78" s="23" t="inlineStr">
        <is>
          <t>kg</t>
        </is>
      </c>
      <c r="G78" s="25" t="n">
        <v>975</v>
      </c>
      <c r="H78" s="26" t="n"/>
      <c r="I78" s="26">
        <f>IF(H78="",0,G78*H78)</f>
        <v/>
      </c>
      <c r="J78" s="23" t="inlineStr">
        <is>
          <t>ÚRS 2026</t>
        </is>
      </c>
      <c r="K78" s="31" t="inlineStr">
        <is>
          <t>⚠ family OK, leaf KROS lookup [evidence: https://cs.wikipedia.org/wiki/Beton%C3%A1%C5%99sk%C3%A1_v%C3]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(3.0+5.13) × 120 = 976</t>
        </is>
      </c>
      <c r="F79" s="17" t="n"/>
      <c r="G79" s="30" t="n">
        <v>975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/>
      <c r="E80" s="24" t="inlineStr">
        <is>
          <t>Separační PE fólie pod základovou patou bílé vany (povinná dle ČBS 02)</t>
        </is>
      </c>
      <c r="F80" s="23" t="inlineStr">
        <is>
          <t>m²</t>
        </is>
      </c>
      <c r="G80" s="25" t="n">
        <v>13.2</v>
      </c>
      <c r="H80" s="26" t="n"/>
      <c r="I80" s="26">
        <f>IF(H80="",0,G80*H80)</f>
        <v/>
      </c>
      <c r="J80" s="23" t="inlineStr">
        <is>
          <t>ÚRS 2026</t>
        </is>
      </c>
      <c r="K80" s="33" t="inlineStr">
        <is>
          <t>❌ MANUAL — KROS catalog lookup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1.20 × 10 × 1.10 přesah = 13.2</t>
        </is>
      </c>
      <c r="F81" s="17" t="n"/>
      <c r="G81" s="30" t="n">
        <v>13.2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>
        <is>
          <t>279351102</t>
        </is>
      </c>
      <c r="E82" s="24" t="inlineStr">
        <is>
          <t>Mokré ošetřování betonu bílé vany min. 7 dní dle ČSN EN 13670 + ČBS 02 (kontrola trhlin max 0.20 mm)</t>
        </is>
      </c>
      <c r="F82" s="23" t="inlineStr">
        <is>
          <t>m²</t>
        </is>
      </c>
      <c r="G82" s="25" t="n">
        <v>53</v>
      </c>
      <c r="H82" s="26" t="n"/>
      <c r="I82" s="26">
        <f>IF(H82="",0,G82*H82)</f>
        <v/>
      </c>
      <c r="J82" s="23" t="inlineStr">
        <is>
          <t>ÚRS 2026</t>
        </is>
      </c>
      <c r="K82" s="32" t="inlineStr">
        <is>
          <t>? needs production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viditelná plocha BV pro ošetřování ~53</t>
        </is>
      </c>
      <c r="F83" s="17" t="n"/>
      <c r="G83" s="30" t="n">
        <v>53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274321311</t>
        </is>
      </c>
      <c r="E84" s="24" t="inlineStr">
        <is>
          <t>ŽB pozední věnec 300×250 mm po obvodu nadezdívky 3.NP, beton C25/30 XC1 + výztuž 100 kg/m³</t>
        </is>
      </c>
      <c r="F84" s="23" t="inlineStr">
        <is>
          <t>m³</t>
        </is>
      </c>
      <c r="G84" s="25" t="n">
        <v>2.9</v>
      </c>
      <c r="H84" s="26" t="n"/>
      <c r="I84" s="26">
        <f>IF(H84="",0,G84*H84)</f>
        <v/>
      </c>
      <c r="J84" s="23" t="inlineStr">
        <is>
          <t>ÚRS 2026</t>
        </is>
      </c>
      <c r="K84" s="31" t="inlineStr">
        <is>
          <t>⚠ family OK, leaf KROS lookup [evidence: https://www.estav.cz/cz/10863.pozedni-zelezobetonovy-venec-k]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0.30 × 0.25 × obvod 38.7 m (DXF km_R_návrh_tlustá 2 closed polygon area 91.28 m²) = 2.9 m³</t>
        </is>
      </c>
      <c r="F85" s="17" t="n"/>
      <c r="G85" s="30" t="n">
        <v>2.9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/>
      <c r="E86" s="24" t="inlineStr">
        <is>
          <t>Bednění pozedního věnce systémové oboustranné</t>
        </is>
      </c>
      <c r="F86" s="23" t="inlineStr">
        <is>
          <t>m²</t>
        </is>
      </c>
      <c r="G86" s="25" t="n">
        <v>19.4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2 (oboustranné) × 0.25 m výška × obvod 38.7 m (DXF) = 19.4 m²</t>
        </is>
      </c>
      <c r="F87" s="17" t="n"/>
      <c r="G87" s="30" t="n">
        <v>19.4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>
        <is>
          <t>273361821</t>
        </is>
      </c>
      <c r="E88" s="24" t="inlineStr">
        <is>
          <t>Výztuž B500B věnce 100 kg/m³ (Methvin sazba pro pozední věnce)</t>
        </is>
      </c>
      <c r="F88" s="23" t="inlineStr">
        <is>
          <t>kg</t>
        </is>
      </c>
      <c r="G88" s="25" t="n">
        <v>310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3.1 × 100 = 310</t>
        </is>
      </c>
      <c r="F89" s="17" t="n"/>
      <c r="G89" s="30" t="n">
        <v>310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274321111</t>
        </is>
      </c>
      <c r="E90" s="24" t="inlineStr">
        <is>
          <t>Nabetonávka stropu 2.NP/3.NP — beton C25/30 XC1 tl. 60 mm nad vlnu trapézového plechu 40S/160</t>
        </is>
      </c>
      <c r="F90" s="23" t="inlineStr">
        <is>
          <t>m³</t>
        </is>
      </c>
      <c r="G90" s="25" t="n">
        <v>6.26</v>
      </c>
      <c r="H90" s="26" t="n"/>
      <c r="I90" s="26">
        <f>IF(H90="",0,G90*H90)</f>
        <v/>
      </c>
      <c r="J90" s="23" t="inlineStr">
        <is>
          <t>ÚRS 2026</t>
        </is>
      </c>
      <c r="K90" s="31" t="inlineStr">
        <is>
          <t>⚠ family OK, leaf KROS lookup [evidence: https://www.cs-urs.cz/podminky/cu202/801-1-Budovy-a-haly---z]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104.4 m² × 0.06 m = 6.26</t>
        </is>
      </c>
      <c r="F91" s="17" t="n"/>
      <c r="G91" s="30" t="n">
        <v>6.26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273362441</t>
        </is>
      </c>
      <c r="E92" s="24" t="inlineStr">
        <is>
          <t>Výztuž nabetonávky kari síť 5/100/100 (cca 4.4 kg/m²)</t>
        </is>
      </c>
      <c r="F92" s="23" t="inlineStr">
        <is>
          <t>kg</t>
        </is>
      </c>
      <c r="G92" s="25" t="n">
        <v>459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4.4 kg/m² = 459</t>
        </is>
      </c>
      <c r="F93" s="17" t="n"/>
      <c r="G93" s="30" t="n">
        <v>459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273321311</t>
        </is>
      </c>
      <c r="E94" s="24" t="inlineStr">
        <is>
          <t>ŽB deska podlahy 1.NP na terénu tl. 150 mm, C25/30 XC2 + vyztužení kari 6/150/150 + okrajové pruty</t>
        </is>
      </c>
      <c r="F94" s="23" t="inlineStr">
        <is>
          <t>m³</t>
        </is>
      </c>
      <c r="G94" s="25" t="n">
        <v>10.96</v>
      </c>
      <c r="H94" s="26" t="n"/>
      <c r="I94" s="26">
        <f>IF(H94="",0,G94*H94)</f>
        <v/>
      </c>
      <c r="J94" s="23" t="inlineStr">
        <is>
          <t>ÚRS 2026</t>
        </is>
      </c>
      <c r="K94" s="31" t="inlineStr">
        <is>
          <t>⚠ family OK, leaf KROS lookup [evidence: https://styrotrade.cz/cs/nas-obchod/odborne-rady/skladby-pod]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× 0.7 (rozsah 1.NP) × 0.15 = ~11.0</t>
        </is>
      </c>
      <c r="F95" s="17" t="n"/>
      <c r="G95" s="30" t="n">
        <v>10.96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273361821</t>
        </is>
      </c>
      <c r="E96" s="24" t="inlineStr">
        <is>
          <t>Výztuž ŽB desky 1.NP — kari 6/150/150 + B500B okrajové pruty (~75 kg/m³ Methvin)</t>
        </is>
      </c>
      <c r="F96" s="23" t="inlineStr">
        <is>
          <t>kg</t>
        </is>
      </c>
      <c r="G96" s="25" t="n">
        <v>825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11.0 × 75 = 825</t>
        </is>
      </c>
      <c r="F97" s="17" t="n"/>
      <c r="G97" s="30" t="n">
        <v>825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HSV-3</t>
        </is>
      </c>
      <c r="E98" s="22" t="inlineStr">
        <is>
          <t>HSV-3 Svislé konstrukce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23</v>
      </c>
      <c r="C99" s="23" t="inlineStr">
        <is>
          <t>K</t>
        </is>
      </c>
      <c r="D99" s="24" t="inlineStr">
        <is>
          <t>311232511</t>
        </is>
      </c>
      <c r="E99" s="24" t="inlineStr">
        <is>
          <t>Lokální dozdívky a přizdívky z cihel plných pálených P10 na MVC M10 (uvedeno v TZ statika §4)</t>
        </is>
      </c>
      <c r="F99" s="23" t="inlineStr">
        <is>
          <t>m³</t>
        </is>
      </c>
      <c r="G99" s="25" t="n">
        <v>4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HSV-3 Svislé konstrukce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 — drobné dozdívky kolem nových otvorů 1.NP/2.NP</t>
        </is>
      </c>
      <c r="F100" s="17" t="n"/>
      <c r="G100" s="30" t="n">
        <v>4</v>
      </c>
      <c r="H100" s="17" t="n"/>
      <c r="I100" s="17" t="n"/>
      <c r="J100" s="17" t="n"/>
      <c r="K100" s="17" t="n"/>
      <c r="L100" s="17" t="n"/>
    </row>
    <row r="101">
      <c r="B101" s="23" t="n">
        <v>24</v>
      </c>
      <c r="C101" s="23" t="inlineStr">
        <is>
          <t>K</t>
        </is>
      </c>
      <c r="D101" s="24" t="inlineStr">
        <is>
          <t>311321411</t>
        </is>
      </c>
      <c r="E101" s="24" t="inlineStr">
        <is>
          <t>Nadezdívka 3.NP a čela vikýřů — Porotherm 30 Profi P10 na maltu pro tenké spáry, výška 2.65 m</t>
        </is>
      </c>
      <c r="F101" s="23" t="inlineStr">
        <is>
          <t>m²</t>
        </is>
      </c>
      <c r="G101" s="25" t="n">
        <v>71.8</v>
      </c>
      <c r="H101" s="26" t="n"/>
      <c r="I101" s="26">
        <f>IF(H101="",0,G101*H101)</f>
        <v/>
      </c>
      <c r="J101" s="23" t="inlineStr">
        <is>
          <t>ÚRS 2026</t>
        </is>
      </c>
      <c r="K101" s="27" t="inlineStr">
        <is>
          <t>✓ ověřeno cs-urs.cz [evidence: https://www.wienerberger.cz/zdivo-porotherm/produkty/cihly/p]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obvod 38.7 m (DXF km_R_návrh_tlustá 2) × výška 2.65 m × 0.7 (sníženo o štíty zachované — řadovka) = 71.8 m²</t>
        </is>
      </c>
      <c r="F102" s="17" t="n"/>
      <c r="G102" s="30" t="n">
        <v>71.8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317143112</t>
        </is>
      </c>
      <c r="E103" s="24" t="inlineStr">
        <is>
          <t>Ocelové překlady IPN160 ve dvojici nad otvory pro nové dveře/okna v 1.NP a 2.NP (8 otvorů odhad)</t>
        </is>
      </c>
      <c r="F103" s="23" t="inlineStr">
        <is>
          <t>ks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1" t="inlineStr">
        <is>
          <t>⚠ family OK, leaf KROS lookup [evidence: https://www.heluz.cz/cs/vyrobek/preklad-heluz-23-8-a-200-1]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 8 nových otvorů × 2 IPN160 (dvojice)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317242421</t>
        </is>
      </c>
      <c r="E105" s="24" t="inlineStr">
        <is>
          <t>Maltové uložení překladů IPN160 — MC25 tl. 50 mm + kari 5/100/100 (po obou stranách otvoru)</t>
        </is>
      </c>
      <c r="F105" s="23" t="inlineStr">
        <is>
          <t>kpl</t>
        </is>
      </c>
      <c r="G105" s="25" t="n">
        <v>16</v>
      </c>
      <c r="H105" s="26" t="n"/>
      <c r="I105" s="26">
        <f>IF(H105="",0,G105*H105)</f>
        <v/>
      </c>
      <c r="J105" s="23" t="inlineStr">
        <is>
          <t>ÚRS 2026</t>
        </is>
      </c>
      <c r="K105" s="32" t="inlineStr">
        <is>
          <t>? needs production lookup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8 otvorů × 2 strany = 16 uložení</t>
        </is>
      </c>
      <c r="F106" s="17" t="n"/>
      <c r="G106" s="30" t="n">
        <v>16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767131120</t>
        </is>
      </c>
      <c r="E107" s="24" t="inlineStr">
        <is>
          <t>Zesílení ostění úhelníky L100/10 dvojicí u otvoru u komínového tělesa (statická limitace)</t>
        </is>
      </c>
      <c r="F107" s="23" t="inlineStr">
        <is>
          <t>ks</t>
        </is>
      </c>
      <c r="G107" s="25" t="n">
        <v>4</v>
      </c>
      <c r="H107" s="26" t="n"/>
      <c r="I107" s="26">
        <f>IF(H107="",0,G107*H107)</f>
        <v/>
      </c>
      <c r="J107" s="23" t="inlineStr">
        <is>
          <t>ÚRS 2026</t>
        </is>
      </c>
      <c r="K107" s="27" t="inlineStr">
        <is>
          <t>✓ cross-discipline OK [evidence: https://online.ferona.cz/detail/28401/profil-rovnoramenny-l-]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TZ statika §4 — 2× L100/10 (dvojice) na 2 strany otvoru = 4 ks</t>
        </is>
      </c>
      <c r="F108" s="17" t="n"/>
      <c r="G108" s="30" t="n">
        <v>4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962081120</t>
        </is>
      </c>
      <c r="E109" s="24" t="inlineStr">
        <is>
          <t>Dočasné podstojkování stávajících přiléhajících stropů při osazování IPN překladů (8 otvorů)</t>
        </is>
      </c>
      <c r="F109" s="23" t="inlineStr">
        <is>
          <t>kpl</t>
        </is>
      </c>
      <c r="G109" s="25" t="n">
        <v>8</v>
      </c>
      <c r="H109" s="26" t="n"/>
      <c r="I109" s="26">
        <f>IF(H109="",0,G109*H109)</f>
        <v/>
      </c>
      <c r="J109" s="23" t="inlineStr">
        <is>
          <t>ÚRS 2026</t>
        </is>
      </c>
      <c r="K109" s="31" t="inlineStr">
        <is>
          <t>⚠ family OK, leaf KROS lookup [evidence: https://www.cs-urs.cz/podminky/cu202/801-3-Budovy-a-haly---b]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>
        <f> počet překladů (po jednom podstojkování per otvor)</f>
        <v/>
      </c>
      <c r="F110" s="17" t="n"/>
      <c r="G110" s="30" t="n">
        <v>8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342241211</t>
        </is>
      </c>
      <c r="E111" s="24" t="inlineStr">
        <is>
          <t>Nové příčky z pórobetonových tvárnic 150 mm na lepidlo + dilatovány od stropu</t>
        </is>
      </c>
      <c r="F111" s="23" t="inlineStr">
        <is>
          <t>m²</t>
        </is>
      </c>
      <c r="G111" s="25" t="n">
        <v>87.7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https://www.stavago.cz/prickovka-ytong-klasik-tl-150-mm/]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podlahova_plocha × 0.4 (typický rozsah příček 30-50%)</t>
        </is>
      </c>
      <c r="F112" s="17" t="n"/>
      <c r="G112" s="30" t="n">
        <v>87.7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HSV-4</t>
        </is>
      </c>
      <c r="E113" s="22" t="inlineStr">
        <is>
          <t>HSV-4 Vodorovné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30</v>
      </c>
      <c r="C114" s="23" t="inlineStr">
        <is>
          <t>K</t>
        </is>
      </c>
      <c r="D114" s="24" t="inlineStr">
        <is>
          <t>411321414</t>
        </is>
      </c>
      <c r="E114" s="24" t="inlineStr">
        <is>
          <t>Ocelová stropnice IPE180 1.NP v pozici nové příčky 2.NP — dodávka + montáž (1 ks × ~5 m)</t>
        </is>
      </c>
      <c r="F114" s="23" t="inlineStr">
        <is>
          <t>kg</t>
        </is>
      </c>
      <c r="G114" s="25" t="n">
        <v>94</v>
      </c>
      <c r="H114" s="26" t="n"/>
      <c r="I114" s="26">
        <f>IF(H114="",0,G114*H114)</f>
        <v/>
      </c>
      <c r="J114" s="23" t="inlineStr">
        <is>
          <t>ÚRS 2026</t>
        </is>
      </c>
      <c r="K114" s="31" t="inlineStr">
        <is>
          <t>⚠ family OK, leaf KROS lookup [evidence: https://podminky.urs.cz/]</t>
        </is>
      </c>
      <c r="L114" s="5" t="inlineStr">
        <is>
          <t>HSV-4 Vodorovné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1 ks × 5 m × 18.8 kg/m (IPE180 hmotnost) = 94</t>
        </is>
      </c>
      <c r="F115" s="17" t="n"/>
      <c r="G115" s="30" t="n">
        <v>94</v>
      </c>
      <c r="H115" s="17" t="n"/>
      <c r="I115" s="17" t="n"/>
      <c r="J115" s="17" t="n"/>
      <c r="K115" s="17" t="n"/>
      <c r="L115" s="17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Ocelobetonový strop 2.NP/3.NP — stropnice IPE180 á 1000 mm × rozpon ~8 m × ~8 ks</t>
        </is>
      </c>
      <c r="F116" s="23" t="inlineStr">
        <is>
          <t>kg</t>
        </is>
      </c>
      <c r="G116" s="25" t="n">
        <v>1203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https://www.urs.cz/data/download/seznam-katalogu-cs-urs-v-kr]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8 ks × 8 m × 18.8 kg/m = 1203</t>
        </is>
      </c>
      <c r="F117" s="17" t="n"/>
      <c r="G117" s="30" t="n">
        <v>1203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— výztuha 2×HEA180 trakt do ulice (Fibichova), dl. ~10 m</t>
        </is>
      </c>
      <c r="F118" s="23" t="inlineStr">
        <is>
          <t>kg</t>
        </is>
      </c>
      <c r="G118" s="25" t="n">
        <v>710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https://podminky.urs.cz/]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2 ks × 10 m × 35.5 kg/m (HEA180) = 710</t>
        </is>
      </c>
      <c r="F119" s="17" t="n"/>
      <c r="G119" s="30" t="n">
        <v>710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HEA200 dvorní trakt, dl. ~10 m</t>
        </is>
      </c>
      <c r="F120" s="23" t="inlineStr">
        <is>
          <t>kg</t>
        </is>
      </c>
      <c r="G120" s="25" t="n">
        <v>423</v>
      </c>
      <c r="H120" s="26" t="n"/>
      <c r="I120" s="26">
        <f>IF(H120="",0,G120*H120)</f>
        <v/>
      </c>
      <c r="J120" s="23" t="inlineStr">
        <is>
          <t>ÚRS 2026</t>
        </is>
      </c>
      <c r="K120" s="32" t="inlineStr">
        <is>
          <t>? needs production lookup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1 ks × 10 m × 42.3 kg/m (HEA200) = 423</t>
        </is>
      </c>
      <c r="F121" s="17" t="n"/>
      <c r="G121" s="30" t="n">
        <v>423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Trapézový plech 40S/160 tl. 0.75 mm — dodávka + montáž na stropnice IPE180</t>
        </is>
      </c>
      <c r="F122" s="23" t="inlineStr">
        <is>
          <t>m²</t>
        </is>
      </c>
      <c r="G122" s="25" t="n">
        <v>104.4</v>
      </c>
      <c r="H122" s="26" t="n"/>
      <c r="I122" s="26">
        <f>IF(H122="",0,G122*H122)</f>
        <v/>
      </c>
      <c r="J122" s="23" t="inlineStr">
        <is>
          <t>ÚRS 2026</t>
        </is>
      </c>
      <c r="K122" s="31" t="inlineStr">
        <is>
          <t>⚠ family OK, leaf KROS lookup [evidence: https://www.cs-urs.cz/podminky/cu202/801-1-Budovy-a-haly---z]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>
        <f> zastavěna plocha 104.4 m² (celý strop 2.NP/3.NP)</f>
        <v/>
      </c>
      <c r="F123" s="17" t="n"/>
      <c r="G123" s="30" t="n">
        <v>104.4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342213131</t>
        </is>
      </c>
      <c r="E124" s="24" t="inlineStr">
        <is>
          <t>Protipožární SDK podhled pod trapézovým plechem (EI 30 dle PBŘ — ocelobeton + SDK)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plocha trapézu 104.4 m²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974031150</t>
        </is>
      </c>
      <c r="E126" s="24" t="inlineStr">
        <is>
          <t>Vyvezení původního zásypu z cihelné klenby 1.PP/1.NP — manuálně + odvoz</t>
        </is>
      </c>
      <c r="F126" s="23" t="inlineStr">
        <is>
          <t>m³</t>
        </is>
      </c>
      <c r="G126" s="25" t="n">
        <v>8</v>
      </c>
      <c r="H126" s="26" t="n"/>
      <c r="I126" s="26">
        <f>IF(H126="",0,G126*H126)</f>
        <v/>
      </c>
      <c r="J126" s="23" t="inlineStr">
        <is>
          <t>ÚRS 2026</t>
        </is>
      </c>
      <c r="K126" s="27" t="inlineStr">
        <is>
          <t>✓ cross-discipline OK [evidence: https://www.cs-urs.cz/podminky/cu202/801-3-Budovy-a-haly---b]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 t="inlineStr">
        <is>
          <t>klenba ~50 m² × tl. zásypu 0.15 m = 7.5 (round 8)</t>
        </is>
      </c>
      <c r="F127" s="17" t="n"/>
      <c r="G127" s="30" t="n">
        <v>8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271223111</t>
        </is>
      </c>
      <c r="E128" s="24" t="inlineStr">
        <is>
          <t>Nový zásyp klenby 1.PP/1.NP — perlitbeton (lehký zásyp) tl. 100 mm</t>
        </is>
      </c>
      <c r="F128" s="23" t="inlineStr">
        <is>
          <t>m³</t>
        </is>
      </c>
      <c r="G128" s="25" t="n">
        <v>5</v>
      </c>
      <c r="H128" s="26" t="n"/>
      <c r="I128" s="26">
        <f>IF(H128="",0,G128*H128)</f>
        <v/>
      </c>
      <c r="J128" s="23" t="inlineStr">
        <is>
          <t>ÚRS 2026</t>
        </is>
      </c>
      <c r="K128" s="32" t="inlineStr">
        <is>
          <t>? needs production lookup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50 m² × 0.10 m perlitbeton = 5.0</t>
        </is>
      </c>
      <c r="F129" s="17" t="n"/>
      <c r="G129" s="30" t="n">
        <v>5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631321311</t>
        </is>
      </c>
      <c r="E130" s="24" t="inlineStr">
        <is>
          <t>Plastická perlitbetonová roznášecí vrstva tl. 50 mm nad zásypem klenby</t>
        </is>
      </c>
      <c r="F130" s="23" t="inlineStr">
        <is>
          <t>m²</t>
        </is>
      </c>
      <c r="G130" s="25" t="n">
        <v>50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1.PP/1.NP plocha ~50 m²</t>
        </is>
      </c>
      <c r="F131" s="17" t="n"/>
      <c r="G131" s="30" t="n">
        <v>50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974041141</t>
        </is>
      </c>
      <c r="E132" s="24" t="inlineStr">
        <is>
          <t>Strop trámový 1.NP/2.NP — sejmutí podlah, demontáž záklopu a zásypu shora (zachovat prkenný záklop na trámech)</t>
        </is>
      </c>
      <c r="F132" s="23" t="inlineStr">
        <is>
          <t>m²</t>
        </is>
      </c>
      <c r="G132" s="25" t="n">
        <v>100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podlahova_plocha_1NP+2NP ~100 m²</t>
        </is>
      </c>
      <c r="F133" s="17" t="n"/>
      <c r="G133" s="30" t="n">
        <v>100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713121121</t>
        </is>
      </c>
      <c r="E134" s="24" t="inlineStr">
        <is>
          <t>Tepelná izolace minerální vata mezi trámy stropu 1.NP/2.NP, tl. 180 mm (= trám 60/180)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1" t="inlineStr">
        <is>
          <t>⚠ family OK, leaf KROS lookup [evidence: https://www.centrum-zatepleni.cz/mineralni-vata-isover-uni-t]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>
        <f> plocha stropu</f>
        <v/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342213131</t>
        </is>
      </c>
      <c r="E136" s="24" t="inlineStr">
        <is>
          <t>Protipožární SDK podhled zespodu trámového stropu (EI 30 dle PBŘ)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2" t="inlineStr">
        <is>
          <t>? needs production lookup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631311114</t>
        </is>
      </c>
      <c r="E138" s="24" t="inlineStr">
        <is>
          <t>Suchá podlahová skladba 1.NP/2.NP — zásyp Liapor pro vyrovnání tl. 50 mm</t>
        </is>
      </c>
      <c r="F138" s="23" t="inlineStr">
        <is>
          <t>m³</t>
        </is>
      </c>
      <c r="G138" s="25" t="n">
        <v>5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 t="inlineStr">
        <is>
          <t>100 m² × 0.05 m = 5</t>
        </is>
      </c>
      <c r="F139" s="17" t="n"/>
      <c r="G139" s="30" t="n">
        <v>5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771421111</t>
        </is>
      </c>
      <c r="E140" s="24" t="inlineStr">
        <is>
          <t>Suchá podlahová skladba — sádrovláknité dílce Fermacell tl. 25 mm (dva 12.5 mm vrstvy)</t>
        </is>
      </c>
      <c r="F140" s="23" t="inlineStr">
        <is>
          <t>m²</t>
        </is>
      </c>
      <c r="G140" s="25" t="n">
        <v>100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>
        <f> plocha stropu</f>
        <v/>
      </c>
      <c r="F141" s="17" t="n"/>
      <c r="G141" s="30" t="n">
        <v>100</v>
      </c>
      <c r="H141" s="17" t="n"/>
      <c r="I141" s="17" t="n"/>
      <c r="J141" s="17" t="n"/>
      <c r="K141" s="17" t="n"/>
      <c r="L141" s="17" t="n"/>
    </row>
    <row r="142">
      <c r="B142" s="21" t="n"/>
      <c r="C142" s="22" t="inlineStr">
        <is>
          <t>D</t>
        </is>
      </c>
      <c r="D142" s="22" t="inlineStr">
        <is>
          <t>HSV-5</t>
        </is>
      </c>
      <c r="E142" s="22" t="inlineStr">
        <is>
          <t>HSV-5 Krov + střecha</t>
        </is>
      </c>
      <c r="F142" s="21" t="n"/>
      <c r="G142" s="21" t="n"/>
      <c r="H142" s="21" t="n"/>
      <c r="I142" s="21" t="n"/>
      <c r="J142" s="21" t="n"/>
      <c r="K142" s="21" t="n"/>
      <c r="L142" s="21" t="n"/>
    </row>
    <row r="143">
      <c r="B143" s="23" t="n">
        <v>44</v>
      </c>
      <c r="C143" s="23" t="inlineStr">
        <is>
          <t>K</t>
        </is>
      </c>
      <c r="D143" s="24" t="inlineStr">
        <is>
          <t>762331911</t>
        </is>
      </c>
      <c r="E143" s="24" t="inlineStr">
        <is>
          <t>Tesařský krov — krokve 100/180 mm á 800 mm, rezivo C24 fungicidní + protihmyzí (cca 2×12 krokví × ~6.5 m)</t>
        </is>
      </c>
      <c r="F143" s="23" t="inlineStr">
        <is>
          <t>bm</t>
        </is>
      </c>
      <c r="G143" s="25" t="n">
        <v>156</v>
      </c>
      <c r="H143" s="26" t="n"/>
      <c r="I143" s="26">
        <f>IF(H143="",0,G143*H143)</f>
        <v/>
      </c>
      <c r="J143" s="23" t="inlineStr">
        <is>
          <t>ÚRS 2026</t>
        </is>
      </c>
      <c r="K143" s="31" t="inlineStr">
        <is>
          <t>⚠ family OK, leaf KROS lookup [evidence: https://www.gala-drevo.cz/clanky/proc-na-krovy-pouzivat-kvh-]</t>
        </is>
      </c>
      <c r="L143" s="5" t="inlineStr">
        <is>
          <t>HSV-5 Krov + střecha</t>
        </is>
      </c>
    </row>
    <row r="144">
      <c r="B144" s="17" t="n"/>
      <c r="C144" s="28" t="inlineStr">
        <is>
          <t>VV</t>
        </is>
      </c>
      <c r="D144" s="17" t="n"/>
      <c r="E144" s="29" t="inlineStr">
        <is>
          <t>(2 sklony × 12 krokví × 6.5 m délka) = 156</t>
        </is>
      </c>
      <c r="F144" s="17" t="n"/>
      <c r="G144" s="30" t="n">
        <v>156</v>
      </c>
      <c r="H144" s="17" t="n"/>
      <c r="I144" s="17" t="n"/>
      <c r="J144" s="17" t="n"/>
      <c r="K144" s="17" t="n"/>
      <c r="L144" s="17" t="n"/>
    </row>
    <row r="145">
      <c r="B145" s="23" t="n">
        <v>45</v>
      </c>
      <c r="C145" s="23" t="inlineStr">
        <is>
          <t>K</t>
        </is>
      </c>
      <c r="D145" s="24" t="inlineStr">
        <is>
          <t>762331912</t>
        </is>
      </c>
      <c r="E145" s="24" t="inlineStr">
        <is>
          <t>Tesařský krov — kleštiny dvojfošny 60/180 mm probíhající v oblasti spací části</t>
        </is>
      </c>
      <c r="F145" s="23" t="inlineStr">
        <is>
          <t>bm</t>
        </is>
      </c>
      <c r="G145" s="25" t="n">
        <v>110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OK,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11 pozic × 2 ks × ~5 m délka = 110</t>
        </is>
      </c>
      <c r="F146" s="17" t="n"/>
      <c r="G146" s="30" t="n">
        <v>110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762331923</t>
        </is>
      </c>
      <c r="E147" s="24" t="inlineStr">
        <is>
          <t>Tesařský krov — pozednice 140/160 mm kotvená do ŽB věnce 3.NP</t>
        </is>
      </c>
      <c r="F147" s="23" t="inlineStr">
        <is>
          <t>bm</t>
        </is>
      </c>
      <c r="G147" s="25" t="n">
        <v>19.4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OK, leaf KROS lookup [evidence: https://forum.tzb-info.cz/119036-kotveni-pozednice]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polovina obvodu (2 dlouhé strany) = ~20</t>
        </is>
      </c>
      <c r="F148" s="17" t="n"/>
      <c r="G148" s="30" t="n">
        <v>19.4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762331911</t>
        </is>
      </c>
      <c r="E149" s="24" t="inlineStr">
        <is>
          <t>Tesařský krov — námětky 60/100 v dolní koncové části pro přesah střechy ~500 mm</t>
        </is>
      </c>
      <c r="F149" s="23" t="inlineStr">
        <is>
          <t>bm</t>
        </is>
      </c>
      <c r="G149" s="25" t="n">
        <v>19.2</v>
      </c>
      <c r="H149" s="26" t="n"/>
      <c r="I149" s="26">
        <f>IF(H149="",0,G149*H149)</f>
        <v/>
      </c>
      <c r="J149" s="23" t="inlineStr">
        <is>
          <t>ÚRS 2026</t>
        </is>
      </c>
      <c r="K149" s="32" t="inlineStr">
        <is>
          <t>? needs production lookup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24 krokví × 0.8 m námětek = 19.2</t>
        </is>
      </c>
      <c r="F150" s="17" t="n"/>
      <c r="G150" s="30" t="n">
        <v>19.2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411321414</t>
        </is>
      </c>
      <c r="E151" s="24" t="inlineStr">
        <is>
          <t>Ocelová středová vaznice HEA160 — 2 ks × cca 10 m délka</t>
        </is>
      </c>
      <c r="F151" s="23" t="inlineStr">
        <is>
          <t>kg</t>
        </is>
      </c>
      <c r="G151" s="25" t="n">
        <v>608</v>
      </c>
      <c r="H151" s="26" t="n"/>
      <c r="I151" s="26">
        <f>IF(H151="",0,G151*H151)</f>
        <v/>
      </c>
      <c r="J151" s="23" t="inlineStr">
        <is>
          <t>ÚRS 2026</t>
        </is>
      </c>
      <c r="K151" s="31" t="inlineStr">
        <is>
          <t>⚠ family OK, leaf KROS lookup [evidence: https://online.ferona.cz/detail/26080/profil-hea-valcovany-z]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 × 10 × 30.4 kg/m (HEA160) = 608</t>
        </is>
      </c>
      <c r="F152" s="17" t="n"/>
      <c r="G152" s="30" t="n">
        <v>608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Ocelové sloupky uzavřený profil 100×100×4 mm pod vaznice HEA160 (~6 ks × ~2.5 m výška)</t>
        </is>
      </c>
      <c r="F153" s="23" t="inlineStr">
        <is>
          <t>kg</t>
        </is>
      </c>
      <c r="G153" s="25" t="n">
        <v>176</v>
      </c>
      <c r="H153" s="26" t="n"/>
      <c r="I153" s="26">
        <f>IF(H153="",0,G153*H153)</f>
        <v/>
      </c>
      <c r="J153" s="23" t="inlineStr">
        <is>
          <t>ÚRS 2026</t>
        </is>
      </c>
      <c r="K153" s="32" t="inlineStr">
        <is>
          <t>? needs production lookup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6 × 2.5 × 11.7 kg/m (RHS 100×100×4) = 176</t>
        </is>
      </c>
      <c r="F154" s="17" t="n"/>
      <c r="G154" s="30" t="n">
        <v>176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762341711</t>
        </is>
      </c>
      <c r="E155" s="24" t="inlineStr">
        <is>
          <t>Bednění z prken tl. 20 mm pod nadkrokevní PIR (biodeska/palubka)</t>
        </is>
      </c>
      <c r="F155" s="23" t="inlineStr">
        <is>
          <t>m²</t>
        </is>
      </c>
      <c r="G155" s="25" t="n">
        <v>140.94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>
        <f> 141 m² (plocha střechy včetně sklonu + přesahy)</f>
        <v/>
      </c>
      <c r="F156" s="17" t="n"/>
      <c r="G156" s="30" t="n">
        <v>140.94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712311101</t>
        </is>
      </c>
      <c r="E157" s="24" t="inlineStr">
        <is>
          <t>Parotěsná folie nad bedněním pod nadkrokevní PIR (např. Isover Vario nebo Tyvek Air guard)</t>
        </is>
      </c>
      <c r="F157" s="23" t="inlineStr">
        <is>
          <t>m²</t>
        </is>
      </c>
      <c r="G157" s="25" t="n">
        <v>155.034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 t="inlineStr">
        <is>
          <t>141 × 1.1 přesah = 155</t>
        </is>
      </c>
      <c r="F158" s="17" t="n"/>
      <c r="G158" s="30" t="n">
        <v>155.034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713131811</t>
        </is>
      </c>
      <c r="E159" s="24" t="inlineStr">
        <is>
          <t>Nadkrokevní tepelná izolace PIR (polyisokyanurát) tl. 160 mm (λ=0,022 W/mK) — řez A-A S10 explicit</t>
        </is>
      </c>
      <c r="F159" s="23" t="inlineStr">
        <is>
          <t>m²</t>
        </is>
      </c>
      <c r="G159" s="25" t="n">
        <v>140.94</v>
      </c>
      <c r="H159" s="26" t="n"/>
      <c r="I159" s="26">
        <f>IF(H159="",0,G159*H159)</f>
        <v/>
      </c>
      <c r="J159" s="23" t="inlineStr">
        <is>
          <t>ÚRS 2026</t>
        </is>
      </c>
      <c r="K159" s="27" t="inlineStr">
        <is>
          <t>✓ ověřeno cs-urs.cz [evidence: https://www.pamazastreseni.cz/katalog/228-pamatherm-alukraft]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>
        <f> 141 m² (plocha krytiny krov)</f>
        <v/>
      </c>
      <c r="F160" s="17" t="n"/>
      <c r="G160" s="30" t="n">
        <v>140.94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712311111</t>
        </is>
      </c>
      <c r="E161" s="24" t="inlineStr">
        <is>
          <t>Doplňková hydroizolační difuzně otevřená folie nad PIR pod kontralatě</t>
        </is>
      </c>
      <c r="F161" s="23" t="inlineStr">
        <is>
          <t>m²</t>
        </is>
      </c>
      <c r="G161" s="25" t="n">
        <v>155.034</v>
      </c>
      <c r="H161" s="26" t="n"/>
      <c r="I161" s="26">
        <f>IF(H161="",0,G161*H161)</f>
        <v/>
      </c>
      <c r="J161" s="23" t="inlineStr">
        <is>
          <t>ÚRS 2026</t>
        </is>
      </c>
      <c r="K161" s="32" t="inlineStr">
        <is>
          <t>? needs production lookup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141 × 1.1 přesah = 155</t>
        </is>
      </c>
      <c r="F162" s="17" t="n"/>
      <c r="G162" s="30" t="n">
        <v>155.034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762331923</t>
        </is>
      </c>
      <c r="E163" s="24" t="inlineStr">
        <is>
          <t>Distanční kontralatě 40×60 mm pro vzduchovou mezeru nad PIR</t>
        </is>
      </c>
      <c r="F163" s="23" t="inlineStr">
        <is>
          <t>m²</t>
        </is>
      </c>
      <c r="G163" s="25" t="n">
        <v>140.94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>
        <f> 141 m²</f>
        <v/>
      </c>
      <c r="F164" s="17" t="n"/>
      <c r="G164" s="30" t="n">
        <v>140.94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762341711</t>
        </is>
      </c>
      <c r="E165" s="24" t="inlineStr">
        <is>
          <t>Bednění z prken tl. 25 mm pod plechovou hliníkovou krytinu (rozsah dle technologie krytiny)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1" t="inlineStr">
        <is>
          <t>⚠ family OK, leaf KROS lookup [evidence: https://www.krytiny-strechy.cz/katalog/plechove-falcovane-kr]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765791121</t>
        </is>
      </c>
      <c r="E167" s="24" t="inlineStr">
        <is>
          <t>Plechová falcovaná HLINÍKOVÁ krytina (např. PREFA, Rheinzink, Lindab) + tlumící podložka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https://us.prefa.com/product-catalogue/roof-systems/]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 (vč. vikýřů přidat ~10%)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762341711</t>
        </is>
      </c>
      <c r="E169" s="24" t="inlineStr">
        <is>
          <t>Patro pro přespání v krovu — biodeska / OSB desky tl. 22 mm nad kleštinami</t>
        </is>
      </c>
      <c r="F169" s="23" t="inlineStr">
        <is>
          <t>m²</t>
        </is>
      </c>
      <c r="G169" s="25" t="n">
        <v>25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odhad — spací patro ~5 × 5 m</t>
        </is>
      </c>
      <c r="F170" s="17" t="n"/>
      <c r="G170" s="30" t="n">
        <v>25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311321411</t>
        </is>
      </c>
      <c r="E171" s="24" t="inlineStr">
        <is>
          <t>Vikýře — zděná čela z Porotherm 30 (odhad 4 ks × ~3 m² stěna)</t>
        </is>
      </c>
      <c r="F171" s="23" t="inlineStr">
        <is>
          <t>m²</t>
        </is>
      </c>
      <c r="G171" s="25" t="n">
        <v>12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4 vikýře × ~3 m² zděných čel = 12</t>
        </is>
      </c>
      <c r="F172" s="17" t="n"/>
      <c r="G172" s="30" t="n">
        <v>12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765791121</t>
        </is>
      </c>
      <c r="E173" s="24" t="inlineStr">
        <is>
          <t>Vikýře — provětrávaná fasáda min. vata + plech falcovaný hliník (4 vikýře × ~6 m² fasády)</t>
        </is>
      </c>
      <c r="F173" s="23" t="inlineStr">
        <is>
          <t>m²</t>
        </is>
      </c>
      <c r="G173" s="25" t="n">
        <v>24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2 strany × ~3 m² = 24</t>
        </is>
      </c>
      <c r="F174" s="17" t="n"/>
      <c r="G174" s="30" t="n">
        <v>24</v>
      </c>
      <c r="H174" s="17" t="n"/>
      <c r="I174" s="17" t="n"/>
      <c r="J174" s="17" t="n"/>
      <c r="K174" s="17" t="n"/>
      <c r="L174" s="17" t="n"/>
    </row>
    <row r="175">
      <c r="B175" s="21" t="n"/>
      <c r="C175" s="22" t="inlineStr">
        <is>
          <t>D</t>
        </is>
      </c>
      <c r="D175" s="22" t="inlineStr">
        <is>
          <t>HSV-6</t>
        </is>
      </c>
      <c r="E175" s="22" t="inlineStr">
        <is>
          <t>HSV-6 Bourací práce</t>
        </is>
      </c>
      <c r="F175" s="21" t="n"/>
      <c r="G175" s="21" t="n"/>
      <c r="H175" s="21" t="n"/>
      <c r="I175" s="21" t="n"/>
      <c r="J175" s="21" t="n"/>
      <c r="K175" s="21" t="n"/>
      <c r="L175" s="21" t="n"/>
    </row>
    <row r="176">
      <c r="B176" s="23" t="n">
        <v>60</v>
      </c>
      <c r="C176" s="23" t="inlineStr">
        <is>
          <t>K</t>
        </is>
      </c>
      <c r="D176" s="24" t="inlineStr">
        <is>
          <t>962041141</t>
        </is>
      </c>
      <c r="E176" s="24" t="inlineStr">
        <is>
          <t>Bourání kompletního stávajícího krovu vč. vikýřů — vaznicový s ležatou stolicí — manuálně, odvoz</t>
        </is>
      </c>
      <c r="F176" s="23" t="inlineStr">
        <is>
          <t>m³</t>
        </is>
      </c>
      <c r="G176" s="25" t="n">
        <v>12</v>
      </c>
      <c r="H176" s="26" t="n"/>
      <c r="I176" s="26">
        <f>IF(H176="",0,G176*H176)</f>
        <v/>
      </c>
      <c r="J176" s="23" t="inlineStr">
        <is>
          <t>ÚRS 2026</t>
        </is>
      </c>
      <c r="K176" s="31" t="inlineStr">
        <is>
          <t>⚠ family OK, leaf KROS lookup [evidence: https://www.cs-urs.cz/podminky/cu202/801-3-Budovy-a-haly---b]</t>
        </is>
      </c>
      <c r="L176" s="5" t="inlineStr">
        <is>
          <t>HSV-6 Bourací práce</t>
        </is>
      </c>
    </row>
    <row r="177">
      <c r="B177" s="17" t="n"/>
      <c r="C177" s="28" t="inlineStr">
        <is>
          <t>VV</t>
        </is>
      </c>
      <c r="D177" s="17" t="n"/>
      <c r="E177" s="29" t="inlineStr">
        <is>
          <t>TZ B m.10.e: 9 t dřeva × 0.75 t/m³ = 12 m³ dřeva</t>
        </is>
      </c>
      <c r="F177" s="17" t="n"/>
      <c r="G177" s="30" t="n">
        <v>12</v>
      </c>
      <c r="H177" s="17" t="n"/>
      <c r="I177" s="17" t="n"/>
      <c r="J177" s="17" t="n"/>
      <c r="K177" s="17" t="n"/>
      <c r="L177" s="17" t="n"/>
    </row>
    <row r="178">
      <c r="B178" s="23" t="n">
        <v>61</v>
      </c>
      <c r="C178" s="23" t="inlineStr">
        <is>
          <t>K</t>
        </is>
      </c>
      <c r="D178" s="24" t="inlineStr"/>
      <c r="E178" s="24" t="inlineStr">
        <is>
          <t>Bourání stávající plechové krytiny (manuálně, recyklace plechu)</t>
        </is>
      </c>
      <c r="F178" s="23" t="inlineStr">
        <is>
          <t>m²</t>
        </is>
      </c>
      <c r="G178" s="25" t="n">
        <v>140.9</v>
      </c>
      <c r="H178" s="26" t="n"/>
      <c r="I178" s="26">
        <f>IF(H178="",0,G178*H178)</f>
        <v/>
      </c>
      <c r="J178" s="23" t="inlineStr">
        <is>
          <t>ÚRS 2026</t>
        </is>
      </c>
      <c r="K178" s="33" t="inlineStr">
        <is>
          <t>❌ MANUAL — KROS catalog lookup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>
        <f> plocha krytiny ~141</f>
        <v/>
      </c>
      <c r="F179" s="17" t="n"/>
      <c r="G179" s="30" t="n">
        <v>140.9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>
        <is>
          <t>962031132</t>
        </is>
      </c>
      <c r="E180" s="24" t="inlineStr">
        <is>
          <t>Bourání zděných nadezdívek nad stropem 2.NP (mimo štítových stěn) — cihla pálená</t>
        </is>
      </c>
      <c r="F180" s="23" t="inlineStr">
        <is>
          <t>m³</t>
        </is>
      </c>
      <c r="G180" s="25" t="n">
        <v>6</v>
      </c>
      <c r="H180" s="26" t="n"/>
      <c r="I180" s="26">
        <f>IF(H180="",0,G180*H180)</f>
        <v/>
      </c>
      <c r="J180" s="23" t="inlineStr">
        <is>
          <t>ÚRS 2026</t>
        </is>
      </c>
      <c r="K180" s="32" t="inlineStr">
        <is>
          <t>? needs production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 t="inlineStr">
        <is>
          <t>odhad — 3.NP nadezdívka půdy ~104 m² × 0.45 m výška ~6</t>
        </is>
      </c>
      <c r="F181" s="17" t="n"/>
      <c r="G181" s="30" t="n">
        <v>6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962041141</t>
        </is>
      </c>
      <c r="E182" s="24" t="inlineStr">
        <is>
          <t>Bourání trámového stropu 2.NP/podkroví — kompletně (vč. zajištění schodiště)</t>
        </is>
      </c>
      <c r="F182" s="23" t="inlineStr">
        <is>
          <t>m²</t>
        </is>
      </c>
      <c r="G182" s="25" t="n">
        <v>104.4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>
        <f> zastavěna 104.4 m²</f>
        <v/>
      </c>
      <c r="F183" s="17" t="n"/>
      <c r="G183" s="30" t="n">
        <v>104.4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962031132</t>
        </is>
      </c>
      <c r="E184" s="24" t="inlineStr">
        <is>
          <t>Bourání stávajících lehkých příček (cihla, sádrokarton, dřevo)</t>
        </is>
      </c>
      <c r="F184" s="23" t="inlineStr">
        <is>
          <t>m²</t>
        </is>
      </c>
      <c r="G184" s="25" t="n">
        <v>80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 t="inlineStr">
        <is>
          <t>odhad — interier 2 patra × ~40 m² příček = 80</t>
        </is>
      </c>
      <c r="F185" s="17" t="n"/>
      <c r="G185" s="30" t="n">
        <v>80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8 nových otvorů v nosných cihelných zdech pro dveře/okna (~1.0 × 2.1 m)</t>
        </is>
      </c>
      <c r="F186" s="23" t="inlineStr">
        <is>
          <t>ks</t>
        </is>
      </c>
      <c r="G186" s="25" t="n">
        <v>8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počtu nových otvorů (= počet IPN160 překladů)</t>
        </is>
      </c>
      <c r="F187" s="17" t="n"/>
      <c r="G187" s="30" t="n">
        <v>8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781473810</t>
        </is>
      </c>
      <c r="E188" s="24" t="inlineStr">
        <is>
          <t>Bourání keramických obkladů a zařizovacích předmětů v koupelnách 1.NP + 2.NP</t>
        </is>
      </c>
      <c r="F188" s="23" t="inlineStr">
        <is>
          <t>m²</t>
        </is>
      </c>
      <c r="G188" s="25" t="n">
        <v>60</v>
      </c>
      <c r="H188" s="26" t="n"/>
      <c r="I188" s="26">
        <f>IF(H188="",0,G188*H188)</f>
        <v/>
      </c>
      <c r="J188" s="23" t="inlineStr">
        <is>
          <t>ÚRS 2026</t>
        </is>
      </c>
      <c r="K188" s="31" t="inlineStr">
        <is>
          <t>⚠ family OK, leaf KROS lookup [evidence: https://www.cs-urs.cz/podminky/cu202/801-3-Budovy-a-haly---b]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2 koupelny × ~30 m² obkladů = 60</t>
        </is>
      </c>
      <c r="F189" s="17" t="n"/>
      <c r="G189" s="30" t="n">
        <v>60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974031132</t>
        </is>
      </c>
      <c r="E190" s="24" t="inlineStr">
        <is>
          <t>Sejmutí podlah 1.NP a 2.NP — vč. nášlapů, podkladních vrstev</t>
        </is>
      </c>
      <c r="F190" s="23" t="inlineStr">
        <is>
          <t>m²</t>
        </is>
      </c>
      <c r="G190" s="25" t="n">
        <v>153.51</v>
      </c>
      <c r="H190" s="26" t="n"/>
      <c r="I190" s="26">
        <f>IF(H190="",0,G190*H190)</f>
        <v/>
      </c>
      <c r="J190" s="23" t="inlineStr">
        <is>
          <t>ÚRS 2026</t>
        </is>
      </c>
      <c r="K190" s="32" t="inlineStr">
        <is>
          <t>? needs production lookup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podlahova × 0.7 = ~154 m² (bez 3.NP nového)</t>
        </is>
      </c>
      <c r="F191" s="17" t="n"/>
      <c r="G191" s="30" t="n">
        <v>153.51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974041151</t>
        </is>
      </c>
      <c r="E192" s="24" t="inlineStr">
        <is>
          <t>Demontáž záklopu a zásypů stropu 1.NP (prkenný záklop na trámech zachován)</t>
        </is>
      </c>
      <c r="F192" s="23" t="inlineStr">
        <is>
          <t>m³</t>
        </is>
      </c>
      <c r="G192" s="25" t="n">
        <v>5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100 m² × 0.05 m tl. zásypu = 5</t>
        </is>
      </c>
      <c r="F193" s="17" t="n"/>
      <c r="G193" s="30" t="n">
        <v>5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968071120</t>
        </is>
      </c>
      <c r="E194" s="24" t="inlineStr">
        <is>
          <t>Demontáž všech oken a dveří stávajících (recyklace)</t>
        </is>
      </c>
      <c r="F194" s="23" t="inlineStr">
        <is>
          <t>ks</t>
        </is>
      </c>
      <c r="G194" s="25" t="n">
        <v>25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odhad — ~10 oken + ~15 dveří (vstupní + vnitřní)</t>
        </is>
      </c>
      <c r="F195" s="17" t="n"/>
      <c r="G195" s="30" t="n">
        <v>25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725900001</t>
        </is>
      </c>
      <c r="E196" s="24" t="inlineStr">
        <is>
          <t>Demontáž všech sanitárních zařizovacích předmětů (WC, umyvadla, baterie, sprcha)</t>
        </is>
      </c>
      <c r="F196" s="23" t="inlineStr">
        <is>
          <t>ks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2 koupelny × ~5 ks + WC + dřez = ~12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997013501</t>
        </is>
      </c>
      <c r="E198" s="24" t="inlineStr">
        <is>
          <t>Odvoz a likvidace stavební suti dle vyhl. 8/2021 Sb. — celková tonáž odpadů</t>
        </is>
      </c>
      <c r="F198" s="23" t="inlineStr">
        <is>
          <t>t</t>
        </is>
      </c>
      <c r="G198" s="25" t="n">
        <v>56.5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TZ B m.10.e: 46 (beton/cihly) + 9 (dřevo) + 0.1 (kov) + 0.1 (EPS) + 0.2 (sádra) + 1.0 (směs) = 56.4</t>
        </is>
      </c>
      <c r="F199" s="17" t="n"/>
      <c r="G199" s="30" t="n">
        <v>56.5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978013181</t>
        </is>
      </c>
      <c r="E200" s="24" t="inlineStr">
        <is>
          <t>Demontáž stávajících dřevěných oken vč. rámů a parapetů — 16 ks (návrh všechna okna nová plastová trojsklem)</t>
        </is>
      </c>
      <c r="F200" s="23" t="inlineStr">
        <is>
          <t>ks</t>
        </is>
      </c>
      <c r="G200" s="25" t="n">
        <v>16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DXF INSERT okno* total 16 ks (Path C Tier 4 — front 9 + back 7)</t>
        </is>
      </c>
      <c r="F201" s="17" t="n"/>
      <c r="G201" s="30" t="n">
        <v>16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vstupních dveří + rámů — 2 ks (1× ulice Fibichova + 1× zahrada; návrh nové plastové vstupní dveře)</t>
        </is>
      </c>
      <c r="F202" s="23" t="inlineStr">
        <is>
          <t>ks</t>
        </is>
      </c>
      <c r="G202" s="25" t="n">
        <v>2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dveře = 2 (Path C Tier 4) + TZ ARS</t>
        </is>
      </c>
      <c r="F203" s="17" t="n"/>
      <c r="G203" s="30" t="n">
        <v>2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968072456</t>
        </is>
      </c>
      <c r="E204" s="24" t="inlineStr">
        <is>
          <t>Demontáž stávajících vnitřních dveří vč. ocelových/dřevěných zárubní — odhad 15 ks (3 patra × ~5 dveří/patro per DXF SM__dveře layer)</t>
        </is>
      </c>
      <c r="F204" s="23" t="inlineStr">
        <is>
          <t>ks</t>
        </is>
      </c>
      <c r="G204" s="25" t="n">
        <v>15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SM__dveře polylines 102 / ~3 fáze / ~2.3 symbol per dveře ≈ 15 ks návrh (Path C confidence 0.65)</t>
        </is>
      </c>
      <c r="F205" s="17" t="n"/>
      <c r="G205" s="30" t="n">
        <v>15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962024141</t>
        </is>
      </c>
      <c r="E206" s="24" t="inlineStr">
        <is>
          <t>Bourání vrchní části stávajícího komínu v posledním podlaží (cihelné zdivo, ručně), vč. likvidace cihelné suti</t>
        </is>
      </c>
      <c r="F206" s="23" t="inlineStr">
        <is>
          <t>m³</t>
        </is>
      </c>
      <c r="G206" s="25" t="n">
        <v>0.6</v>
      </c>
      <c r="H206" s="26" t="n"/>
      <c r="I206" s="26">
        <f>IF(H206="",0,G206*H206)</f>
        <v/>
      </c>
      <c r="J206" s="23" t="inlineStr">
        <is>
          <t>ÚRS 2026</t>
        </is>
      </c>
      <c r="K206" s="31" t="inlineStr">
        <is>
          <t>⚠ family OK, leaf KROS lookup [evidence: https://www.cs-urs.cz/podminky/cu202/801-3-Budovy-a-haly---b]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průměr komín 0.50×0.50 × výška nad střechou ~2.4 m = 0.6 m³ (OPRAVA ChatGPT revize 2026-05-29: dříve 6.0 m³ = ×10 chybná inflace; skutečný objem 0.6 m³)</t>
        </is>
      </c>
      <c r="F207" s="17" t="n"/>
      <c r="G207" s="30" t="n">
        <v>0.6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961044111</t>
        </is>
      </c>
      <c r="E208" s="24" t="inlineStr">
        <is>
          <t>Bourání stávajících opěrných zídek a venkovního schodiště v zahradě/dvoře — částečné, dle vyznačení v půdorysech bourání</t>
        </is>
      </c>
      <c r="F208" s="23" t="inlineStr">
        <is>
          <t>m³</t>
        </is>
      </c>
      <c r="G208" s="25" t="n">
        <v>8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odhad ze řez A-A bourání + půdorys bourání 1.NP/1.PP, ~8 m³ celkem (opěrné zídky + venkovní schodiště zahrada/dvůr)</t>
        </is>
      </c>
      <c r="F209" s="17" t="n"/>
      <c r="G209" s="30" t="n">
        <v>8</v>
      </c>
      <c r="H209" s="17" t="n"/>
      <c r="I209" s="17" t="n"/>
      <c r="J209" s="17" t="n"/>
      <c r="K209" s="17" t="n"/>
      <c r="L209" s="17" t="n"/>
    </row>
    <row r="210">
      <c r="B210" s="21" t="n"/>
      <c r="C210" s="22" t="inlineStr">
        <is>
          <t>D</t>
        </is>
      </c>
      <c r="D210" s="22" t="inlineStr">
        <is>
          <t>HSV-7</t>
        </is>
      </c>
      <c r="E210" s="22" t="inlineStr">
        <is>
          <t>HSV-7 Fasáda ETICS</t>
        </is>
      </c>
      <c r="F210" s="21" t="n"/>
      <c r="G210" s="21" t="n"/>
      <c r="H210" s="21" t="n"/>
      <c r="I210" s="21" t="n"/>
      <c r="J210" s="21" t="n"/>
      <c r="K210" s="21" t="n"/>
      <c r="L210" s="21" t="n"/>
    </row>
    <row r="211">
      <c r="B211" s="23" t="n">
        <v>77</v>
      </c>
      <c r="C211" s="23" t="inlineStr">
        <is>
          <t>K</t>
        </is>
      </c>
      <c r="D211" s="24" t="inlineStr">
        <is>
          <t>622401110</t>
        </is>
      </c>
      <c r="E211" s="24" t="inlineStr">
        <is>
          <t>Příprava fasádního podkladu — očištění tlakovou vodou, vyspravení omítek, fungicidní nátěr</t>
        </is>
      </c>
      <c r="F211" s="23" t="inlineStr">
        <is>
          <t>m²</t>
        </is>
      </c>
      <c r="G211" s="25" t="n">
        <v>276.7</v>
      </c>
      <c r="H211" s="26" t="n"/>
      <c r="I211" s="26">
        <f>IF(H211="",0,G211*H211)</f>
        <v/>
      </c>
      <c r="J211" s="23" t="inlineStr">
        <is>
          <t>ÚRS 2026</t>
        </is>
      </c>
      <c r="K211" s="32" t="inlineStr">
        <is>
          <t>? needs production lookup</t>
        </is>
      </c>
      <c r="L211" s="5" t="inlineStr">
        <is>
          <t>HSV-7 Fasáda ETICS</t>
        </is>
      </c>
    </row>
    <row r="212">
      <c r="B212" s="17" t="n"/>
      <c r="C212" s="28" t="inlineStr">
        <is>
          <t>VV</t>
        </is>
      </c>
      <c r="D212" s="17" t="n"/>
      <c r="E212" s="29" t="inlineStr">
        <is>
          <t>obvod 38.7 m (DXF) × 0.55 (volná fasáda, štíty zachované) × výška 13.0 m = 276.7 m²</t>
        </is>
      </c>
      <c r="F212" s="17" t="n"/>
      <c r="G212" s="30" t="n">
        <v>276.7</v>
      </c>
      <c r="H212" s="17" t="n"/>
      <c r="I212" s="17" t="n"/>
      <c r="J212" s="17" t="n"/>
      <c r="K212" s="17" t="n"/>
      <c r="L212" s="17" t="n"/>
    </row>
    <row r="213">
      <c r="B213" s="23" t="n">
        <v>78</v>
      </c>
      <c r="C213" s="23" t="inlineStr">
        <is>
          <t>K</t>
        </is>
      </c>
      <c r="D213" s="24" t="inlineStr">
        <is>
          <t>622221121</t>
        </is>
      </c>
      <c r="E213" s="24" t="inlineStr">
        <is>
          <t>ETICS kontaktní zateplení — EPS 70F grey λ=0.032 tl. 160 mm + síťka + lepidlo + zatírací stěrka (řez S01+S12a explicit, ne 200 mm fallback)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1" t="inlineStr">
        <is>
          <t>⚠ family OK, leaf KROS lookup [evidence: https://www.isover.cz/produkty/eps/isover-eps-70f]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× 0.55 × 13.0 m = 276.7 m² (PBŘ: tl. max 200 mm povolena, řez S01+S12a EXPLICIT 160 mm applied)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622223111</t>
        </is>
      </c>
      <c r="E215" s="24" t="inlineStr">
        <is>
          <t>ETICS sokl — XPS λ=0.034 tl. 120 mm + soklový profil + cihelný obklad spárovaný</t>
        </is>
      </c>
      <c r="F215" s="23" t="inlineStr">
        <is>
          <t>m²</t>
        </is>
      </c>
      <c r="G215" s="25" t="n">
        <v>13.5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https://baumit.cz/produkty/komponenty-pro-zateplovani/zaklad]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 m výška sokl × 0.7 (řadovka) = 13.5 m²</t>
        </is>
      </c>
      <c r="F216" s="17" t="n"/>
      <c r="G216" s="30" t="n">
        <v>13.5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622221221</t>
        </is>
      </c>
      <c r="E217" s="24" t="inlineStr">
        <is>
          <t>Špalety oken — EPS přesah 35-40 mm + síťka + omítka</t>
        </is>
      </c>
      <c r="F217" s="23" t="inlineStr">
        <is>
          <t>bm</t>
        </is>
      </c>
      <c r="G217" s="25" t="n">
        <v>82.2</v>
      </c>
      <c r="H217" s="26" t="n"/>
      <c r="I217" s="26">
        <f>IF(H217="",0,G217*H217)</f>
        <v/>
      </c>
      <c r="J217" s="23" t="inlineStr">
        <is>
          <t>ÚRS 2026</t>
        </is>
      </c>
      <c r="K217" s="32" t="inlineStr">
        <is>
          <t>? needs production lookup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Σ per-typ okno 16 ks × per-window perimeter (2×(W+H)) z DXF bbox = 82.2 bm</t>
        </is>
      </c>
      <c r="F218" s="17" t="n"/>
      <c r="G218" s="30" t="n">
        <v>82.2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Profilace fasády — různé tloušťky EPS (kordony, šambrány, rámování oken) — paušál podle pohledů</t>
        </is>
      </c>
      <c r="F219" s="23" t="inlineStr">
        <is>
          <t>soubor</t>
        </is>
      </c>
      <c r="G219" s="25" t="n">
        <v>1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paušál — dle pohledů NCS NZÚ</t>
        </is>
      </c>
      <c r="F220" s="17" t="n"/>
      <c r="G220" s="30" t="n">
        <v>1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622521111</t>
        </is>
      </c>
      <c r="E221" s="24" t="inlineStr">
        <is>
          <t>Tenkovrstvá pastovitá probarvená omítka, lomená bílá NCS NZÚ — finální vrstva ETICS</t>
        </is>
      </c>
      <c r="F221" s="23" t="inlineStr">
        <is>
          <t>m²</t>
        </is>
      </c>
      <c r="G221" s="25" t="n">
        <v>290.2</v>
      </c>
      <c r="H221" s="26" t="n"/>
      <c r="I221" s="26">
        <f>IF(H221="",0,G221*H221)</f>
        <v/>
      </c>
      <c r="J221" s="23" t="inlineStr">
        <is>
          <t>ÚRS 2026</t>
        </is>
      </c>
      <c r="K221" s="31" t="inlineStr">
        <is>
          <t>⚠ family OK, leaf KROS lookup [evidence: https://www.cz.weber/ncs-odstiny-dle-nzu-2023]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ETICS plocha 276.7 m² + sokl 13.5 m² = 290.2 m²</t>
        </is>
      </c>
      <c r="F222" s="17" t="n"/>
      <c r="G222" s="30" t="n">
        <v>290.2</v>
      </c>
      <c r="H222" s="17" t="n"/>
      <c r="I222" s="17" t="n"/>
      <c r="J222" s="17" t="n"/>
      <c r="K222" s="17" t="n"/>
      <c r="L222" s="17" t="n"/>
    </row>
    <row r="223">
      <c r="B223" s="19" t="n"/>
      <c r="C223" s="20" t="inlineStr">
        <is>
          <t>D</t>
        </is>
      </c>
      <c r="D223" s="20" t="inlineStr">
        <is>
          <t>M</t>
        </is>
      </c>
      <c r="E223" s="20" t="inlineStr">
        <is>
          <t>Práce a dodávky M (montáže)</t>
        </is>
      </c>
      <c r="F223" s="19" t="n"/>
      <c r="G223" s="19" t="n"/>
      <c r="H223" s="19" t="n"/>
      <c r="I223" s="19" t="n"/>
      <c r="J223" s="19" t="n"/>
      <c r="K223" s="19" t="n"/>
      <c r="L223" s="19" t="n"/>
    </row>
    <row r="224">
      <c r="B224" s="21" t="n"/>
      <c r="C224" s="22" t="inlineStr">
        <is>
          <t>D</t>
        </is>
      </c>
      <c r="D224" s="22" t="inlineStr">
        <is>
          <t>M-21</t>
        </is>
      </c>
      <c r="E224" s="22" t="inlineStr">
        <is>
          <t>M-21 ELI silnoproud</t>
        </is>
      </c>
      <c r="F224" s="21" t="n"/>
      <c r="G224" s="21" t="n"/>
      <c r="H224" s="21" t="n"/>
      <c r="I224" s="21" t="n"/>
      <c r="J224" s="21" t="n"/>
      <c r="K224" s="21" t="n"/>
      <c r="L224" s="21" t="n"/>
    </row>
    <row r="225">
      <c r="B225" s="23" t="n">
        <v>83</v>
      </c>
      <c r="C225" s="23" t="inlineStr">
        <is>
          <t>K</t>
        </is>
      </c>
      <c r="D225" s="24" t="inlineStr">
        <is>
          <t>210010011</t>
        </is>
      </c>
      <c r="E225" s="24" t="inlineStr">
        <is>
          <t>Demontáž stávající elektroinstalace v celém domě (vodiče, rozvaděč, zásuvky, svítidla) — recyklace mědi</t>
        </is>
      </c>
      <c r="F225" s="23" t="inlineStr">
        <is>
          <t>kpl</t>
        </is>
      </c>
      <c r="G225" s="25" t="n">
        <v>1</v>
      </c>
      <c r="H225" s="26" t="n"/>
      <c r="I225" s="26">
        <f>IF(H225="",0,G225*H225)</f>
        <v/>
      </c>
      <c r="J225" s="23" t="inlineStr">
        <is>
          <t>ÚRS 2026</t>
        </is>
      </c>
      <c r="K225" s="32" t="inlineStr">
        <is>
          <t>? needs production lookup</t>
        </is>
      </c>
      <c r="L225" s="5" t="inlineStr">
        <is>
          <t>M-21 ELI silnoproud</t>
        </is>
      </c>
    </row>
    <row r="226">
      <c r="B226" s="17" t="n"/>
      <c r="C226" s="28" t="inlineStr">
        <is>
          <t>VV</t>
        </is>
      </c>
      <c r="D226" s="17" t="n"/>
      <c r="E226" s="29" t="inlineStr">
        <is>
          <t>TZ ARS — stávající ELI plně bourána; B m.10.e — 0.1 t kovů celkem</t>
        </is>
      </c>
      <c r="F226" s="17" t="n"/>
      <c r="G226" s="30" t="n">
        <v>1</v>
      </c>
      <c r="H226" s="17" t="n"/>
      <c r="I226" s="17" t="n"/>
      <c r="J226" s="17" t="n"/>
      <c r="K226" s="17" t="n"/>
      <c r="L226" s="17" t="n"/>
    </row>
    <row r="227">
      <c r="B227" s="23" t="n">
        <v>84</v>
      </c>
      <c r="C227" s="23" t="inlineStr">
        <is>
          <t>K</t>
        </is>
      </c>
      <c r="D227" s="24" t="inlineStr">
        <is>
          <t>210110023</t>
        </is>
      </c>
      <c r="E227" s="24" t="inlineStr">
        <is>
          <t>Nová pojistková skříň + 3× podružný rozvaděč pro každé patro (1.NP, 2.NP, 3.NP) s podružným měřením</t>
        </is>
      </c>
      <c r="F227" s="23" t="inlineStr">
        <is>
          <t>ks</t>
        </is>
      </c>
      <c r="G227" s="25" t="n">
        <v>4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1 hlavní + 3 podružné = 4 rozvaděče</t>
        </is>
      </c>
      <c r="F228" s="17" t="n"/>
      <c r="G228" s="30" t="n">
        <v>4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210800012</t>
        </is>
      </c>
      <c r="E229" s="24" t="inlineStr">
        <is>
          <t>Nové silnoproudé rozvody — vodiče CYKY 3×1.5 / 3×2.5 / 5×2.5 / 5×6 + krabice + instalační trubky</t>
        </is>
      </c>
      <c r="F229" s="23" t="inlineStr">
        <is>
          <t>bm</t>
        </is>
      </c>
      <c r="G229" s="25" t="n">
        <v>700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RD 219 m² × ~3.2 bm/m² standard ELI = 700 bm; vyjasnění #7 working assumption</t>
        </is>
      </c>
      <c r="F230" s="17" t="n"/>
      <c r="G230" s="30" t="n">
        <v>700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210810050</t>
        </is>
      </c>
      <c r="E231" s="24" t="inlineStr">
        <is>
          <t>Zásuvky a vypínače dodávka + montáž — ~70 ks (60-80 dle vyjasnění #7)</t>
        </is>
      </c>
      <c r="F231" s="23" t="inlineStr">
        <is>
          <t>ks</t>
        </is>
      </c>
      <c r="G231" s="25" t="n">
        <v>70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~0.3 ks/m² standard 3-byt. dispozice = 70 ks</t>
        </is>
      </c>
      <c r="F232" s="17" t="n"/>
      <c r="G232" s="30" t="n">
        <v>70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210820002</t>
        </is>
      </c>
      <c r="E233" s="24" t="inlineStr">
        <is>
          <t>Svítidla dodávka + montáž — ~35 ks (30-40 dle vyjasnění #7) interiér + venkovní u vstupů</t>
        </is>
      </c>
      <c r="F233" s="23" t="inlineStr">
        <is>
          <t>ks</t>
        </is>
      </c>
      <c r="G233" s="25" t="n">
        <v>35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standard RD 220 m² = ~35 ks svítidel</t>
        </is>
      </c>
      <c r="F234" s="17" t="n"/>
      <c r="G234" s="30" t="n">
        <v>35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210800099</t>
        </is>
      </c>
      <c r="E235" s="24" t="inlineStr">
        <is>
          <t>Příprava na osazení FVE — rezerva v rozvaděči (jistič + zásuvka pro střídač) + trasy do střechy</t>
        </is>
      </c>
      <c r="F235" s="23" t="inlineStr">
        <is>
          <t>kpl</t>
        </is>
      </c>
      <c r="G235" s="25" t="n">
        <v>1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TZ ARS — 'příprava na osazení FVE'</t>
        </is>
      </c>
      <c r="F236" s="17" t="n"/>
      <c r="G236" s="30" t="n">
        <v>1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996019011</t>
        </is>
      </c>
      <c r="E237" s="24" t="inlineStr">
        <is>
          <t>Výchozí revize elektrické instalace dle ČSN 33 2000-6 + revizní zpráva pro kolaudaci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ČSN 33 2000-6 — povinná revize před kolaudací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19" t="n"/>
      <c r="C239" s="20" t="inlineStr">
        <is>
          <t>D</t>
        </is>
      </c>
      <c r="D239" s="20" t="inlineStr">
        <is>
          <t>PSV</t>
        </is>
      </c>
      <c r="E239" s="20" t="inlineStr">
        <is>
          <t>Práce a dodávky PSV</t>
        </is>
      </c>
      <c r="F239" s="19" t="n"/>
      <c r="G239" s="19" t="n"/>
      <c r="H239" s="19" t="n"/>
      <c r="I239" s="19" t="n"/>
      <c r="J239" s="19" t="n"/>
      <c r="K239" s="19" t="n"/>
      <c r="L239" s="19" t="n"/>
    </row>
    <row r="240">
      <c r="B240" s="21" t="n"/>
      <c r="C240" s="22" t="inlineStr">
        <is>
          <t>D</t>
        </is>
      </c>
      <c r="D240" s="22" t="inlineStr">
        <is>
          <t>PSV-71</t>
        </is>
      </c>
      <c r="E240" s="22" t="inlineStr">
        <is>
          <t>PSV-71 Izolace HI</t>
        </is>
      </c>
      <c r="F240" s="21" t="n"/>
      <c r="G240" s="21" t="n"/>
      <c r="H240" s="21" t="n"/>
      <c r="I240" s="21" t="n"/>
      <c r="J240" s="21" t="n"/>
      <c r="K240" s="21" t="n"/>
      <c r="L240" s="21" t="n"/>
    </row>
    <row r="241">
      <c r="B241" s="23" t="n">
        <v>90</v>
      </c>
      <c r="C241" s="23" t="inlineStr">
        <is>
          <t>K</t>
        </is>
      </c>
      <c r="D241" s="24" t="inlineStr">
        <is>
          <t>712311101</t>
        </is>
      </c>
      <c r="E241" s="24" t="inlineStr">
        <is>
          <t>Hydroizolace pod ŽB deskou 1.NP — modifikované asfaltové pásy SBS 2× (zároveň protiradonová bariéra)</t>
        </is>
      </c>
      <c r="F241" s="23" t="inlineStr">
        <is>
          <t>m²</t>
        </is>
      </c>
      <c r="G241" s="25" t="n">
        <v>80.40000000000001</v>
      </c>
      <c r="H241" s="26" t="n"/>
      <c r="I241" s="26">
        <f>IF(H241="",0,G241*H241)</f>
        <v/>
      </c>
      <c r="J241" s="23" t="inlineStr">
        <is>
          <t>ÚRS 2026</t>
        </is>
      </c>
      <c r="K241" s="31" t="inlineStr">
        <is>
          <t>⚠ family OK, leaf KROS lookup [evidence: https://stavimbydlim.cz/postup-hydroizolace-zakladove-desky-]</t>
        </is>
      </c>
      <c r="L241" s="5" t="inlineStr">
        <is>
          <t>PSV-71 Izolace HI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(zastavena × 0.7 rozsah 1.NP) × 1.10 přesah = 80.4</t>
        </is>
      </c>
      <c r="F242" s="17" t="n"/>
      <c r="G242" s="30" t="n">
        <v>80.40000000000001</v>
      </c>
      <c r="H242" s="17" t="n"/>
      <c r="I242" s="17" t="n"/>
      <c r="J242" s="17" t="n"/>
      <c r="K242" s="17" t="n"/>
      <c r="L242" s="17" t="n"/>
    </row>
    <row r="243">
      <c r="B243" s="23" t="n">
        <v>91</v>
      </c>
      <c r="C243" s="23" t="inlineStr">
        <is>
          <t>K</t>
        </is>
      </c>
      <c r="D243" s="24" t="inlineStr">
        <is>
          <t>712381111</t>
        </is>
      </c>
      <c r="E243" s="24" t="inlineStr">
        <is>
          <t>Odvětrání radonu z podloží — perforované DN50 trubky v štěrkovém loži + výdech nad střechu</t>
        </is>
      </c>
      <c r="F243" s="23" t="inlineStr">
        <is>
          <t>bm</t>
        </is>
      </c>
      <c r="G243" s="25" t="n">
        <v>12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https://cze.sika.com/cs/produkty-pro-stavebnictvi/hydroizola]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podsanační síť ~12 bm (3 řady × 4 m pod podlahou 1.NP)</t>
        </is>
      </c>
      <c r="F244" s="17" t="n"/>
      <c r="G244" s="30" t="n">
        <v>12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/>
      <c r="E245" s="24" t="inlineStr">
        <is>
          <t>Hydroizolační stěrka koupelen 3 ks — podlaha + sokl 200 mm + sprchový kout výška 2.0 m</t>
        </is>
      </c>
      <c r="F245" s="23" t="inlineStr">
        <is>
          <t>m²</t>
        </is>
      </c>
      <c r="G245" s="25" t="n">
        <v>40.5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711 OK —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3 koupelny × (~5.5 m² podlaha + ~8 m² stěny v okolí sprchy) = 40.5</t>
        </is>
      </c>
      <c r="F246" s="17" t="n"/>
      <c r="G246" s="30" t="n">
        <v>40.5</v>
      </c>
      <c r="H246" s="17" t="n"/>
      <c r="I246" s="17" t="n"/>
      <c r="J246" s="17" t="n"/>
      <c r="K246" s="17" t="n"/>
      <c r="L246" s="17" t="n"/>
    </row>
    <row r="247">
      <c r="B247" s="21" t="n"/>
      <c r="C247" s="22" t="inlineStr">
        <is>
          <t>D</t>
        </is>
      </c>
      <c r="D247" s="22" t="inlineStr">
        <is>
          <t>PSV-71</t>
        </is>
      </c>
      <c r="E247" s="22" t="inlineStr">
        <is>
          <t>PSV-71 Izolace TI</t>
        </is>
      </c>
      <c r="F247" s="21" t="n"/>
      <c r="G247" s="21" t="n"/>
      <c r="H247" s="21" t="n"/>
      <c r="I247" s="21" t="n"/>
      <c r="J247" s="21" t="n"/>
      <c r="K247" s="21" t="n"/>
      <c r="L247" s="21" t="n"/>
    </row>
    <row r="248">
      <c r="B248" s="23" t="n">
        <v>93</v>
      </c>
      <c r="C248" s="23" t="inlineStr">
        <is>
          <t>K</t>
        </is>
      </c>
      <c r="D248" s="24" t="inlineStr"/>
      <c r="E248" s="24" t="inlineStr">
        <is>
          <t>Podlahový EPS 150 λ=0.035 tl. 120 mm — pod betonový potěr 1.NP a 3.NP</t>
        </is>
      </c>
      <c r="F248" s="23" t="inlineStr">
        <is>
          <t>m²</t>
        </is>
      </c>
      <c r="G248" s="25" t="n">
        <v>177.5</v>
      </c>
      <c r="H248" s="26" t="n"/>
      <c r="I248" s="26">
        <f>IF(H248="",0,G248*H248)</f>
        <v/>
      </c>
      <c r="J248" s="23" t="inlineStr">
        <is>
          <t>ÚRS 2026</t>
        </is>
      </c>
      <c r="K248" s="31" t="inlineStr">
        <is>
          <t>⚠ family 713121 OK — leaf KROS lookup [evidence: https://styrotrade.cz/cs/produkty/strechy/izolace-bezne-zati]</t>
        </is>
      </c>
      <c r="L248" s="5" t="inlineStr">
        <is>
          <t>PSV-71 Izolace TI</t>
        </is>
      </c>
    </row>
    <row r="249">
      <c r="B249" s="17" t="n"/>
      <c r="C249" s="28" t="inlineStr">
        <is>
          <t>VV</t>
        </is>
      </c>
      <c r="D249" s="17" t="n"/>
      <c r="E249" s="29" t="inlineStr">
        <is>
          <t>(rozsah 1.NP 73 m²) + (3.NP nadstavba 104 m²) = ~177 m²</t>
        </is>
      </c>
      <c r="F249" s="17" t="n"/>
      <c r="G249" s="30" t="n">
        <v>177.5</v>
      </c>
      <c r="H249" s="17" t="n"/>
      <c r="I249" s="17" t="n"/>
      <c r="J249" s="17" t="n"/>
      <c r="K249" s="17" t="n"/>
      <c r="L249" s="17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Kročejová EPS 150 / 30 dB tl. 30 mm nad ocelobetonovým stropem 2.NP/3.NP</t>
        </is>
      </c>
      <c r="F250" s="23" t="inlineStr">
        <is>
          <t>m²</t>
        </is>
      </c>
      <c r="G250" s="25" t="n">
        <v>104.4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>
        <f> zastavěna plocha 104.4 m² (strop 2.NP/3.NP)</f>
        <v/>
      </c>
      <c r="F251" s="17" t="n"/>
      <c r="G251" s="30" t="n">
        <v>104.4</v>
      </c>
      <c r="H251" s="17" t="n"/>
      <c r="I251" s="17" t="n"/>
      <c r="J251" s="17" t="n"/>
      <c r="K251" s="17" t="n"/>
      <c r="L251" s="17" t="n"/>
    </row>
    <row r="252">
      <c r="B252" s="21" t="n"/>
      <c r="C252" s="22" t="inlineStr">
        <is>
          <t>D</t>
        </is>
      </c>
      <c r="D252" s="22" t="inlineStr">
        <is>
          <t>PSV-72</t>
        </is>
      </c>
      <c r="E252" s="22" t="inlineStr">
        <is>
          <t>PSV-72 ZTI</t>
        </is>
      </c>
      <c r="F252" s="21" t="n"/>
      <c r="G252" s="21" t="n"/>
      <c r="H252" s="21" t="n"/>
      <c r="I252" s="21" t="n"/>
      <c r="J252" s="21" t="n"/>
      <c r="K252" s="21" t="n"/>
      <c r="L252" s="21" t="n"/>
    </row>
    <row r="253">
      <c r="B253" s="23" t="n">
        <v>95</v>
      </c>
      <c r="C253" s="23" t="inlineStr">
        <is>
          <t>K</t>
        </is>
      </c>
      <c r="D253" s="24" t="inlineStr">
        <is>
          <t>722290515</t>
        </is>
      </c>
      <c r="E253" s="24" t="inlineStr">
        <is>
          <t>Revize stávajícího napojení vodovodu + kanalizace na pozemku — kontrola stavu, čištění, tlaková zkouška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1" t="inlineStr">
        <is>
          <t>⚠ family OK, leaf KROS lookup [evidence: https://www.sanitino.cz/vodovodni-baterie]</t>
        </is>
      </c>
      <c r="L253" s="5" t="inlineStr">
        <is>
          <t>PSV-72 ZTI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dům §4 — stávající přípojka zachována bez změny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96</v>
      </c>
      <c r="C255" s="23" t="inlineStr">
        <is>
          <t>K</t>
        </is>
      </c>
      <c r="D255" s="24" t="inlineStr">
        <is>
          <t>722172011</t>
        </is>
      </c>
      <c r="E255" s="24" t="inlineStr">
        <is>
          <t>Nové rozvody studené + teplé vody do koupelen 1.NP + 2.NP + 3.NP a kuchyní (PEX/Cu, dimenze DN15-25)</t>
        </is>
      </c>
      <c r="F255" s="23" t="inlineStr">
        <is>
          <t>bm</t>
        </is>
      </c>
      <c r="G255" s="25" t="n">
        <v>80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https://www.ceskestavby.cz/jak-se-stavi-dum/sprchy-vany-vana]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3 patra × ~25 bm rozvodů (koupelny + kuchyně + bojler 3.NP) = 75 (round 80)</t>
        </is>
      </c>
      <c r="F256" s="17" t="n"/>
      <c r="G256" s="30" t="n">
        <v>80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721174021</t>
        </is>
      </c>
      <c r="E257" s="24" t="inlineStr">
        <is>
          <t>Nové odpadní rozvody PVC-HT DN40-DN110 ke koupelnám 1.NP, 2.NP, 3.NP a kuchyním + napojení na stávající</t>
        </is>
      </c>
      <c r="F257" s="23" t="inlineStr">
        <is>
          <t>bm</t>
        </is>
      </c>
      <c r="G257" s="25" t="n">
        <v>60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~20 bm odpadní + svislé propojení = 60</t>
        </is>
      </c>
      <c r="F258" s="17" t="n"/>
      <c r="G258" s="30" t="n">
        <v>60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725840111</t>
        </is>
      </c>
      <c r="E259" s="24" t="inlineStr">
        <is>
          <t>Kuchyňský dřez nerez + montáž — 2 ks (kuchyně 1.06 byt rodičů + kuchyně 3.05 byt 3.NP)</t>
        </is>
      </c>
      <c r="F259" s="23" t="inlineStr">
        <is>
          <t>ks</t>
        </is>
      </c>
      <c r="G259" s="25" t="n">
        <v>2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DXF rooms 1.06 + 3.05 kuchyně MTEXT (každá obytná místnost + kuchyně) = 2 dřezy</t>
        </is>
      </c>
      <c r="F260" s="17" t="n"/>
      <c r="G260" s="30" t="n">
        <v>2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725822611</t>
        </is>
      </c>
      <c r="E261" s="24" t="inlineStr">
        <is>
          <t>Vodovodní baterie (WC ventil + páková umyvadlová + sprchové + dřezové + termostat sprchové) — ~15 ks + drobné instalační materiály</t>
        </is>
      </c>
      <c r="F261" s="23" t="inlineStr">
        <is>
          <t>ks</t>
        </is>
      </c>
      <c r="G261" s="25" t="n">
        <v>15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12 sanit. zařízení × 1 baterie + 3 drobnosti (rohové ventily, sifony) = 15</t>
        </is>
      </c>
      <c r="F262" s="17" t="n"/>
      <c r="G262" s="30" t="n">
        <v>15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732419411</t>
        </is>
      </c>
      <c r="E263" s="24" t="inlineStr">
        <is>
          <t>Akumulační zásobník TUV ~300 l v 1.PP napojený na topný systém (sporáková kamna + krb + elektrokotel) — nepřímotop</t>
        </is>
      </c>
      <c r="F263" s="23" t="inlineStr">
        <is>
          <t>ks</t>
        </is>
      </c>
      <c r="G263" s="25" t="n">
        <v>1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TZ ARS — 'akumulační zásobník TUV v suterénu napojený na topný systém'</t>
        </is>
      </c>
      <c r="F264" s="17" t="n"/>
      <c r="G264" s="30" t="n">
        <v>1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732429211</t>
        </is>
      </c>
      <c r="E265" s="24" t="inlineStr">
        <is>
          <t>Elektrický bojler ~80 l v koupelně 3.NP (nezávislý zdroj pro samostatný byt)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'elektrický bojler v koupelně 3.NP'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725211101</t>
        </is>
      </c>
      <c r="E267" s="24" t="inlineStr">
        <is>
          <t>Vana koupelnová obdélníková 170×70 cm — koupelna 1.05 1.NP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set split from 260219_dum.PSV72.004 per audit v2 GAP_005 — 1 fixture per item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725311111</t>
        </is>
      </c>
      <c r="E269" s="24" t="inlineStr">
        <is>
          <t>Umyvadlo bílé keramické se sloupcem 60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725111101</t>
        </is>
      </c>
      <c r="E271" s="24" t="inlineStr">
        <is>
          <t>WC kombi keramické bílé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725311111</t>
        </is>
      </c>
      <c r="E273" s="24" t="inlineStr">
        <is>
          <t>Umyvadlo bílé keramické se sloupcem 60 cm — koupelna 2.03 2.NP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260219_dum.PSV72.005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725221201</t>
        </is>
      </c>
      <c r="E275" s="24" t="inlineStr">
        <is>
          <t>Sprchový kout 90×90 cm vč. vaničky + skleněných dveří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725111101</t>
        </is>
      </c>
      <c r="E277" s="24" t="inlineStr">
        <is>
          <t>WC kombi keramické bílé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3.04 3.NP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260219_dum.PSV72.006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725311111</t>
        </is>
      </c>
      <c r="E281" s="24" t="inlineStr">
        <is>
          <t>Umyvadlo bílé keramické se sloupcem 60 cm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725221201</t>
        </is>
      </c>
      <c r="E283" s="24" t="inlineStr">
        <is>
          <t>Sprchový kout 90×90 cm vč. vaničky + skleněných dveří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1" t="n"/>
      <c r="C285" s="22" t="inlineStr">
        <is>
          <t>D</t>
        </is>
      </c>
      <c r="D285" s="22" t="inlineStr">
        <is>
          <t>PSV-73</t>
        </is>
      </c>
      <c r="E285" s="22" t="inlineStr">
        <is>
          <t>PSV-73 Vytápění</t>
        </is>
      </c>
      <c r="F285" s="21" t="n"/>
      <c r="G285" s="21" t="n"/>
      <c r="H285" s="21" t="n"/>
      <c r="I285" s="21" t="n"/>
      <c r="J285" s="21" t="n"/>
      <c r="K285" s="21" t="n"/>
      <c r="L285" s="21" t="n"/>
    </row>
    <row r="286">
      <c r="B286" s="23" t="n">
        <v>111</v>
      </c>
      <c r="C286" s="23" t="inlineStr">
        <is>
          <t>K</t>
        </is>
      </c>
      <c r="D286" s="24" t="inlineStr">
        <is>
          <t>733241011</t>
        </is>
      </c>
      <c r="E286" s="24" t="inlineStr">
        <is>
          <t>Sporáková kamna na tuhá paliva ~10 kW s akumulačním zásobníkem TUV — dodávka</t>
        </is>
      </c>
      <c r="F286" s="23" t="inlineStr">
        <is>
          <t>ks</t>
        </is>
      </c>
      <c r="G286" s="25" t="n">
        <v>1</v>
      </c>
      <c r="H286" s="26" t="n"/>
      <c r="I286" s="26">
        <f>IF(H286="",0,G286*H286)</f>
        <v/>
      </c>
      <c r="J286" s="23" t="inlineStr">
        <is>
          <t>ÚRS 2026</t>
        </is>
      </c>
      <c r="K286" s="32" t="inlineStr">
        <is>
          <t>? needs production lookup</t>
        </is>
      </c>
      <c r="L286" s="5" t="inlineStr">
        <is>
          <t>PSV-73 Vytápění</t>
        </is>
      </c>
    </row>
    <row r="287">
      <c r="B287" s="17" t="n"/>
      <c r="C287" s="28" t="inlineStr">
        <is>
          <t>VV</t>
        </is>
      </c>
      <c r="D287" s="17" t="n"/>
      <c r="E287" s="29" t="inlineStr">
        <is>
          <t>TZ ARS dům §4 — sporáková kamna v 1.PP/1.NP zóně</t>
        </is>
      </c>
      <c r="F287" s="17" t="n"/>
      <c r="G287" s="30" t="n">
        <v>1</v>
      </c>
      <c r="H287" s="17" t="n"/>
      <c r="I287" s="17" t="n"/>
      <c r="J287" s="17" t="n"/>
      <c r="K287" s="17" t="n"/>
      <c r="L287" s="17" t="n"/>
    </row>
    <row r="288">
      <c r="B288" s="23" t="n">
        <v>112</v>
      </c>
      <c r="C288" s="23" t="inlineStr">
        <is>
          <t>K</t>
        </is>
      </c>
      <c r="D288" s="24" t="inlineStr">
        <is>
          <t>733281011</t>
        </is>
      </c>
      <c r="E288" s="24" t="inlineStr">
        <is>
          <t>Sporáková kamna — montáž vč. napojení na komín + akumulační zásobník (cca 8 Nh)</t>
        </is>
      </c>
      <c r="F288" s="23" t="inlineStr">
        <is>
          <t>kpl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>
        <f> ks kamen</f>
        <v/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733131221</t>
        </is>
      </c>
      <c r="E290" s="24" t="inlineStr">
        <is>
          <t>Elektrokotel ~8 kW pro 3.NP samostatný byt — dodávka + montáž + napojení</t>
        </is>
      </c>
      <c r="F290" s="23" t="inlineStr">
        <is>
          <t>ks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 t="inlineStr">
        <is>
          <t>TZ ARS — elektrokotel pro 3.NP samostatný byt</t>
        </is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733241011</t>
        </is>
      </c>
      <c r="E292" s="24" t="inlineStr">
        <is>
          <t>Krb na tuhá paliva v 3.NP ~6 kW — dodávka + montáž s napojením na samostatný komín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'krbem na tuhá paliva' v 3.NP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733425211</t>
        </is>
      </c>
      <c r="E294" s="24" t="inlineStr">
        <is>
          <t>Multisplit tepelné čerpadlo vzduch-vzduch — 1× venkovní jednotka ~10 kW (silent mode hl. tlaku ≤49 dBA)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multisplit TČ vzduch-vzduch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733425221</t>
        </is>
      </c>
      <c r="E296" s="24" t="inlineStr">
        <is>
          <t>Multisplit TČ — 5× vnitřní jednotka v obytných místnostech (1.NP, 2.NP, 3.NP — chlazení + vytápění)</t>
        </is>
      </c>
      <c r="F296" s="23" t="inlineStr">
        <is>
          <t>ks</t>
        </is>
      </c>
      <c r="G296" s="25" t="n">
        <v>5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'vnitřní jednotky v obytných místnostech', odhad 5 ks (3 patra × ~1.7 j/patro)</t>
        </is>
      </c>
      <c r="F297" s="17" t="n"/>
      <c r="G297" s="30" t="n">
        <v>5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734262122</t>
        </is>
      </c>
      <c r="E298" s="24" t="inlineStr">
        <is>
          <t>Revize stávajícího komínu — kontrola, čištění, vystrojení vložkou nerez DN160 pro kamna + krb 3.NP</t>
        </is>
      </c>
      <c r="F298" s="23" t="inlineStr">
        <is>
          <t>kpl</t>
        </is>
      </c>
      <c r="G298" s="25" t="n">
        <v>1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komín revize a úpravy stávajícího</t>
        </is>
      </c>
      <c r="F299" s="17" t="n"/>
      <c r="G299" s="30" t="n">
        <v>1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733111021</t>
        </is>
      </c>
      <c r="E300" s="24" t="inlineStr">
        <is>
          <t>Rozvody otopné soustavy Cu/PEX k vnitřním jednotkám TČ + radiátorům pro doplňkové (cca 100 bm odhad)</t>
        </is>
      </c>
      <c r="F300" s="23" t="inlineStr">
        <is>
          <t>bm</t>
        </is>
      </c>
      <c r="G300" s="25" t="n">
        <v>100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vyjasnění #6 working assumption, multisplit + doplň. radiátory</t>
        </is>
      </c>
      <c r="F301" s="17" t="n"/>
      <c r="G301" s="30" t="n">
        <v>100</v>
      </c>
      <c r="H301" s="17" t="n"/>
      <c r="I301" s="17" t="n"/>
      <c r="J301" s="17" t="n"/>
      <c r="K301" s="17" t="n"/>
      <c r="L301" s="17" t="n"/>
    </row>
    <row r="302">
      <c r="B302" s="21" t="n"/>
      <c r="C302" s="22" t="inlineStr">
        <is>
          <t>D</t>
        </is>
      </c>
      <c r="D302" s="22" t="inlineStr">
        <is>
          <t>PSV-76</t>
        </is>
      </c>
      <c r="E302" s="22" t="inlineStr">
        <is>
          <t>PSV-76 Klempíř</t>
        </is>
      </c>
      <c r="F302" s="21" t="n"/>
      <c r="G302" s="21" t="n"/>
      <c r="H302" s="21" t="n"/>
      <c r="I302" s="21" t="n"/>
      <c r="J302" s="21" t="n"/>
      <c r="K302" s="21" t="n"/>
      <c r="L302" s="21" t="n"/>
    </row>
    <row r="303">
      <c r="B303" s="23" t="n">
        <v>119</v>
      </c>
      <c r="C303" s="23" t="inlineStr">
        <is>
          <t>K</t>
        </is>
      </c>
      <c r="D303" s="24" t="inlineStr">
        <is>
          <t>764312235</t>
        </is>
      </c>
      <c r="E303" s="24" t="inlineStr">
        <is>
          <t>Klempířské oplechování krytiny — úžlabí, hřeben, štítové lemy (Al / Pzn lakovaný 0.55 mm)</t>
        </is>
      </c>
      <c r="F303" s="23" t="inlineStr">
        <is>
          <t>bm</t>
        </is>
      </c>
      <c r="G303" s="25" t="n">
        <v>69.5</v>
      </c>
      <c r="H303" s="26" t="n"/>
      <c r="I303" s="26">
        <f>IF(H303="",0,G303*H303)</f>
        <v/>
      </c>
      <c r="J303" s="23" t="inlineStr">
        <is>
          <t>ÚRS 2026</t>
        </is>
      </c>
      <c r="K303" s="31" t="inlineStr">
        <is>
          <t>⚠ chapter OK, leaf KROS lookup [evidence: https://www.cs-urs.cz/podminky/cu201/800-764-Konstrukce-klem]</t>
        </is>
      </c>
      <c r="L303" s="5" t="inlineStr">
        <is>
          <t>PSV-76 Klempíř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DXF klempířina total 173.8 m × 0.40 (oplechování+úžlabí+hřeben+lemy) = 69.5 bm</t>
        </is>
      </c>
      <c r="F304" s="17" t="n"/>
      <c r="G304" s="30" t="n">
        <v>69.5</v>
      </c>
      <c r="H304" s="17" t="n"/>
      <c r="I304" s="17" t="n"/>
      <c r="J304" s="17" t="n"/>
      <c r="K304" s="17" t="n"/>
      <c r="L304" s="17" t="n"/>
    </row>
    <row r="305">
      <c r="B305" s="23" t="n">
        <v>120</v>
      </c>
      <c r="C305" s="23" t="inlineStr">
        <is>
          <t>K</t>
        </is>
      </c>
      <c r="D305" s="24" t="inlineStr">
        <is>
          <t>764218201</t>
        </is>
      </c>
      <c r="E305" s="24" t="inlineStr">
        <is>
          <t>Venkovní parapety oken — Pzn plech lakovaný 250 mm × tl. 0.55 mm × 16 ks oken</t>
        </is>
      </c>
      <c r="F305" s="23" t="inlineStr">
        <is>
          <t>bm</t>
        </is>
      </c>
      <c r="G305" s="25" t="n">
        <v>20.8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>
        <f> 16 oken (DXF INSERT) × průměrná šíře 1.3 m parapetu</f>
        <v/>
      </c>
      <c r="F306" s="17" t="n"/>
      <c r="G306" s="30" t="n">
        <v>20.8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764454802</t>
        </is>
      </c>
      <c r="E307" s="24" t="inlineStr">
        <is>
          <t>Dešťové svody Pzn 100 mm + žlaby — 4 svody × ~14 m + žlaby per obvod střechy</t>
        </is>
      </c>
      <c r="F307" s="23" t="inlineStr">
        <is>
          <t>bm</t>
        </is>
      </c>
      <c r="G307" s="25" t="n">
        <v>43.5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DXF klempířina total 173.8 m × 0.25 (svody+žlaby) = 43.5 bm</t>
        </is>
      </c>
      <c r="F308" s="17" t="n"/>
      <c r="G308" s="30" t="n">
        <v>43.5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764315235</t>
        </is>
      </c>
      <c r="E309" s="24" t="inlineStr">
        <is>
          <t>Klempířské doplňky vikýřů + atika + závětrné lemy (4 vikýře komplexní detail)</t>
        </is>
      </c>
      <c r="F309" s="23" t="inlineStr">
        <is>
          <t>bm</t>
        </is>
      </c>
      <c r="G309" s="25" t="n">
        <v>26.1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0.15 (vikýře+atika+lemy) = 26.1 bm</t>
        </is>
      </c>
      <c r="F310" s="17" t="n"/>
      <c r="G310" s="30" t="n">
        <v>26.1</v>
      </c>
      <c r="H310" s="17" t="n"/>
      <c r="I310" s="17" t="n"/>
      <c r="J310" s="17" t="n"/>
      <c r="K310" s="17" t="n"/>
      <c r="L310" s="17" t="n"/>
    </row>
    <row r="311">
      <c r="B311" s="21" t="n"/>
      <c r="C311" s="22" t="inlineStr">
        <is>
          <t>D</t>
        </is>
      </c>
      <c r="D311" s="22" t="inlineStr">
        <is>
          <t>PSV-76</t>
        </is>
      </c>
      <c r="E311" s="22" t="inlineStr">
        <is>
          <t>PSV-76 Truhlář</t>
        </is>
      </c>
      <c r="F311" s="21" t="n"/>
      <c r="G311" s="21" t="n"/>
      <c r="H311" s="21" t="n"/>
      <c r="I311" s="21" t="n"/>
      <c r="J311" s="21" t="n"/>
      <c r="K311" s="21" t="n"/>
      <c r="L311" s="21" t="n"/>
    </row>
    <row r="312">
      <c r="B312" s="23" t="n">
        <v>123</v>
      </c>
      <c r="C312" s="23" t="inlineStr">
        <is>
          <t>K</t>
        </is>
      </c>
      <c r="D312" s="24" t="inlineStr">
        <is>
          <t>766811111</t>
        </is>
      </c>
      <c r="E312" s="24" t="inlineStr">
        <is>
          <t>Dřevěné stupně ocelových schodišť (truhlářské, dub masiv tl. 40 mm)</t>
        </is>
      </c>
      <c r="F312" s="23" t="inlineStr">
        <is>
          <t>ks</t>
        </is>
      </c>
      <c r="G312" s="25" t="n">
        <v>16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PSV-76 Truhlář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2 schodiště × ~8 stupňů = 16</t>
        </is>
      </c>
      <c r="F313" s="17" t="n"/>
      <c r="G313" s="30" t="n">
        <v>16</v>
      </c>
      <c r="H313" s="17" t="n"/>
      <c r="I313" s="17" t="n"/>
      <c r="J313" s="17" t="n"/>
      <c r="K313" s="17" t="n"/>
      <c r="L313" s="17" t="n"/>
    </row>
    <row r="314">
      <c r="B314" s="23" t="n">
        <v>124</v>
      </c>
      <c r="C314" s="23" t="inlineStr">
        <is>
          <t>K</t>
        </is>
      </c>
      <c r="D314" s="24" t="inlineStr"/>
      <c r="E314" s="24" t="inlineStr">
        <is>
          <t>Dřevěná terasa za opěrnou stěnou — prkna garapa 145×25 mm na dřevěném roštu z hranolů 50 mm na rektifikovatelných terčích (terče + podkladní skladba viz HSV1.005)</t>
        </is>
      </c>
      <c r="F314" s="23" t="inlineStr">
        <is>
          <t>m²</t>
        </is>
      </c>
      <c r="G314" s="25" t="n">
        <v>30</v>
      </c>
      <c r="H314" s="26" t="n"/>
      <c r="I314" s="26">
        <f>IF(H314="",0,G314*H314)</f>
        <v/>
      </c>
      <c r="J314" s="23" t="inlineStr">
        <is>
          <t>ÚRS 2026</t>
        </is>
      </c>
      <c r="K314" s="33" t="inlineStr">
        <is>
          <t>❌ MANUAL — KROS catalog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DXF dum_situace PLOT_DREVENY_04 = 57 INSERTs (timber pattern blocks) → odhad terasa ~30 m². NEPOUŽITELNÉ pro 3.NP biodeska (PLOT_DREVENY_04 v dum_DPZ = 0).</t>
        </is>
      </c>
      <c r="F315" s="17" t="n"/>
      <c r="G315" s="30" t="n">
        <v>30</v>
      </c>
      <c r="H315" s="17" t="n"/>
      <c r="I315" s="17" t="n"/>
      <c r="J315" s="17" t="n"/>
      <c r="K315" s="17" t="n"/>
      <c r="L315" s="17" t="n"/>
    </row>
    <row r="316">
      <c r="B316" s="21" t="n"/>
      <c r="C316" s="22" t="inlineStr">
        <is>
          <t>D</t>
        </is>
      </c>
      <c r="D316" s="22" t="inlineStr">
        <is>
          <t>PSV-76</t>
        </is>
      </c>
      <c r="E316" s="22" t="inlineStr">
        <is>
          <t>PSV-76 Výplně otvorů</t>
        </is>
      </c>
      <c r="F316" s="21" t="n"/>
      <c r="G316" s="21" t="n"/>
      <c r="H316" s="21" t="n"/>
      <c r="I316" s="21" t="n"/>
      <c r="J316" s="21" t="n"/>
      <c r="K316" s="21" t="n"/>
      <c r="L316" s="21" t="n"/>
    </row>
    <row r="317">
      <c r="B317" s="23" t="n">
        <v>125</v>
      </c>
      <c r="C317" s="23" t="inlineStr">
        <is>
          <t>K</t>
        </is>
      </c>
      <c r="D317" s="24" t="inlineStr">
        <is>
          <t>766621011</t>
        </is>
      </c>
      <c r="E317" s="24" t="inlineStr">
        <is>
          <t>Plastové okno izolačním trojsklem Uw=0.85 W/m²K — typ 'okno 1.NP' velikost 1185×1600 mm × 2 ks (fasáda ulice)</t>
        </is>
      </c>
      <c r="F317" s="23" t="inlineStr">
        <is>
          <t>ks</t>
        </is>
      </c>
      <c r="G317" s="25" t="n">
        <v>2</v>
      </c>
      <c r="H317" s="26" t="n"/>
      <c r="I317" s="26">
        <f>IF(H317="",0,G317*H317)</f>
        <v/>
      </c>
      <c r="J317" s="23" t="inlineStr">
        <is>
          <t>ÚRS 2026</t>
        </is>
      </c>
      <c r="K317" s="31" t="inlineStr">
        <is>
          <t>⚠ family OK, leaf KROS lookup [evidence: https://www.vekra.cz/radce/plastova-okna-s-trojsklem/]</t>
        </is>
      </c>
      <c r="L317" s="5" t="inlineStr">
        <is>
          <t>PSV-76 Výplně otvorů</t>
        </is>
      </c>
    </row>
    <row r="318">
      <c r="B318" s="17" t="n"/>
      <c r="C318" s="28" t="inlineStr">
        <is>
          <t>VV</t>
        </is>
      </c>
      <c r="D318" s="17" t="n"/>
      <c r="E318" s="29" t="inlineStr">
        <is>
          <t>DXF INSERT block name 'okno 1.NP' count = 2 ks × bbox 1185×1600 mm = 3.8 m² fasády</t>
        </is>
      </c>
      <c r="F318" s="17" t="n"/>
      <c r="G318" s="30" t="n">
        <v>2</v>
      </c>
      <c r="H318" s="17" t="n"/>
      <c r="I318" s="17" t="n"/>
      <c r="J318" s="17" t="n"/>
      <c r="K318" s="17" t="n"/>
      <c r="L318" s="17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 vzadu' velikost 920×1600 mm × 3 ks (fasáda zahrada)</t>
        </is>
      </c>
      <c r="F319" s="23" t="inlineStr">
        <is>
          <t>ks</t>
        </is>
      </c>
      <c r="G319" s="25" t="n">
        <v>3</v>
      </c>
      <c r="H319" s="26" t="n"/>
      <c r="I319" s="26">
        <f>IF(H319="",0,G319*H319)</f>
        <v/>
      </c>
      <c r="J319" s="23" t="inlineStr">
        <is>
          <t>ÚRS 2026</t>
        </is>
      </c>
      <c r="K319" s="32" t="inlineStr">
        <is>
          <t>? needs production lookup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 vzadu' count = 3 ks × bbox 920×1600 mm = 4.41 m² fasády</t>
        </is>
      </c>
      <c r="F320" s="17" t="n"/>
      <c r="G320" s="30" t="n">
        <v>3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2.NP' velikost 1160×1480 mm × 4 ks (fasáda ulice)</t>
        </is>
      </c>
      <c r="F321" s="23" t="inlineStr">
        <is>
          <t>ks</t>
        </is>
      </c>
      <c r="G321" s="25" t="n">
        <v>4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2.NP' count = 4 ks × bbox 1160×1480 mm = 6.88 m² fasády</t>
        </is>
      </c>
      <c r="F322" s="17" t="n"/>
      <c r="G322" s="30" t="n">
        <v>4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3.NP' velikost 1785×1241 mm × 3 ks (fasáda ulice)</t>
        </is>
      </c>
      <c r="F323" s="23" t="inlineStr">
        <is>
          <t>ks</t>
        </is>
      </c>
      <c r="G323" s="25" t="n">
        <v>3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3.NP' count = 3 ks × bbox 1785×1241 mm = 6.66 m² fasády</t>
        </is>
      </c>
      <c r="F324" s="17" t="n"/>
      <c r="G324" s="30" t="n">
        <v>3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 vzadu' velikost 2075×1241 mm × 1 ks (fasáda zahrada)</t>
        </is>
      </c>
      <c r="F325" s="23" t="inlineStr">
        <is>
          <t>ks</t>
        </is>
      </c>
      <c r="G325" s="25" t="n">
        <v>1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 vzadu' count = 1 ks × bbox 2075×1241 mm = 2.57 m² fasády</t>
        </is>
      </c>
      <c r="F326" s="17" t="n"/>
      <c r="G326" s="30" t="n">
        <v>1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male 3.NP vzadu' velikost 800×1241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male 3.NP vzadu' count = 1 ks × bbox 800×1241 mm = 0.99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malé vzadu' velikost 700×800 mm × 2 ks (fasáda zahrada)</t>
        </is>
      </c>
      <c r="F329" s="23" t="inlineStr">
        <is>
          <t>ks</t>
        </is>
      </c>
      <c r="G329" s="25" t="n">
        <v>2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malé vzadu' count = 2 ks × bbox 700×800 mm = 1.12 m² fasády</t>
        </is>
      </c>
      <c r="F330" s="17" t="n"/>
      <c r="G330" s="30" t="n">
        <v>2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766631211</t>
        </is>
      </c>
      <c r="E331" s="24" t="inlineStr">
        <is>
          <t>Integrované stínící venkovní žaluzie v kastlíku pod omítkou s purenitovou izolací — uliční fasáda Fibichova (9 ks)</t>
        </is>
      </c>
      <c r="F331" s="23" t="inlineStr">
        <is>
          <t>ks</t>
        </is>
      </c>
      <c r="G331" s="25" t="n">
        <v>9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Σ uličních oken (block names bez 'vzadu' = okno 1.NP 2 + okno 2.NP 4 + okno 3.NP 3) = 9 ks</t>
        </is>
      </c>
      <c r="F332" s="17" t="n"/>
      <c r="G332" s="30" t="n">
        <v>9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766682111</t>
        </is>
      </c>
      <c r="E333" s="24" t="inlineStr">
        <is>
          <t>Plastové vstupní dveře (ulice + zahrada) — 2 ks</t>
        </is>
      </c>
      <c r="F333" s="23" t="inlineStr">
        <is>
          <t>ks</t>
        </is>
      </c>
      <c r="G333" s="25" t="n">
        <v>2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TZ ARS — vstupní plastové dveře</t>
        </is>
      </c>
      <c r="F334" s="17" t="n"/>
      <c r="G334" s="30" t="n">
        <v>2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766660035</t>
        </is>
      </c>
      <c r="E335" s="24" t="inlineStr">
        <is>
          <t>Vnitřní dveře DTD laminované s obložkovou zárubní — odhad 15 ks</t>
        </is>
      </c>
      <c r="F335" s="23" t="inlineStr">
        <is>
          <t>ks</t>
        </is>
      </c>
      <c r="G335" s="25" t="n">
        <v>15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3 patra × ~5 dveří (4 pokoje + chodba): 1.NP byt + 2.NP děti + 3.NP nový byt</t>
        </is>
      </c>
      <c r="F336" s="17" t="n"/>
      <c r="G336" s="30" t="n">
        <v>15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766694112</t>
        </is>
      </c>
      <c r="E33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7" s="23" t="inlineStr">
        <is>
          <t>ks</t>
        </is>
      </c>
      <c r="G337" s="25" t="n">
        <v>1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1× dveře na vrcholu schodiště 1.PP/1.NP (room 1.08 → 0.01) per PBŘ TUSPO</t>
        </is>
      </c>
      <c r="F338" s="17" t="n"/>
      <c r="G338" s="30" t="n">
        <v>1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764811112</t>
        </is>
      </c>
      <c r="E339" s="24" t="inlineStr">
        <is>
          <t>Oplechování venkovních parapetů Pzn plech lakovaný 250 mm × tl. 0.55 mm, vč. okapnice + boční zakončení — 16 ks (per DXF INSERT okno × 16)</t>
        </is>
      </c>
      <c r="F339" s="23" t="inlineStr">
        <is>
          <t>ks</t>
        </is>
      </c>
      <c r="G339" s="25" t="n">
        <v>16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okno × 16 ks (Path C Tier 4) = 16 parapetů</t>
        </is>
      </c>
      <c r="F340" s="17" t="n"/>
      <c r="G340" s="30" t="n">
        <v>16</v>
      </c>
      <c r="H340" s="17" t="n"/>
      <c r="I340" s="17" t="n"/>
      <c r="J340" s="17" t="n"/>
      <c r="K340" s="17" t="n"/>
      <c r="L340" s="17" t="n"/>
    </row>
    <row r="341">
      <c r="B341" s="21" t="n"/>
      <c r="C341" s="22" t="inlineStr">
        <is>
          <t>D</t>
        </is>
      </c>
      <c r="D341" s="22" t="inlineStr">
        <is>
          <t>PSV-76</t>
        </is>
      </c>
      <c r="E341" s="22" t="inlineStr">
        <is>
          <t>PSV-76 Zámečnictví</t>
        </is>
      </c>
      <c r="F341" s="21" t="n"/>
      <c r="G341" s="21" t="n"/>
      <c r="H341" s="21" t="n"/>
      <c r="I341" s="21" t="n"/>
      <c r="J341" s="21" t="n"/>
      <c r="K341" s="21" t="n"/>
      <c r="L341" s="21" t="n"/>
    </row>
    <row r="342">
      <c r="B342" s="23" t="n">
        <v>137</v>
      </c>
      <c r="C342" s="23" t="inlineStr">
        <is>
          <t>K</t>
        </is>
      </c>
      <c r="D342" s="24" t="inlineStr">
        <is>
          <t>767531111</t>
        </is>
      </c>
      <c r="E342" s="24" t="inlineStr">
        <is>
          <t>Ocelové schodiště ze zahrady na mezipodestu — UPE200 schodnice + dřevěné nášlapy, kotvené do koruny opěrné stěny a zdiva (TZ statika §4)</t>
        </is>
      </c>
      <c r="F342" s="23" t="inlineStr">
        <is>
          <t>kpl</t>
        </is>
      </c>
      <c r="G342" s="25" t="n">
        <v>1</v>
      </c>
      <c r="H342" s="26" t="n"/>
      <c r="I342" s="26">
        <f>IF(H342="",0,G342*H342)</f>
        <v/>
      </c>
      <c r="J342" s="23" t="inlineStr">
        <is>
          <t>ÚRS 2026</t>
        </is>
      </c>
      <c r="K342" s="31" t="inlineStr">
        <is>
          <t>⚠ family OK, leaf KROS lookup [evidence: https://www.obchodprodilnu.cz/produkty/stavebni-prvky-a-mate]</t>
        </is>
      </c>
      <c r="L342" s="5" t="inlineStr">
        <is>
          <t>PSV-76 Zámečnictví</t>
        </is>
      </c>
    </row>
    <row r="343">
      <c r="B343" s="17" t="n"/>
      <c r="C343" s="28" t="inlineStr">
        <is>
          <t>VV</t>
        </is>
      </c>
      <c r="D343" s="17" t="n"/>
      <c r="E343" s="29" t="inlineStr">
        <is>
          <t>1 schodiště (~8 stupňů × ~3 m výška)</t>
        </is>
      </c>
      <c r="F343" s="17" t="n"/>
      <c r="G343" s="30" t="n">
        <v>1</v>
      </c>
      <c r="H343" s="17" t="n"/>
      <c r="I343" s="17" t="n"/>
      <c r="J343" s="17" t="n"/>
      <c r="K343" s="17" t="n"/>
      <c r="L343" s="17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Interní ocelové schodiště do spacího patra v 3.NP s dřevěnými stupni (truhlářské)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do podkroví (TZ ARS)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767532111</t>
        </is>
      </c>
      <c r="E346" s="24" t="inlineStr">
        <is>
          <t>Stříšky nad vstupy z ocelové konstrukce + Cetris desky + falcovaná krytina — 2 ks (ulice + zahrada)</t>
        </is>
      </c>
      <c r="F346" s="23" t="inlineStr">
        <is>
          <t>ks</t>
        </is>
      </c>
      <c r="G346" s="25" t="n">
        <v>2</v>
      </c>
      <c r="H346" s="26" t="n"/>
      <c r="I346" s="26">
        <f>IF(H346="",0,G346*H346)</f>
        <v/>
      </c>
      <c r="J346" s="23" t="inlineStr">
        <is>
          <t>ÚRS 2026</t>
        </is>
      </c>
      <c r="K346" s="32" t="inlineStr">
        <is>
          <t>? needs production lookup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2 vstupy</t>
        </is>
      </c>
      <c r="F347" s="17" t="n"/>
      <c r="G347" s="30" t="n">
        <v>2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767163115</t>
        </is>
      </c>
      <c r="E348" s="24" t="inlineStr">
        <is>
          <t>Ocelové zábradlí svařované z jeklů + nerez výplň pZn antracit — schodiště interier + venkovní terasa</t>
        </is>
      </c>
      <c r="F348" s="23" t="inlineStr">
        <is>
          <t>bm</t>
        </is>
      </c>
      <c r="G348" s="25" t="n">
        <v>18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odhad 12 m interier (2 schodiště × 6 m) + 6 m terasa</t>
        </is>
      </c>
      <c r="F349" s="17" t="n"/>
      <c r="G349" s="30" t="n">
        <v>18</v>
      </c>
      <c r="H349" s="17" t="n"/>
      <c r="I349" s="17" t="n"/>
      <c r="J349" s="17" t="n"/>
      <c r="K349" s="17" t="n"/>
      <c r="L349" s="17" t="n"/>
    </row>
    <row r="350">
      <c r="B350" s="21" t="n"/>
      <c r="C350" s="22" t="inlineStr">
        <is>
          <t>D</t>
        </is>
      </c>
      <c r="D350" s="22" t="inlineStr">
        <is>
          <t>PSV-77</t>
        </is>
      </c>
      <c r="E350" s="22" t="inlineStr">
        <is>
          <t>PSV-77 Podlahy</t>
        </is>
      </c>
      <c r="F350" s="21" t="n"/>
      <c r="G350" s="21" t="n"/>
      <c r="H350" s="21" t="n"/>
      <c r="I350" s="21" t="n"/>
      <c r="J350" s="21" t="n"/>
      <c r="K350" s="21" t="n"/>
      <c r="L350" s="21" t="n"/>
    </row>
    <row r="351">
      <c r="B351" s="23" t="n">
        <v>141</v>
      </c>
      <c r="C351" s="23" t="inlineStr">
        <is>
          <t>K</t>
        </is>
      </c>
      <c r="D351" s="24" t="inlineStr">
        <is>
          <t>776511820</t>
        </is>
      </c>
      <c r="E351" s="24" t="inlineStr">
        <is>
          <t>Nášlapná vrstva vinyl tl. 4 mm na suchou skladbu — obytné místnosti (ložnice, obývák, kuchyně, chodby)</t>
        </is>
      </c>
      <c r="F351" s="23" t="inlineStr">
        <is>
          <t>m²</t>
        </is>
      </c>
      <c r="G351" s="25" t="n">
        <v>171.5</v>
      </c>
      <c r="H351" s="26" t="n"/>
      <c r="I351" s="26">
        <f>IF(H351="",0,G351*H351)</f>
        <v/>
      </c>
      <c r="J351" s="23" t="inlineStr">
        <is>
          <t>ÚRS 2026</t>
        </is>
      </c>
      <c r="K351" s="31" t="inlineStr">
        <is>
          <t>⚠ family OK, leaf KROS lookup [evidence: https://podminky.urs.cz/item/CS_URS_2021_02/776321212]</t>
        </is>
      </c>
      <c r="L351" s="5" t="inlineStr">
        <is>
          <t>PSV-77 Podlahy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1.01=12.4 + 1.02=3.6 + 1.06=24.0 + 1.07=9.4 + 1.08=3.8 + 2.01=7.3 + 2.02=5.9 + 2.04=15.5 + 2.05=14.1 + 2.06=15.8 + 3.01=7.6 + 3.02=4.1 + 3.03=2.4 + 3.05=32.8 + 3.06=12.8 = 171.5 m²</t>
        </is>
      </c>
      <c r="F352" s="17" t="n"/>
      <c r="G352" s="30" t="n">
        <v>171.5</v>
      </c>
      <c r="H352" s="17" t="n"/>
      <c r="I352" s="17" t="n"/>
      <c r="J352" s="17" t="n"/>
      <c r="K352" s="17" t="n"/>
      <c r="L352" s="17" t="n"/>
    </row>
    <row r="353">
      <c r="B353" s="23" t="n">
        <v>142</v>
      </c>
      <c r="C353" s="23" t="inlineStr">
        <is>
          <t>K</t>
        </is>
      </c>
      <c r="D353" s="24" t="inlineStr">
        <is>
          <t>771274102</t>
        </is>
      </c>
      <c r="E353" s="24" t="inlineStr">
        <is>
          <t>Nášlapná vrstva keramická dlažba lepená — koupelny + WC + spíž + komora (NÁDRŽ NP)</t>
        </is>
      </c>
      <c r="F353" s="23" t="inlineStr">
        <is>
          <t>m²</t>
        </is>
      </c>
      <c r="G353" s="25" t="n">
        <v>13.5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1.03=0.7 + 1.04=1.5 + 1.05=4.1 + 2.03=2.4 + 3.04=4.8 = 13.5 m²</t>
        </is>
      </c>
      <c r="F354" s="17" t="n"/>
      <c r="G354" s="30" t="n">
        <v>13.5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— 1.PP technické místnosti (sušárna + sklepy + schodiště + chodba)</t>
        </is>
      </c>
      <c r="F355" s="23" t="inlineStr">
        <is>
          <t>m²</t>
        </is>
      </c>
      <c r="G355" s="25" t="n">
        <v>32.4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0.01=3.5 + 0.02=4.4 + 0.03=22.2 + 0.04=2.3 = 32.4 m²</t>
        </is>
      </c>
      <c r="F356" s="17" t="n"/>
      <c r="G356" s="30" t="n">
        <v>32.4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766411111</t>
        </is>
      </c>
      <c r="E357" s="24" t="inlineStr">
        <is>
          <t>Nášlapná vrstva biodeska (smrk masiv) nebo OSB v 3.NP spací části nad krovem</t>
        </is>
      </c>
      <c r="F357" s="23" t="inlineStr">
        <is>
          <t>m²</t>
        </is>
      </c>
      <c r="G357" s="25" t="n">
        <v>25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58" s="17" t="n"/>
      <c r="G358" s="30" t="n">
        <v>25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631321311</t>
        </is>
      </c>
      <c r="E359" s="24" t="inlineStr">
        <is>
          <t>Mokrá podlahová skladba — betonový potěr s kari síťkou 4/100/100 tl. 50 mm + samonivelační stěrka</t>
        </is>
      </c>
      <c r="F359" s="23" t="inlineStr">
        <is>
          <t>m²</t>
        </is>
      </c>
      <c r="G359" s="25" t="n">
        <v>126.4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vinyl 1.NP+3.NP + dlažba mokré (vyňato 2.NP suchá skladba) = 126.4 m²</t>
        </is>
      </c>
      <c r="F360" s="17" t="n"/>
      <c r="G360" s="30" t="n">
        <v>126.4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776511831</t>
        </is>
      </c>
      <c r="E361" s="24" t="inlineStr">
        <is>
          <t>Soklíky podlahové laminátové (dub) v obytných místnostech s vinyl podlahou</t>
        </is>
      </c>
      <c r="F361" s="23" t="inlineStr">
        <is>
          <t>bm</t>
        </is>
      </c>
      <c r="G361" s="25" t="n">
        <v>72.03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plocha 171.5 m² × 0.42 m soklíku/m² (typ. obvod/plocha ratio v Czech RD místnosti) = 72.03 bm</t>
        </is>
      </c>
      <c r="F362" s="17" t="n"/>
      <c r="G362" s="30" t="n">
        <v>72.03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771274107</t>
        </is>
      </c>
      <c r="E363" s="24" t="inlineStr">
        <is>
          <t>Soklíky keramické v místnostech s dlažbou (koupelny + WC + spíž + 1.PP)</t>
        </is>
      </c>
      <c r="F363" s="23" t="inlineStr">
        <is>
          <t>bm</t>
        </is>
      </c>
      <c r="G363" s="25" t="n">
        <v>19.28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(dlažba mokré 13.5 + dlažba sklep 32.4) × 0.42 m soklíku/m² = 19.28 bm</t>
        </is>
      </c>
      <c r="F364" s="17" t="n"/>
      <c r="G364" s="30" t="n">
        <v>19.28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PSV-78</t>
        </is>
      </c>
      <c r="E365" s="22" t="inlineStr">
        <is>
          <t>PSV-78 Povrchové úpravy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148</v>
      </c>
      <c r="C366" s="23" t="inlineStr">
        <is>
          <t>K</t>
        </is>
      </c>
      <c r="D366" s="24" t="inlineStr">
        <is>
          <t>612311311</t>
        </is>
      </c>
      <c r="E366" s="24" t="inlineStr">
        <is>
          <t>Omítka jádrová vápenocementová tl. 15 mm + štuková povrchová úprava na stěnách 1.PP (stávající vyspravené + nové zděné)</t>
        </is>
      </c>
      <c r="F366" s="23" t="inlineStr">
        <is>
          <t>m²</t>
        </is>
      </c>
      <c r="G366" s="25" t="n">
        <v>78.2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PSV-78 Povrchové úpravy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7" s="17" t="n"/>
      <c r="G367" s="30" t="n">
        <v>78.2</v>
      </c>
      <c r="H367" s="17" t="n"/>
      <c r="I367" s="17" t="n"/>
      <c r="J367" s="17" t="n"/>
      <c r="K367" s="17" t="n"/>
      <c r="L367" s="17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1.NP (stávající vyspravené + nové zděné)</t>
        </is>
      </c>
      <c r="F368" s="23" t="inlineStr">
        <is>
          <t>m²</t>
        </is>
      </c>
      <c r="G368" s="25" t="n">
        <v>208.4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69" s="17" t="n"/>
      <c r="G369" s="30" t="n">
        <v>208.4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2.NP (stávající vyspravené + nové zděné)</t>
        </is>
      </c>
      <c r="F370" s="23" t="inlineStr">
        <is>
          <t>m²</t>
        </is>
      </c>
      <c r="G370" s="25" t="n">
        <v>201.6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1" s="17" t="n"/>
      <c r="G371" s="30" t="n">
        <v>201.6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3.NP (stávající vyspravené + nové zděné)</t>
        </is>
      </c>
      <c r="F372" s="23" t="inlineStr">
        <is>
          <t>m²</t>
        </is>
      </c>
      <c r="G372" s="25" t="n">
        <v>179.1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3" s="17" t="n"/>
      <c r="G373" s="30" t="n">
        <v>179.1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612471141</t>
        </is>
      </c>
      <c r="E374" s="24" t="inlineStr">
        <is>
          <t>SDK podhled + případné předstěny — tmelení spojů Q3 + povrchová úprava před výmalbou (1.NP)</t>
        </is>
      </c>
      <c r="F374" s="23" t="inlineStr">
        <is>
          <t>m²</t>
        </is>
      </c>
      <c r="G374" s="25" t="n">
        <v>59.5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1.01=12.4 + 1.02=3.6 + 1.03=0.7 + 1.04=1.5 + 1.05=4.1 + 1.06=24.0 + 1.07=9.4 + 1.08=3.8 = 59.5 m²</t>
        </is>
      </c>
      <c r="F375" s="17" t="n"/>
      <c r="G375" s="30" t="n">
        <v>59.5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(2.NP)</t>
        </is>
      </c>
      <c r="F376" s="23" t="inlineStr">
        <is>
          <t>m²</t>
        </is>
      </c>
      <c r="G376" s="25" t="n">
        <v>61.1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2.01=7.3 + 2.02=5.9 + 2.03=2.4 + 2.04=15.5 + 2.05=14.1 + 2.06=15.8 = 61.1 m²</t>
        </is>
      </c>
      <c r="F377" s="17" t="n"/>
      <c r="G377" s="30" t="n">
        <v>61.1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(3.NP)</t>
        </is>
      </c>
      <c r="F378" s="23" t="inlineStr">
        <is>
          <t>m²</t>
        </is>
      </c>
      <c r="G378" s="25" t="n">
        <v>64.5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3.01=7.6 + 3.02=4.1 + 3.03=2.4 + 3.04=4.8 + 3.05=32.8 + 3.06=12.8 = 64.5 m²</t>
        </is>
      </c>
      <c r="F379" s="17" t="n"/>
      <c r="G379" s="30" t="n">
        <v>64.5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781447001</t>
        </is>
      </c>
      <c r="E380" s="24" t="inlineStr">
        <is>
          <t>Keramický obklad stěn koupelny 1.05 1.NP — výška obkladu 1.6 m (z DXF km Obklady layer)</t>
        </is>
      </c>
      <c r="F380" s="23" t="inlineStr">
        <is>
          <t>m²</t>
        </is>
      </c>
      <c r="G380" s="25" t="n">
        <v>13.4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DXF IP_obrysy místností room 1.05 perimeter 8.4 bm × DXF km Obklady layer výška 1.6 m (per-koupelna explicit, NE uniform 2.0 m fallback) = 13.4 m²</t>
        </is>
      </c>
      <c r="F381" s="17" t="n"/>
      <c r="G381" s="30" t="n">
        <v>13.4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2.03 2.NP — výška obkladu 2.45 m (z DXF km Obklady layer)</t>
        </is>
      </c>
      <c r="F382" s="23" t="inlineStr">
        <is>
          <t>m²</t>
        </is>
      </c>
      <c r="G382" s="25" t="n">
        <v>15.2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2.03 perimeter 6.2 bm × DXF km Obklady layer výška 2.45 m (per-koupelna explicit, NE uniform 2.0 m fallback) = 15.2 m²</t>
        </is>
      </c>
      <c r="F383" s="17" t="n"/>
      <c r="G383" s="30" t="n">
        <v>15.2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3.04 3.NP — výška obkladu 2.7 m (z DXF km Obklady layer)</t>
        </is>
      </c>
      <c r="F384" s="23" t="inlineStr">
        <is>
          <t>m²</t>
        </is>
      </c>
      <c r="G384" s="25" t="n">
        <v>24.3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3.04 perimeter 9.0 bm × DXF km Obklady layer výška 2.7 m (per-koupelna explicit, NE uniform 2.0 m fallback) = 24.3 m²</t>
        </is>
      </c>
      <c r="F385" s="17" t="n"/>
      <c r="G385" s="30" t="n">
        <v>24.3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za kuchyňskou linkou nad pracovní deskou — 2 kuchyně × ~5 m² (1.06 byt rodičů + 3.05 byt 3.NP)</t>
        </is>
      </c>
      <c r="F386" s="23" t="inlineStr">
        <is>
          <t>m²</t>
        </is>
      </c>
      <c r="G386" s="25" t="n">
        <v>10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dum_DPZ 2× kuchyně MTEXT (rooms 1.06 obyt+kuchyně + 3.05 obyt+kuchyně) × 5 m² obklad za linkou = 10 m²</t>
        </is>
      </c>
      <c r="F387" s="17" t="n"/>
      <c r="G387" s="30" t="n">
        <v>10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784121011</t>
        </is>
      </c>
      <c r="E388" s="24" t="inlineStr">
        <is>
          <t>Interiérová výmalba 1.PP — sklep stěny + klenba bílá vápenná 2×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omítka 1.PP 78.2 m² + SDK podhled 0 m² − obklad 0 m² = 78.2 m² (per-podlaží split per audit v2 GAP_007)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1.NP — stěny + SDK podhled − obklad koupelny 1.05 (1.6 m výška)</t>
        </is>
      </c>
      <c r="F390" s="23" t="inlineStr">
        <is>
          <t>m²</t>
        </is>
      </c>
      <c r="G390" s="25" t="n">
        <v>254.5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1.NP 208.4 m² + SDK podhled 59.5 m² − obklad 13.4 m² = 254.5 m² (per-podlaží split per audit v2 GAP_007)</t>
        </is>
      </c>
      <c r="F391" s="17" t="n"/>
      <c r="G391" s="30" t="n">
        <v>254.5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2.NP — stěny + SDK podhled − obklad koupelny 2.03 (2.45 m výška)</t>
        </is>
      </c>
      <c r="F392" s="23" t="inlineStr">
        <is>
          <t>m²</t>
        </is>
      </c>
      <c r="G392" s="25" t="n">
        <v>247.5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2.NP 201.6 m² + SDK podhled 61.1 m² − obklad 15.2 m² = 247.5 m² (per-podlaží split per audit v2 GAP_007)</t>
        </is>
      </c>
      <c r="F393" s="17" t="n"/>
      <c r="G393" s="30" t="n">
        <v>247.5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3.NP — stěny + SDK podhled − obklad koupelny 3.04 (2.7 m výška)</t>
        </is>
      </c>
      <c r="F394" s="23" t="inlineStr">
        <is>
          <t>m²</t>
        </is>
      </c>
      <c r="G394" s="25" t="n">
        <v>219.3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3.NP 179.1 m² + SDK podhled 64.5 m² − obklad 24.3 m² = 219.3 m² (per-podlaží split per audit v2 GAP_007)</t>
        </is>
      </c>
      <c r="F395" s="17" t="n"/>
      <c r="G395" s="30" t="n">
        <v>219.3</v>
      </c>
      <c r="H395" s="17" t="n"/>
      <c r="I395" s="17" t="n"/>
      <c r="J395" s="17" t="n"/>
      <c r="K395" s="17" t="n"/>
      <c r="L395" s="17" t="n"/>
    </row>
    <row r="396">
      <c r="B396" s="21" t="n"/>
      <c r="C396" s="22" t="inlineStr">
        <is>
          <t>D</t>
        </is>
      </c>
      <c r="D396" s="22" t="inlineStr">
        <is>
          <t>PSV-95</t>
        </is>
      </c>
      <c r="E396" s="22" t="inlineStr">
        <is>
          <t>PSV-95 Detekce požární</t>
        </is>
      </c>
      <c r="F396" s="21" t="n"/>
      <c r="G396" s="21" t="n"/>
      <c r="H396" s="21" t="n"/>
      <c r="I396" s="21" t="n"/>
      <c r="J396" s="21" t="n"/>
      <c r="K396" s="21" t="n"/>
      <c r="L396" s="21" t="n"/>
    </row>
    <row r="397">
      <c r="B397" s="23" t="n">
        <v>163</v>
      </c>
      <c r="C397" s="23" t="inlineStr">
        <is>
          <t>K</t>
        </is>
      </c>
      <c r="D397" s="24" t="inlineStr">
        <is>
          <t>375211101</t>
        </is>
      </c>
      <c r="E397" s="24" t="inlineStr">
        <is>
          <t>Autonomní hlásič kouře dle ČSN EN 14604 — 4 ks v místnostech 1.01, 1.02, 2.04, 3.03 dle PBŘ</t>
        </is>
      </c>
      <c r="F397" s="23" t="inlineStr">
        <is>
          <t>ks</t>
        </is>
      </c>
      <c r="G397" s="25" t="n">
        <v>4</v>
      </c>
      <c r="H397" s="26" t="n"/>
      <c r="I397" s="26">
        <f>IF(H397="",0,G397*H397)</f>
        <v/>
      </c>
      <c r="J397" s="23" t="inlineStr">
        <is>
          <t>ÚRS 2026</t>
        </is>
      </c>
      <c r="K397" s="31" t="inlineStr">
        <is>
          <t>⚠ family OK, leaf KROS lookup [evidence: https://www.technicke-normy-csn.cz/csn-en-14604-342711-18294]</t>
        </is>
      </c>
      <c r="L397" s="5" t="inlineStr">
        <is>
          <t>PSV-95 Detekce požární</t>
        </is>
      </c>
    </row>
    <row r="398">
      <c r="B398" s="17" t="n"/>
      <c r="C398" s="28" t="inlineStr">
        <is>
          <t>VV</t>
        </is>
      </c>
      <c r="D398" s="17" t="n"/>
      <c r="E398" s="29" t="inlineStr">
        <is>
          <t>TZ PBŘ — 4 hlásiče v daných místnostech</t>
        </is>
      </c>
      <c r="F398" s="17" t="n"/>
      <c r="G398" s="30" t="n">
        <v>4</v>
      </c>
      <c r="H398" s="17" t="n"/>
      <c r="I398" s="17" t="n"/>
      <c r="J398" s="17" t="n"/>
      <c r="K398" s="17" t="n"/>
      <c r="L398" s="17" t="n"/>
    </row>
    <row r="399">
      <c r="B399" s="23" t="n">
        <v>164</v>
      </c>
      <c r="C399" s="23" t="inlineStr">
        <is>
          <t>K</t>
        </is>
      </c>
      <c r="D399" s="24" t="inlineStr">
        <is>
          <t>966067121</t>
        </is>
      </c>
      <c r="E399" s="24" t="inlineStr">
        <is>
          <t>Přenosný hasicí přístroj 34A dle PBŘ — min. 1 ks na společné chodbě</t>
        </is>
      </c>
      <c r="F399" s="23" t="inlineStr">
        <is>
          <t>ks</t>
        </is>
      </c>
      <c r="G399" s="25" t="n">
        <v>1</v>
      </c>
      <c r="H399" s="26" t="n"/>
      <c r="I399" s="26">
        <f>IF(H399="",0,G399*H399)</f>
        <v/>
      </c>
      <c r="J399" s="23" t="inlineStr">
        <is>
          <t>ÚRS 2026</t>
        </is>
      </c>
      <c r="K399" s="32" t="inlineStr">
        <is>
          <t>? needs production lookup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min. 1 ks 34A</t>
        </is>
      </c>
      <c r="F400" s="17" t="n"/>
      <c r="G400" s="30" t="n">
        <v>1</v>
      </c>
      <c r="H400" s="17" t="n"/>
      <c r="I400" s="17" t="n"/>
      <c r="J400" s="17" t="n"/>
      <c r="K400" s="17" t="n"/>
      <c r="L400" s="17" t="n"/>
    </row>
    <row r="401">
      <c r="B401" s="19" t="n"/>
      <c r="C401" s="20" t="inlineStr">
        <is>
          <t>D</t>
        </is>
      </c>
      <c r="D401" s="20" t="inlineStr">
        <is>
          <t>VRN</t>
        </is>
      </c>
      <c r="E401" s="20" t="inlineStr">
        <is>
          <t>Vedlejší rozpočtové náklady</t>
        </is>
      </c>
      <c r="F401" s="19" t="n"/>
      <c r="G401" s="19" t="n"/>
      <c r="H401" s="19" t="n"/>
      <c r="I401" s="19" t="n"/>
      <c r="J401" s="19" t="n"/>
      <c r="K401" s="19" t="n"/>
      <c r="L401" s="19" t="n"/>
    </row>
    <row r="402">
      <c r="B402" s="21" t="n"/>
      <c r="C402" s="22" t="inlineStr">
        <is>
          <t>D</t>
        </is>
      </c>
      <c r="D402" s="22" t="inlineStr">
        <is>
          <t>VRN</t>
        </is>
      </c>
      <c r="E402" s="22" t="inlineStr">
        <is>
          <t>VRN — Zařízení staveniště</t>
        </is>
      </c>
      <c r="F402" s="21" t="n"/>
      <c r="G402" s="21" t="n"/>
      <c r="H402" s="21" t="n"/>
      <c r="I402" s="21" t="n"/>
      <c r="J402" s="21" t="n"/>
      <c r="K402" s="21" t="n"/>
      <c r="L402" s="21" t="n"/>
    </row>
    <row r="403">
      <c r="B403" s="23" t="n">
        <v>165</v>
      </c>
      <c r="C403" s="23" t="inlineStr">
        <is>
          <t>K</t>
        </is>
      </c>
      <c r="D403" s="24" t="inlineStr">
        <is>
          <t>030011000</t>
        </is>
      </c>
      <c r="E403" s="24" t="inlineStr">
        <is>
          <t>Zařízení staveniště — buňka kancelář + sociální buňka (WC + šatna), pronájem ~8 měsíců</t>
        </is>
      </c>
      <c r="F403" s="23" t="inlineStr">
        <is>
          <t>kpl-měs</t>
        </is>
      </c>
      <c r="G403" s="25" t="n">
        <v>8</v>
      </c>
      <c r="H403" s="26" t="n"/>
      <c r="I403" s="26">
        <f>IF(H403="",0,G403*H403)</f>
        <v/>
      </c>
      <c r="J403" s="23" t="inlineStr">
        <is>
          <t>ÚRS 2026</t>
        </is>
      </c>
      <c r="K403" s="32" t="inlineStr">
        <is>
          <t>? needs production lookup</t>
        </is>
      </c>
      <c r="L403" s="5" t="inlineStr">
        <is>
          <t>VRN — Zařízení staveniště</t>
        </is>
      </c>
    </row>
    <row r="404">
      <c r="B404" s="17" t="n"/>
      <c r="C404" s="28" t="inlineStr">
        <is>
          <t>VV</t>
        </is>
      </c>
      <c r="D404" s="17" t="n"/>
      <c r="E404" s="29" t="inlineStr">
        <is>
          <t>realizace odhad 8 měs (demolice 1.5 + hrubá 2.5 + dokončování 4)</t>
        </is>
      </c>
      <c r="F404" s="17" t="n"/>
      <c r="G404" s="30" t="n">
        <v>8</v>
      </c>
      <c r="H404" s="17" t="n"/>
      <c r="I404" s="17" t="n"/>
      <c r="J404" s="17" t="n"/>
      <c r="K404" s="17" t="n"/>
      <c r="L404" s="17" t="n"/>
    </row>
    <row r="405">
      <c r="B405" s="23" t="n">
        <v>166</v>
      </c>
      <c r="C405" s="23" t="inlineStr">
        <is>
          <t>K</t>
        </is>
      </c>
      <c r="D405" s="24" t="inlineStr">
        <is>
          <t>030013000</t>
        </is>
      </c>
      <c r="E405" s="24" t="inlineStr">
        <is>
          <t>Mobilní chemické WC TOI TOI pro pracovníky — pronájem ~8 měsíců</t>
        </is>
      </c>
      <c r="F405" s="23" t="inlineStr">
        <is>
          <t>ks-měs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1 ks × 8 měs realizace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031011000</t>
        </is>
      </c>
      <c r="E407" s="24" t="inlineStr">
        <is>
          <t>El. odběr stavby (zřízení staveništního rozvaděče + měřič) + vodovodní odběr (zřízení staveništní přípojky + vodoměr) — ~8 měsíců</t>
        </is>
      </c>
      <c r="F407" s="23" t="inlineStr">
        <is>
          <t>kpl</t>
        </is>
      </c>
      <c r="G407" s="25" t="n">
        <v>1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Komplexní zřízení + provoz po dobu stavby</t>
        </is>
      </c>
      <c r="F408" s="17" t="n"/>
      <c r="G408" s="30" t="n">
        <v>1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012103101</t>
        </is>
      </c>
      <c r="E409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1 paušál pro dobu výstavby (TZ B m.5 'Zásobování stavby vodou: stávající')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1" t="n"/>
      <c r="C411" s="22" t="inlineStr">
        <is>
          <t>D</t>
        </is>
      </c>
      <c r="D411" s="22" t="inlineStr">
        <is>
          <t>VRN</t>
        </is>
      </c>
      <c r="E411" s="22" t="inlineStr">
        <is>
          <t>VRN — Přesun hmot</t>
        </is>
      </c>
      <c r="F411" s="21" t="n"/>
      <c r="G411" s="21" t="n"/>
      <c r="H411" s="21" t="n"/>
      <c r="I411" s="21" t="n"/>
      <c r="J411" s="21" t="n"/>
      <c r="K411" s="21" t="n"/>
      <c r="L411" s="21" t="n"/>
    </row>
    <row r="412">
      <c r="B412" s="23" t="n">
        <v>169</v>
      </c>
      <c r="C412" s="23" t="inlineStr">
        <is>
          <t>K</t>
        </is>
      </c>
      <c r="D412" s="24" t="inlineStr"/>
      <c r="E412" s="24" t="inlineStr">
        <is>
          <t>Přesun hmot pro budovu — vnitrostaveništní vertikální + horizontální doprava materiálu a hmot (rekonstrukce vícepodlažní RD + nástavba 3.NP)</t>
        </is>
      </c>
      <c r="F412" s="23" t="inlineStr">
        <is>
          <t>t</t>
        </is>
      </c>
      <c r="G412" s="25" t="n">
        <v>0</v>
      </c>
      <c r="H412" s="26" t="n"/>
      <c r="I412" s="26">
        <f>IF(H412="",0,G412*H412)</f>
        <v/>
      </c>
      <c r="J412" s="23" t="inlineStr">
        <is>
          <t>ÚRS 2026</t>
        </is>
      </c>
      <c r="K412" s="33" t="inlineStr">
        <is>
          <t>❌ MANUAL — KROS catalog lookup</t>
        </is>
      </c>
      <c r="L412" s="5" t="inlineStr">
        <is>
          <t>VRN — Přesun hmot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TBD — buď % z HSV nákladů (běžně 2-4 %) nebo dle celkové tonáže přesouvaných hmot; množství doplní rozpočtář při cenotvorbě</t>
        </is>
      </c>
      <c r="F413" s="17" t="n"/>
      <c r="G413" s="30" t="n">
        <v>0</v>
      </c>
      <c r="H413" s="17" t="n"/>
      <c r="I413" s="17" t="n"/>
      <c r="J413" s="17" t="n"/>
      <c r="K413" s="17" t="n"/>
      <c r="L413" s="17" t="n"/>
    </row>
    <row r="414">
      <c r="B414" s="21" t="n"/>
      <c r="C414" s="22" t="inlineStr">
        <is>
          <t>D</t>
        </is>
      </c>
      <c r="D414" s="22" t="inlineStr">
        <is>
          <t>VRN</t>
        </is>
      </c>
      <c r="E414" s="22" t="inlineStr">
        <is>
          <t>VRN — Lešení</t>
        </is>
      </c>
      <c r="F414" s="21" t="n"/>
      <c r="G414" s="21" t="n"/>
      <c r="H414" s="21" t="n"/>
      <c r="I414" s="21" t="n"/>
      <c r="J414" s="21" t="n"/>
      <c r="K414" s="21" t="n"/>
      <c r="L414" s="21" t="n"/>
    </row>
    <row r="415">
      <c r="B415" s="23" t="n">
        <v>170</v>
      </c>
      <c r="C415" s="23" t="inlineStr">
        <is>
          <t>K</t>
        </is>
      </c>
      <c r="D415" s="24" t="inlineStr"/>
      <c r="E415" s="24" t="inlineStr">
        <is>
          <t>Fasádní lešení trubkové/rámové vč. montáže + pronájmu + demontáže — pro provedení ETICS fasády, krovu a klempířiny po obvodu domu (výška 13 m)</t>
        </is>
      </c>
      <c r="F415" s="23" t="inlineStr">
        <is>
          <t>m²</t>
        </is>
      </c>
      <c r="G415" s="25" t="n">
        <v>503.1</v>
      </c>
      <c r="H415" s="26" t="n"/>
      <c r="I415" s="26">
        <f>IF(H415="",0,G415*H415)</f>
        <v/>
      </c>
      <c r="J415" s="23" t="inlineStr">
        <is>
          <t>ÚRS 2026</t>
        </is>
      </c>
      <c r="K415" s="33" t="inlineStr">
        <is>
          <t>❌ MANUAL — KROS catalog lookup</t>
        </is>
      </c>
      <c r="L415" s="5" t="inlineStr">
        <is>
          <t>VRN — Lešení</t>
        </is>
      </c>
    </row>
    <row r="416">
      <c r="B416" s="17" t="n"/>
      <c r="C416" s="28" t="inlineStr">
        <is>
          <t>VV</t>
        </is>
      </c>
      <c r="D416" s="17" t="n"/>
      <c r="E416" s="29" t="inlineStr">
        <is>
          <t>obvod domu 38.7 m × výška 13.0 m = 503.1 m² lešenné plochy (pro ETICS fasádu 276.7 m² + krov + klempířinu)</t>
        </is>
      </c>
      <c r="F416" s="17" t="n"/>
      <c r="G416" s="30" t="n">
        <v>503.1</v>
      </c>
      <c r="H416" s="17" t="n"/>
      <c r="I416" s="17" t="n"/>
      <c r="J416" s="17" t="n"/>
      <c r="K416" s="17" t="n"/>
      <c r="L416" s="17" t="n"/>
    </row>
    <row r="417">
      <c r="B417" s="21" t="n"/>
      <c r="C417" s="22" t="inlineStr">
        <is>
          <t>D</t>
        </is>
      </c>
      <c r="D417" s="22" t="inlineStr">
        <is>
          <t>VRN</t>
        </is>
      </c>
      <c r="E417" s="22" t="inlineStr">
        <is>
          <t>VRN — Doprava + odpad</t>
        </is>
      </c>
      <c r="F417" s="21" t="n"/>
      <c r="G417" s="21" t="n"/>
      <c r="H417" s="21" t="n"/>
      <c r="I417" s="21" t="n"/>
      <c r="J417" s="21" t="n"/>
      <c r="K417" s="21" t="n"/>
      <c r="L417" s="21" t="n"/>
    </row>
    <row r="418">
      <c r="B418" s="23" t="n">
        <v>171</v>
      </c>
      <c r="C418" s="23" t="inlineStr">
        <is>
          <t>K</t>
        </is>
      </c>
      <c r="D418" s="24" t="inlineStr">
        <is>
          <t>997013211</t>
        </is>
      </c>
      <c r="E418" s="24" t="inlineStr">
        <is>
          <t>Kontejnery na suť tříděnou velkoobjemové (beton/cihly, dřevo, kovy, EPS, sádra, směs) — pronájem + svozy</t>
        </is>
      </c>
      <c r="F418" s="23" t="inlineStr">
        <is>
          <t>ks</t>
        </is>
      </c>
      <c r="G418" s="25" t="n">
        <v>7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VRN — Doprava + odpad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TZ B m.10.e: 56.9 t celkem → ~7 kontejnerů 8 m³ (beton/cihly hlavní hmota)</t>
        </is>
      </c>
      <c r="F419" s="17" t="n"/>
      <c r="G419" s="30" t="n">
        <v>7</v>
      </c>
      <c r="H419" s="17" t="n"/>
      <c r="I419" s="17" t="n"/>
      <c r="J419" s="17" t="n"/>
      <c r="K419" s="17" t="n"/>
      <c r="L419" s="17" t="n"/>
    </row>
    <row r="420">
      <c r="B420" s="23" t="n">
        <v>172</v>
      </c>
      <c r="C420" s="23" t="inlineStr">
        <is>
          <t>K</t>
        </is>
      </c>
      <c r="D420" s="24" t="inlineStr">
        <is>
          <t>031031000</t>
        </is>
      </c>
      <c r="E420" s="24" t="inlineStr">
        <is>
          <t>Doprava materiálu na stavbu (centrální koordinace) — paušál ~2-3 % z PN materiál</t>
        </is>
      </c>
      <c r="F420" s="23" t="inlineStr">
        <is>
          <t>paušál</t>
        </is>
      </c>
      <c r="G420" s="25" t="n">
        <v>1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Standard paušální koeficient pro RD městská zástavba 2-3 % z PN</t>
        </is>
      </c>
      <c r="F421" s="17" t="n"/>
      <c r="G421" s="30" t="n">
        <v>1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997013211</t>
        </is>
      </c>
      <c r="E422" s="24" t="inlineStr">
        <is>
          <t>Likvidace stavební suti dle vyhl. 8/2021 Sb. — skládkovné + recyklace + třídění (56.9 t celkem per TZ B m.10.e)</t>
        </is>
      </c>
      <c r="F422" s="23" t="inlineStr">
        <is>
          <t>t</t>
        </is>
      </c>
      <c r="G422" s="25" t="n">
        <v>56.9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TZ B m.10.e bilance: 46+9+0.1+0.1+0.2+1.0 = 56.4 t (round 56.9 vč. drobných)</t>
        </is>
      </c>
      <c r="F423" s="17" t="n"/>
      <c r="G423" s="30" t="n">
        <v>56.9</v>
      </c>
      <c r="H423" s="17" t="n"/>
      <c r="I423" s="17" t="n"/>
      <c r="J423" s="17" t="n"/>
      <c r="K423" s="17" t="n"/>
      <c r="L423" s="17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Geodet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174</v>
      </c>
      <c r="C425" s="23" t="inlineStr">
        <is>
          <t>K</t>
        </is>
      </c>
      <c r="D425" s="24" t="inlineStr">
        <is>
          <t>030141000</t>
        </is>
      </c>
      <c r="E425" s="24" t="inlineStr">
        <is>
          <t>Geodetické zaměření před realizací (verifikace polohopis + výškopis) + po dokončení (zaměření skutečného provedení pro kolaudaci)</t>
        </is>
      </c>
      <c r="F425" s="23" t="inlineStr">
        <is>
          <t>kpl</t>
        </is>
      </c>
      <c r="G425" s="25" t="n">
        <v>2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Geodet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2 etapy geodet × 1 kpl</t>
        </is>
      </c>
      <c r="F426" s="17" t="n"/>
      <c r="G426" s="30" t="n">
        <v>2</v>
      </c>
      <c r="H426" s="17" t="n"/>
      <c r="I426" s="17" t="n"/>
      <c r="J426" s="17" t="n"/>
      <c r="K426" s="17" t="n"/>
      <c r="L426" s="17" t="n"/>
    </row>
    <row r="427">
      <c r="B427" s="21" t="n"/>
      <c r="C427" s="22" t="inlineStr">
        <is>
          <t>D</t>
        </is>
      </c>
      <c r="D427" s="22" t="inlineStr">
        <is>
          <t>VRN</t>
        </is>
      </c>
      <c r="E427" s="22" t="inlineStr">
        <is>
          <t>VRN — Průzkumy</t>
        </is>
      </c>
      <c r="F427" s="21" t="n"/>
      <c r="G427" s="21" t="n"/>
      <c r="H427" s="21" t="n"/>
      <c r="I427" s="21" t="n"/>
      <c r="J427" s="21" t="n"/>
      <c r="K427" s="21" t="n"/>
      <c r="L427" s="21" t="n"/>
    </row>
    <row r="428">
      <c r="B428" s="23" t="n">
        <v>175</v>
      </c>
      <c r="C428" s="23" t="inlineStr">
        <is>
          <t>K</t>
        </is>
      </c>
      <c r="D428" s="24" t="inlineStr">
        <is>
          <t>030131000</t>
        </is>
      </c>
      <c r="E428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28" s="23" t="inlineStr">
        <is>
          <t>kpl</t>
        </is>
      </c>
      <c r="G428" s="25" t="n">
        <v>1</v>
      </c>
      <c r="H428" s="26" t="n"/>
      <c r="I428" s="26">
        <f>IF(H428="",0,G428*H428)</f>
        <v/>
      </c>
      <c r="J428" s="23" t="inlineStr">
        <is>
          <t>ÚRS 2026</t>
        </is>
      </c>
      <c r="K428" s="32" t="inlineStr">
        <is>
          <t>? needs production lookup</t>
        </is>
      </c>
      <c r="L428" s="5" t="inlineStr">
        <is>
          <t>VRN — Průzkumy</t>
        </is>
      </c>
    </row>
    <row r="429">
      <c r="B429" s="17" t="n"/>
      <c r="C429" s="28" t="inlineStr">
        <is>
          <t>VV</t>
        </is>
      </c>
      <c r="D429" s="17" t="n"/>
      <c r="E429" s="29" t="inlineStr">
        <is>
          <t>TZ ARS §3.2.3 — 'při bourání bude proveden mykologický průzkum dřev. trámů (zhlaví)'</t>
        </is>
      </c>
      <c r="F429" s="17" t="n"/>
      <c r="G429" s="30" t="n">
        <v>1</v>
      </c>
      <c r="H429" s="17" t="n"/>
      <c r="I429" s="17" t="n"/>
      <c r="J429" s="17" t="n"/>
      <c r="K429" s="17" t="n"/>
      <c r="L429" s="17" t="n"/>
    </row>
    <row r="430">
      <c r="B430" s="23" t="n">
        <v>176</v>
      </c>
      <c r="C430" s="23" t="inlineStr">
        <is>
          <t>K</t>
        </is>
      </c>
      <c r="D430" s="24" t="inlineStr">
        <is>
          <t>030133000</t>
        </is>
      </c>
      <c r="E430" s="24" t="inlineStr">
        <is>
          <t>Azbestový průzkum podrobný před demolicí — laboratorní vzorky a posudek (B kap. m.7.a předběžně negativní, ale podrobný před bouráním povinný)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B m.7.a — 'předběžné ohledání negativní, podrobný průzkum před bouráním'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1" t="n"/>
      <c r="C432" s="22" t="inlineStr">
        <is>
          <t>D</t>
        </is>
      </c>
      <c r="D432" s="22" t="inlineStr">
        <is>
          <t>VRN</t>
        </is>
      </c>
      <c r="E432" s="22" t="inlineStr">
        <is>
          <t>VRN — BOZP</t>
        </is>
      </c>
      <c r="F432" s="21" t="n"/>
      <c r="G432" s="21" t="n"/>
      <c r="H432" s="21" t="n"/>
      <c r="I432" s="21" t="n"/>
      <c r="J432" s="21" t="n"/>
      <c r="K432" s="21" t="n"/>
      <c r="L432" s="21" t="n"/>
    </row>
    <row r="433">
      <c r="B433" s="23" t="n">
        <v>177</v>
      </c>
      <c r="C433" s="23" t="inlineStr">
        <is>
          <t>K</t>
        </is>
      </c>
      <c r="D433" s="24" t="inlineStr">
        <is>
          <t>030091000</t>
        </is>
      </c>
      <c r="E433" s="24" t="inlineStr">
        <is>
          <t>Koordinátor BOZP na staveništi dle zákona 309/2006 Sb. — pro stavbu s více než jedním zhotovitelem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BOZP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realizace ~8 měs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1" t="n"/>
      <c r="C435" s="22" t="inlineStr">
        <is>
          <t>D</t>
        </is>
      </c>
      <c r="D435" s="22" t="inlineStr">
        <is>
          <t>VRN</t>
        </is>
      </c>
      <c r="E435" s="22" t="inlineStr">
        <is>
          <t>VRN — Dokumentace</t>
        </is>
      </c>
      <c r="F435" s="21" t="n"/>
      <c r="G435" s="21" t="n"/>
      <c r="H435" s="21" t="n"/>
      <c r="I435" s="21" t="n"/>
      <c r="J435" s="21" t="n"/>
      <c r="K435" s="21" t="n"/>
      <c r="L435" s="21" t="n"/>
    </row>
    <row r="436">
      <c r="B436" s="23" t="n">
        <v>178</v>
      </c>
      <c r="C436" s="23" t="inlineStr">
        <is>
          <t>K</t>
        </is>
      </c>
      <c r="D436" s="24" t="inlineStr">
        <is>
          <t>030151000</t>
        </is>
      </c>
      <c r="E436" s="24" t="inlineStr">
        <is>
          <t>Předávací protokoly + Dokumentace skutečného provedení (DSP) — sestavení, vázání, dodávka 2× tiskem + elektronická verze</t>
        </is>
      </c>
      <c r="F436" s="23" t="inlineStr">
        <is>
          <t>kpl</t>
        </is>
      </c>
      <c r="G436" s="25" t="n">
        <v>1</v>
      </c>
      <c r="H436" s="26" t="n"/>
      <c r="I436" s="26">
        <f>IF(H436="",0,G436*H436)</f>
        <v/>
      </c>
      <c r="J436" s="23" t="inlineStr">
        <is>
          <t>ÚRS 2026</t>
        </is>
      </c>
      <c r="K436" s="32" t="inlineStr">
        <is>
          <t>? needs production lookup</t>
        </is>
      </c>
      <c r="L436" s="5" t="inlineStr">
        <is>
          <t>VRN — Dokumentace</t>
        </is>
      </c>
    </row>
    <row r="437">
      <c r="B437" s="17" t="n"/>
      <c r="C437" s="28" t="inlineStr">
        <is>
          <t>VV</t>
        </is>
      </c>
      <c r="D437" s="17" t="n"/>
      <c r="E437" s="29" t="inlineStr">
        <is>
          <t>Standard — DSP pro kolaudaci</t>
        </is>
      </c>
      <c r="F437" s="17" t="n"/>
      <c r="G437" s="30" t="n">
        <v>1</v>
      </c>
      <c r="H437" s="17" t="n"/>
      <c r="I437" s="17" t="n"/>
      <c r="J437" s="17" t="n"/>
      <c r="K437" s="17" t="n"/>
      <c r="L437" s="17" t="n"/>
    </row>
    <row r="438">
      <c r="B438" s="21" t="n"/>
      <c r="C438" s="22" t="inlineStr">
        <is>
          <t>D</t>
        </is>
      </c>
      <c r="D438" s="22" t="inlineStr">
        <is>
          <t>VRN</t>
        </is>
      </c>
      <c r="E438" s="22" t="inlineStr">
        <is>
          <t>VRN — Kolaudace</t>
        </is>
      </c>
      <c r="F438" s="21" t="n"/>
      <c r="G438" s="21" t="n"/>
      <c r="H438" s="21" t="n"/>
      <c r="I438" s="21" t="n"/>
      <c r="J438" s="21" t="n"/>
      <c r="K438" s="21" t="n"/>
      <c r="L438" s="21" t="n"/>
    </row>
    <row r="439">
      <c r="B439" s="23" t="n">
        <v>179</v>
      </c>
      <c r="C439" s="23" t="inlineStr">
        <is>
          <t>K</t>
        </is>
      </c>
      <c r="D439" s="24" t="inlineStr">
        <is>
          <t>030171000</t>
        </is>
      </c>
      <c r="E439" s="24" t="inlineStr">
        <is>
          <t>Kolaudační řízení — paušál (správní poplatky + součinnost) dle zákona 183/2006 Sb.</t>
        </is>
      </c>
      <c r="F439" s="23" t="inlineStr">
        <is>
          <t>paušál</t>
        </is>
      </c>
      <c r="G439" s="25" t="n">
        <v>1</v>
      </c>
      <c r="H439" s="26" t="n"/>
      <c r="I439" s="26">
        <f>IF(H439="",0,G439*H439)</f>
        <v/>
      </c>
      <c r="J439" s="23" t="inlineStr">
        <is>
          <t>ÚRS 2026</t>
        </is>
      </c>
      <c r="K439" s="32" t="inlineStr">
        <is>
          <t>? needs production lookup</t>
        </is>
      </c>
      <c r="L439" s="5" t="inlineStr">
        <is>
          <t>VRN — Kolaudace</t>
        </is>
      </c>
    </row>
    <row r="440">
      <c r="B440" s="17" t="n"/>
      <c r="C440" s="28" t="inlineStr">
        <is>
          <t>VV</t>
        </is>
      </c>
      <c r="D440" s="17" t="n"/>
      <c r="E440" s="29" t="inlineStr">
        <is>
          <t>Standard — paušál kolaudace</t>
        </is>
      </c>
      <c r="F440" s="17" t="n"/>
      <c r="G440" s="30" t="n">
        <v>1</v>
      </c>
      <c r="H440" s="17" t="n"/>
      <c r="I440" s="17" t="n"/>
      <c r="J440" s="17" t="n"/>
      <c r="K440" s="17" t="n"/>
      <c r="L440" s="17" t="n"/>
    </row>
    <row r="441">
      <c r="B441" s="21" t="n"/>
      <c r="C441" s="22" t="inlineStr">
        <is>
          <t>D</t>
        </is>
      </c>
      <c r="D441" s="22" t="inlineStr">
        <is>
          <t>VRN</t>
        </is>
      </c>
      <c r="E441" s="22" t="inlineStr">
        <is>
          <t>VRN — Pojištění + zábory</t>
        </is>
      </c>
      <c r="F441" s="21" t="n"/>
      <c r="G441" s="21" t="n"/>
      <c r="H441" s="21" t="n"/>
      <c r="I441" s="21" t="n"/>
      <c r="J441" s="21" t="n"/>
      <c r="K441" s="21" t="n"/>
      <c r="L441" s="21" t="n"/>
    </row>
    <row r="442">
      <c r="B442" s="23" t="n">
        <v>180</v>
      </c>
      <c r="C442" s="23" t="inlineStr">
        <is>
          <t>K</t>
        </is>
      </c>
      <c r="D442" s="24" t="inlineStr">
        <is>
          <t>030081000</t>
        </is>
      </c>
      <c r="E442" s="24" t="inlineStr">
        <is>
          <t>Montážní pojištění stavby (CAR) + pojištění odpovědnosti za škodu (zhotovitel) — paušál cca 0.3-0.5 % z PN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Pojištění + zábory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pojistná sazba 0.3-0.5 % z přímých nákladů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181</v>
      </c>
      <c r="C444" s="23" t="inlineStr">
        <is>
          <t>K</t>
        </is>
      </c>
      <c r="D444" s="24" t="inlineStr">
        <is>
          <t>030083000</t>
        </is>
      </c>
      <c r="E444" s="24" t="inlineStr">
        <is>
          <t>Krátkodobé zábory ulice Fibichova pro materiál a kontejnery (povolení MU Jáchymov + DI) — odhad 30 dnů kumulativně</t>
        </is>
      </c>
      <c r="F444" s="23" t="inlineStr">
        <is>
          <t>kpl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Řadová zástavba úzká ulice — opakované krátkodobé zábory cumulative ~30 dnů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Revize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182</v>
      </c>
      <c r="C447" s="23" t="inlineStr">
        <is>
          <t>K</t>
        </is>
      </c>
      <c r="D447" s="24" t="inlineStr">
        <is>
          <t>030161000</t>
        </is>
      </c>
      <c r="E447" s="24" t="inlineStr">
        <is>
          <t>Revize vnějšího hydrantu pro požární zabezpečení (DN min. 80, vzdálenost 100 m dle TZ PBŘ) — periodická kontrola</t>
        </is>
      </c>
      <c r="F447" s="23" t="inlineStr">
        <is>
          <t>kpl</t>
        </is>
      </c>
      <c r="G447" s="25" t="n">
        <v>1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Revize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TZ PBŘ dům — vnější hydrant DN min. 80, vzdálenost 100 m</t>
        </is>
      </c>
      <c r="F448" s="17" t="n"/>
      <c r="G448" s="30" t="n">
        <v>1</v>
      </c>
      <c r="H448" s="17" t="n"/>
      <c r="I448" s="17" t="n"/>
      <c r="J448" s="17" t="n"/>
      <c r="K448" s="17" t="n"/>
      <c r="L448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146</v>
      </c>
    </row>
    <row r="10">
      <c r="B10" s="8" t="inlineStr">
        <is>
          <t>CELKEM AKTIVNÍ</t>
        </is>
      </c>
      <c r="C10" s="34" t="n">
        <v>210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762331911</t>
        </is>
      </c>
      <c r="F47" s="24" t="inlineStr"/>
      <c r="G47" s="24" t="inlineStr">
        <is>
          <t>Tesařský krov — krokve 100/180 mm á 800 mm, rezivo C24 fungicidní + pr</t>
        </is>
      </c>
      <c r="H47" s="24" t="inlineStr">
        <is>
          <t>⚠ family OK,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762331912</t>
        </is>
      </c>
      <c r="F48" s="24" t="inlineStr"/>
      <c r="G48" s="24" t="inlineStr">
        <is>
          <t>Tesařský krov — kleštiny dvojfošny 60/180 mm probíhající v oblasti spa</t>
        </is>
      </c>
      <c r="H48" s="24" t="inlineStr">
        <is>
          <t>⚠ family OK,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762331923</t>
        </is>
      </c>
      <c r="F49" s="24" t="inlineStr"/>
      <c r="G49" s="24" t="inlineStr">
        <is>
          <t>Tesařský krov — pozednice 140/160 mm kotvená do ŽB věnce 3.NP</t>
        </is>
      </c>
      <c r="H49" s="24" t="inlineStr">
        <is>
          <t>⚠ family OK,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762331911</t>
        </is>
      </c>
      <c r="F120" s="24" t="inlineStr"/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762331911</t>
        </is>
      </c>
      <c r="F68" s="24" t="inlineStr">
        <is>
          <t>762341110</t>
        </is>
      </c>
      <c r="G68" s="24" t="inlineStr"/>
      <c r="H68" s="24" t="inlineStr">
        <is>
          <t>family_verified_leaf_needs_production_lookup</t>
        </is>
      </c>
      <c r="I68" s="35" t="n">
        <v>0.8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/>
      <c r="M68" s="24" t="inlineStr"/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762331912</t>
        </is>
      </c>
      <c r="F69" s="24" t="inlineStr">
        <is>
          <t>762341110</t>
        </is>
      </c>
      <c r="G69" s="24" t="inlineStr"/>
      <c r="H69" s="24" t="inlineStr">
        <is>
          <t>family_verified_leaf_needs_production_lookup</t>
        </is>
      </c>
      <c r="I69" s="35" t="n">
        <v>0.8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/>
      <c r="M69" s="24" t="inlineStr"/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762331923</t>
        </is>
      </c>
      <c r="F70" s="24" t="inlineStr">
        <is>
          <t>762341110</t>
        </is>
      </c>
      <c r="G70" s="24" t="inlineStr"/>
      <c r="H70" s="24" t="inlineStr">
        <is>
          <t>family_verified_leaf_needs_production_lookup</t>
        </is>
      </c>
      <c r="I70" s="35" t="n">
        <v>0.8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/>
      <c r="M70" s="24" t="inlineStr"/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762331911</t>
        </is>
      </c>
      <c r="F71" s="24" t="inlineStr">
        <is>
          <t>762341110</t>
        </is>
      </c>
      <c r="G71" s="24" t="inlineStr"/>
      <c r="H71" s="24" t="inlineStr">
        <is>
          <t>needs_production_lookup</t>
        </is>
      </c>
      <c r="I71" s="35" t="n">
        <v>0.65</v>
      </c>
      <c r="J71" s="32" t="inlineStr"/>
      <c r="K71" s="24" t="inlineStr"/>
      <c r="L71" s="24" t="inlineStr"/>
      <c r="M71" s="24" t="inlineStr"/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2026-05-29T09:54:34Z</dcterms:created>
  <dcterms:modified xmlns:dcterms="http://purl.org/dc/terms/" xmlns:xsi="http://www.w3.org/2001/XMLSchema-instance" xsi:type="dcterms:W3CDTF">2026-05-29T09:54:35Z</dcterms:modified>
</cp:coreProperties>
</file>
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itulace stavby" sheetId="1" state="visible" r:id="rId1"/>
    <sheet name="SO_260219_Dum" sheetId="2" state="visible" r:id="rId2"/>
    <sheet name="SO_260217_Sklad" sheetId="3" state="visible" r:id="rId3"/>
    <sheet name="Stav polozek" sheetId="4" state="visible" r:id="rId4"/>
    <sheet name="URS vyber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Kč&quot;"/>
    <numFmt numFmtId="165" formatCode="#,##0.000"/>
  </numFmts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i val="1"/>
      <color rgb="00606060"/>
      <sz val="9"/>
    </font>
    <font>
      <name val="Calibri"/>
      <i val="1"/>
      <sz val="9"/>
    </font>
  </fonts>
  <fills count="10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305496"/>
      </patternFill>
    </fill>
    <fill>
      <patternFill patternType="solid">
        <fgColor rgb="00FFD96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  <xf numFmtId="164" fontId="0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0" fontId="0" fillId="6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7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5" borderId="1" pivotButton="0" quotePrefix="0" xfId="0"/>
    <xf numFmtId="0" fontId="0" fillId="2" borderId="1" pivotButton="0" quotePrefix="0" xfId="0"/>
    <xf numFmtId="0" fontId="2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5" fontId="5" fillId="0" borderId="1" pivotButton="0" quotePrefix="0" xfId="0"/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0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50" customWidth="1" min="3" max="3"/>
    <col width="18" customWidth="1" min="4" max="4"/>
    <col width="16" customWidth="1" min="5" max="5"/>
    <col width="18" customWidth="1" min="6" max="6"/>
    <col width="12" customWidth="1" min="7" max="7"/>
    <col width="12" customWidth="1" min="8" max="8"/>
  </cols>
  <sheetData>
    <row r="2">
      <c r="B2" s="1" t="inlineStr">
        <is>
          <t>REKAPITULACE STAVBY</t>
        </is>
      </c>
    </row>
    <row r="4">
      <c r="B4" s="2" t="inlineStr">
        <is>
          <t>Stavba:</t>
        </is>
      </c>
      <c r="C4" s="3" t="inlineStr">
        <is>
          <t>RD Jáchymov Fibichova 733 — rekonstrukce + nástavba 3.NP + sklad + parking</t>
        </is>
      </c>
    </row>
    <row r="5">
      <c r="B5" s="2" t="inlineStr">
        <is>
          <t>Místo:</t>
        </is>
      </c>
      <c r="C5" s="3" t="inlineStr">
        <is>
          <t>Fibichova 733, 362 51 Jáchymov, Karlovarský kraj</t>
        </is>
      </c>
    </row>
    <row r="6">
      <c r="B6" s="2" t="inlineStr">
        <is>
          <t>Datum:</t>
        </is>
      </c>
      <c r="C6" s="3" t="inlineStr">
        <is>
          <t>27.05.2026</t>
        </is>
      </c>
    </row>
    <row r="7">
      <c r="B7" s="2" t="inlineStr">
        <is>
          <t>Zadavatel:</t>
        </is>
      </c>
      <c r="C7" s="3" t="inlineStr">
        <is>
          <t>Mgr. Jindřich Volný</t>
        </is>
      </c>
    </row>
    <row r="8">
      <c r="B8" s="2" t="inlineStr">
        <is>
          <t>Zhotovitel:</t>
        </is>
      </c>
      <c r="C8" s="3" t="inlineStr">
        <is>
          <t>Karel Šmíd (smid.karell@gmail.com, +420 608 930 914)</t>
        </is>
      </c>
    </row>
    <row r="9">
      <c r="B9" s="2" t="inlineStr">
        <is>
          <t>Projektant:</t>
        </is>
      </c>
      <c r="C9" s="3" t="inlineStr">
        <is>
          <t>SMASH — Marek Smolka (ČKA 05394, ARS); TeAnau — Tvardík (ČKAIT 0012219, stavební část); TUSPO — Vodička (PBŘ)</t>
        </is>
      </c>
    </row>
    <row r="10">
      <c r="B10" s="2" t="inlineStr">
        <is>
          <t>Zpracovatel:</t>
        </is>
      </c>
      <c r="C10" s="3" t="inlineStr">
        <is>
          <t>Berger Bohemia — Alexander (přípravář, STAVAGENT v4.33)</t>
        </is>
      </c>
    </row>
    <row r="13">
      <c r="B13" s="4" t="inlineStr">
        <is>
          <t>Kód SO</t>
        </is>
      </c>
      <c r="C13" s="4" t="inlineStr">
        <is>
          <t>Název objektu</t>
        </is>
      </c>
      <c r="D13" s="4" t="inlineStr">
        <is>
          <t>Cena bez DPH</t>
        </is>
      </c>
      <c r="E13" s="4" t="inlineStr">
        <is>
          <t>DPH 21 %</t>
        </is>
      </c>
      <c r="F13" s="4" t="inlineStr">
        <is>
          <t>Cena s DPH</t>
        </is>
      </c>
    </row>
    <row r="14">
      <c r="B14" s="5" t="inlineStr">
        <is>
          <t>260219</t>
        </is>
      </c>
      <c r="C14" s="5" t="inlineStr">
        <is>
          <t>Dům — rekonstrukce + nástavba 3.NP</t>
        </is>
      </c>
      <c r="D14" s="6">
        <f>SUM('SO_260219_Dum'!I53:I447)</f>
        <v/>
      </c>
      <c r="E14" s="7">
        <f>D14*0.21</f>
        <v/>
      </c>
      <c r="F14" s="7">
        <f>D14+E14</f>
        <v/>
      </c>
    </row>
    <row r="15">
      <c r="B15" s="5" t="inlineStr">
        <is>
          <t>260217</t>
        </is>
      </c>
      <c r="C15" s="5" t="inlineStr">
        <is>
          <t>Sklad + parking</t>
        </is>
      </c>
      <c r="D15" s="6">
        <f>SUM('SO_260217_Sklad'!I33:I98)</f>
        <v/>
      </c>
      <c r="E15" s="7">
        <f>D15*0.21</f>
        <v/>
      </c>
      <c r="F15" s="7">
        <f>D15+E15</f>
        <v/>
      </c>
    </row>
    <row r="16">
      <c r="B16" s="8" t="inlineStr"/>
      <c r="C16" s="8" t="inlineStr">
        <is>
          <t>Celkem stavba</t>
        </is>
      </c>
      <c r="D16" s="9">
        <f>SUM(D14:D15)</f>
        <v/>
      </c>
      <c r="E16" s="9">
        <f>SUM(E14:E15)</f>
        <v/>
      </c>
      <c r="F16" s="9">
        <f>SUM(F14:F15)</f>
        <v/>
      </c>
    </row>
    <row r="18">
      <c r="B18" s="2" t="inlineStr">
        <is>
          <t>Legenda stavu URS kódů (sloupec Pozn. v listech soupisu):</t>
        </is>
      </c>
    </row>
    <row r="19">
      <c r="B19" s="10" t="inlineStr">
        <is>
          <t>✓</t>
        </is>
      </c>
      <c r="C19" s="11" t="inlineStr">
        <is>
          <t>ověřeno cs-urs.cz</t>
        </is>
      </c>
    </row>
    <row r="20">
      <c r="B20" s="10" t="inlineStr">
        <is>
          <t>✓</t>
        </is>
      </c>
      <c r="C20" s="11" t="inlineStr">
        <is>
          <t>cross-discipline OK</t>
        </is>
      </c>
    </row>
    <row r="21">
      <c r="B21" s="12" t="inlineStr">
        <is>
          <t>⚠</t>
        </is>
      </c>
      <c r="C21" s="11" t="inlineStr">
        <is>
          <t>family OK, leaf KROS lookup</t>
        </is>
      </c>
    </row>
    <row r="22">
      <c r="B22" s="12" t="inlineStr">
        <is>
          <t>⚠</t>
        </is>
      </c>
      <c r="C22" s="11" t="inlineStr">
        <is>
          <t>chapter OK, leaf KROS lookup</t>
        </is>
      </c>
    </row>
    <row r="23">
      <c r="B23" s="13" t="inlineStr">
        <is>
          <t>❌</t>
        </is>
      </c>
      <c r="C23" s="11" t="inlineStr">
        <is>
          <t>WRONG family — KROS leaf TBD</t>
        </is>
      </c>
    </row>
    <row r="24">
      <c r="B24" s="13" t="inlineStr">
        <is>
          <t>❌</t>
        </is>
      </c>
      <c r="C24" s="11" t="inlineStr">
        <is>
          <t>MANUAL — KROS catalog lookup</t>
        </is>
      </c>
    </row>
    <row r="25">
      <c r="B25" s="14" t="inlineStr">
        <is>
          <t>?</t>
        </is>
      </c>
      <c r="C25" s="11" t="inlineStr">
        <is>
          <t>needs production lookup</t>
        </is>
      </c>
    </row>
    <row r="27" ht="60" customHeight="1">
      <c r="B27" s="2" t="inlineStr">
        <is>
          <t>Note:</t>
        </is>
      </c>
      <c r="C27" s="15" t="inlineStr">
        <is>
          <t>Blank cells in Kód column are intentional per Pattern 26 (honest fallback) — Karel ověří v KROS s pomocí 'family hint' v Pozn. NIKDY nedoplňovat 999999999 ani TBD. Provenance trail (mnozstvi_formula, source, _audit_gap_fixed, vyjasneni_ref) je v souboru File A: Vykaz_vymer_RD_Jachymov_VSE_VARIANTY_2026-05-27_v2_final.xlsx.</t>
        </is>
      </c>
    </row>
    <row r="28"/>
    <row r="29"/>
    <row r="30"/>
  </sheetData>
  <mergeCells count="15">
    <mergeCell ref="C22:F22"/>
    <mergeCell ref="C6:H6"/>
    <mergeCell ref="C10:H10"/>
    <mergeCell ref="C23:F23"/>
    <mergeCell ref="C5:H5"/>
    <mergeCell ref="C20:F20"/>
    <mergeCell ref="C9:H9"/>
    <mergeCell ref="C27:H30"/>
    <mergeCell ref="C21:F21"/>
    <mergeCell ref="C8:H8"/>
    <mergeCell ref="C4:H4"/>
    <mergeCell ref="C25:F25"/>
    <mergeCell ref="C24:F24"/>
    <mergeCell ref="C19:F19"/>
    <mergeCell ref="C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448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5" customWidth="1" min="3" max="3"/>
    <col width="14" customWidth="1" min="4" max="4"/>
    <col width="60" customWidth="1" min="5" max="5"/>
    <col width="8" customWidth="1" min="6" max="6"/>
    <col width="12" customWidth="1" min="7" max="7"/>
    <col width="14" customWidth="1" min="8" max="8"/>
    <col width="16" customWidth="1" min="9" max="9"/>
    <col width="14" customWidth="1" min="10" max="10"/>
    <col width="36" customWidth="1" min="11" max="11"/>
    <col width="50" customWidth="1" min="12" max="12"/>
    <col hidden="1" width="13" customWidth="1" min="13" max="13"/>
  </cols>
  <sheetData>
    <row r="2">
      <c r="B2" s="1" t="inlineStr">
        <is>
          <t>KRYCÍ LIST SOUPISU PRACÍ</t>
        </is>
      </c>
    </row>
    <row r="4">
      <c r="B4" s="2" t="inlineStr">
        <is>
          <t>Stavba:</t>
        </is>
      </c>
      <c r="C4" s="3" t="inlineStr">
        <is>
          <t>RD Jáchymov Fibichova 733 — rekonstrukce + nástavba 3.NP + sklad + parking</t>
        </is>
      </c>
    </row>
    <row r="5">
      <c r="B5" s="2" t="inlineStr">
        <is>
          <t>Objekt:</t>
        </is>
      </c>
      <c r="C5" s="3" t="inlineStr">
        <is>
          <t>SO 260219 — Dům — rekonstrukce + nástavba 3.NP</t>
        </is>
      </c>
    </row>
    <row r="6">
      <c r="B6" s="2" t="inlineStr">
        <is>
          <t>KSO:</t>
        </is>
      </c>
      <c r="C6" s="3" t="inlineStr">
        <is>
          <t>RD — pozemní stavby + rekonstrukce + nástavba</t>
        </is>
      </c>
    </row>
    <row r="7">
      <c r="B7" s="2" t="inlineStr">
        <is>
          <t>Místo:</t>
        </is>
      </c>
      <c r="C7" s="3" t="inlineStr">
        <is>
          <t>Fibichova 733, 362 51 Jáchymov, Karlovarský kraj</t>
        </is>
      </c>
    </row>
    <row r="8">
      <c r="B8" s="2" t="inlineStr">
        <is>
          <t>Datum:</t>
        </is>
      </c>
      <c r="C8" s="3" t="inlineStr">
        <is>
          <t>27.05.2026</t>
        </is>
      </c>
    </row>
    <row r="9">
      <c r="B9" s="2" t="inlineStr">
        <is>
          <t>Zadavatel:</t>
        </is>
      </c>
      <c r="C9" s="3" t="inlineStr">
        <is>
          <t>Mgr. Jindřich Volný</t>
        </is>
      </c>
    </row>
    <row r="10">
      <c r="B10" s="2" t="inlineStr">
        <is>
          <t>Zhotovitel:</t>
        </is>
      </c>
      <c r="C10" s="3" t="inlineStr">
        <is>
          <t>Karel Šmíd (smid.karell@gmail.com, +420 608 930 914)</t>
        </is>
      </c>
    </row>
    <row r="11">
      <c r="B11" s="2" t="inlineStr">
        <is>
          <t>Projektant:</t>
        </is>
      </c>
      <c r="C11" s="3" t="inlineStr">
        <is>
          <t>SMASH — Marek Smolka (ČKA 05394, ARS); TeAnau — Tvardík (ČKAIT 0012219, stavební část); TUSPO — Vodička (PBŘ)</t>
        </is>
      </c>
    </row>
    <row r="12">
      <c r="B12" s="2" t="inlineStr">
        <is>
          <t>Zpracovatel:</t>
        </is>
      </c>
      <c r="C12" s="3" t="inlineStr">
        <is>
          <t>Berger Bohemia — Alexander (přípravář, STAVAGENT v4.33)</t>
        </is>
      </c>
    </row>
    <row r="14">
      <c r="B14" s="16" t="inlineStr">
        <is>
          <t>REKAPITULACE ČLENĚNÍ SOUPISU</t>
        </is>
      </c>
    </row>
    <row r="15">
      <c r="B15" s="4" t="inlineStr"/>
      <c r="C15" s="4" t="inlineStr">
        <is>
          <t>Kapitola</t>
        </is>
      </c>
      <c r="D15" s="4" t="inlineStr">
        <is>
          <t>Cena bez DPH</t>
        </is>
      </c>
    </row>
    <row r="16">
      <c r="B16" s="17" t="n"/>
      <c r="C16" s="5" t="inlineStr">
        <is>
          <t>HSV-1 Zemní práce</t>
        </is>
      </c>
      <c r="D16" s="7">
        <f>SUMIFS(I51:I448,L51:L448,C16)</f>
        <v/>
      </c>
    </row>
    <row r="17">
      <c r="B17" s="17" t="n"/>
      <c r="C17" s="5" t="inlineStr">
        <is>
          <t>HSV-2 Základové a ŽB</t>
        </is>
      </c>
      <c r="D17" s="7">
        <f>SUMIFS(I51:I448,L51:L448,C17)</f>
        <v/>
      </c>
    </row>
    <row r="18">
      <c r="B18" s="17" t="n"/>
      <c r="C18" s="5" t="inlineStr">
        <is>
          <t>HSV-3 Svislé konstrukce</t>
        </is>
      </c>
      <c r="D18" s="7">
        <f>SUMIFS(I51:I448,L51:L448,C18)</f>
        <v/>
      </c>
    </row>
    <row r="19">
      <c r="B19" s="17" t="n"/>
      <c r="C19" s="5" t="inlineStr">
        <is>
          <t>HSV-4 Vodorovné</t>
        </is>
      </c>
      <c r="D19" s="7">
        <f>SUMIFS(I51:I448,L51:L448,C19)</f>
        <v/>
      </c>
    </row>
    <row r="20">
      <c r="B20" s="17" t="n"/>
      <c r="C20" s="5" t="inlineStr">
        <is>
          <t>HSV-5 Krov + střecha</t>
        </is>
      </c>
      <c r="D20" s="7">
        <f>SUMIFS(I51:I448,L51:L448,C20)</f>
        <v/>
      </c>
    </row>
    <row r="21">
      <c r="B21" s="17" t="n"/>
      <c r="C21" s="5" t="inlineStr">
        <is>
          <t>HSV-6 Bourací práce</t>
        </is>
      </c>
      <c r="D21" s="7">
        <f>SUMIFS(I51:I448,L51:L448,C21)</f>
        <v/>
      </c>
    </row>
    <row r="22">
      <c r="B22" s="17" t="n"/>
      <c r="C22" s="5" t="inlineStr">
        <is>
          <t>HSV-7 Fasáda ETICS</t>
        </is>
      </c>
      <c r="D22" s="7">
        <f>SUMIFS(I51:I448,L51:L448,C22)</f>
        <v/>
      </c>
    </row>
    <row r="23">
      <c r="B23" s="17" t="n"/>
      <c r="C23" s="5" t="inlineStr">
        <is>
          <t>M-21 ELI silnoproud</t>
        </is>
      </c>
      <c r="D23" s="7">
        <f>SUMIFS(I51:I448,L51:L448,C23)</f>
        <v/>
      </c>
    </row>
    <row r="24">
      <c r="B24" s="17" t="n"/>
      <c r="C24" s="5" t="inlineStr">
        <is>
          <t>PSV-71 Izolace HI</t>
        </is>
      </c>
      <c r="D24" s="7">
        <f>SUMIFS(I51:I448,L51:L448,C24)</f>
        <v/>
      </c>
    </row>
    <row r="25">
      <c r="B25" s="17" t="n"/>
      <c r="C25" s="5" t="inlineStr">
        <is>
          <t>PSV-71 Izolace TI</t>
        </is>
      </c>
      <c r="D25" s="7">
        <f>SUMIFS(I51:I448,L51:L448,C25)</f>
        <v/>
      </c>
    </row>
    <row r="26">
      <c r="B26" s="17" t="n"/>
      <c r="C26" s="5" t="inlineStr">
        <is>
          <t>PSV-72 ZTI</t>
        </is>
      </c>
      <c r="D26" s="7">
        <f>SUMIFS(I51:I448,L51:L448,C26)</f>
        <v/>
      </c>
    </row>
    <row r="27">
      <c r="B27" s="17" t="n"/>
      <c r="C27" s="5" t="inlineStr">
        <is>
          <t>PSV-73 Vytápění</t>
        </is>
      </c>
      <c r="D27" s="7">
        <f>SUMIFS(I51:I448,L51:L448,C27)</f>
        <v/>
      </c>
    </row>
    <row r="28">
      <c r="B28" s="17" t="n"/>
      <c r="C28" s="5" t="inlineStr">
        <is>
          <t>PSV-76 Klempíř</t>
        </is>
      </c>
      <c r="D28" s="7">
        <f>SUMIFS(I51:I448,L51:L448,C28)</f>
        <v/>
      </c>
    </row>
    <row r="29">
      <c r="B29" s="17" t="n"/>
      <c r="C29" s="5" t="inlineStr">
        <is>
          <t>PSV-76 Truhlář</t>
        </is>
      </c>
      <c r="D29" s="7">
        <f>SUMIFS(I51:I448,L51:L448,C29)</f>
        <v/>
      </c>
    </row>
    <row r="30">
      <c r="B30" s="17" t="n"/>
      <c r="C30" s="5" t="inlineStr">
        <is>
          <t>PSV-76 Výplně otvorů</t>
        </is>
      </c>
      <c r="D30" s="7">
        <f>SUMIFS(I51:I448,L51:L448,C30)</f>
        <v/>
      </c>
    </row>
    <row r="31">
      <c r="B31" s="17" t="n"/>
      <c r="C31" s="5" t="inlineStr">
        <is>
          <t>PSV-76 Zámečnictví</t>
        </is>
      </c>
      <c r="D31" s="7">
        <f>SUMIFS(I51:I448,L51:L448,C31)</f>
        <v/>
      </c>
    </row>
    <row r="32">
      <c r="B32" s="17" t="n"/>
      <c r="C32" s="5" t="inlineStr">
        <is>
          <t>PSV-77 Podlahy</t>
        </is>
      </c>
      <c r="D32" s="7">
        <f>SUMIFS(I51:I448,L51:L448,C32)</f>
        <v/>
      </c>
    </row>
    <row r="33">
      <c r="B33" s="17" t="n"/>
      <c r="C33" s="5" t="inlineStr">
        <is>
          <t>PSV-78 Povrchové úpravy</t>
        </is>
      </c>
      <c r="D33" s="7">
        <f>SUMIFS(I51:I448,L51:L448,C33)</f>
        <v/>
      </c>
    </row>
    <row r="34">
      <c r="B34" s="17" t="n"/>
      <c r="C34" s="5" t="inlineStr">
        <is>
          <t>PSV-95 Detekce požární</t>
        </is>
      </c>
      <c r="D34" s="7">
        <f>SUMIFS(I51:I448,L51:L448,C34)</f>
        <v/>
      </c>
    </row>
    <row r="35">
      <c r="B35" s="17" t="n"/>
      <c r="C35" s="5" t="inlineStr">
        <is>
          <t>VRN — Zařízení staveniště</t>
        </is>
      </c>
      <c r="D35" s="7">
        <f>SUMIFS(I51:I448,L51:L448,C35)</f>
        <v/>
      </c>
    </row>
    <row r="36">
      <c r="B36" s="17" t="n"/>
      <c r="C36" s="5" t="inlineStr">
        <is>
          <t>VRN — Přesun hmot</t>
        </is>
      </c>
      <c r="D36" s="7">
        <f>SUMIFS(I51:I448,L51:L448,C36)</f>
        <v/>
      </c>
    </row>
    <row r="37">
      <c r="B37" s="17" t="n"/>
      <c r="C37" s="5" t="inlineStr">
        <is>
          <t>VRN — Lešení</t>
        </is>
      </c>
      <c r="D37" s="7">
        <f>SUMIFS(I51:I448,L51:L448,C37)</f>
        <v/>
      </c>
    </row>
    <row r="38">
      <c r="B38" s="17" t="n"/>
      <c r="C38" s="5" t="inlineStr">
        <is>
          <t>VRN — Doprava + odpad</t>
        </is>
      </c>
      <c r="D38" s="7">
        <f>SUMIFS(I51:I448,L51:L448,C38)</f>
        <v/>
      </c>
    </row>
    <row r="39">
      <c r="B39" s="17" t="n"/>
      <c r="C39" s="5" t="inlineStr">
        <is>
          <t>VRN — Geodet</t>
        </is>
      </c>
      <c r="D39" s="7">
        <f>SUMIFS(I51:I448,L51:L448,C39)</f>
        <v/>
      </c>
    </row>
    <row r="40">
      <c r="B40" s="17" t="n"/>
      <c r="C40" s="5" t="inlineStr">
        <is>
          <t>VRN — Průzkumy</t>
        </is>
      </c>
      <c r="D40" s="7">
        <f>SUMIFS(I51:I448,L51:L448,C40)</f>
        <v/>
      </c>
    </row>
    <row r="41">
      <c r="B41" s="17" t="n"/>
      <c r="C41" s="5" t="inlineStr">
        <is>
          <t>VRN — BOZP</t>
        </is>
      </c>
      <c r="D41" s="7">
        <f>SUMIFS(I51:I448,L51:L448,C41)</f>
        <v/>
      </c>
    </row>
    <row r="42">
      <c r="B42" s="17" t="n"/>
      <c r="C42" s="5" t="inlineStr">
        <is>
          <t>VRN — Dokumentace</t>
        </is>
      </c>
      <c r="D42" s="7">
        <f>SUMIFS(I51:I448,L51:L448,C42)</f>
        <v/>
      </c>
    </row>
    <row r="43">
      <c r="B43" s="17" t="n"/>
      <c r="C43" s="5" t="inlineStr">
        <is>
          <t>VRN — Kolaudace</t>
        </is>
      </c>
      <c r="D43" s="7">
        <f>SUMIFS(I51:I448,L51:L448,C43)</f>
        <v/>
      </c>
    </row>
    <row r="44">
      <c r="B44" s="17" t="n"/>
      <c r="C44" s="5" t="inlineStr">
        <is>
          <t>VRN — Pojištění + zábory</t>
        </is>
      </c>
      <c r="D44" s="7">
        <f>SUMIFS(I51:I448,L51:L448,C44)</f>
        <v/>
      </c>
    </row>
    <row r="45">
      <c r="B45" s="17" t="n"/>
      <c r="C45" s="5" t="inlineStr">
        <is>
          <t>VRN — Revize</t>
        </is>
      </c>
      <c r="D45" s="7">
        <f>SUMIFS(I51:I448,L51:L448,C45)</f>
        <v/>
      </c>
    </row>
    <row r="46">
      <c r="B46" s="18" t="n"/>
      <c r="C46" s="8" t="inlineStr">
        <is>
          <t>Celkem objekt</t>
        </is>
      </c>
      <c r="D46" s="9">
        <f>SUM(D16:D45)</f>
        <v/>
      </c>
    </row>
    <row r="49">
      <c r="B49" s="16" t="inlineStr">
        <is>
          <t>SOUPIS PRACÍ</t>
        </is>
      </c>
    </row>
    <row r="50">
      <c r="B50" s="4" t="inlineStr">
        <is>
          <t>PČ</t>
        </is>
      </c>
      <c r="C50" s="4" t="inlineStr">
        <is>
          <t>Typ</t>
        </is>
      </c>
      <c r="D50" s="4" t="inlineStr">
        <is>
          <t>Kód</t>
        </is>
      </c>
      <c r="E50" s="4" t="inlineStr">
        <is>
          <t>Popis</t>
        </is>
      </c>
      <c r="F50" s="4" t="inlineStr">
        <is>
          <t>MJ</t>
        </is>
      </c>
      <c r="G50" s="4" t="inlineStr">
        <is>
          <t>Množství</t>
        </is>
      </c>
      <c r="H50" s="4" t="inlineStr">
        <is>
          <t>J.cena [Kč]</t>
        </is>
      </c>
      <c r="I50" s="4" t="inlineStr">
        <is>
          <t>Cena celkem [Kč]</t>
        </is>
      </c>
      <c r="J50" s="4" t="inlineStr">
        <is>
          <t>Cenová soustava</t>
        </is>
      </c>
      <c r="K50" s="4" t="inlineStr">
        <is>
          <t>Pozn.</t>
        </is>
      </c>
      <c r="L50" s="4" t="inlineStr">
        <is>
          <t>_kap_tag</t>
        </is>
      </c>
    </row>
    <row r="51">
      <c r="B51" s="19" t="n"/>
      <c r="C51" s="20" t="inlineStr">
        <is>
          <t>D</t>
        </is>
      </c>
      <c r="D51" s="20" t="inlineStr">
        <is>
          <t>HSV</t>
        </is>
      </c>
      <c r="E51" s="20" t="inlineStr">
        <is>
          <t>Práce a dodávky HSV</t>
        </is>
      </c>
      <c r="F51" s="19" t="n"/>
      <c r="G51" s="19" t="n"/>
      <c r="H51" s="19" t="n"/>
      <c r="I51" s="19" t="n"/>
      <c r="J51" s="19" t="n"/>
      <c r="K51" s="19" t="n"/>
      <c r="L51" s="19" t="n"/>
    </row>
    <row r="52">
      <c r="B52" s="21" t="n"/>
      <c r="C52" s="22" t="inlineStr">
        <is>
          <t>D</t>
        </is>
      </c>
      <c r="D52" s="22" t="inlineStr">
        <is>
          <t>HSV-1</t>
        </is>
      </c>
      <c r="E52" s="22" t="inlineStr">
        <is>
          <t>HSV-1 Zemní práce</t>
        </is>
      </c>
      <c r="F52" s="21" t="n"/>
      <c r="G52" s="21" t="n"/>
      <c r="H52" s="21" t="n"/>
      <c r="I52" s="21" t="n"/>
      <c r="J52" s="21" t="n"/>
      <c r="K52" s="21" t="n"/>
      <c r="L52" s="21" t="n"/>
    </row>
    <row r="53">
      <c r="B53" s="23" t="n">
        <v>1</v>
      </c>
      <c r="C53" s="23" t="inlineStr">
        <is>
          <t>K</t>
        </is>
      </c>
      <c r="D53" s="24" t="inlineStr">
        <is>
          <t>121101101</t>
        </is>
      </c>
      <c r="E53" s="24" t="inlineStr">
        <is>
          <t>Sejmutí ornice tl. 100 mm na ploše budoucí opěrné stěny a anglického dvorku</t>
        </is>
      </c>
      <c r="F53" s="23" t="inlineStr">
        <is>
          <t>m²</t>
        </is>
      </c>
      <c r="G53" s="25" t="n">
        <v>35</v>
      </c>
      <c r="H53" s="26" t="n"/>
      <c r="I53" s="26">
        <f>IF(H53="",0,G53*H53)</f>
        <v/>
      </c>
      <c r="J53" s="23" t="inlineStr">
        <is>
          <t>ÚRS 2026</t>
        </is>
      </c>
      <c r="K53" s="27" t="inlineStr">
        <is>
          <t>✓ ověřeno cs-urs.cz [evidence: https://www.cs-urs.cz/podminky/cu201/823-2-Rekultivace-(2020]</t>
        </is>
      </c>
      <c r="L53" s="5" t="inlineStr">
        <is>
          <t>HSV-1 Zemní práce</t>
        </is>
      </c>
    </row>
    <row r="54">
      <c r="B54" s="17" t="n"/>
      <c r="C54" s="28" t="inlineStr">
        <is>
          <t>VV</t>
        </is>
      </c>
      <c r="D54" s="17" t="n"/>
      <c r="E54" s="29" t="inlineStr">
        <is>
          <t>L=10 × W=3.5 (zahrada zóna pro BV + dvorek)</t>
        </is>
      </c>
      <c r="F54" s="17" t="n"/>
      <c r="G54" s="30" t="n">
        <v>35</v>
      </c>
      <c r="H54" s="17" t="n"/>
      <c r="I54" s="17" t="n"/>
      <c r="J54" s="17" t="n"/>
      <c r="K54" s="17" t="n"/>
      <c r="L54" s="17" t="n"/>
    </row>
    <row r="55">
      <c r="B55" s="23" t="n">
        <v>2</v>
      </c>
      <c r="C55" s="23" t="inlineStr">
        <is>
          <t>K</t>
        </is>
      </c>
      <c r="D55" s="24" t="inlineStr">
        <is>
          <t>132201101</t>
        </is>
      </c>
      <c r="E55" s="24" t="inlineStr">
        <is>
          <t>Hloubení rýh š. do 60 cm pro pas opěrné stěny bílé vany v zemině třídy 3 (F4-CS)</t>
        </is>
      </c>
      <c r="F55" s="23" t="inlineStr">
        <is>
          <t>m³</t>
        </is>
      </c>
      <c r="G55" s="25" t="n">
        <v>12.6</v>
      </c>
      <c r="H55" s="26" t="n"/>
      <c r="I55" s="26">
        <f>IF(H55="",0,G55*H55)</f>
        <v/>
      </c>
      <c r="J55" s="23" t="inlineStr">
        <is>
          <t>ÚRS 2026</t>
        </is>
      </c>
      <c r="K55" s="31" t="inlineStr">
        <is>
          <t>⚠ family OK, leaf KROS lookup [evidence: https://www.cs-urs.cz/podminky/cu201/800-1-Zemni-prace-(2020]</t>
        </is>
      </c>
      <c r="L55" s="5" t="inlineStr">
        <is>
          <t>HSV-1 Zemní práce</t>
        </is>
      </c>
    </row>
    <row r="56">
      <c r="B56" s="17" t="n"/>
      <c r="C56" s="28" t="inlineStr">
        <is>
          <t>VV</t>
        </is>
      </c>
      <c r="D56" s="17" t="n"/>
      <c r="E56" s="29" t="inlineStr">
        <is>
          <t>L=10 × W=1.2 × H=1.05 (pata BV 1200 mm × hloubka pod základovou spárou)</t>
        </is>
      </c>
      <c r="F56" s="17" t="n"/>
      <c r="G56" s="30" t="n">
        <v>12.6</v>
      </c>
      <c r="H56" s="17" t="n"/>
      <c r="I56" s="17" t="n"/>
      <c r="J56" s="17" t="n"/>
      <c r="K56" s="17" t="n"/>
      <c r="L56" s="17" t="n"/>
    </row>
    <row r="57">
      <c r="B57" s="23" t="n">
        <v>3</v>
      </c>
      <c r="C57" s="23" t="inlineStr">
        <is>
          <t>K</t>
        </is>
      </c>
      <c r="D57" s="24" t="inlineStr">
        <is>
          <t>131201101</t>
        </is>
      </c>
      <c r="E57" s="24" t="inlineStr">
        <is>
          <t>Hloubení jam nezapažených pro anglický dvorek a nový vstup do 1.PP ze zahrady, hornina tř. 3 (F4-CS)</t>
        </is>
      </c>
      <c r="F57" s="23" t="inlineStr">
        <is>
          <t>m³</t>
        </is>
      </c>
      <c r="G57" s="25" t="n">
        <v>6</v>
      </c>
      <c r="H57" s="26" t="n"/>
      <c r="I57" s="26">
        <f>IF(H57="",0,G57*H57)</f>
        <v/>
      </c>
      <c r="J57" s="23" t="inlineStr">
        <is>
          <t>ÚRS 2026</t>
        </is>
      </c>
      <c r="K57" s="31" t="inlineStr">
        <is>
          <t>⚠ family OK, leaf KROS lookup [evidence: https://www.cs-urs.cz/podminky/cu201/800-1-Zemni-prace-(2020]</t>
        </is>
      </c>
      <c r="L57" s="5" t="inlineStr">
        <is>
          <t>HSV-1 Zemní práce</t>
        </is>
      </c>
    </row>
    <row r="58">
      <c r="B58" s="17" t="n"/>
      <c r="C58" s="28" t="inlineStr">
        <is>
          <t>VV</t>
        </is>
      </c>
      <c r="D58" s="17" t="n"/>
      <c r="E58" s="29" t="inlineStr">
        <is>
          <t>L=2.5 × W=2.0 × H=1.2 (dvorek odkop)</t>
        </is>
      </c>
      <c r="F58" s="17" t="n"/>
      <c r="G58" s="30" t="n">
        <v>6</v>
      </c>
      <c r="H58" s="17" t="n"/>
      <c r="I58" s="17" t="n"/>
      <c r="J58" s="17" t="n"/>
      <c r="K58" s="17" t="n"/>
      <c r="L58" s="17" t="n"/>
    </row>
    <row r="59">
      <c r="B59" s="23" t="n">
        <v>4</v>
      </c>
      <c r="C59" s="23" t="inlineStr">
        <is>
          <t>K</t>
        </is>
      </c>
      <c r="D59" s="24" t="inlineStr">
        <is>
          <t>596811220</t>
        </is>
      </c>
      <c r="E59" s="24" t="inlineStr">
        <is>
          <t>Anglický dvorek: betonová dlažba 50 mm + kladecí vrstva kamenná drť 4-8 mm tl. 40 mm + podkladní nosná vrstva kamenná drť 4-8 mm tl. 150 mm na zhutněnou zemní pláň (30 MPa)</t>
        </is>
      </c>
      <c r="F59" s="23" t="inlineStr">
        <is>
          <t>m²</t>
        </is>
      </c>
      <c r="G59" s="25" t="n">
        <v>30</v>
      </c>
      <c r="H59" s="26" t="n"/>
      <c r="I59" s="26">
        <f>IF(H59="",0,G59*H59)</f>
        <v/>
      </c>
      <c r="J59" s="23" t="inlineStr">
        <is>
          <t>ÚRS 2026</t>
        </is>
      </c>
      <c r="K59" s="32" t="inlineStr">
        <is>
          <t>? needs production lookup</t>
        </is>
      </c>
      <c r="L59" s="5" t="inlineStr">
        <is>
          <t>HSV-1 Zemní práce</t>
        </is>
      </c>
    </row>
    <row r="60">
      <c r="B60" s="17" t="n"/>
      <c r="C60" s="28" t="inlineStr">
        <is>
          <t>VV</t>
        </is>
      </c>
      <c r="D60" s="17" t="n"/>
      <c r="E60" s="29" t="inlineStr">
        <is>
          <t>PDF řez C-C explicit composition + anglický dvorek ~30 m² odhad (2.5 × 2.0 m + odkop k vstupu 1.PP)</t>
        </is>
      </c>
      <c r="F60" s="17" t="n"/>
      <c r="G60" s="30" t="n">
        <v>30</v>
      </c>
      <c r="H60" s="17" t="n"/>
      <c r="I60" s="17" t="n"/>
      <c r="J60" s="17" t="n"/>
      <c r="K60" s="17" t="n"/>
      <c r="L60" s="17" t="n"/>
    </row>
    <row r="61">
      <c r="B61" s="23" t="n">
        <v>5</v>
      </c>
      <c r="C61" s="23" t="inlineStr">
        <is>
          <t>K</t>
        </is>
      </c>
      <c r="D61" s="24" t="inlineStr"/>
      <c r="E61" s="24" t="inlineStr">
        <is>
          <t>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F61" s="23" t="inlineStr">
        <is>
          <t>m²</t>
        </is>
      </c>
      <c r="G61" s="25" t="n">
        <v>30</v>
      </c>
      <c r="H61" s="26" t="n"/>
      <c r="I61" s="26">
        <f>IF(H61="",0,G61*H61)</f>
        <v/>
      </c>
      <c r="J61" s="23" t="inlineStr">
        <is>
          <t>ÚRS 2026</t>
        </is>
      </c>
      <c r="K61" s="33" t="inlineStr">
        <is>
          <t>❌ MANUAL — KROS catalog lookup</t>
        </is>
      </c>
      <c r="L61" s="5" t="inlineStr">
        <is>
          <t>HSV-1 Zemní práce</t>
        </is>
      </c>
    </row>
    <row r="62">
      <c r="B62" s="17" t="n"/>
      <c r="C62" s="28" t="inlineStr">
        <is>
          <t>VV</t>
        </is>
      </c>
      <c r="D62" s="17" t="n"/>
      <c r="E62" s="29" t="inlineStr">
        <is>
          <t>PDF řez C-C explicit composition — terasa ~30 m² (rozměry z TZ ARS dům §4 terasa za op. stěnou). ŘEZ C-C: dlaždice = roznášecí vrstva POD terče (NE na terče); terče nesou dřevěnou pochozí vrstvu PSV76.002.</t>
        </is>
      </c>
      <c r="F62" s="17" t="n"/>
      <c r="G62" s="30" t="n">
        <v>30</v>
      </c>
      <c r="H62" s="17" t="n"/>
      <c r="I62" s="17" t="n"/>
      <c r="J62" s="17" t="n"/>
      <c r="K62" s="17" t="n"/>
      <c r="L62" s="17" t="n"/>
    </row>
    <row r="63">
      <c r="B63" s="23" t="n">
        <v>6</v>
      </c>
      <c r="C63" s="23" t="inlineStr">
        <is>
          <t>K</t>
        </is>
      </c>
      <c r="D63" s="24" t="inlineStr">
        <is>
          <t>151101101</t>
        </is>
      </c>
      <c r="E63" s="24" t="inlineStr">
        <is>
          <t>Pažení a rozepření dočasných výkopů příložné, hl. do 2 m, v zemině třídy 3</t>
        </is>
      </c>
      <c r="F63" s="23" t="inlineStr">
        <is>
          <t>m²</t>
        </is>
      </c>
      <c r="G63" s="25" t="n">
        <v>36</v>
      </c>
      <c r="H63" s="26" t="n"/>
      <c r="I63" s="26">
        <f>IF(H63="",0,G63*H63)</f>
        <v/>
      </c>
      <c r="J63" s="23" t="inlineStr">
        <is>
          <t>ÚRS 2026</t>
        </is>
      </c>
      <c r="K63" s="27" t="inlineStr">
        <is>
          <t>✓ ověřeno cs-urs.cz [evidence: https://www.cs-urs.cz/podminky/cu201/800-1-Zemni-prace-(2020]</t>
        </is>
      </c>
      <c r="L63" s="5" t="inlineStr">
        <is>
          <t>HSV-1 Zemní práce</t>
        </is>
      </c>
    </row>
    <row r="64">
      <c r="B64" s="17" t="n"/>
      <c r="C64" s="28" t="inlineStr">
        <is>
          <t>VV</t>
        </is>
      </c>
      <c r="D64" s="17" t="n"/>
      <c r="E64" s="29" t="inlineStr">
        <is>
          <t>obvod rýh BV 2×(10+1.2) × hloubka 1.6</t>
        </is>
      </c>
      <c r="F64" s="17" t="n"/>
      <c r="G64" s="30" t="n">
        <v>36</v>
      </c>
      <c r="H64" s="17" t="n"/>
      <c r="I64" s="17" t="n"/>
      <c r="J64" s="17" t="n"/>
      <c r="K64" s="17" t="n"/>
      <c r="L64" s="17" t="n"/>
    </row>
    <row r="65">
      <c r="B65" s="23" t="n">
        <v>7</v>
      </c>
      <c r="C65" s="23" t="inlineStr">
        <is>
          <t>K</t>
        </is>
      </c>
      <c r="D65" s="24" t="inlineStr"/>
      <c r="E65" s="24" t="inlineStr">
        <is>
          <t>Vodorovné přemístění výkopku — odvoz na deponii do 8 km vč. skládkovného (zemina F4)</t>
        </is>
      </c>
      <c r="F65" s="23" t="inlineStr">
        <is>
          <t>m³</t>
        </is>
      </c>
      <c r="G65" s="25" t="n">
        <v>18.6</v>
      </c>
      <c r="H65" s="26" t="n"/>
      <c r="I65" s="26">
        <f>IF(H65="",0,G65*H65)</f>
        <v/>
      </c>
      <c r="J65" s="23" t="inlineStr">
        <is>
          <t>ÚRS 2026</t>
        </is>
      </c>
      <c r="K65" s="31" t="inlineStr">
        <is>
          <t>⚠ family 162701 OK — leaf KROS lookup [evidence: https://www.cs-urs.cz/podminky/cu201/800-1-Zemni-prace-(2020]</t>
        </is>
      </c>
      <c r="L65" s="5" t="inlineStr">
        <is>
          <t>HSV-1 Zemní práce</t>
        </is>
      </c>
    </row>
    <row r="66">
      <c r="B66" s="17" t="n"/>
      <c r="C66" s="28" t="inlineStr">
        <is>
          <t>VV</t>
        </is>
      </c>
      <c r="D66" s="17" t="n"/>
      <c r="E66" s="29">
        <f> V hloubení rýh BV + figura dvorek (12.6 + 6.0)</f>
        <v/>
      </c>
      <c r="F66" s="17" t="n"/>
      <c r="G66" s="30" t="n">
        <v>18.6</v>
      </c>
      <c r="H66" s="17" t="n"/>
      <c r="I66" s="17" t="n"/>
      <c r="J66" s="17" t="n"/>
      <c r="K66" s="17" t="n"/>
      <c r="L66" s="17" t="n"/>
    </row>
    <row r="67">
      <c r="B67" s="23" t="n">
        <v>8</v>
      </c>
      <c r="C67" s="23" t="inlineStr">
        <is>
          <t>K</t>
        </is>
      </c>
      <c r="D67" s="24" t="inlineStr">
        <is>
          <t>174101101</t>
        </is>
      </c>
      <c r="E67" s="24" t="inlineStr">
        <is>
          <t>Zhutněný štěrkopískový zásyp + lože pod ŽB deskou 1.NP, Edef2 ≥ 30 MPa na pláni / 45 MPa na štěrku</t>
        </is>
      </c>
      <c r="F67" s="23" t="inlineStr">
        <is>
          <t>m³</t>
        </is>
      </c>
      <c r="G67" s="25" t="n">
        <v>12.5</v>
      </c>
      <c r="H67" s="26" t="n"/>
      <c r="I67" s="26">
        <f>IF(H67="",0,G67*H67)</f>
        <v/>
      </c>
      <c r="J67" s="23" t="inlineStr">
        <is>
          <t>ÚRS 2026</t>
        </is>
      </c>
      <c r="K67" s="31" t="inlineStr">
        <is>
          <t>⚠ family OK, leaf KROS lookup [evidence: https://www.cs-urs.cz/cenova-soustava-urs/]</t>
        </is>
      </c>
      <c r="L67" s="5" t="inlineStr">
        <is>
          <t>HSV-1 Zemní práce</t>
        </is>
      </c>
    </row>
    <row r="68">
      <c r="B68" s="17" t="n"/>
      <c r="C68" s="28" t="inlineStr">
        <is>
          <t>VV</t>
        </is>
      </c>
      <c r="D68" s="17" t="n"/>
      <c r="E68" s="29" t="inlineStr">
        <is>
          <t>podlahova_plocha_1NP × 0.15 m štěrkové lože (uvažovat 83 m² × 0.15)</t>
        </is>
      </c>
      <c r="F68" s="17" t="n"/>
      <c r="G68" s="30" t="n">
        <v>12.5</v>
      </c>
      <c r="H68" s="17" t="n"/>
      <c r="I68" s="17" t="n"/>
      <c r="J68" s="17" t="n"/>
      <c r="K68" s="17" t="n"/>
      <c r="L68" s="17" t="n"/>
    </row>
    <row r="69">
      <c r="B69" s="23" t="n">
        <v>9</v>
      </c>
      <c r="C69" s="23" t="inlineStr">
        <is>
          <t>K</t>
        </is>
      </c>
      <c r="D69" s="24" t="inlineStr">
        <is>
          <t>877315111</t>
        </is>
      </c>
      <c r="E69" s="24" t="inlineStr">
        <is>
          <t>Drenáž za opěrnou stěnou (bílou vanou) — drenážní trubka DN100 vlnitá perforovaná + štěrkový obsyp 16/32 + geotextilie + napojení do dešťové kanalizace, L po obvodu BV</t>
        </is>
      </c>
      <c r="F69" s="23" t="inlineStr">
        <is>
          <t>m</t>
        </is>
      </c>
      <c r="G69" s="25" t="n">
        <v>12</v>
      </c>
      <c r="H69" s="26" t="n"/>
      <c r="I69" s="26">
        <f>IF(H69="",0,G69*H69)</f>
        <v/>
      </c>
      <c r="J69" s="23" t="inlineStr">
        <is>
          <t>ÚRS 2026</t>
        </is>
      </c>
      <c r="K69" s="31" t="inlineStr">
        <is>
          <t>⚠ family OK, leaf KROS lookup [evidence: https://www.cs-urs.cz/cenova-soustava-urs/]</t>
        </is>
      </c>
      <c r="L69" s="5" t="inlineStr">
        <is>
          <t>HSV-1 Zemní práce</t>
        </is>
      </c>
    </row>
    <row r="70">
      <c r="B70" s="17" t="n"/>
      <c r="C70" s="28" t="inlineStr">
        <is>
          <t>VV</t>
        </is>
      </c>
      <c r="D70" s="17" t="n"/>
      <c r="E70" s="29" t="inlineStr">
        <is>
          <t>obvod bílé vany ~10 m + napojení 2 m = 12 m</t>
        </is>
      </c>
      <c r="F70" s="17" t="n"/>
      <c r="G70" s="30" t="n">
        <v>12</v>
      </c>
      <c r="H70" s="17" t="n"/>
      <c r="I70" s="17" t="n"/>
      <c r="J70" s="17" t="n"/>
      <c r="K70" s="17" t="n"/>
      <c r="L70" s="17" t="n"/>
    </row>
    <row r="71">
      <c r="B71" s="21" t="n"/>
      <c r="C71" s="22" t="inlineStr">
        <is>
          <t>D</t>
        </is>
      </c>
      <c r="D71" s="22" t="inlineStr">
        <is>
          <t>HSV-2</t>
        </is>
      </c>
      <c r="E71" s="22" t="inlineStr">
        <is>
          <t>HSV-2 Základové a ŽB</t>
        </is>
      </c>
      <c r="F71" s="21" t="n"/>
      <c r="G71" s="21" t="n"/>
      <c r="H71" s="21" t="n"/>
      <c r="I71" s="21" t="n"/>
      <c r="J71" s="21" t="n"/>
      <c r="K71" s="21" t="n"/>
      <c r="L71" s="21" t="n"/>
    </row>
    <row r="72">
      <c r="B72" s="23" t="n">
        <v>10</v>
      </c>
      <c r="C72" s="23" t="inlineStr">
        <is>
          <t>K</t>
        </is>
      </c>
      <c r="D72" s="24" t="inlineStr">
        <is>
          <t>274321321</t>
        </is>
      </c>
      <c r="E72" s="24" t="inlineStr">
        <is>
          <t>Bílá vana ČBS 02 — pata úhlové opěrné stěny 250×1200 mm × L=10 m, C25/30 XC3 XF1 XA1 CL0.4 Dmax22 S3</t>
        </is>
      </c>
      <c r="F72" s="23" t="inlineStr">
        <is>
          <t>m³</t>
        </is>
      </c>
      <c r="G72" s="25" t="n">
        <v>3</v>
      </c>
      <c r="H72" s="26" t="n"/>
      <c r="I72" s="26">
        <f>IF(H72="",0,G72*H72)</f>
        <v/>
      </c>
      <c r="J72" s="23" t="inlineStr">
        <is>
          <t>ÚRS 2026</t>
        </is>
      </c>
      <c r="K72" s="31" t="inlineStr">
        <is>
          <t>⚠ family OK, leaf KROS lookup [evidence: https://www.cs-urs.cz/podminky/cu202/801-1-Budovy-a-haly---z]</t>
        </is>
      </c>
      <c r="L72" s="5" t="inlineStr">
        <is>
          <t>HSV-2 Základové a ŽB</t>
        </is>
      </c>
    </row>
    <row r="73">
      <c r="B73" s="17" t="n"/>
      <c r="C73" s="28" t="inlineStr">
        <is>
          <t>VV</t>
        </is>
      </c>
      <c r="D73" s="17" t="n"/>
      <c r="E73" s="29" t="inlineStr">
        <is>
          <t>0.25 × 1.20 × 10 = 3.0</t>
        </is>
      </c>
      <c r="F73" s="17" t="n"/>
      <c r="G73" s="30" t="n">
        <v>3</v>
      </c>
      <c r="H73" s="17" t="n"/>
      <c r="I73" s="17" t="n"/>
      <c r="J73" s="17" t="n"/>
      <c r="K73" s="17" t="n"/>
      <c r="L73" s="17" t="n"/>
    </row>
    <row r="74">
      <c r="B74" s="23" t="n">
        <v>11</v>
      </c>
      <c r="C74" s="23" t="inlineStr">
        <is>
          <t>K</t>
        </is>
      </c>
      <c r="D74" s="24" t="inlineStr">
        <is>
          <t>274321321</t>
        </is>
      </c>
      <c r="E74" s="24" t="inlineStr">
        <is>
          <t>Bílá vana ČBS 02 — stěna úhlová tl. 250 mm × výška 2050 mm × L=10 m, beton C25/30 XC3 XF1 XA1 (trhliny max 0.20 mm)</t>
        </is>
      </c>
      <c r="F74" s="23" t="inlineStr">
        <is>
          <t>m³</t>
        </is>
      </c>
      <c r="G74" s="25" t="n">
        <v>5.12</v>
      </c>
      <c r="H74" s="26" t="n"/>
      <c r="I74" s="26">
        <f>IF(H74="",0,G74*H74)</f>
        <v/>
      </c>
      <c r="J74" s="23" t="inlineStr">
        <is>
          <t>ÚRS 2026</t>
        </is>
      </c>
      <c r="K74" s="32" t="inlineStr">
        <is>
          <t>? needs production lookup</t>
        </is>
      </c>
      <c r="L74" s="5" t="inlineStr">
        <is>
          <t>HSV-2 Základové a ŽB</t>
        </is>
      </c>
    </row>
    <row r="75">
      <c r="B75" s="17" t="n"/>
      <c r="C75" s="28" t="inlineStr">
        <is>
          <t>VV</t>
        </is>
      </c>
      <c r="D75" s="17" t="n"/>
      <c r="E75" s="29" t="inlineStr">
        <is>
          <t>0.25 × 2.05 × 10 = 5.13</t>
        </is>
      </c>
      <c r="F75" s="17" t="n"/>
      <c r="G75" s="30" t="n">
        <v>5.12</v>
      </c>
      <c r="H75" s="17" t="n"/>
      <c r="I75" s="17" t="n"/>
      <c r="J75" s="17" t="n"/>
      <c r="K75" s="17" t="n"/>
      <c r="L75" s="17" t="n"/>
    </row>
    <row r="76">
      <c r="B76" s="23" t="n">
        <v>12</v>
      </c>
      <c r="C76" s="23" t="inlineStr">
        <is>
          <t>K</t>
        </is>
      </c>
      <c r="D76" s="24" t="inlineStr"/>
      <c r="E76" s="24" t="inlineStr">
        <is>
          <t>Systémové oboustranné bednění bílé vany — DOKA Framax / PERI MAXIMO, vč. těsnění pracovních spár bobtnavý pásek bentonit (TZ §5.5)</t>
        </is>
      </c>
      <c r="F76" s="23" t="inlineStr">
        <is>
          <t>m²</t>
        </is>
      </c>
      <c r="G76" s="25" t="n">
        <v>65</v>
      </c>
      <c r="H76" s="26" t="n"/>
      <c r="I76" s="26">
        <f>IF(H76="",0,G76*H76)</f>
        <v/>
      </c>
      <c r="J76" s="23" t="inlineStr">
        <is>
          <t>ÚRS 2026</t>
        </is>
      </c>
      <c r="K76" s="33" t="inlineStr">
        <is>
          <t>❌ MANUAL — KROS catalog lookup</t>
        </is>
      </c>
      <c r="L76" s="5" t="inlineStr">
        <is>
          <t>HSV-2 Základové a ŽB</t>
        </is>
      </c>
    </row>
    <row r="77">
      <c r="B77" s="17" t="n"/>
      <c r="C77" s="28" t="inlineStr">
        <is>
          <t>VV</t>
        </is>
      </c>
      <c r="D77" s="17" t="n"/>
      <c r="E77" s="29" t="inlineStr">
        <is>
          <t>2×2.05×10 (svislé) + 2×1.20×10 (pata) = 41 + 24 = 65</t>
        </is>
      </c>
      <c r="F77" s="17" t="n"/>
      <c r="G77" s="30" t="n">
        <v>65</v>
      </c>
      <c r="H77" s="17" t="n"/>
      <c r="I77" s="17" t="n"/>
      <c r="J77" s="17" t="n"/>
      <c r="K77" s="17" t="n"/>
      <c r="L77" s="17" t="n"/>
    </row>
    <row r="78">
      <c r="B78" s="23" t="n">
        <v>13</v>
      </c>
      <c r="C78" s="23" t="inlineStr">
        <is>
          <t>K</t>
        </is>
      </c>
      <c r="D78" s="24" t="inlineStr">
        <is>
          <t>273361821</t>
        </is>
      </c>
      <c r="E78" s="24" t="inlineStr">
        <is>
          <t>Výztuž bílé vany B500B 120 kg/m³ (empirická sazba Methvin pro úhlové opěrné stěny W0)</t>
        </is>
      </c>
      <c r="F78" s="23" t="inlineStr">
        <is>
          <t>kg</t>
        </is>
      </c>
      <c r="G78" s="25" t="n">
        <v>975</v>
      </c>
      <c r="H78" s="26" t="n"/>
      <c r="I78" s="26">
        <f>IF(H78="",0,G78*H78)</f>
        <v/>
      </c>
      <c r="J78" s="23" t="inlineStr">
        <is>
          <t>ÚRS 2026</t>
        </is>
      </c>
      <c r="K78" s="31" t="inlineStr">
        <is>
          <t>⚠ family OK, leaf KROS lookup [evidence: https://cs.wikipedia.org/wiki/Beton%C3%A1%C5%99sk%C3%A1_v%C3]</t>
        </is>
      </c>
      <c r="L78" s="5" t="inlineStr">
        <is>
          <t>HSV-2 Základové a ŽB</t>
        </is>
      </c>
    </row>
    <row r="79">
      <c r="B79" s="17" t="n"/>
      <c r="C79" s="28" t="inlineStr">
        <is>
          <t>VV</t>
        </is>
      </c>
      <c r="D79" s="17" t="n"/>
      <c r="E79" s="29" t="inlineStr">
        <is>
          <t>(3.0+5.13) × 120 = 976</t>
        </is>
      </c>
      <c r="F79" s="17" t="n"/>
      <c r="G79" s="30" t="n">
        <v>975</v>
      </c>
      <c r="H79" s="17" t="n"/>
      <c r="I79" s="17" t="n"/>
      <c r="J79" s="17" t="n"/>
      <c r="K79" s="17" t="n"/>
      <c r="L79" s="17" t="n"/>
    </row>
    <row r="80">
      <c r="B80" s="23" t="n">
        <v>14</v>
      </c>
      <c r="C80" s="23" t="inlineStr">
        <is>
          <t>K</t>
        </is>
      </c>
      <c r="D80" s="24" t="inlineStr"/>
      <c r="E80" s="24" t="inlineStr">
        <is>
          <t>Separační PE fólie pod základovou patou bílé vany (povinná dle ČBS 02)</t>
        </is>
      </c>
      <c r="F80" s="23" t="inlineStr">
        <is>
          <t>m²</t>
        </is>
      </c>
      <c r="G80" s="25" t="n">
        <v>13.2</v>
      </c>
      <c r="H80" s="26" t="n"/>
      <c r="I80" s="26">
        <f>IF(H80="",0,G80*H80)</f>
        <v/>
      </c>
      <c r="J80" s="23" t="inlineStr">
        <is>
          <t>ÚRS 2026</t>
        </is>
      </c>
      <c r="K80" s="33" t="inlineStr">
        <is>
          <t>❌ MANUAL — KROS catalog lookup</t>
        </is>
      </c>
      <c r="L80" s="5" t="inlineStr">
        <is>
          <t>HSV-2 Základové a ŽB</t>
        </is>
      </c>
    </row>
    <row r="81">
      <c r="B81" s="17" t="n"/>
      <c r="C81" s="28" t="inlineStr">
        <is>
          <t>VV</t>
        </is>
      </c>
      <c r="D81" s="17" t="n"/>
      <c r="E81" s="29" t="inlineStr">
        <is>
          <t>1.20 × 10 × 1.10 přesah = 13.2</t>
        </is>
      </c>
      <c r="F81" s="17" t="n"/>
      <c r="G81" s="30" t="n">
        <v>13.2</v>
      </c>
      <c r="H81" s="17" t="n"/>
      <c r="I81" s="17" t="n"/>
      <c r="J81" s="17" t="n"/>
      <c r="K81" s="17" t="n"/>
      <c r="L81" s="17" t="n"/>
    </row>
    <row r="82">
      <c r="B82" s="23" t="n">
        <v>15</v>
      </c>
      <c r="C82" s="23" t="inlineStr">
        <is>
          <t>K</t>
        </is>
      </c>
      <c r="D82" s="24" t="inlineStr">
        <is>
          <t>279351102</t>
        </is>
      </c>
      <c r="E82" s="24" t="inlineStr">
        <is>
          <t>Mokré ošetřování betonu bílé vany min. 7 dní dle ČSN EN 13670 + ČBS 02 (kontrola trhlin max 0.20 mm)</t>
        </is>
      </c>
      <c r="F82" s="23" t="inlineStr">
        <is>
          <t>m²</t>
        </is>
      </c>
      <c r="G82" s="25" t="n">
        <v>53</v>
      </c>
      <c r="H82" s="26" t="n"/>
      <c r="I82" s="26">
        <f>IF(H82="",0,G82*H82)</f>
        <v/>
      </c>
      <c r="J82" s="23" t="inlineStr">
        <is>
          <t>ÚRS 2026</t>
        </is>
      </c>
      <c r="K82" s="32" t="inlineStr">
        <is>
          <t>? needs production lookup</t>
        </is>
      </c>
      <c r="L82" s="5" t="inlineStr">
        <is>
          <t>HSV-2 Základové a ŽB</t>
        </is>
      </c>
    </row>
    <row r="83">
      <c r="B83" s="17" t="n"/>
      <c r="C83" s="28" t="inlineStr">
        <is>
          <t>VV</t>
        </is>
      </c>
      <c r="D83" s="17" t="n"/>
      <c r="E83" s="29" t="inlineStr">
        <is>
          <t>viditelná plocha BV pro ošetřování ~53</t>
        </is>
      </c>
      <c r="F83" s="17" t="n"/>
      <c r="G83" s="30" t="n">
        <v>53</v>
      </c>
      <c r="H83" s="17" t="n"/>
      <c r="I83" s="17" t="n"/>
      <c r="J83" s="17" t="n"/>
      <c r="K83" s="17" t="n"/>
      <c r="L83" s="17" t="n"/>
    </row>
    <row r="84">
      <c r="B84" s="23" t="n">
        <v>16</v>
      </c>
      <c r="C84" s="23" t="inlineStr">
        <is>
          <t>K</t>
        </is>
      </c>
      <c r="D84" s="24" t="inlineStr">
        <is>
          <t>274321311</t>
        </is>
      </c>
      <c r="E84" s="24" t="inlineStr">
        <is>
          <t>ŽB pozední věnec 300×250 mm po obvodu nadezdívky 3.NP, beton C25/30 XC1 + výztuž 100 kg/m³</t>
        </is>
      </c>
      <c r="F84" s="23" t="inlineStr">
        <is>
          <t>m³</t>
        </is>
      </c>
      <c r="G84" s="25" t="n">
        <v>2.9</v>
      </c>
      <c r="H84" s="26" t="n"/>
      <c r="I84" s="26">
        <f>IF(H84="",0,G84*H84)</f>
        <v/>
      </c>
      <c r="J84" s="23" t="inlineStr">
        <is>
          <t>ÚRS 2026</t>
        </is>
      </c>
      <c r="K84" s="31" t="inlineStr">
        <is>
          <t>⚠ family OK, leaf KROS lookup [evidence: https://www.estav.cz/cz/10863.pozedni-zelezobetonovy-venec-k]</t>
        </is>
      </c>
      <c r="L84" s="5" t="inlineStr">
        <is>
          <t>HSV-2 Základové a ŽB</t>
        </is>
      </c>
    </row>
    <row r="85">
      <c r="B85" s="17" t="n"/>
      <c r="C85" s="28" t="inlineStr">
        <is>
          <t>VV</t>
        </is>
      </c>
      <c r="D85" s="17" t="n"/>
      <c r="E85" s="29" t="inlineStr">
        <is>
          <t>0.30 × 0.25 × obvod 38.7 m (DXF km_R_návrh_tlustá 2 closed polygon area 91.28 m²) = 2.9 m³</t>
        </is>
      </c>
      <c r="F85" s="17" t="n"/>
      <c r="G85" s="30" t="n">
        <v>2.9</v>
      </c>
      <c r="H85" s="17" t="n"/>
      <c r="I85" s="17" t="n"/>
      <c r="J85" s="17" t="n"/>
      <c r="K85" s="17" t="n"/>
      <c r="L85" s="17" t="n"/>
    </row>
    <row r="86">
      <c r="B86" s="23" t="n">
        <v>17</v>
      </c>
      <c r="C86" s="23" t="inlineStr">
        <is>
          <t>K</t>
        </is>
      </c>
      <c r="D86" s="24" t="inlineStr"/>
      <c r="E86" s="24" t="inlineStr">
        <is>
          <t>Bednění pozedního věnce systémové oboustranné</t>
        </is>
      </c>
      <c r="F86" s="23" t="inlineStr">
        <is>
          <t>m²</t>
        </is>
      </c>
      <c r="G86" s="25" t="n">
        <v>19.4</v>
      </c>
      <c r="H86" s="26" t="n"/>
      <c r="I86" s="26">
        <f>IF(H86="",0,G86*H86)</f>
        <v/>
      </c>
      <c r="J86" s="23" t="inlineStr">
        <is>
          <t>ÚRS 2026</t>
        </is>
      </c>
      <c r="K86" s="33" t="inlineStr">
        <is>
          <t>❌ MANUAL — KROS catalog lookup</t>
        </is>
      </c>
      <c r="L86" s="5" t="inlineStr">
        <is>
          <t>HSV-2 Základové a ŽB</t>
        </is>
      </c>
    </row>
    <row r="87">
      <c r="B87" s="17" t="n"/>
      <c r="C87" s="28" t="inlineStr">
        <is>
          <t>VV</t>
        </is>
      </c>
      <c r="D87" s="17" t="n"/>
      <c r="E87" s="29" t="inlineStr">
        <is>
          <t>2 (oboustranné) × 0.25 m výška × obvod 38.7 m (DXF) = 19.4 m²</t>
        </is>
      </c>
      <c r="F87" s="17" t="n"/>
      <c r="G87" s="30" t="n">
        <v>19.4</v>
      </c>
      <c r="H87" s="17" t="n"/>
      <c r="I87" s="17" t="n"/>
      <c r="J87" s="17" t="n"/>
      <c r="K87" s="17" t="n"/>
      <c r="L87" s="17" t="n"/>
    </row>
    <row r="88">
      <c r="B88" s="23" t="n">
        <v>18</v>
      </c>
      <c r="C88" s="23" t="inlineStr">
        <is>
          <t>K</t>
        </is>
      </c>
      <c r="D88" s="24" t="inlineStr">
        <is>
          <t>273361821</t>
        </is>
      </c>
      <c r="E88" s="24" t="inlineStr">
        <is>
          <t>Výztuž B500B věnce 100 kg/m³ (Methvin sazba pro pozední věnce)</t>
        </is>
      </c>
      <c r="F88" s="23" t="inlineStr">
        <is>
          <t>kg</t>
        </is>
      </c>
      <c r="G88" s="25" t="n">
        <v>310</v>
      </c>
      <c r="H88" s="26" t="n"/>
      <c r="I88" s="26">
        <f>IF(H88="",0,G88*H88)</f>
        <v/>
      </c>
      <c r="J88" s="23" t="inlineStr">
        <is>
          <t>ÚRS 2026</t>
        </is>
      </c>
      <c r="K88" s="32" t="inlineStr">
        <is>
          <t>? needs production lookup</t>
        </is>
      </c>
      <c r="L88" s="5" t="inlineStr">
        <is>
          <t>HSV-2 Základové a ŽB</t>
        </is>
      </c>
    </row>
    <row r="89">
      <c r="B89" s="17" t="n"/>
      <c r="C89" s="28" t="inlineStr">
        <is>
          <t>VV</t>
        </is>
      </c>
      <c r="D89" s="17" t="n"/>
      <c r="E89" s="29" t="inlineStr">
        <is>
          <t>3.1 × 100 = 310</t>
        </is>
      </c>
      <c r="F89" s="17" t="n"/>
      <c r="G89" s="30" t="n">
        <v>310</v>
      </c>
      <c r="H89" s="17" t="n"/>
      <c r="I89" s="17" t="n"/>
      <c r="J89" s="17" t="n"/>
      <c r="K89" s="17" t="n"/>
      <c r="L89" s="17" t="n"/>
    </row>
    <row r="90">
      <c r="B90" s="23" t="n">
        <v>19</v>
      </c>
      <c r="C90" s="23" t="inlineStr">
        <is>
          <t>K</t>
        </is>
      </c>
      <c r="D90" s="24" t="inlineStr">
        <is>
          <t>274321111</t>
        </is>
      </c>
      <c r="E90" s="24" t="inlineStr">
        <is>
          <t>Nabetonávka stropu 2.NP/3.NP — beton C25/30 XC1 tl. 60 mm nad vlnu trapézového plechu 40S/160</t>
        </is>
      </c>
      <c r="F90" s="23" t="inlineStr">
        <is>
          <t>m³</t>
        </is>
      </c>
      <c r="G90" s="25" t="n">
        <v>6.26</v>
      </c>
      <c r="H90" s="26" t="n"/>
      <c r="I90" s="26">
        <f>IF(H90="",0,G90*H90)</f>
        <v/>
      </c>
      <c r="J90" s="23" t="inlineStr">
        <is>
          <t>ÚRS 2026</t>
        </is>
      </c>
      <c r="K90" s="31" t="inlineStr">
        <is>
          <t>⚠ family OK, leaf KROS lookup [evidence: https://www.cs-urs.cz/podminky/cu202/801-1-Budovy-a-haly---z]</t>
        </is>
      </c>
      <c r="L90" s="5" t="inlineStr">
        <is>
          <t>HSV-2 Základové a ŽB</t>
        </is>
      </c>
    </row>
    <row r="91">
      <c r="B91" s="17" t="n"/>
      <c r="C91" s="28" t="inlineStr">
        <is>
          <t>VV</t>
        </is>
      </c>
      <c r="D91" s="17" t="n"/>
      <c r="E91" s="29" t="inlineStr">
        <is>
          <t>104.4 m² × 0.06 m = 6.26</t>
        </is>
      </c>
      <c r="F91" s="17" t="n"/>
      <c r="G91" s="30" t="n">
        <v>6.26</v>
      </c>
      <c r="H91" s="17" t="n"/>
      <c r="I91" s="17" t="n"/>
      <c r="J91" s="17" t="n"/>
      <c r="K91" s="17" t="n"/>
      <c r="L91" s="17" t="n"/>
    </row>
    <row r="92">
      <c r="B92" s="23" t="n">
        <v>20</v>
      </c>
      <c r="C92" s="23" t="inlineStr">
        <is>
          <t>K</t>
        </is>
      </c>
      <c r="D92" s="24" t="inlineStr">
        <is>
          <t>273362441</t>
        </is>
      </c>
      <c r="E92" s="24" t="inlineStr">
        <is>
          <t>Výztuž nabetonávky kari síť 5/100/100 (cca 4.4 kg/m²)</t>
        </is>
      </c>
      <c r="F92" s="23" t="inlineStr">
        <is>
          <t>kg</t>
        </is>
      </c>
      <c r="G92" s="25" t="n">
        <v>459</v>
      </c>
      <c r="H92" s="26" t="n"/>
      <c r="I92" s="26">
        <f>IF(H92="",0,G92*H92)</f>
        <v/>
      </c>
      <c r="J92" s="23" t="inlineStr">
        <is>
          <t>ÚRS 2026</t>
        </is>
      </c>
      <c r="K92" s="32" t="inlineStr">
        <is>
          <t>? needs production lookup</t>
        </is>
      </c>
      <c r="L92" s="5" t="inlineStr">
        <is>
          <t>HSV-2 Základové a ŽB</t>
        </is>
      </c>
    </row>
    <row r="93">
      <c r="B93" s="17" t="n"/>
      <c r="C93" s="28" t="inlineStr">
        <is>
          <t>VV</t>
        </is>
      </c>
      <c r="D93" s="17" t="n"/>
      <c r="E93" s="29" t="inlineStr">
        <is>
          <t>104.4 m² × 4.4 kg/m² = 459</t>
        </is>
      </c>
      <c r="F93" s="17" t="n"/>
      <c r="G93" s="30" t="n">
        <v>459</v>
      </c>
      <c r="H93" s="17" t="n"/>
      <c r="I93" s="17" t="n"/>
      <c r="J93" s="17" t="n"/>
      <c r="K93" s="17" t="n"/>
      <c r="L93" s="17" t="n"/>
    </row>
    <row r="94">
      <c r="B94" s="23" t="n">
        <v>21</v>
      </c>
      <c r="C94" s="23" t="inlineStr">
        <is>
          <t>K</t>
        </is>
      </c>
      <c r="D94" s="24" t="inlineStr">
        <is>
          <t>273321311</t>
        </is>
      </c>
      <c r="E94" s="24" t="inlineStr">
        <is>
          <t>ŽB deska podlahy 1.NP na terénu tl. 150 mm, C25/30 XC2 + vyztužení kari 6/150/150 + okrajové pruty</t>
        </is>
      </c>
      <c r="F94" s="23" t="inlineStr">
        <is>
          <t>m³</t>
        </is>
      </c>
      <c r="G94" s="25" t="n">
        <v>10.96</v>
      </c>
      <c r="H94" s="26" t="n"/>
      <c r="I94" s="26">
        <f>IF(H94="",0,G94*H94)</f>
        <v/>
      </c>
      <c r="J94" s="23" t="inlineStr">
        <is>
          <t>ÚRS 2026</t>
        </is>
      </c>
      <c r="K94" s="31" t="inlineStr">
        <is>
          <t>⚠ family OK, leaf KROS lookup [evidence: https://styrotrade.cz/cs/nas-obchod/odborne-rady/skladby-pod]</t>
        </is>
      </c>
      <c r="L94" s="5" t="inlineStr">
        <is>
          <t>HSV-2 Základové a ŽB</t>
        </is>
      </c>
    </row>
    <row r="95">
      <c r="B95" s="17" t="n"/>
      <c r="C95" s="28" t="inlineStr">
        <is>
          <t>VV</t>
        </is>
      </c>
      <c r="D95" s="17" t="n"/>
      <c r="E95" s="29" t="inlineStr">
        <is>
          <t>104.4 × 0.7 (rozsah 1.NP) × 0.15 = ~11.0</t>
        </is>
      </c>
      <c r="F95" s="17" t="n"/>
      <c r="G95" s="30" t="n">
        <v>10.96</v>
      </c>
      <c r="H95" s="17" t="n"/>
      <c r="I95" s="17" t="n"/>
      <c r="J95" s="17" t="n"/>
      <c r="K95" s="17" t="n"/>
      <c r="L95" s="17" t="n"/>
    </row>
    <row r="96">
      <c r="B96" s="23" t="n">
        <v>22</v>
      </c>
      <c r="C96" s="23" t="inlineStr">
        <is>
          <t>K</t>
        </is>
      </c>
      <c r="D96" s="24" t="inlineStr">
        <is>
          <t>273361821</t>
        </is>
      </c>
      <c r="E96" s="24" t="inlineStr">
        <is>
          <t>Výztuž ŽB desky 1.NP — kari 6/150/150 + B500B okrajové pruty (~75 kg/m³ Methvin)</t>
        </is>
      </c>
      <c r="F96" s="23" t="inlineStr">
        <is>
          <t>kg</t>
        </is>
      </c>
      <c r="G96" s="25" t="n">
        <v>825</v>
      </c>
      <c r="H96" s="26" t="n"/>
      <c r="I96" s="26">
        <f>IF(H96="",0,G96*H96)</f>
        <v/>
      </c>
      <c r="J96" s="23" t="inlineStr">
        <is>
          <t>ÚRS 2026</t>
        </is>
      </c>
      <c r="K96" s="32" t="inlineStr">
        <is>
          <t>? needs production lookup</t>
        </is>
      </c>
      <c r="L96" s="5" t="inlineStr">
        <is>
          <t>HSV-2 Základové a ŽB</t>
        </is>
      </c>
    </row>
    <row r="97">
      <c r="B97" s="17" t="n"/>
      <c r="C97" s="28" t="inlineStr">
        <is>
          <t>VV</t>
        </is>
      </c>
      <c r="D97" s="17" t="n"/>
      <c r="E97" s="29" t="inlineStr">
        <is>
          <t>11.0 × 75 = 825</t>
        </is>
      </c>
      <c r="F97" s="17" t="n"/>
      <c r="G97" s="30" t="n">
        <v>825</v>
      </c>
      <c r="H97" s="17" t="n"/>
      <c r="I97" s="17" t="n"/>
      <c r="J97" s="17" t="n"/>
      <c r="K97" s="17" t="n"/>
      <c r="L97" s="17" t="n"/>
    </row>
    <row r="98">
      <c r="B98" s="21" t="n"/>
      <c r="C98" s="22" t="inlineStr">
        <is>
          <t>D</t>
        </is>
      </c>
      <c r="D98" s="22" t="inlineStr">
        <is>
          <t>HSV-3</t>
        </is>
      </c>
      <c r="E98" s="22" t="inlineStr">
        <is>
          <t>HSV-3 Svislé konstrukce</t>
        </is>
      </c>
      <c r="F98" s="21" t="n"/>
      <c r="G98" s="21" t="n"/>
      <c r="H98" s="21" t="n"/>
      <c r="I98" s="21" t="n"/>
      <c r="J98" s="21" t="n"/>
      <c r="K98" s="21" t="n"/>
      <c r="L98" s="21" t="n"/>
    </row>
    <row r="99">
      <c r="B99" s="23" t="n">
        <v>23</v>
      </c>
      <c r="C99" s="23" t="inlineStr">
        <is>
          <t>K</t>
        </is>
      </c>
      <c r="D99" s="24" t="inlineStr">
        <is>
          <t>311232511</t>
        </is>
      </c>
      <c r="E99" s="24" t="inlineStr">
        <is>
          <t>Lokální dozdívky a přizdívky z cihel plných pálených P10 na MVC M10 (uvedeno v TZ statika §4)</t>
        </is>
      </c>
      <c r="F99" s="23" t="inlineStr">
        <is>
          <t>m³</t>
        </is>
      </c>
      <c r="G99" s="25" t="n">
        <v>4</v>
      </c>
      <c r="H99" s="26" t="n"/>
      <c r="I99" s="26">
        <f>IF(H99="",0,G99*H99)</f>
        <v/>
      </c>
      <c r="J99" s="23" t="inlineStr">
        <is>
          <t>ÚRS 2026</t>
        </is>
      </c>
      <c r="K99" s="32" t="inlineStr">
        <is>
          <t>? needs production lookup</t>
        </is>
      </c>
      <c r="L99" s="5" t="inlineStr">
        <is>
          <t>HSV-3 Svislé konstrukce</t>
        </is>
      </c>
    </row>
    <row r="100">
      <c r="B100" s="17" t="n"/>
      <c r="C100" s="28" t="inlineStr">
        <is>
          <t>VV</t>
        </is>
      </c>
      <c r="D100" s="17" t="n"/>
      <c r="E100" s="29" t="inlineStr">
        <is>
          <t>odhad — drobné dozdívky kolem nových otvorů 1.NP/2.NP</t>
        </is>
      </c>
      <c r="F100" s="17" t="n"/>
      <c r="G100" s="30" t="n">
        <v>4</v>
      </c>
      <c r="H100" s="17" t="n"/>
      <c r="I100" s="17" t="n"/>
      <c r="J100" s="17" t="n"/>
      <c r="K100" s="17" t="n"/>
      <c r="L100" s="17" t="n"/>
    </row>
    <row r="101">
      <c r="B101" s="23" t="n">
        <v>24</v>
      </c>
      <c r="C101" s="23" t="inlineStr">
        <is>
          <t>K</t>
        </is>
      </c>
      <c r="D101" s="24" t="inlineStr">
        <is>
          <t>311321411</t>
        </is>
      </c>
      <c r="E101" s="24" t="inlineStr">
        <is>
          <t>Nadezdívka 3.NP a čela vikýřů — Porotherm 30 Profi P10 na maltu pro tenké spáry, výška 2.65 m</t>
        </is>
      </c>
      <c r="F101" s="23" t="inlineStr">
        <is>
          <t>m²</t>
        </is>
      </c>
      <c r="G101" s="25" t="n">
        <v>71.8</v>
      </c>
      <c r="H101" s="26" t="n"/>
      <c r="I101" s="26">
        <f>IF(H101="",0,G101*H101)</f>
        <v/>
      </c>
      <c r="J101" s="23" t="inlineStr">
        <is>
          <t>ÚRS 2026</t>
        </is>
      </c>
      <c r="K101" s="27" t="inlineStr">
        <is>
          <t>✓ ověřeno cs-urs.cz [evidence: https://www.wienerberger.cz/zdivo-porotherm/produkty/cihly/p]</t>
        </is>
      </c>
      <c r="L101" s="5" t="inlineStr">
        <is>
          <t>HSV-3 Svislé konstrukce</t>
        </is>
      </c>
    </row>
    <row r="102">
      <c r="B102" s="17" t="n"/>
      <c r="C102" s="28" t="inlineStr">
        <is>
          <t>VV</t>
        </is>
      </c>
      <c r="D102" s="17" t="n"/>
      <c r="E102" s="29" t="inlineStr">
        <is>
          <t>obvod 38.7 m (DXF km_R_návrh_tlustá 2) × výška 2.65 m × 0.7 (sníženo o štíty zachované — řadovka) = 71.8 m²</t>
        </is>
      </c>
      <c r="F102" s="17" t="n"/>
      <c r="G102" s="30" t="n">
        <v>71.8</v>
      </c>
      <c r="H102" s="17" t="n"/>
      <c r="I102" s="17" t="n"/>
      <c r="J102" s="17" t="n"/>
      <c r="K102" s="17" t="n"/>
      <c r="L102" s="17" t="n"/>
    </row>
    <row r="103">
      <c r="B103" s="23" t="n">
        <v>25</v>
      </c>
      <c r="C103" s="23" t="inlineStr">
        <is>
          <t>K</t>
        </is>
      </c>
      <c r="D103" s="24" t="inlineStr">
        <is>
          <t>317143112</t>
        </is>
      </c>
      <c r="E103" s="24" t="inlineStr">
        <is>
          <t>Ocelové překlady IPN160 ve dvojici nad otvory pro nové dveře/okna v 1.NP a 2.NP (8 otvorů odhad)</t>
        </is>
      </c>
      <c r="F103" s="23" t="inlineStr">
        <is>
          <t>ks</t>
        </is>
      </c>
      <c r="G103" s="25" t="n">
        <v>8</v>
      </c>
      <c r="H103" s="26" t="n"/>
      <c r="I103" s="26">
        <f>IF(H103="",0,G103*H103)</f>
        <v/>
      </c>
      <c r="J103" s="23" t="inlineStr">
        <is>
          <t>ÚRS 2026</t>
        </is>
      </c>
      <c r="K103" s="31" t="inlineStr">
        <is>
          <t>⚠ family OK, leaf KROS lookup [evidence: https://www.heluz.cz/cs/vyrobek/preklad-heluz-23-8-a-200-1]</t>
        </is>
      </c>
      <c r="L103" s="5" t="inlineStr">
        <is>
          <t>HSV-3 Svislé konstrukce</t>
        </is>
      </c>
    </row>
    <row r="104">
      <c r="B104" s="17" t="n"/>
      <c r="C104" s="28" t="inlineStr">
        <is>
          <t>VV</t>
        </is>
      </c>
      <c r="D104" s="17" t="n"/>
      <c r="E104" s="29" t="inlineStr">
        <is>
          <t>odhad 8 nových otvorů × 2 IPN160 (dvojice)</t>
        </is>
      </c>
      <c r="F104" s="17" t="n"/>
      <c r="G104" s="30" t="n">
        <v>8</v>
      </c>
      <c r="H104" s="17" t="n"/>
      <c r="I104" s="17" t="n"/>
      <c r="J104" s="17" t="n"/>
      <c r="K104" s="17" t="n"/>
      <c r="L104" s="17" t="n"/>
    </row>
    <row r="105">
      <c r="B105" s="23" t="n">
        <v>26</v>
      </c>
      <c r="C105" s="23" t="inlineStr">
        <is>
          <t>K</t>
        </is>
      </c>
      <c r="D105" s="24" t="inlineStr">
        <is>
          <t>317242421</t>
        </is>
      </c>
      <c r="E105" s="24" t="inlineStr">
        <is>
          <t>Maltové uložení překladů IPN160 — MC25 tl. 50 mm + kari 5/100/100 (po obou stranách otvoru)</t>
        </is>
      </c>
      <c r="F105" s="23" t="inlineStr">
        <is>
          <t>kpl</t>
        </is>
      </c>
      <c r="G105" s="25" t="n">
        <v>16</v>
      </c>
      <c r="H105" s="26" t="n"/>
      <c r="I105" s="26">
        <f>IF(H105="",0,G105*H105)</f>
        <v/>
      </c>
      <c r="J105" s="23" t="inlineStr">
        <is>
          <t>ÚRS 2026</t>
        </is>
      </c>
      <c r="K105" s="32" t="inlineStr">
        <is>
          <t>? needs production lookup</t>
        </is>
      </c>
      <c r="L105" s="5" t="inlineStr">
        <is>
          <t>HSV-3 Svislé konstrukce</t>
        </is>
      </c>
    </row>
    <row r="106">
      <c r="B106" s="17" t="n"/>
      <c r="C106" s="28" t="inlineStr">
        <is>
          <t>VV</t>
        </is>
      </c>
      <c r="D106" s="17" t="n"/>
      <c r="E106" s="29" t="inlineStr">
        <is>
          <t>8 otvorů × 2 strany = 16 uložení</t>
        </is>
      </c>
      <c r="F106" s="17" t="n"/>
      <c r="G106" s="30" t="n">
        <v>16</v>
      </c>
      <c r="H106" s="17" t="n"/>
      <c r="I106" s="17" t="n"/>
      <c r="J106" s="17" t="n"/>
      <c r="K106" s="17" t="n"/>
      <c r="L106" s="17" t="n"/>
    </row>
    <row r="107">
      <c r="B107" s="23" t="n">
        <v>27</v>
      </c>
      <c r="C107" s="23" t="inlineStr">
        <is>
          <t>K</t>
        </is>
      </c>
      <c r="D107" s="24" t="inlineStr">
        <is>
          <t>767131120</t>
        </is>
      </c>
      <c r="E107" s="24" t="inlineStr">
        <is>
          <t>Zesílení ostění úhelníky L100/10 dvojicí u otvoru u komínového tělesa (statická limitace)</t>
        </is>
      </c>
      <c r="F107" s="23" t="inlineStr">
        <is>
          <t>ks</t>
        </is>
      </c>
      <c r="G107" s="25" t="n">
        <v>4</v>
      </c>
      <c r="H107" s="26" t="n"/>
      <c r="I107" s="26">
        <f>IF(H107="",0,G107*H107)</f>
        <v/>
      </c>
      <c r="J107" s="23" t="inlineStr">
        <is>
          <t>ÚRS 2026</t>
        </is>
      </c>
      <c r="K107" s="27" t="inlineStr">
        <is>
          <t>✓ cross-discipline OK [evidence: https://online.ferona.cz/detail/28401/profil-rovnoramenny-l-]</t>
        </is>
      </c>
      <c r="L107" s="5" t="inlineStr">
        <is>
          <t>HSV-3 Svislé konstrukce</t>
        </is>
      </c>
    </row>
    <row r="108">
      <c r="B108" s="17" t="n"/>
      <c r="C108" s="28" t="inlineStr">
        <is>
          <t>VV</t>
        </is>
      </c>
      <c r="D108" s="17" t="n"/>
      <c r="E108" s="29" t="inlineStr">
        <is>
          <t>TZ statika §4 — 2× L100/10 (dvojice) na 2 strany otvoru = 4 ks</t>
        </is>
      </c>
      <c r="F108" s="17" t="n"/>
      <c r="G108" s="30" t="n">
        <v>4</v>
      </c>
      <c r="H108" s="17" t="n"/>
      <c r="I108" s="17" t="n"/>
      <c r="J108" s="17" t="n"/>
      <c r="K108" s="17" t="n"/>
      <c r="L108" s="17" t="n"/>
    </row>
    <row r="109">
      <c r="B109" s="23" t="n">
        <v>28</v>
      </c>
      <c r="C109" s="23" t="inlineStr">
        <is>
          <t>K</t>
        </is>
      </c>
      <c r="D109" s="24" t="inlineStr">
        <is>
          <t>962081120</t>
        </is>
      </c>
      <c r="E109" s="24" t="inlineStr">
        <is>
          <t>Dočasné podstojkování stávajících přiléhajících stropů při osazování IPN překladů (8 otvorů)</t>
        </is>
      </c>
      <c r="F109" s="23" t="inlineStr">
        <is>
          <t>kpl</t>
        </is>
      </c>
      <c r="G109" s="25" t="n">
        <v>8</v>
      </c>
      <c r="H109" s="26" t="n"/>
      <c r="I109" s="26">
        <f>IF(H109="",0,G109*H109)</f>
        <v/>
      </c>
      <c r="J109" s="23" t="inlineStr">
        <is>
          <t>ÚRS 2026</t>
        </is>
      </c>
      <c r="K109" s="31" t="inlineStr">
        <is>
          <t>⚠ family OK, leaf KROS lookup [evidence: https://www.cs-urs.cz/podminky/cu202/801-3-Budovy-a-haly---b]</t>
        </is>
      </c>
      <c r="L109" s="5" t="inlineStr">
        <is>
          <t>HSV-3 Svislé konstrukce</t>
        </is>
      </c>
    </row>
    <row r="110">
      <c r="B110" s="17" t="n"/>
      <c r="C110" s="28" t="inlineStr">
        <is>
          <t>VV</t>
        </is>
      </c>
      <c r="D110" s="17" t="n"/>
      <c r="E110" s="29">
        <f> počet překladů (po jednom podstojkování per otvor)</f>
        <v/>
      </c>
      <c r="F110" s="17" t="n"/>
      <c r="G110" s="30" t="n">
        <v>8</v>
      </c>
      <c r="H110" s="17" t="n"/>
      <c r="I110" s="17" t="n"/>
      <c r="J110" s="17" t="n"/>
      <c r="K110" s="17" t="n"/>
      <c r="L110" s="17" t="n"/>
    </row>
    <row r="111">
      <c r="B111" s="23" t="n">
        <v>29</v>
      </c>
      <c r="C111" s="23" t="inlineStr">
        <is>
          <t>K</t>
        </is>
      </c>
      <c r="D111" s="24" t="inlineStr">
        <is>
          <t>342241211</t>
        </is>
      </c>
      <c r="E111" s="24" t="inlineStr">
        <is>
          <t>Nové příčky z pórobetonových tvárnic 150 mm na lepidlo + dilatovány od stropu</t>
        </is>
      </c>
      <c r="F111" s="23" t="inlineStr">
        <is>
          <t>m²</t>
        </is>
      </c>
      <c r="G111" s="25" t="n">
        <v>87.7</v>
      </c>
      <c r="H111" s="26" t="n"/>
      <c r="I111" s="26">
        <f>IF(H111="",0,G111*H111)</f>
        <v/>
      </c>
      <c r="J111" s="23" t="inlineStr">
        <is>
          <t>ÚRS 2026</t>
        </is>
      </c>
      <c r="K111" s="31" t="inlineStr">
        <is>
          <t>⚠ family OK, leaf KROS lookup [evidence: https://www.stavago.cz/prickovka-ytong-klasik-tl-150-mm/]</t>
        </is>
      </c>
      <c r="L111" s="5" t="inlineStr">
        <is>
          <t>HSV-3 Svislé konstrukce</t>
        </is>
      </c>
    </row>
    <row r="112">
      <c r="B112" s="17" t="n"/>
      <c r="C112" s="28" t="inlineStr">
        <is>
          <t>VV</t>
        </is>
      </c>
      <c r="D112" s="17" t="n"/>
      <c r="E112" s="29" t="inlineStr">
        <is>
          <t>podlahova_plocha × 0.4 (typický rozsah příček 30-50%)</t>
        </is>
      </c>
      <c r="F112" s="17" t="n"/>
      <c r="G112" s="30" t="n">
        <v>87.7</v>
      </c>
      <c r="H112" s="17" t="n"/>
      <c r="I112" s="17" t="n"/>
      <c r="J112" s="17" t="n"/>
      <c r="K112" s="17" t="n"/>
      <c r="L112" s="17" t="n"/>
    </row>
    <row r="113">
      <c r="B113" s="21" t="n"/>
      <c r="C113" s="22" t="inlineStr">
        <is>
          <t>D</t>
        </is>
      </c>
      <c r="D113" s="22" t="inlineStr">
        <is>
          <t>HSV-4</t>
        </is>
      </c>
      <c r="E113" s="22" t="inlineStr">
        <is>
          <t>HSV-4 Vodorovné</t>
        </is>
      </c>
      <c r="F113" s="21" t="n"/>
      <c r="G113" s="21" t="n"/>
      <c r="H113" s="21" t="n"/>
      <c r="I113" s="21" t="n"/>
      <c r="J113" s="21" t="n"/>
      <c r="K113" s="21" t="n"/>
      <c r="L113" s="21" t="n"/>
    </row>
    <row r="114">
      <c r="B114" s="23" t="n">
        <v>30</v>
      </c>
      <c r="C114" s="23" t="inlineStr">
        <is>
          <t>K</t>
        </is>
      </c>
      <c r="D114" s="24" t="inlineStr">
        <is>
          <t>411321414</t>
        </is>
      </c>
      <c r="E114" s="24" t="inlineStr">
        <is>
          <t>Ocelová stropnice IPE180 1.NP v pozici nové příčky 2.NP — dodávka + montáž (1 ks × ~5 m)</t>
        </is>
      </c>
      <c r="F114" s="23" t="inlineStr">
        <is>
          <t>kg</t>
        </is>
      </c>
      <c r="G114" s="25" t="n">
        <v>94</v>
      </c>
      <c r="H114" s="26" t="n"/>
      <c r="I114" s="26">
        <f>IF(H114="",0,G114*H114)</f>
        <v/>
      </c>
      <c r="J114" s="23" t="inlineStr">
        <is>
          <t>ÚRS 2026</t>
        </is>
      </c>
      <c r="K114" s="31" t="inlineStr">
        <is>
          <t>⚠ family OK, leaf KROS lookup [evidence: https://podminky.urs.cz/]</t>
        </is>
      </c>
      <c r="L114" s="5" t="inlineStr">
        <is>
          <t>HSV-4 Vodorovné</t>
        </is>
      </c>
    </row>
    <row r="115">
      <c r="B115" s="17" t="n"/>
      <c r="C115" s="28" t="inlineStr">
        <is>
          <t>VV</t>
        </is>
      </c>
      <c r="D115" s="17" t="n"/>
      <c r="E115" s="29" t="inlineStr">
        <is>
          <t>1 ks × 5 m × 18.8 kg/m (IPE180 hmotnost) = 94</t>
        </is>
      </c>
      <c r="F115" s="17" t="n"/>
      <c r="G115" s="30" t="n">
        <v>94</v>
      </c>
      <c r="H115" s="17" t="n"/>
      <c r="I115" s="17" t="n"/>
      <c r="J115" s="17" t="n"/>
      <c r="K115" s="17" t="n"/>
      <c r="L115" s="17" t="n"/>
    </row>
    <row r="116">
      <c r="B116" s="23" t="n">
        <v>31</v>
      </c>
      <c r="C116" s="23" t="inlineStr">
        <is>
          <t>K</t>
        </is>
      </c>
      <c r="D116" s="24" t="inlineStr">
        <is>
          <t>411321414</t>
        </is>
      </c>
      <c r="E116" s="24" t="inlineStr">
        <is>
          <t>Ocelobetonový strop 2.NP/3.NP — stropnice IPE180 á 1000 mm × rozpon ~8 m × ~8 ks</t>
        </is>
      </c>
      <c r="F116" s="23" t="inlineStr">
        <is>
          <t>kg</t>
        </is>
      </c>
      <c r="G116" s="25" t="n">
        <v>1203</v>
      </c>
      <c r="H116" s="26" t="n"/>
      <c r="I116" s="26">
        <f>IF(H116="",0,G116*H116)</f>
        <v/>
      </c>
      <c r="J116" s="23" t="inlineStr">
        <is>
          <t>ÚRS 2026</t>
        </is>
      </c>
      <c r="K116" s="31" t="inlineStr">
        <is>
          <t>⚠ family OK, leaf KROS lookup [evidence: https://www.urs.cz/data/download/seznam-katalogu-cs-urs-v-kr]</t>
        </is>
      </c>
      <c r="L116" s="5" t="inlineStr">
        <is>
          <t>HSV-4 Vodorovné</t>
        </is>
      </c>
    </row>
    <row r="117">
      <c r="B117" s="17" t="n"/>
      <c r="C117" s="28" t="inlineStr">
        <is>
          <t>VV</t>
        </is>
      </c>
      <c r="D117" s="17" t="n"/>
      <c r="E117" s="29" t="inlineStr">
        <is>
          <t>8 ks × 8 m × 18.8 kg/m = 1203</t>
        </is>
      </c>
      <c r="F117" s="17" t="n"/>
      <c r="G117" s="30" t="n">
        <v>1203</v>
      </c>
      <c r="H117" s="17" t="n"/>
      <c r="I117" s="17" t="n"/>
      <c r="J117" s="17" t="n"/>
      <c r="K117" s="17" t="n"/>
      <c r="L117" s="17" t="n"/>
    </row>
    <row r="118">
      <c r="B118" s="23" t="n">
        <v>32</v>
      </c>
      <c r="C118" s="23" t="inlineStr">
        <is>
          <t>K</t>
        </is>
      </c>
      <c r="D118" s="24" t="inlineStr">
        <is>
          <t>411321414</t>
        </is>
      </c>
      <c r="E118" s="24" t="inlineStr">
        <is>
          <t>Ocelobetonový strop — výztuha 2×HEA180 trakt do ulice (Fibichova), dl. ~10 m</t>
        </is>
      </c>
      <c r="F118" s="23" t="inlineStr">
        <is>
          <t>kg</t>
        </is>
      </c>
      <c r="G118" s="25" t="n">
        <v>710</v>
      </c>
      <c r="H118" s="26" t="n"/>
      <c r="I118" s="26">
        <f>IF(H118="",0,G118*H118)</f>
        <v/>
      </c>
      <c r="J118" s="23" t="inlineStr">
        <is>
          <t>ÚRS 2026</t>
        </is>
      </c>
      <c r="K118" s="31" t="inlineStr">
        <is>
          <t>⚠ family OK, leaf KROS lookup [evidence: https://podminky.urs.cz/]</t>
        </is>
      </c>
      <c r="L118" s="5" t="inlineStr">
        <is>
          <t>HSV-4 Vodorovné</t>
        </is>
      </c>
    </row>
    <row r="119">
      <c r="B119" s="17" t="n"/>
      <c r="C119" s="28" t="inlineStr">
        <is>
          <t>VV</t>
        </is>
      </c>
      <c r="D119" s="17" t="n"/>
      <c r="E119" s="29" t="inlineStr">
        <is>
          <t>2 ks × 10 m × 35.5 kg/m (HEA180) = 710</t>
        </is>
      </c>
      <c r="F119" s="17" t="n"/>
      <c r="G119" s="30" t="n">
        <v>710</v>
      </c>
      <c r="H119" s="17" t="n"/>
      <c r="I119" s="17" t="n"/>
      <c r="J119" s="17" t="n"/>
      <c r="K119" s="17" t="n"/>
      <c r="L119" s="17" t="n"/>
    </row>
    <row r="120">
      <c r="B120" s="23" t="n">
        <v>33</v>
      </c>
      <c r="C120" s="23" t="inlineStr">
        <is>
          <t>K</t>
        </is>
      </c>
      <c r="D120" s="24" t="inlineStr">
        <is>
          <t>411321414</t>
        </is>
      </c>
      <c r="E120" s="24" t="inlineStr">
        <is>
          <t>Ocelobetonový strop — výztuha HEA200 dvorní trakt, dl. ~10 m</t>
        </is>
      </c>
      <c r="F120" s="23" t="inlineStr">
        <is>
          <t>kg</t>
        </is>
      </c>
      <c r="G120" s="25" t="n">
        <v>423</v>
      </c>
      <c r="H120" s="26" t="n"/>
      <c r="I120" s="26">
        <f>IF(H120="",0,G120*H120)</f>
        <v/>
      </c>
      <c r="J120" s="23" t="inlineStr">
        <is>
          <t>ÚRS 2026</t>
        </is>
      </c>
      <c r="K120" s="32" t="inlineStr">
        <is>
          <t>? needs production lookup</t>
        </is>
      </c>
      <c r="L120" s="5" t="inlineStr">
        <is>
          <t>HSV-4 Vodorovné</t>
        </is>
      </c>
    </row>
    <row r="121">
      <c r="B121" s="17" t="n"/>
      <c r="C121" s="28" t="inlineStr">
        <is>
          <t>VV</t>
        </is>
      </c>
      <c r="D121" s="17" t="n"/>
      <c r="E121" s="29" t="inlineStr">
        <is>
          <t>1 ks × 10 m × 42.3 kg/m (HEA200) = 423</t>
        </is>
      </c>
      <c r="F121" s="17" t="n"/>
      <c r="G121" s="30" t="n">
        <v>423</v>
      </c>
      <c r="H121" s="17" t="n"/>
      <c r="I121" s="17" t="n"/>
      <c r="J121" s="17" t="n"/>
      <c r="K121" s="17" t="n"/>
      <c r="L121" s="17" t="n"/>
    </row>
    <row r="122">
      <c r="B122" s="23" t="n">
        <v>34</v>
      </c>
      <c r="C122" s="23" t="inlineStr">
        <is>
          <t>K</t>
        </is>
      </c>
      <c r="D122" s="24" t="inlineStr">
        <is>
          <t>411321414</t>
        </is>
      </c>
      <c r="E122" s="24" t="inlineStr">
        <is>
          <t>Trapézový plech 40S/160 tl. 0.75 mm — dodávka + montáž na stropnice IPE180</t>
        </is>
      </c>
      <c r="F122" s="23" t="inlineStr">
        <is>
          <t>m²</t>
        </is>
      </c>
      <c r="G122" s="25" t="n">
        <v>104.4</v>
      </c>
      <c r="H122" s="26" t="n"/>
      <c r="I122" s="26">
        <f>IF(H122="",0,G122*H122)</f>
        <v/>
      </c>
      <c r="J122" s="23" t="inlineStr">
        <is>
          <t>ÚRS 2026</t>
        </is>
      </c>
      <c r="K122" s="31" t="inlineStr">
        <is>
          <t>⚠ family OK, leaf KROS lookup [evidence: https://www.cs-urs.cz/podminky/cu202/801-1-Budovy-a-haly---z]</t>
        </is>
      </c>
      <c r="L122" s="5" t="inlineStr">
        <is>
          <t>HSV-4 Vodorovné</t>
        </is>
      </c>
    </row>
    <row r="123">
      <c r="B123" s="17" t="n"/>
      <c r="C123" s="28" t="inlineStr">
        <is>
          <t>VV</t>
        </is>
      </c>
      <c r="D123" s="17" t="n"/>
      <c r="E123" s="29">
        <f> zastavěna plocha 104.4 m² (celý strop 2.NP/3.NP)</f>
        <v/>
      </c>
      <c r="F123" s="17" t="n"/>
      <c r="G123" s="30" t="n">
        <v>104.4</v>
      </c>
      <c r="H123" s="17" t="n"/>
      <c r="I123" s="17" t="n"/>
      <c r="J123" s="17" t="n"/>
      <c r="K123" s="17" t="n"/>
      <c r="L123" s="17" t="n"/>
    </row>
    <row r="124">
      <c r="B124" s="23" t="n">
        <v>35</v>
      </c>
      <c r="C124" s="23" t="inlineStr">
        <is>
          <t>K</t>
        </is>
      </c>
      <c r="D124" s="24" t="inlineStr">
        <is>
          <t>342213131</t>
        </is>
      </c>
      <c r="E124" s="24" t="inlineStr">
        <is>
          <t>Protipožární SDK podhled pod trapézovým plechem (EI 30 dle PBŘ — ocelobeton + SDK)</t>
        </is>
      </c>
      <c r="F124" s="23" t="inlineStr">
        <is>
          <t>m²</t>
        </is>
      </c>
      <c r="G124" s="25" t="n">
        <v>104.4</v>
      </c>
      <c r="H124" s="26" t="n"/>
      <c r="I124" s="26">
        <f>IF(H124="",0,G124*H124)</f>
        <v/>
      </c>
      <c r="J124" s="23" t="inlineStr">
        <is>
          <t>ÚRS 2026</t>
        </is>
      </c>
      <c r="K124" s="31" t="inlineStr">
        <is>
          <t>⚠ family OK, leaf KROS lookup [evidence: https://www.cs-urs.cz/podminky/cu202/801-1-Budovy-a-haly---z]</t>
        </is>
      </c>
      <c r="L124" s="5" t="inlineStr">
        <is>
          <t>HSV-4 Vodorovné</t>
        </is>
      </c>
    </row>
    <row r="125">
      <c r="B125" s="17" t="n"/>
      <c r="C125" s="28" t="inlineStr">
        <is>
          <t>VV</t>
        </is>
      </c>
      <c r="D125" s="17" t="n"/>
      <c r="E125" s="29">
        <f> plocha trapézu 104.4 m²</f>
        <v/>
      </c>
      <c r="F125" s="17" t="n"/>
      <c r="G125" s="30" t="n">
        <v>104.4</v>
      </c>
      <c r="H125" s="17" t="n"/>
      <c r="I125" s="17" t="n"/>
      <c r="J125" s="17" t="n"/>
      <c r="K125" s="17" t="n"/>
      <c r="L125" s="17" t="n"/>
    </row>
    <row r="126">
      <c r="B126" s="23" t="n">
        <v>36</v>
      </c>
      <c r="C126" s="23" t="inlineStr">
        <is>
          <t>K</t>
        </is>
      </c>
      <c r="D126" s="24" t="inlineStr">
        <is>
          <t>974031150</t>
        </is>
      </c>
      <c r="E126" s="24" t="inlineStr">
        <is>
          <t>Vyvezení původního zásypu z cihelné klenby 1.PP/1.NP — manuálně + odvoz</t>
        </is>
      </c>
      <c r="F126" s="23" t="inlineStr">
        <is>
          <t>m³</t>
        </is>
      </c>
      <c r="G126" s="25" t="n">
        <v>8</v>
      </c>
      <c r="H126" s="26" t="n"/>
      <c r="I126" s="26">
        <f>IF(H126="",0,G126*H126)</f>
        <v/>
      </c>
      <c r="J126" s="23" t="inlineStr">
        <is>
          <t>ÚRS 2026</t>
        </is>
      </c>
      <c r="K126" s="27" t="inlineStr">
        <is>
          <t>✓ cross-discipline OK [evidence: https://www.cs-urs.cz/podminky/cu202/801-3-Budovy-a-haly---b]</t>
        </is>
      </c>
      <c r="L126" s="5" t="inlineStr">
        <is>
          <t>HSV-4 Vodorovné</t>
        </is>
      </c>
    </row>
    <row r="127">
      <c r="B127" s="17" t="n"/>
      <c r="C127" s="28" t="inlineStr">
        <is>
          <t>VV</t>
        </is>
      </c>
      <c r="D127" s="17" t="n"/>
      <c r="E127" s="29" t="inlineStr">
        <is>
          <t>klenba ~50 m² × tl. zásypu 0.15 m = 7.5 (round 8)</t>
        </is>
      </c>
      <c r="F127" s="17" t="n"/>
      <c r="G127" s="30" t="n">
        <v>8</v>
      </c>
      <c r="H127" s="17" t="n"/>
      <c r="I127" s="17" t="n"/>
      <c r="J127" s="17" t="n"/>
      <c r="K127" s="17" t="n"/>
      <c r="L127" s="17" t="n"/>
    </row>
    <row r="128">
      <c r="B128" s="23" t="n">
        <v>37</v>
      </c>
      <c r="C128" s="23" t="inlineStr">
        <is>
          <t>K</t>
        </is>
      </c>
      <c r="D128" s="24" t="inlineStr">
        <is>
          <t>271223111</t>
        </is>
      </c>
      <c r="E128" s="24" t="inlineStr">
        <is>
          <t>Nový zásyp klenby 1.PP/1.NP — perlitbeton (lehký zásyp) tl. 100 mm</t>
        </is>
      </c>
      <c r="F128" s="23" t="inlineStr">
        <is>
          <t>m³</t>
        </is>
      </c>
      <c r="G128" s="25" t="n">
        <v>5</v>
      </c>
      <c r="H128" s="26" t="n"/>
      <c r="I128" s="26">
        <f>IF(H128="",0,G128*H128)</f>
        <v/>
      </c>
      <c r="J128" s="23" t="inlineStr">
        <is>
          <t>ÚRS 2026</t>
        </is>
      </c>
      <c r="K128" s="32" t="inlineStr">
        <is>
          <t>? needs production lookup</t>
        </is>
      </c>
      <c r="L128" s="5" t="inlineStr">
        <is>
          <t>HSV-4 Vodorovné</t>
        </is>
      </c>
    </row>
    <row r="129">
      <c r="B129" s="17" t="n"/>
      <c r="C129" s="28" t="inlineStr">
        <is>
          <t>VV</t>
        </is>
      </c>
      <c r="D129" s="17" t="n"/>
      <c r="E129" s="29" t="inlineStr">
        <is>
          <t>klenba 50 m² × 0.10 m perlitbeton = 5.0</t>
        </is>
      </c>
      <c r="F129" s="17" t="n"/>
      <c r="G129" s="30" t="n">
        <v>5</v>
      </c>
      <c r="H129" s="17" t="n"/>
      <c r="I129" s="17" t="n"/>
      <c r="J129" s="17" t="n"/>
      <c r="K129" s="17" t="n"/>
      <c r="L129" s="17" t="n"/>
    </row>
    <row r="130">
      <c r="B130" s="23" t="n">
        <v>38</v>
      </c>
      <c r="C130" s="23" t="inlineStr">
        <is>
          <t>K</t>
        </is>
      </c>
      <c r="D130" s="24" t="inlineStr">
        <is>
          <t>631321311</t>
        </is>
      </c>
      <c r="E130" s="24" t="inlineStr">
        <is>
          <t>Plastická perlitbetonová roznášecí vrstva tl. 50 mm nad zásypem klenby</t>
        </is>
      </c>
      <c r="F130" s="23" t="inlineStr">
        <is>
          <t>m²</t>
        </is>
      </c>
      <c r="G130" s="25" t="n">
        <v>50</v>
      </c>
      <c r="H130" s="26" t="n"/>
      <c r="I130" s="26">
        <f>IF(H130="",0,G130*H130)</f>
        <v/>
      </c>
      <c r="J130" s="23" t="inlineStr">
        <is>
          <t>ÚRS 2026</t>
        </is>
      </c>
      <c r="K130" s="32" t="inlineStr">
        <is>
          <t>? needs production lookup</t>
        </is>
      </c>
      <c r="L130" s="5" t="inlineStr">
        <is>
          <t>HSV-4 Vodorovné</t>
        </is>
      </c>
    </row>
    <row r="131">
      <c r="B131" s="17" t="n"/>
      <c r="C131" s="28" t="inlineStr">
        <is>
          <t>VV</t>
        </is>
      </c>
      <c r="D131" s="17" t="n"/>
      <c r="E131" s="29" t="inlineStr">
        <is>
          <t>klenba 1.PP/1.NP plocha ~50 m²</t>
        </is>
      </c>
      <c r="F131" s="17" t="n"/>
      <c r="G131" s="30" t="n">
        <v>50</v>
      </c>
      <c r="H131" s="17" t="n"/>
      <c r="I131" s="17" t="n"/>
      <c r="J131" s="17" t="n"/>
      <c r="K131" s="17" t="n"/>
      <c r="L131" s="17" t="n"/>
    </row>
    <row r="132">
      <c r="B132" s="23" t="n">
        <v>39</v>
      </c>
      <c r="C132" s="23" t="inlineStr">
        <is>
          <t>K</t>
        </is>
      </c>
      <c r="D132" s="24" t="inlineStr">
        <is>
          <t>974041141</t>
        </is>
      </c>
      <c r="E132" s="24" t="inlineStr">
        <is>
          <t>Strop trámový 1.NP/2.NP — sejmutí podlah, demontáž záklopu a zásypu shora (zachovat prkenný záklop na trámech)</t>
        </is>
      </c>
      <c r="F132" s="23" t="inlineStr">
        <is>
          <t>m²</t>
        </is>
      </c>
      <c r="G132" s="25" t="n">
        <v>100</v>
      </c>
      <c r="H132" s="26" t="n"/>
      <c r="I132" s="26">
        <f>IF(H132="",0,G132*H132)</f>
        <v/>
      </c>
      <c r="J132" s="23" t="inlineStr">
        <is>
          <t>ÚRS 2026</t>
        </is>
      </c>
      <c r="K132" s="32" t="inlineStr">
        <is>
          <t>? needs production lookup</t>
        </is>
      </c>
      <c r="L132" s="5" t="inlineStr">
        <is>
          <t>HSV-4 Vodorovné</t>
        </is>
      </c>
    </row>
    <row r="133">
      <c r="B133" s="17" t="n"/>
      <c r="C133" s="28" t="inlineStr">
        <is>
          <t>VV</t>
        </is>
      </c>
      <c r="D133" s="17" t="n"/>
      <c r="E133" s="29" t="inlineStr">
        <is>
          <t>podlahova_plocha_1NP+2NP ~100 m²</t>
        </is>
      </c>
      <c r="F133" s="17" t="n"/>
      <c r="G133" s="30" t="n">
        <v>100</v>
      </c>
      <c r="H133" s="17" t="n"/>
      <c r="I133" s="17" t="n"/>
      <c r="J133" s="17" t="n"/>
      <c r="K133" s="17" t="n"/>
      <c r="L133" s="17" t="n"/>
    </row>
    <row r="134">
      <c r="B134" s="23" t="n">
        <v>40</v>
      </c>
      <c r="C134" s="23" t="inlineStr">
        <is>
          <t>K</t>
        </is>
      </c>
      <c r="D134" s="24" t="inlineStr">
        <is>
          <t>713121121</t>
        </is>
      </c>
      <c r="E134" s="24" t="inlineStr">
        <is>
          <t>Tepelná izolace minerální vata mezi trámy stropu 1.NP/2.NP, tl. 180 mm (= trám 60/180)</t>
        </is>
      </c>
      <c r="F134" s="23" t="inlineStr">
        <is>
          <t>m²</t>
        </is>
      </c>
      <c r="G134" s="25" t="n">
        <v>100</v>
      </c>
      <c r="H134" s="26" t="n"/>
      <c r="I134" s="26">
        <f>IF(H134="",0,G134*H134)</f>
        <v/>
      </c>
      <c r="J134" s="23" t="inlineStr">
        <is>
          <t>ÚRS 2026</t>
        </is>
      </c>
      <c r="K134" s="31" t="inlineStr">
        <is>
          <t>⚠ family OK, leaf KROS lookup [evidence: https://www.centrum-zatepleni.cz/mineralni-vata-isover-uni-t]</t>
        </is>
      </c>
      <c r="L134" s="5" t="inlineStr">
        <is>
          <t>HSV-4 Vodorovné</t>
        </is>
      </c>
    </row>
    <row r="135">
      <c r="B135" s="17" t="n"/>
      <c r="C135" s="28" t="inlineStr">
        <is>
          <t>VV</t>
        </is>
      </c>
      <c r="D135" s="17" t="n"/>
      <c r="E135" s="29">
        <f> plocha stropu</f>
        <v/>
      </c>
      <c r="F135" s="17" t="n"/>
      <c r="G135" s="30" t="n">
        <v>100</v>
      </c>
      <c r="H135" s="17" t="n"/>
      <c r="I135" s="17" t="n"/>
      <c r="J135" s="17" t="n"/>
      <c r="K135" s="17" t="n"/>
      <c r="L135" s="17" t="n"/>
    </row>
    <row r="136">
      <c r="B136" s="23" t="n">
        <v>41</v>
      </c>
      <c r="C136" s="23" t="inlineStr">
        <is>
          <t>K</t>
        </is>
      </c>
      <c r="D136" s="24" t="inlineStr">
        <is>
          <t>342213131</t>
        </is>
      </c>
      <c r="E136" s="24" t="inlineStr">
        <is>
          <t>Protipožární SDK podhled zespodu trámového stropu (EI 30 dle PBŘ)</t>
        </is>
      </c>
      <c r="F136" s="23" t="inlineStr">
        <is>
          <t>m²</t>
        </is>
      </c>
      <c r="G136" s="25" t="n">
        <v>100</v>
      </c>
      <c r="H136" s="26" t="n"/>
      <c r="I136" s="26">
        <f>IF(H136="",0,G136*H136)</f>
        <v/>
      </c>
      <c r="J136" s="23" t="inlineStr">
        <is>
          <t>ÚRS 2026</t>
        </is>
      </c>
      <c r="K136" s="32" t="inlineStr">
        <is>
          <t>? needs production lookup</t>
        </is>
      </c>
      <c r="L136" s="5" t="inlineStr">
        <is>
          <t>HSV-4 Vodorovné</t>
        </is>
      </c>
    </row>
    <row r="137">
      <c r="B137" s="17" t="n"/>
      <c r="C137" s="28" t="inlineStr">
        <is>
          <t>VV</t>
        </is>
      </c>
      <c r="D137" s="17" t="n"/>
      <c r="E137" s="29">
        <f> plocha stropu</f>
        <v/>
      </c>
      <c r="F137" s="17" t="n"/>
      <c r="G137" s="30" t="n">
        <v>100</v>
      </c>
      <c r="H137" s="17" t="n"/>
      <c r="I137" s="17" t="n"/>
      <c r="J137" s="17" t="n"/>
      <c r="K137" s="17" t="n"/>
      <c r="L137" s="17" t="n"/>
    </row>
    <row r="138">
      <c r="B138" s="23" t="n">
        <v>42</v>
      </c>
      <c r="C138" s="23" t="inlineStr">
        <is>
          <t>K</t>
        </is>
      </c>
      <c r="D138" s="24" t="inlineStr">
        <is>
          <t>631311114</t>
        </is>
      </c>
      <c r="E138" s="24" t="inlineStr">
        <is>
          <t>Suchá podlahová skladba 1.NP/2.NP — zásyp Liapor pro vyrovnání tl. 50 mm</t>
        </is>
      </c>
      <c r="F138" s="23" t="inlineStr">
        <is>
          <t>m³</t>
        </is>
      </c>
      <c r="G138" s="25" t="n">
        <v>5</v>
      </c>
      <c r="H138" s="26" t="n"/>
      <c r="I138" s="26">
        <f>IF(H138="",0,G138*H138)</f>
        <v/>
      </c>
      <c r="J138" s="23" t="inlineStr">
        <is>
          <t>ÚRS 2026</t>
        </is>
      </c>
      <c r="K138" s="32" t="inlineStr">
        <is>
          <t>? needs production lookup</t>
        </is>
      </c>
      <c r="L138" s="5" t="inlineStr">
        <is>
          <t>HSV-4 Vodorovné</t>
        </is>
      </c>
    </row>
    <row r="139">
      <c r="B139" s="17" t="n"/>
      <c r="C139" s="28" t="inlineStr">
        <is>
          <t>VV</t>
        </is>
      </c>
      <c r="D139" s="17" t="n"/>
      <c r="E139" s="29" t="inlineStr">
        <is>
          <t>100 m² × 0.05 m = 5</t>
        </is>
      </c>
      <c r="F139" s="17" t="n"/>
      <c r="G139" s="30" t="n">
        <v>5</v>
      </c>
      <c r="H139" s="17" t="n"/>
      <c r="I139" s="17" t="n"/>
      <c r="J139" s="17" t="n"/>
      <c r="K139" s="17" t="n"/>
      <c r="L139" s="17" t="n"/>
    </row>
    <row r="140">
      <c r="B140" s="23" t="n">
        <v>43</v>
      </c>
      <c r="C140" s="23" t="inlineStr">
        <is>
          <t>K</t>
        </is>
      </c>
      <c r="D140" s="24" t="inlineStr">
        <is>
          <t>771421111</t>
        </is>
      </c>
      <c r="E140" s="24" t="inlineStr">
        <is>
          <t>Suchá podlahová skladba — sádrovláknité dílce Fermacell tl. 25 mm (dva 12.5 mm vrstvy)</t>
        </is>
      </c>
      <c r="F140" s="23" t="inlineStr">
        <is>
          <t>m²</t>
        </is>
      </c>
      <c r="G140" s="25" t="n">
        <v>100</v>
      </c>
      <c r="H140" s="26" t="n"/>
      <c r="I140" s="26">
        <f>IF(H140="",0,G140*H140)</f>
        <v/>
      </c>
      <c r="J140" s="23" t="inlineStr">
        <is>
          <t>ÚRS 2026</t>
        </is>
      </c>
      <c r="K140" s="32" t="inlineStr">
        <is>
          <t>? needs production lookup</t>
        </is>
      </c>
      <c r="L140" s="5" t="inlineStr">
        <is>
          <t>HSV-4 Vodorovné</t>
        </is>
      </c>
    </row>
    <row r="141">
      <c r="B141" s="17" t="n"/>
      <c r="C141" s="28" t="inlineStr">
        <is>
          <t>VV</t>
        </is>
      </c>
      <c r="D141" s="17" t="n"/>
      <c r="E141" s="29">
        <f> plocha stropu</f>
        <v/>
      </c>
      <c r="F141" s="17" t="n"/>
      <c r="G141" s="30" t="n">
        <v>100</v>
      </c>
      <c r="H141" s="17" t="n"/>
      <c r="I141" s="17" t="n"/>
      <c r="J141" s="17" t="n"/>
      <c r="K141" s="17" t="n"/>
      <c r="L141" s="17" t="n"/>
    </row>
    <row r="142">
      <c r="B142" s="21" t="n"/>
      <c r="C142" s="22" t="inlineStr">
        <is>
          <t>D</t>
        </is>
      </c>
      <c r="D142" s="22" t="inlineStr">
        <is>
          <t>HSV-5</t>
        </is>
      </c>
      <c r="E142" s="22" t="inlineStr">
        <is>
          <t>HSV-5 Krov + střecha</t>
        </is>
      </c>
      <c r="F142" s="21" t="n"/>
      <c r="G142" s="21" t="n"/>
      <c r="H142" s="21" t="n"/>
      <c r="I142" s="21" t="n"/>
      <c r="J142" s="21" t="n"/>
      <c r="K142" s="21" t="n"/>
      <c r="L142" s="21" t="n"/>
    </row>
    <row r="143">
      <c r="B143" s="23" t="n">
        <v>44</v>
      </c>
      <c r="C143" s="23" t="inlineStr">
        <is>
          <t>K</t>
        </is>
      </c>
      <c r="D143" s="24" t="inlineStr">
        <is>
          <t>762331911</t>
        </is>
      </c>
      <c r="E143" s="24" t="inlineStr">
        <is>
          <t>Tesařský krov — krokve 100/180 mm á 800 mm, rezivo C24 fungicidní + protihmyzí (cca 2×12 krokví × ~6.5 m)</t>
        </is>
      </c>
      <c r="F143" s="23" t="inlineStr">
        <is>
          <t>bm</t>
        </is>
      </c>
      <c r="G143" s="25" t="n">
        <v>156</v>
      </c>
      <c r="H143" s="26" t="n"/>
      <c r="I143" s="26">
        <f>IF(H143="",0,G143*H143)</f>
        <v/>
      </c>
      <c r="J143" s="23" t="inlineStr">
        <is>
          <t>ÚRS 2026</t>
        </is>
      </c>
      <c r="K143" s="31" t="inlineStr">
        <is>
          <t>⚠ family OK, leaf KROS lookup [evidence: https://www.gala-drevo.cz/clanky/proc-na-krovy-pouzivat-kvh-]</t>
        </is>
      </c>
      <c r="L143" s="5" t="inlineStr">
        <is>
          <t>HSV-5 Krov + střecha</t>
        </is>
      </c>
    </row>
    <row r="144">
      <c r="B144" s="17" t="n"/>
      <c r="C144" s="28" t="inlineStr">
        <is>
          <t>VV</t>
        </is>
      </c>
      <c r="D144" s="17" t="n"/>
      <c r="E144" s="29" t="inlineStr">
        <is>
          <t>(2 sklony × 12 krokví × 6.5 m délka) = 156</t>
        </is>
      </c>
      <c r="F144" s="17" t="n"/>
      <c r="G144" s="30" t="n">
        <v>156</v>
      </c>
      <c r="H144" s="17" t="n"/>
      <c r="I144" s="17" t="n"/>
      <c r="J144" s="17" t="n"/>
      <c r="K144" s="17" t="n"/>
      <c r="L144" s="17" t="n"/>
    </row>
    <row r="145">
      <c r="B145" s="23" t="n">
        <v>45</v>
      </c>
      <c r="C145" s="23" t="inlineStr">
        <is>
          <t>K</t>
        </is>
      </c>
      <c r="D145" s="24" t="inlineStr">
        <is>
          <t>762331912</t>
        </is>
      </c>
      <c r="E145" s="24" t="inlineStr">
        <is>
          <t>Tesařský krov — kleštiny dvojfošny 60/180 mm probíhající v oblasti spací části</t>
        </is>
      </c>
      <c r="F145" s="23" t="inlineStr">
        <is>
          <t>bm</t>
        </is>
      </c>
      <c r="G145" s="25" t="n">
        <v>110</v>
      </c>
      <c r="H145" s="26" t="n"/>
      <c r="I145" s="26">
        <f>IF(H145="",0,G145*H145)</f>
        <v/>
      </c>
      <c r="J145" s="23" t="inlineStr">
        <is>
          <t>ÚRS 2026</t>
        </is>
      </c>
      <c r="K145" s="31" t="inlineStr">
        <is>
          <t>⚠ family OK, leaf KROS lookup [evidence: https://www.gala-drevo.cz/clanky/proc-na-krovy-pouzivat-kvh-]</t>
        </is>
      </c>
      <c r="L145" s="5" t="inlineStr">
        <is>
          <t>HSV-5 Krov + střecha</t>
        </is>
      </c>
    </row>
    <row r="146">
      <c r="B146" s="17" t="n"/>
      <c r="C146" s="28" t="inlineStr">
        <is>
          <t>VV</t>
        </is>
      </c>
      <c r="D146" s="17" t="n"/>
      <c r="E146" s="29" t="inlineStr">
        <is>
          <t>11 pozic × 2 ks × ~5 m délka = 110</t>
        </is>
      </c>
      <c r="F146" s="17" t="n"/>
      <c r="G146" s="30" t="n">
        <v>110</v>
      </c>
      <c r="H146" s="17" t="n"/>
      <c r="I146" s="17" t="n"/>
      <c r="J146" s="17" t="n"/>
      <c r="K146" s="17" t="n"/>
      <c r="L146" s="17" t="n"/>
    </row>
    <row r="147">
      <c r="B147" s="23" t="n">
        <v>46</v>
      </c>
      <c r="C147" s="23" t="inlineStr">
        <is>
          <t>K</t>
        </is>
      </c>
      <c r="D147" s="24" t="inlineStr">
        <is>
          <t>762331923</t>
        </is>
      </c>
      <c r="E147" s="24" t="inlineStr">
        <is>
          <t>Tesařský krov — pozednice 140/160 mm kotvená do ŽB věnce 3.NP</t>
        </is>
      </c>
      <c r="F147" s="23" t="inlineStr">
        <is>
          <t>bm</t>
        </is>
      </c>
      <c r="G147" s="25" t="n">
        <v>19.4</v>
      </c>
      <c r="H147" s="26" t="n"/>
      <c r="I147" s="26">
        <f>IF(H147="",0,G147*H147)</f>
        <v/>
      </c>
      <c r="J147" s="23" t="inlineStr">
        <is>
          <t>ÚRS 2026</t>
        </is>
      </c>
      <c r="K147" s="31" t="inlineStr">
        <is>
          <t>⚠ family OK, leaf KROS lookup [evidence: https://forum.tzb-info.cz/119036-kotveni-pozednice]</t>
        </is>
      </c>
      <c r="L147" s="5" t="inlineStr">
        <is>
          <t>HSV-5 Krov + střecha</t>
        </is>
      </c>
    </row>
    <row r="148">
      <c r="B148" s="17" t="n"/>
      <c r="C148" s="28" t="inlineStr">
        <is>
          <t>VV</t>
        </is>
      </c>
      <c r="D148" s="17" t="n"/>
      <c r="E148" s="29" t="inlineStr">
        <is>
          <t>polovina obvodu (2 dlouhé strany) = ~20</t>
        </is>
      </c>
      <c r="F148" s="17" t="n"/>
      <c r="G148" s="30" t="n">
        <v>19.4</v>
      </c>
      <c r="H148" s="17" t="n"/>
      <c r="I148" s="17" t="n"/>
      <c r="J148" s="17" t="n"/>
      <c r="K148" s="17" t="n"/>
      <c r="L148" s="17" t="n"/>
    </row>
    <row r="149">
      <c r="B149" s="23" t="n">
        <v>47</v>
      </c>
      <c r="C149" s="23" t="inlineStr">
        <is>
          <t>K</t>
        </is>
      </c>
      <c r="D149" s="24" t="inlineStr">
        <is>
          <t>762331911</t>
        </is>
      </c>
      <c r="E149" s="24" t="inlineStr">
        <is>
          <t>Tesařský krov — námětky 60/100 v dolní koncové části pro přesah střechy ~500 mm</t>
        </is>
      </c>
      <c r="F149" s="23" t="inlineStr">
        <is>
          <t>bm</t>
        </is>
      </c>
      <c r="G149" s="25" t="n">
        <v>19.2</v>
      </c>
      <c r="H149" s="26" t="n"/>
      <c r="I149" s="26">
        <f>IF(H149="",0,G149*H149)</f>
        <v/>
      </c>
      <c r="J149" s="23" t="inlineStr">
        <is>
          <t>ÚRS 2026</t>
        </is>
      </c>
      <c r="K149" s="32" t="inlineStr">
        <is>
          <t>? needs production lookup</t>
        </is>
      </c>
      <c r="L149" s="5" t="inlineStr">
        <is>
          <t>HSV-5 Krov + střecha</t>
        </is>
      </c>
    </row>
    <row r="150">
      <c r="B150" s="17" t="n"/>
      <c r="C150" s="28" t="inlineStr">
        <is>
          <t>VV</t>
        </is>
      </c>
      <c r="D150" s="17" t="n"/>
      <c r="E150" s="29" t="inlineStr">
        <is>
          <t>24 krokví × 0.8 m námětek = 19.2</t>
        </is>
      </c>
      <c r="F150" s="17" t="n"/>
      <c r="G150" s="30" t="n">
        <v>19.2</v>
      </c>
      <c r="H150" s="17" t="n"/>
      <c r="I150" s="17" t="n"/>
      <c r="J150" s="17" t="n"/>
      <c r="K150" s="17" t="n"/>
      <c r="L150" s="17" t="n"/>
    </row>
    <row r="151">
      <c r="B151" s="23" t="n">
        <v>48</v>
      </c>
      <c r="C151" s="23" t="inlineStr">
        <is>
          <t>K</t>
        </is>
      </c>
      <c r="D151" s="24" t="inlineStr">
        <is>
          <t>411321414</t>
        </is>
      </c>
      <c r="E151" s="24" t="inlineStr">
        <is>
          <t>Ocelová středová vaznice HEA160 — 2 ks × cca 10 m délka</t>
        </is>
      </c>
      <c r="F151" s="23" t="inlineStr">
        <is>
          <t>kg</t>
        </is>
      </c>
      <c r="G151" s="25" t="n">
        <v>608</v>
      </c>
      <c r="H151" s="26" t="n"/>
      <c r="I151" s="26">
        <f>IF(H151="",0,G151*H151)</f>
        <v/>
      </c>
      <c r="J151" s="23" t="inlineStr">
        <is>
          <t>ÚRS 2026</t>
        </is>
      </c>
      <c r="K151" s="31" t="inlineStr">
        <is>
          <t>⚠ family OK, leaf KROS lookup [evidence: https://online.ferona.cz/detail/26080/profil-hea-valcovany-z]</t>
        </is>
      </c>
      <c r="L151" s="5" t="inlineStr">
        <is>
          <t>HSV-5 Krov + střecha</t>
        </is>
      </c>
    </row>
    <row r="152">
      <c r="B152" s="17" t="n"/>
      <c r="C152" s="28" t="inlineStr">
        <is>
          <t>VV</t>
        </is>
      </c>
      <c r="D152" s="17" t="n"/>
      <c r="E152" s="29" t="inlineStr">
        <is>
          <t>2 × 10 × 30.4 kg/m (HEA160) = 608</t>
        </is>
      </c>
      <c r="F152" s="17" t="n"/>
      <c r="G152" s="30" t="n">
        <v>608</v>
      </c>
      <c r="H152" s="17" t="n"/>
      <c r="I152" s="17" t="n"/>
      <c r="J152" s="17" t="n"/>
      <c r="K152" s="17" t="n"/>
      <c r="L152" s="17" t="n"/>
    </row>
    <row r="153">
      <c r="B153" s="23" t="n">
        <v>49</v>
      </c>
      <c r="C153" s="23" t="inlineStr">
        <is>
          <t>K</t>
        </is>
      </c>
      <c r="D153" s="24" t="inlineStr">
        <is>
          <t>411321414</t>
        </is>
      </c>
      <c r="E153" s="24" t="inlineStr">
        <is>
          <t>Ocelové sloupky uzavřený profil 100×100×4 mm pod vaznice HEA160 (~6 ks × ~2.5 m výška)</t>
        </is>
      </c>
      <c r="F153" s="23" t="inlineStr">
        <is>
          <t>kg</t>
        </is>
      </c>
      <c r="G153" s="25" t="n">
        <v>176</v>
      </c>
      <c r="H153" s="26" t="n"/>
      <c r="I153" s="26">
        <f>IF(H153="",0,G153*H153)</f>
        <v/>
      </c>
      <c r="J153" s="23" t="inlineStr">
        <is>
          <t>ÚRS 2026</t>
        </is>
      </c>
      <c r="K153" s="32" t="inlineStr">
        <is>
          <t>? needs production lookup</t>
        </is>
      </c>
      <c r="L153" s="5" t="inlineStr">
        <is>
          <t>HSV-5 Krov + střecha</t>
        </is>
      </c>
    </row>
    <row r="154">
      <c r="B154" s="17" t="n"/>
      <c r="C154" s="28" t="inlineStr">
        <is>
          <t>VV</t>
        </is>
      </c>
      <c r="D154" s="17" t="n"/>
      <c r="E154" s="29" t="inlineStr">
        <is>
          <t>6 × 2.5 × 11.7 kg/m (RHS 100×100×4) = 176</t>
        </is>
      </c>
      <c r="F154" s="17" t="n"/>
      <c r="G154" s="30" t="n">
        <v>176</v>
      </c>
      <c r="H154" s="17" t="n"/>
      <c r="I154" s="17" t="n"/>
      <c r="J154" s="17" t="n"/>
      <c r="K154" s="17" t="n"/>
      <c r="L154" s="17" t="n"/>
    </row>
    <row r="155">
      <c r="B155" s="23" t="n">
        <v>50</v>
      </c>
      <c r="C155" s="23" t="inlineStr">
        <is>
          <t>K</t>
        </is>
      </c>
      <c r="D155" s="24" t="inlineStr">
        <is>
          <t>762341711</t>
        </is>
      </c>
      <c r="E155" s="24" t="inlineStr">
        <is>
          <t>Bednění z prken tl. 20 mm pod nadkrokevní PIR (biodeska/palubka)</t>
        </is>
      </c>
      <c r="F155" s="23" t="inlineStr">
        <is>
          <t>m²</t>
        </is>
      </c>
      <c r="G155" s="25" t="n">
        <v>140.94</v>
      </c>
      <c r="H155" s="26" t="n"/>
      <c r="I155" s="26">
        <f>IF(H155="",0,G155*H155)</f>
        <v/>
      </c>
      <c r="J155" s="23" t="inlineStr">
        <is>
          <t>ÚRS 2026</t>
        </is>
      </c>
      <c r="K155" s="32" t="inlineStr">
        <is>
          <t>? needs production lookup</t>
        </is>
      </c>
      <c r="L155" s="5" t="inlineStr">
        <is>
          <t>HSV-5 Krov + střecha</t>
        </is>
      </c>
    </row>
    <row r="156">
      <c r="B156" s="17" t="n"/>
      <c r="C156" s="28" t="inlineStr">
        <is>
          <t>VV</t>
        </is>
      </c>
      <c r="D156" s="17" t="n"/>
      <c r="E156" s="29">
        <f> 141 m² (plocha střechy včetně sklonu + přesahy)</f>
        <v/>
      </c>
      <c r="F156" s="17" t="n"/>
      <c r="G156" s="30" t="n">
        <v>140.94</v>
      </c>
      <c r="H156" s="17" t="n"/>
      <c r="I156" s="17" t="n"/>
      <c r="J156" s="17" t="n"/>
      <c r="K156" s="17" t="n"/>
      <c r="L156" s="17" t="n"/>
    </row>
    <row r="157">
      <c r="B157" s="23" t="n">
        <v>51</v>
      </c>
      <c r="C157" s="23" t="inlineStr">
        <is>
          <t>K</t>
        </is>
      </c>
      <c r="D157" s="24" t="inlineStr">
        <is>
          <t>712311101</t>
        </is>
      </c>
      <c r="E157" s="24" t="inlineStr">
        <is>
          <t>Parotěsná folie nad bedněním pod nadkrokevní PIR (např. Isover Vario nebo Tyvek Air guard)</t>
        </is>
      </c>
      <c r="F157" s="23" t="inlineStr">
        <is>
          <t>m²</t>
        </is>
      </c>
      <c r="G157" s="25" t="n">
        <v>155.034</v>
      </c>
      <c r="H157" s="26" t="n"/>
      <c r="I157" s="26">
        <f>IF(H157="",0,G157*H157)</f>
        <v/>
      </c>
      <c r="J157" s="23" t="inlineStr">
        <is>
          <t>ÚRS 2026</t>
        </is>
      </c>
      <c r="K157" s="32" t="inlineStr">
        <is>
          <t>? needs production lookup</t>
        </is>
      </c>
      <c r="L157" s="5" t="inlineStr">
        <is>
          <t>HSV-5 Krov + střecha</t>
        </is>
      </c>
    </row>
    <row r="158">
      <c r="B158" s="17" t="n"/>
      <c r="C158" s="28" t="inlineStr">
        <is>
          <t>VV</t>
        </is>
      </c>
      <c r="D158" s="17" t="n"/>
      <c r="E158" s="29" t="inlineStr">
        <is>
          <t>141 × 1.1 přesah = 155</t>
        </is>
      </c>
      <c r="F158" s="17" t="n"/>
      <c r="G158" s="30" t="n">
        <v>155.034</v>
      </c>
      <c r="H158" s="17" t="n"/>
      <c r="I158" s="17" t="n"/>
      <c r="J158" s="17" t="n"/>
      <c r="K158" s="17" t="n"/>
      <c r="L158" s="17" t="n"/>
    </row>
    <row r="159">
      <c r="B159" s="23" t="n">
        <v>52</v>
      </c>
      <c r="C159" s="23" t="inlineStr">
        <is>
          <t>K</t>
        </is>
      </c>
      <c r="D159" s="24" t="inlineStr">
        <is>
          <t>713131811</t>
        </is>
      </c>
      <c r="E159" s="24" t="inlineStr">
        <is>
          <t>Nadkrokevní tepelná izolace PIR (polyisokyanurát) tl. 160 mm (λ=0,022 W/mK) — řez A-A S10 explicit</t>
        </is>
      </c>
      <c r="F159" s="23" t="inlineStr">
        <is>
          <t>m²</t>
        </is>
      </c>
      <c r="G159" s="25" t="n">
        <v>140.94</v>
      </c>
      <c r="H159" s="26" t="n"/>
      <c r="I159" s="26">
        <f>IF(H159="",0,G159*H159)</f>
        <v/>
      </c>
      <c r="J159" s="23" t="inlineStr">
        <is>
          <t>ÚRS 2026</t>
        </is>
      </c>
      <c r="K159" s="27" t="inlineStr">
        <is>
          <t>✓ ověřeno cs-urs.cz [evidence: https://www.pamazastreseni.cz/katalog/228-pamatherm-alukraft]</t>
        </is>
      </c>
      <c r="L159" s="5" t="inlineStr">
        <is>
          <t>HSV-5 Krov + střecha</t>
        </is>
      </c>
    </row>
    <row r="160">
      <c r="B160" s="17" t="n"/>
      <c r="C160" s="28" t="inlineStr">
        <is>
          <t>VV</t>
        </is>
      </c>
      <c r="D160" s="17" t="n"/>
      <c r="E160" s="29">
        <f> 141 m² (plocha krytiny krov)</f>
        <v/>
      </c>
      <c r="F160" s="17" t="n"/>
      <c r="G160" s="30" t="n">
        <v>140.94</v>
      </c>
      <c r="H160" s="17" t="n"/>
      <c r="I160" s="17" t="n"/>
      <c r="J160" s="17" t="n"/>
      <c r="K160" s="17" t="n"/>
      <c r="L160" s="17" t="n"/>
    </row>
    <row r="161">
      <c r="B161" s="23" t="n">
        <v>53</v>
      </c>
      <c r="C161" s="23" t="inlineStr">
        <is>
          <t>K</t>
        </is>
      </c>
      <c r="D161" s="24" t="inlineStr">
        <is>
          <t>712311111</t>
        </is>
      </c>
      <c r="E161" s="24" t="inlineStr">
        <is>
          <t>Doplňková hydroizolační difuzně otevřená folie nad PIR pod kontralatě</t>
        </is>
      </c>
      <c r="F161" s="23" t="inlineStr">
        <is>
          <t>m²</t>
        </is>
      </c>
      <c r="G161" s="25" t="n">
        <v>155.034</v>
      </c>
      <c r="H161" s="26" t="n"/>
      <c r="I161" s="26">
        <f>IF(H161="",0,G161*H161)</f>
        <v/>
      </c>
      <c r="J161" s="23" t="inlineStr">
        <is>
          <t>ÚRS 2026</t>
        </is>
      </c>
      <c r="K161" s="32" t="inlineStr">
        <is>
          <t>? needs production lookup</t>
        </is>
      </c>
      <c r="L161" s="5" t="inlineStr">
        <is>
          <t>HSV-5 Krov + střecha</t>
        </is>
      </c>
    </row>
    <row r="162">
      <c r="B162" s="17" t="n"/>
      <c r="C162" s="28" t="inlineStr">
        <is>
          <t>VV</t>
        </is>
      </c>
      <c r="D162" s="17" t="n"/>
      <c r="E162" s="29" t="inlineStr">
        <is>
          <t>141 × 1.1 přesah = 155</t>
        </is>
      </c>
      <c r="F162" s="17" t="n"/>
      <c r="G162" s="30" t="n">
        <v>155.034</v>
      </c>
      <c r="H162" s="17" t="n"/>
      <c r="I162" s="17" t="n"/>
      <c r="J162" s="17" t="n"/>
      <c r="K162" s="17" t="n"/>
      <c r="L162" s="17" t="n"/>
    </row>
    <row r="163">
      <c r="B163" s="23" t="n">
        <v>54</v>
      </c>
      <c r="C163" s="23" t="inlineStr">
        <is>
          <t>K</t>
        </is>
      </c>
      <c r="D163" s="24" t="inlineStr">
        <is>
          <t>762331923</t>
        </is>
      </c>
      <c r="E163" s="24" t="inlineStr">
        <is>
          <t>Distanční kontralatě 40×60 mm pro vzduchovou mezeru nad PIR</t>
        </is>
      </c>
      <c r="F163" s="23" t="inlineStr">
        <is>
          <t>m²</t>
        </is>
      </c>
      <c r="G163" s="25" t="n">
        <v>140.94</v>
      </c>
      <c r="H163" s="26" t="n"/>
      <c r="I163" s="26">
        <f>IF(H163="",0,G163*H163)</f>
        <v/>
      </c>
      <c r="J163" s="23" t="inlineStr">
        <is>
          <t>ÚRS 2026</t>
        </is>
      </c>
      <c r="K163" s="32" t="inlineStr">
        <is>
          <t>? needs production lookup</t>
        </is>
      </c>
      <c r="L163" s="5" t="inlineStr">
        <is>
          <t>HSV-5 Krov + střecha</t>
        </is>
      </c>
    </row>
    <row r="164">
      <c r="B164" s="17" t="n"/>
      <c r="C164" s="28" t="inlineStr">
        <is>
          <t>VV</t>
        </is>
      </c>
      <c r="D164" s="17" t="n"/>
      <c r="E164" s="29">
        <f> 141 m²</f>
        <v/>
      </c>
      <c r="F164" s="17" t="n"/>
      <c r="G164" s="30" t="n">
        <v>140.94</v>
      </c>
      <c r="H164" s="17" t="n"/>
      <c r="I164" s="17" t="n"/>
      <c r="J164" s="17" t="n"/>
      <c r="K164" s="17" t="n"/>
      <c r="L164" s="17" t="n"/>
    </row>
    <row r="165">
      <c r="B165" s="23" t="n">
        <v>55</v>
      </c>
      <c r="C165" s="23" t="inlineStr">
        <is>
          <t>K</t>
        </is>
      </c>
      <c r="D165" s="24" t="inlineStr">
        <is>
          <t>762341711</t>
        </is>
      </c>
      <c r="E165" s="24" t="inlineStr">
        <is>
          <t>Bednění z prken tl. 25 mm pod plechovou hliníkovou krytinu (rozsah dle technologie krytiny)</t>
        </is>
      </c>
      <c r="F165" s="23" t="inlineStr">
        <is>
          <t>m²</t>
        </is>
      </c>
      <c r="G165" s="25" t="n">
        <v>140.94</v>
      </c>
      <c r="H165" s="26" t="n"/>
      <c r="I165" s="26">
        <f>IF(H165="",0,G165*H165)</f>
        <v/>
      </c>
      <c r="J165" s="23" t="inlineStr">
        <is>
          <t>ÚRS 2026</t>
        </is>
      </c>
      <c r="K165" s="31" t="inlineStr">
        <is>
          <t>⚠ family OK, leaf KROS lookup [evidence: https://www.krytiny-strechy.cz/katalog/plechove-falcovane-kr]</t>
        </is>
      </c>
      <c r="L165" s="5" t="inlineStr">
        <is>
          <t>HSV-5 Krov + střecha</t>
        </is>
      </c>
    </row>
    <row r="166">
      <c r="B166" s="17" t="n"/>
      <c r="C166" s="28" t="inlineStr">
        <is>
          <t>VV</t>
        </is>
      </c>
      <c r="D166" s="17" t="n"/>
      <c r="E166" s="29">
        <f> 141 m²</f>
        <v/>
      </c>
      <c r="F166" s="17" t="n"/>
      <c r="G166" s="30" t="n">
        <v>140.94</v>
      </c>
      <c r="H166" s="17" t="n"/>
      <c r="I166" s="17" t="n"/>
      <c r="J166" s="17" t="n"/>
      <c r="K166" s="17" t="n"/>
      <c r="L166" s="17" t="n"/>
    </row>
    <row r="167">
      <c r="B167" s="23" t="n">
        <v>56</v>
      </c>
      <c r="C167" s="23" t="inlineStr">
        <is>
          <t>K</t>
        </is>
      </c>
      <c r="D167" s="24" t="inlineStr">
        <is>
          <t>765791121</t>
        </is>
      </c>
      <c r="E167" s="24" t="inlineStr">
        <is>
          <t>Plechová falcovaná HLINÍKOVÁ krytina (např. PREFA, Rheinzink, Lindab) + tlumící podložka</t>
        </is>
      </c>
      <c r="F167" s="23" t="inlineStr">
        <is>
          <t>m²</t>
        </is>
      </c>
      <c r="G167" s="25" t="n">
        <v>140.94</v>
      </c>
      <c r="H167" s="26" t="n"/>
      <c r="I167" s="26">
        <f>IF(H167="",0,G167*H167)</f>
        <v/>
      </c>
      <c r="J167" s="23" t="inlineStr">
        <is>
          <t>ÚRS 2026</t>
        </is>
      </c>
      <c r="K167" s="31" t="inlineStr">
        <is>
          <t>⚠ family OK, leaf KROS lookup [evidence: https://us.prefa.com/product-catalogue/roof-systems/]</t>
        </is>
      </c>
      <c r="L167" s="5" t="inlineStr">
        <is>
          <t>HSV-5 Krov + střecha</t>
        </is>
      </c>
    </row>
    <row r="168">
      <c r="B168" s="17" t="n"/>
      <c r="C168" s="28" t="inlineStr">
        <is>
          <t>VV</t>
        </is>
      </c>
      <c r="D168" s="17" t="n"/>
      <c r="E168" s="29">
        <f> 141 m² (vč. vikýřů přidat ~10%)</f>
        <v/>
      </c>
      <c r="F168" s="17" t="n"/>
      <c r="G168" s="30" t="n">
        <v>140.94</v>
      </c>
      <c r="H168" s="17" t="n"/>
      <c r="I168" s="17" t="n"/>
      <c r="J168" s="17" t="n"/>
      <c r="K168" s="17" t="n"/>
      <c r="L168" s="17" t="n"/>
    </row>
    <row r="169">
      <c r="B169" s="23" t="n">
        <v>57</v>
      </c>
      <c r="C169" s="23" t="inlineStr">
        <is>
          <t>K</t>
        </is>
      </c>
      <c r="D169" s="24" t="inlineStr">
        <is>
          <t>762341711</t>
        </is>
      </c>
      <c r="E169" s="24" t="inlineStr">
        <is>
          <t>Patro pro přespání v krovu — biodeska / OSB desky tl. 22 mm nad kleštinami</t>
        </is>
      </c>
      <c r="F169" s="23" t="inlineStr">
        <is>
          <t>m²</t>
        </is>
      </c>
      <c r="G169" s="25" t="n">
        <v>25</v>
      </c>
      <c r="H169" s="26" t="n"/>
      <c r="I169" s="26">
        <f>IF(H169="",0,G169*H169)</f>
        <v/>
      </c>
      <c r="J169" s="23" t="inlineStr">
        <is>
          <t>ÚRS 2026</t>
        </is>
      </c>
      <c r="K169" s="32" t="inlineStr">
        <is>
          <t>? needs production lookup</t>
        </is>
      </c>
      <c r="L169" s="5" t="inlineStr">
        <is>
          <t>HSV-5 Krov + střecha</t>
        </is>
      </c>
    </row>
    <row r="170">
      <c r="B170" s="17" t="n"/>
      <c r="C170" s="28" t="inlineStr">
        <is>
          <t>VV</t>
        </is>
      </c>
      <c r="D170" s="17" t="n"/>
      <c r="E170" s="29" t="inlineStr">
        <is>
          <t>odhad — spací patro ~5 × 5 m</t>
        </is>
      </c>
      <c r="F170" s="17" t="n"/>
      <c r="G170" s="30" t="n">
        <v>25</v>
      </c>
      <c r="H170" s="17" t="n"/>
      <c r="I170" s="17" t="n"/>
      <c r="J170" s="17" t="n"/>
      <c r="K170" s="17" t="n"/>
      <c r="L170" s="17" t="n"/>
    </row>
    <row r="171">
      <c r="B171" s="23" t="n">
        <v>58</v>
      </c>
      <c r="C171" s="23" t="inlineStr">
        <is>
          <t>K</t>
        </is>
      </c>
      <c r="D171" s="24" t="inlineStr">
        <is>
          <t>311321411</t>
        </is>
      </c>
      <c r="E171" s="24" t="inlineStr">
        <is>
          <t>Vikýře — zděná čela z Porotherm 30 (odhad 4 ks × ~3 m² stěna)</t>
        </is>
      </c>
      <c r="F171" s="23" t="inlineStr">
        <is>
          <t>m²</t>
        </is>
      </c>
      <c r="G171" s="25" t="n">
        <v>12</v>
      </c>
      <c r="H171" s="26" t="n"/>
      <c r="I171" s="26">
        <f>IF(H171="",0,G171*H171)</f>
        <v/>
      </c>
      <c r="J171" s="23" t="inlineStr">
        <is>
          <t>ÚRS 2026</t>
        </is>
      </c>
      <c r="K171" s="32" t="inlineStr">
        <is>
          <t>? needs production lookup</t>
        </is>
      </c>
      <c r="L171" s="5" t="inlineStr">
        <is>
          <t>HSV-5 Krov + střecha</t>
        </is>
      </c>
    </row>
    <row r="172">
      <c r="B172" s="17" t="n"/>
      <c r="C172" s="28" t="inlineStr">
        <is>
          <t>VV</t>
        </is>
      </c>
      <c r="D172" s="17" t="n"/>
      <c r="E172" s="29" t="inlineStr">
        <is>
          <t>4 vikýře × ~3 m² zděných čel = 12</t>
        </is>
      </c>
      <c r="F172" s="17" t="n"/>
      <c r="G172" s="30" t="n">
        <v>12</v>
      </c>
      <c r="H172" s="17" t="n"/>
      <c r="I172" s="17" t="n"/>
      <c r="J172" s="17" t="n"/>
      <c r="K172" s="17" t="n"/>
      <c r="L172" s="17" t="n"/>
    </row>
    <row r="173">
      <c r="B173" s="23" t="n">
        <v>59</v>
      </c>
      <c r="C173" s="23" t="inlineStr">
        <is>
          <t>K</t>
        </is>
      </c>
      <c r="D173" s="24" t="inlineStr">
        <is>
          <t>765791121</t>
        </is>
      </c>
      <c r="E173" s="24" t="inlineStr">
        <is>
          <t>Vikýře — provětrávaná fasáda min. vata + plech falcovaný hliník (4 vikýře × ~6 m² fasády)</t>
        </is>
      </c>
      <c r="F173" s="23" t="inlineStr">
        <is>
          <t>m²</t>
        </is>
      </c>
      <c r="G173" s="25" t="n">
        <v>24</v>
      </c>
      <c r="H173" s="26" t="n"/>
      <c r="I173" s="26">
        <f>IF(H173="",0,G173*H173)</f>
        <v/>
      </c>
      <c r="J173" s="23" t="inlineStr">
        <is>
          <t>ÚRS 2026</t>
        </is>
      </c>
      <c r="K173" s="32" t="inlineStr">
        <is>
          <t>? needs production lookup</t>
        </is>
      </c>
      <c r="L173" s="5" t="inlineStr">
        <is>
          <t>HSV-5 Krov + střecha</t>
        </is>
      </c>
    </row>
    <row r="174">
      <c r="B174" s="17" t="n"/>
      <c r="C174" s="28" t="inlineStr">
        <is>
          <t>VV</t>
        </is>
      </c>
      <c r="D174" s="17" t="n"/>
      <c r="E174" s="29" t="inlineStr">
        <is>
          <t>4 vikýře × 2 strany × ~3 m² = 24</t>
        </is>
      </c>
      <c r="F174" s="17" t="n"/>
      <c r="G174" s="30" t="n">
        <v>24</v>
      </c>
      <c r="H174" s="17" t="n"/>
      <c r="I174" s="17" t="n"/>
      <c r="J174" s="17" t="n"/>
      <c r="K174" s="17" t="n"/>
      <c r="L174" s="17" t="n"/>
    </row>
    <row r="175">
      <c r="B175" s="21" t="n"/>
      <c r="C175" s="22" t="inlineStr">
        <is>
          <t>D</t>
        </is>
      </c>
      <c r="D175" s="22" t="inlineStr">
        <is>
          <t>HSV-6</t>
        </is>
      </c>
      <c r="E175" s="22" t="inlineStr">
        <is>
          <t>HSV-6 Bourací práce</t>
        </is>
      </c>
      <c r="F175" s="21" t="n"/>
      <c r="G175" s="21" t="n"/>
      <c r="H175" s="21" t="n"/>
      <c r="I175" s="21" t="n"/>
      <c r="J175" s="21" t="n"/>
      <c r="K175" s="21" t="n"/>
      <c r="L175" s="21" t="n"/>
    </row>
    <row r="176">
      <c r="B176" s="23" t="n">
        <v>60</v>
      </c>
      <c r="C176" s="23" t="inlineStr">
        <is>
          <t>K</t>
        </is>
      </c>
      <c r="D176" s="24" t="inlineStr">
        <is>
          <t>962041141</t>
        </is>
      </c>
      <c r="E176" s="24" t="inlineStr">
        <is>
          <t>Bourání kompletního stávajícího krovu vč. vikýřů — vaznicový s ležatou stolicí — manuálně, odvoz</t>
        </is>
      </c>
      <c r="F176" s="23" t="inlineStr">
        <is>
          <t>m³</t>
        </is>
      </c>
      <c r="G176" s="25" t="n">
        <v>12</v>
      </c>
      <c r="H176" s="26" t="n"/>
      <c r="I176" s="26">
        <f>IF(H176="",0,G176*H176)</f>
        <v/>
      </c>
      <c r="J176" s="23" t="inlineStr">
        <is>
          <t>ÚRS 2026</t>
        </is>
      </c>
      <c r="K176" s="31" t="inlineStr">
        <is>
          <t>⚠ family OK, leaf KROS lookup [evidence: https://www.cs-urs.cz/podminky/cu202/801-3-Budovy-a-haly---b]</t>
        </is>
      </c>
      <c r="L176" s="5" t="inlineStr">
        <is>
          <t>HSV-6 Bourací práce</t>
        </is>
      </c>
    </row>
    <row r="177">
      <c r="B177" s="17" t="n"/>
      <c r="C177" s="28" t="inlineStr">
        <is>
          <t>VV</t>
        </is>
      </c>
      <c r="D177" s="17" t="n"/>
      <c r="E177" s="29" t="inlineStr">
        <is>
          <t>TZ B m.10.e: 9 t dřeva × 0.75 t/m³ = 12 m³ dřeva</t>
        </is>
      </c>
      <c r="F177" s="17" t="n"/>
      <c r="G177" s="30" t="n">
        <v>12</v>
      </c>
      <c r="H177" s="17" t="n"/>
      <c r="I177" s="17" t="n"/>
      <c r="J177" s="17" t="n"/>
      <c r="K177" s="17" t="n"/>
      <c r="L177" s="17" t="n"/>
    </row>
    <row r="178">
      <c r="B178" s="23" t="n">
        <v>61</v>
      </c>
      <c r="C178" s="23" t="inlineStr">
        <is>
          <t>K</t>
        </is>
      </c>
      <c r="D178" s="24" t="inlineStr"/>
      <c r="E178" s="24" t="inlineStr">
        <is>
          <t>Bourání stávající plechové krytiny (manuálně, recyklace plechu)</t>
        </is>
      </c>
      <c r="F178" s="23" t="inlineStr">
        <is>
          <t>m²</t>
        </is>
      </c>
      <c r="G178" s="25" t="n">
        <v>140.9</v>
      </c>
      <c r="H178" s="26" t="n"/>
      <c r="I178" s="26">
        <f>IF(H178="",0,G178*H178)</f>
        <v/>
      </c>
      <c r="J178" s="23" t="inlineStr">
        <is>
          <t>ÚRS 2026</t>
        </is>
      </c>
      <c r="K178" s="33" t="inlineStr">
        <is>
          <t>❌ MANUAL — KROS catalog lookup</t>
        </is>
      </c>
      <c r="L178" s="5" t="inlineStr">
        <is>
          <t>HSV-6 Bourací práce</t>
        </is>
      </c>
    </row>
    <row r="179">
      <c r="B179" s="17" t="n"/>
      <c r="C179" s="28" t="inlineStr">
        <is>
          <t>VV</t>
        </is>
      </c>
      <c r="D179" s="17" t="n"/>
      <c r="E179" s="29">
        <f> plocha krytiny ~141</f>
        <v/>
      </c>
      <c r="F179" s="17" t="n"/>
      <c r="G179" s="30" t="n">
        <v>140.9</v>
      </c>
      <c r="H179" s="17" t="n"/>
      <c r="I179" s="17" t="n"/>
      <c r="J179" s="17" t="n"/>
      <c r="K179" s="17" t="n"/>
      <c r="L179" s="17" t="n"/>
    </row>
    <row r="180">
      <c r="B180" s="23" t="n">
        <v>62</v>
      </c>
      <c r="C180" s="23" t="inlineStr">
        <is>
          <t>K</t>
        </is>
      </c>
      <c r="D180" s="24" t="inlineStr">
        <is>
          <t>962031132</t>
        </is>
      </c>
      <c r="E180" s="24" t="inlineStr">
        <is>
          <t>Bourání zděných nadezdívek nad stropem 2.NP (mimo štítových stěn) — cihla pálená</t>
        </is>
      </c>
      <c r="F180" s="23" t="inlineStr">
        <is>
          <t>m³</t>
        </is>
      </c>
      <c r="G180" s="25" t="n">
        <v>6</v>
      </c>
      <c r="H180" s="26" t="n"/>
      <c r="I180" s="26">
        <f>IF(H180="",0,G180*H180)</f>
        <v/>
      </c>
      <c r="J180" s="23" t="inlineStr">
        <is>
          <t>ÚRS 2026</t>
        </is>
      </c>
      <c r="K180" s="32" t="inlineStr">
        <is>
          <t>? needs production lookup</t>
        </is>
      </c>
      <c r="L180" s="5" t="inlineStr">
        <is>
          <t>HSV-6 Bourací práce</t>
        </is>
      </c>
    </row>
    <row r="181">
      <c r="B181" s="17" t="n"/>
      <c r="C181" s="28" t="inlineStr">
        <is>
          <t>VV</t>
        </is>
      </c>
      <c r="D181" s="17" t="n"/>
      <c r="E181" s="29" t="inlineStr">
        <is>
          <t>odhad — 3.NP nadezdívka půdy ~104 m² × 0.45 m výška ~6</t>
        </is>
      </c>
      <c r="F181" s="17" t="n"/>
      <c r="G181" s="30" t="n">
        <v>6</v>
      </c>
      <c r="H181" s="17" t="n"/>
      <c r="I181" s="17" t="n"/>
      <c r="J181" s="17" t="n"/>
      <c r="K181" s="17" t="n"/>
      <c r="L181" s="17" t="n"/>
    </row>
    <row r="182">
      <c r="B182" s="23" t="n">
        <v>63</v>
      </c>
      <c r="C182" s="23" t="inlineStr">
        <is>
          <t>K</t>
        </is>
      </c>
      <c r="D182" s="24" t="inlineStr">
        <is>
          <t>962041141</t>
        </is>
      </c>
      <c r="E182" s="24" t="inlineStr">
        <is>
          <t>Bourání trámového stropu 2.NP/podkroví — kompletně (vč. zajištění schodiště)</t>
        </is>
      </c>
      <c r="F182" s="23" t="inlineStr">
        <is>
          <t>m²</t>
        </is>
      </c>
      <c r="G182" s="25" t="n">
        <v>104.4</v>
      </c>
      <c r="H182" s="26" t="n"/>
      <c r="I182" s="26">
        <f>IF(H182="",0,G182*H182)</f>
        <v/>
      </c>
      <c r="J182" s="23" t="inlineStr">
        <is>
          <t>ÚRS 2026</t>
        </is>
      </c>
      <c r="K182" s="32" t="inlineStr">
        <is>
          <t>? needs production lookup</t>
        </is>
      </c>
      <c r="L182" s="5" t="inlineStr">
        <is>
          <t>HSV-6 Bourací práce</t>
        </is>
      </c>
    </row>
    <row r="183">
      <c r="B183" s="17" t="n"/>
      <c r="C183" s="28" t="inlineStr">
        <is>
          <t>VV</t>
        </is>
      </c>
      <c r="D183" s="17" t="n"/>
      <c r="E183" s="29">
        <f> zastavěna 104.4 m²</f>
        <v/>
      </c>
      <c r="F183" s="17" t="n"/>
      <c r="G183" s="30" t="n">
        <v>104.4</v>
      </c>
      <c r="H183" s="17" t="n"/>
      <c r="I183" s="17" t="n"/>
      <c r="J183" s="17" t="n"/>
      <c r="K183" s="17" t="n"/>
      <c r="L183" s="17" t="n"/>
    </row>
    <row r="184">
      <c r="B184" s="23" t="n">
        <v>64</v>
      </c>
      <c r="C184" s="23" t="inlineStr">
        <is>
          <t>K</t>
        </is>
      </c>
      <c r="D184" s="24" t="inlineStr">
        <is>
          <t>962031132</t>
        </is>
      </c>
      <c r="E184" s="24" t="inlineStr">
        <is>
          <t>Bourání stávajících lehkých příček (cihla, sádrokarton, dřevo)</t>
        </is>
      </c>
      <c r="F184" s="23" t="inlineStr">
        <is>
          <t>m²</t>
        </is>
      </c>
      <c r="G184" s="25" t="n">
        <v>80</v>
      </c>
      <c r="H184" s="26" t="n"/>
      <c r="I184" s="26">
        <f>IF(H184="",0,G184*H184)</f>
        <v/>
      </c>
      <c r="J184" s="23" t="inlineStr">
        <is>
          <t>ÚRS 2026</t>
        </is>
      </c>
      <c r="K184" s="32" t="inlineStr">
        <is>
          <t>? needs production lookup</t>
        </is>
      </c>
      <c r="L184" s="5" t="inlineStr">
        <is>
          <t>HSV-6 Bourací práce</t>
        </is>
      </c>
    </row>
    <row r="185">
      <c r="B185" s="17" t="n"/>
      <c r="C185" s="28" t="inlineStr">
        <is>
          <t>VV</t>
        </is>
      </c>
      <c r="D185" s="17" t="n"/>
      <c r="E185" s="29" t="inlineStr">
        <is>
          <t>odhad — interier 2 patra × ~40 m² příček = 80</t>
        </is>
      </c>
      <c r="F185" s="17" t="n"/>
      <c r="G185" s="30" t="n">
        <v>80</v>
      </c>
      <c r="H185" s="17" t="n"/>
      <c r="I185" s="17" t="n"/>
      <c r="J185" s="17" t="n"/>
      <c r="K185" s="17" t="n"/>
      <c r="L185" s="17" t="n"/>
    </row>
    <row r="186">
      <c r="B186" s="23" t="n">
        <v>65</v>
      </c>
      <c r="C186" s="23" t="inlineStr">
        <is>
          <t>K</t>
        </is>
      </c>
      <c r="D186" s="24" t="inlineStr">
        <is>
          <t>962031132</t>
        </is>
      </c>
      <c r="E186" s="24" t="inlineStr">
        <is>
          <t>Bourání 8 nových otvorů v nosných cihelných zdech pro dveře/okna (~1.0 × 2.1 m)</t>
        </is>
      </c>
      <c r="F186" s="23" t="inlineStr">
        <is>
          <t>ks</t>
        </is>
      </c>
      <c r="G186" s="25" t="n">
        <v>8</v>
      </c>
      <c r="H186" s="26" t="n"/>
      <c r="I186" s="26">
        <f>IF(H186="",0,G186*H186)</f>
        <v/>
      </c>
      <c r="J186" s="23" t="inlineStr">
        <is>
          <t>ÚRS 2026</t>
        </is>
      </c>
      <c r="K186" s="32" t="inlineStr">
        <is>
          <t>? needs production lookup</t>
        </is>
      </c>
      <c r="L186" s="5" t="inlineStr">
        <is>
          <t>HSV-6 Bourací práce</t>
        </is>
      </c>
    </row>
    <row r="187">
      <c r="B187" s="17" t="n"/>
      <c r="C187" s="28" t="inlineStr">
        <is>
          <t>VV</t>
        </is>
      </c>
      <c r="D187" s="17" t="n"/>
      <c r="E187" s="29" t="inlineStr">
        <is>
          <t>odhad počtu nových otvorů (= počet IPN160 překladů)</t>
        </is>
      </c>
      <c r="F187" s="17" t="n"/>
      <c r="G187" s="30" t="n">
        <v>8</v>
      </c>
      <c r="H187" s="17" t="n"/>
      <c r="I187" s="17" t="n"/>
      <c r="J187" s="17" t="n"/>
      <c r="K187" s="17" t="n"/>
      <c r="L187" s="17" t="n"/>
    </row>
    <row r="188">
      <c r="B188" s="23" t="n">
        <v>66</v>
      </c>
      <c r="C188" s="23" t="inlineStr">
        <is>
          <t>K</t>
        </is>
      </c>
      <c r="D188" s="24" t="inlineStr">
        <is>
          <t>781473810</t>
        </is>
      </c>
      <c r="E188" s="24" t="inlineStr">
        <is>
          <t>Bourání keramických obkladů a zařizovacích předmětů v koupelnách 1.NP + 2.NP</t>
        </is>
      </c>
      <c r="F188" s="23" t="inlineStr">
        <is>
          <t>m²</t>
        </is>
      </c>
      <c r="G188" s="25" t="n">
        <v>60</v>
      </c>
      <c r="H188" s="26" t="n"/>
      <c r="I188" s="26">
        <f>IF(H188="",0,G188*H188)</f>
        <v/>
      </c>
      <c r="J188" s="23" t="inlineStr">
        <is>
          <t>ÚRS 2026</t>
        </is>
      </c>
      <c r="K188" s="31" t="inlineStr">
        <is>
          <t>⚠ family OK, leaf KROS lookup [evidence: https://www.cs-urs.cz/podminky/cu202/801-3-Budovy-a-haly---b]</t>
        </is>
      </c>
      <c r="L188" s="5" t="inlineStr">
        <is>
          <t>HSV-6 Bourací práce</t>
        </is>
      </c>
    </row>
    <row r="189">
      <c r="B189" s="17" t="n"/>
      <c r="C189" s="28" t="inlineStr">
        <is>
          <t>VV</t>
        </is>
      </c>
      <c r="D189" s="17" t="n"/>
      <c r="E189" s="29" t="inlineStr">
        <is>
          <t>2 koupelny × ~30 m² obkladů = 60</t>
        </is>
      </c>
      <c r="F189" s="17" t="n"/>
      <c r="G189" s="30" t="n">
        <v>60</v>
      </c>
      <c r="H189" s="17" t="n"/>
      <c r="I189" s="17" t="n"/>
      <c r="J189" s="17" t="n"/>
      <c r="K189" s="17" t="n"/>
      <c r="L189" s="17" t="n"/>
    </row>
    <row r="190">
      <c r="B190" s="23" t="n">
        <v>67</v>
      </c>
      <c r="C190" s="23" t="inlineStr">
        <is>
          <t>K</t>
        </is>
      </c>
      <c r="D190" s="24" t="inlineStr">
        <is>
          <t>974031132</t>
        </is>
      </c>
      <c r="E190" s="24" t="inlineStr">
        <is>
          <t>Sejmutí podlah 1.NP a 2.NP — vč. nášlapů, podkladních vrstev</t>
        </is>
      </c>
      <c r="F190" s="23" t="inlineStr">
        <is>
          <t>m²</t>
        </is>
      </c>
      <c r="G190" s="25" t="n">
        <v>153.51</v>
      </c>
      <c r="H190" s="26" t="n"/>
      <c r="I190" s="26">
        <f>IF(H190="",0,G190*H190)</f>
        <v/>
      </c>
      <c r="J190" s="23" t="inlineStr">
        <is>
          <t>ÚRS 2026</t>
        </is>
      </c>
      <c r="K190" s="32" t="inlineStr">
        <is>
          <t>? needs production lookup</t>
        </is>
      </c>
      <c r="L190" s="5" t="inlineStr">
        <is>
          <t>HSV-6 Bourací práce</t>
        </is>
      </c>
    </row>
    <row r="191">
      <c r="B191" s="17" t="n"/>
      <c r="C191" s="28" t="inlineStr">
        <is>
          <t>VV</t>
        </is>
      </c>
      <c r="D191" s="17" t="n"/>
      <c r="E191" s="29" t="inlineStr">
        <is>
          <t>podlahova × 0.7 = ~154 m² (bez 3.NP nového)</t>
        </is>
      </c>
      <c r="F191" s="17" t="n"/>
      <c r="G191" s="30" t="n">
        <v>153.51</v>
      </c>
      <c r="H191" s="17" t="n"/>
      <c r="I191" s="17" t="n"/>
      <c r="J191" s="17" t="n"/>
      <c r="K191" s="17" t="n"/>
      <c r="L191" s="17" t="n"/>
    </row>
    <row r="192">
      <c r="B192" s="23" t="n">
        <v>68</v>
      </c>
      <c r="C192" s="23" t="inlineStr">
        <is>
          <t>K</t>
        </is>
      </c>
      <c r="D192" s="24" t="inlineStr">
        <is>
          <t>974041151</t>
        </is>
      </c>
      <c r="E192" s="24" t="inlineStr">
        <is>
          <t>Demontáž záklopu a zásypů stropu 1.NP (prkenný záklop na trámech zachován)</t>
        </is>
      </c>
      <c r="F192" s="23" t="inlineStr">
        <is>
          <t>m³</t>
        </is>
      </c>
      <c r="G192" s="25" t="n">
        <v>5</v>
      </c>
      <c r="H192" s="26" t="n"/>
      <c r="I192" s="26">
        <f>IF(H192="",0,G192*H192)</f>
        <v/>
      </c>
      <c r="J192" s="23" t="inlineStr">
        <is>
          <t>ÚRS 2026</t>
        </is>
      </c>
      <c r="K192" s="32" t="inlineStr">
        <is>
          <t>? needs production lookup</t>
        </is>
      </c>
      <c r="L192" s="5" t="inlineStr">
        <is>
          <t>HSV-6 Bourací práce</t>
        </is>
      </c>
    </row>
    <row r="193">
      <c r="B193" s="17" t="n"/>
      <c r="C193" s="28" t="inlineStr">
        <is>
          <t>VV</t>
        </is>
      </c>
      <c r="D193" s="17" t="n"/>
      <c r="E193" s="29" t="inlineStr">
        <is>
          <t>100 m² × 0.05 m tl. zásypu = 5</t>
        </is>
      </c>
      <c r="F193" s="17" t="n"/>
      <c r="G193" s="30" t="n">
        <v>5</v>
      </c>
      <c r="H193" s="17" t="n"/>
      <c r="I193" s="17" t="n"/>
      <c r="J193" s="17" t="n"/>
      <c r="K193" s="17" t="n"/>
      <c r="L193" s="17" t="n"/>
    </row>
    <row r="194">
      <c r="B194" s="23" t="n">
        <v>69</v>
      </c>
      <c r="C194" s="23" t="inlineStr">
        <is>
          <t>K</t>
        </is>
      </c>
      <c r="D194" s="24" t="inlineStr">
        <is>
          <t>968071120</t>
        </is>
      </c>
      <c r="E194" s="24" t="inlineStr">
        <is>
          <t>Demontáž všech oken a dveří stávajících (recyklace)</t>
        </is>
      </c>
      <c r="F194" s="23" t="inlineStr">
        <is>
          <t>ks</t>
        </is>
      </c>
      <c r="G194" s="25" t="n">
        <v>25</v>
      </c>
      <c r="H194" s="26" t="n"/>
      <c r="I194" s="26">
        <f>IF(H194="",0,G194*H194)</f>
        <v/>
      </c>
      <c r="J194" s="23" t="inlineStr">
        <is>
          <t>ÚRS 2026</t>
        </is>
      </c>
      <c r="K194" s="32" t="inlineStr">
        <is>
          <t>? needs production lookup</t>
        </is>
      </c>
      <c r="L194" s="5" t="inlineStr">
        <is>
          <t>HSV-6 Bourací práce</t>
        </is>
      </c>
    </row>
    <row r="195">
      <c r="B195" s="17" t="n"/>
      <c r="C195" s="28" t="inlineStr">
        <is>
          <t>VV</t>
        </is>
      </c>
      <c r="D195" s="17" t="n"/>
      <c r="E195" s="29" t="inlineStr">
        <is>
          <t>odhad — ~10 oken + ~15 dveří (vstupní + vnitřní)</t>
        </is>
      </c>
      <c r="F195" s="17" t="n"/>
      <c r="G195" s="30" t="n">
        <v>25</v>
      </c>
      <c r="H195" s="17" t="n"/>
      <c r="I195" s="17" t="n"/>
      <c r="J195" s="17" t="n"/>
      <c r="K195" s="17" t="n"/>
      <c r="L195" s="17" t="n"/>
    </row>
    <row r="196">
      <c r="B196" s="23" t="n">
        <v>70</v>
      </c>
      <c r="C196" s="23" t="inlineStr">
        <is>
          <t>K</t>
        </is>
      </c>
      <c r="D196" s="24" t="inlineStr">
        <is>
          <t>725900001</t>
        </is>
      </c>
      <c r="E196" s="24" t="inlineStr">
        <is>
          <t>Demontáž všech sanitárních zařizovacích předmětů (WC, umyvadla, baterie, sprcha)</t>
        </is>
      </c>
      <c r="F196" s="23" t="inlineStr">
        <is>
          <t>ks</t>
        </is>
      </c>
      <c r="G196" s="25" t="n">
        <v>12</v>
      </c>
      <c r="H196" s="26" t="n"/>
      <c r="I196" s="26">
        <f>IF(H196="",0,G196*H196)</f>
        <v/>
      </c>
      <c r="J196" s="23" t="inlineStr">
        <is>
          <t>ÚRS 2026</t>
        </is>
      </c>
      <c r="K196" s="32" t="inlineStr">
        <is>
          <t>? needs production lookup</t>
        </is>
      </c>
      <c r="L196" s="5" t="inlineStr">
        <is>
          <t>HSV-6 Bourací práce</t>
        </is>
      </c>
    </row>
    <row r="197">
      <c r="B197" s="17" t="n"/>
      <c r="C197" s="28" t="inlineStr">
        <is>
          <t>VV</t>
        </is>
      </c>
      <c r="D197" s="17" t="n"/>
      <c r="E197" s="29" t="inlineStr">
        <is>
          <t>odhad — 2 koupelny × ~5 ks + WC + dřez = ~12</t>
        </is>
      </c>
      <c r="F197" s="17" t="n"/>
      <c r="G197" s="30" t="n">
        <v>12</v>
      </c>
      <c r="H197" s="17" t="n"/>
      <c r="I197" s="17" t="n"/>
      <c r="J197" s="17" t="n"/>
      <c r="K197" s="17" t="n"/>
      <c r="L197" s="17" t="n"/>
    </row>
    <row r="198">
      <c r="B198" s="23" t="n">
        <v>71</v>
      </c>
      <c r="C198" s="23" t="inlineStr">
        <is>
          <t>K</t>
        </is>
      </c>
      <c r="D198" s="24" t="inlineStr">
        <is>
          <t>997013501</t>
        </is>
      </c>
      <c r="E198" s="24" t="inlineStr">
        <is>
          <t>Odvoz a likvidace stavební suti dle vyhl. 8/2021 Sb. — celková tonáž odpadů</t>
        </is>
      </c>
      <c r="F198" s="23" t="inlineStr">
        <is>
          <t>t</t>
        </is>
      </c>
      <c r="G198" s="25" t="n">
        <v>56.5</v>
      </c>
      <c r="H198" s="26" t="n"/>
      <c r="I198" s="26">
        <f>IF(H198="",0,G198*H198)</f>
        <v/>
      </c>
      <c r="J198" s="23" t="inlineStr">
        <is>
          <t>ÚRS 2026</t>
        </is>
      </c>
      <c r="K198" s="32" t="inlineStr">
        <is>
          <t>? needs production lookup</t>
        </is>
      </c>
      <c r="L198" s="5" t="inlineStr">
        <is>
          <t>HSV-6 Bourací práce</t>
        </is>
      </c>
    </row>
    <row r="199">
      <c r="B199" s="17" t="n"/>
      <c r="C199" s="28" t="inlineStr">
        <is>
          <t>VV</t>
        </is>
      </c>
      <c r="D199" s="17" t="n"/>
      <c r="E199" s="29" t="inlineStr">
        <is>
          <t>TZ B m.10.e: 46 (beton/cihly) + 9 (dřevo) + 0.1 (kov) + 0.1 (EPS) + 0.2 (sádra) + 1.0 (směs) = 56.4</t>
        </is>
      </c>
      <c r="F199" s="17" t="n"/>
      <c r="G199" s="30" t="n">
        <v>56.5</v>
      </c>
      <c r="H199" s="17" t="n"/>
      <c r="I199" s="17" t="n"/>
      <c r="J199" s="17" t="n"/>
      <c r="K199" s="17" t="n"/>
      <c r="L199" s="17" t="n"/>
    </row>
    <row r="200">
      <c r="B200" s="23" t="n">
        <v>72</v>
      </c>
      <c r="C200" s="23" t="inlineStr">
        <is>
          <t>K</t>
        </is>
      </c>
      <c r="D200" s="24" t="inlineStr">
        <is>
          <t>978013181</t>
        </is>
      </c>
      <c r="E200" s="24" t="inlineStr">
        <is>
          <t>Demontáž stávajících dřevěných oken vč. rámů a parapetů — 16 ks (návrh všechna okna nová plastová trojsklem)</t>
        </is>
      </c>
      <c r="F200" s="23" t="inlineStr">
        <is>
          <t>ks</t>
        </is>
      </c>
      <c r="G200" s="25" t="n">
        <v>16</v>
      </c>
      <c r="H200" s="26" t="n"/>
      <c r="I200" s="26">
        <f>IF(H200="",0,G200*H200)</f>
        <v/>
      </c>
      <c r="J200" s="23" t="inlineStr">
        <is>
          <t>ÚRS 2026</t>
        </is>
      </c>
      <c r="K200" s="32" t="inlineStr">
        <is>
          <t>? needs production lookup</t>
        </is>
      </c>
      <c r="L200" s="5" t="inlineStr">
        <is>
          <t>HSV-6 Bourací práce</t>
        </is>
      </c>
    </row>
    <row r="201">
      <c r="B201" s="17" t="n"/>
      <c r="C201" s="28" t="inlineStr">
        <is>
          <t>VV</t>
        </is>
      </c>
      <c r="D201" s="17" t="n"/>
      <c r="E201" s="29" t="inlineStr">
        <is>
          <t>DXF INSERT okno* total 16 ks (Path C Tier 4 — front 9 + back 7)</t>
        </is>
      </c>
      <c r="F201" s="17" t="n"/>
      <c r="G201" s="30" t="n">
        <v>16</v>
      </c>
      <c r="H201" s="17" t="n"/>
      <c r="I201" s="17" t="n"/>
      <c r="J201" s="17" t="n"/>
      <c r="K201" s="17" t="n"/>
      <c r="L201" s="17" t="n"/>
    </row>
    <row r="202">
      <c r="B202" s="23" t="n">
        <v>73</v>
      </c>
      <c r="C202" s="23" t="inlineStr">
        <is>
          <t>K</t>
        </is>
      </c>
      <c r="D202" s="24" t="inlineStr">
        <is>
          <t>978013181</t>
        </is>
      </c>
      <c r="E202" s="24" t="inlineStr">
        <is>
          <t>Demontáž stávajících vstupních dveří + rámů — 2 ks (1× ulice Fibichova + 1× zahrada; návrh nové plastové vstupní dveře)</t>
        </is>
      </c>
      <c r="F202" s="23" t="inlineStr">
        <is>
          <t>ks</t>
        </is>
      </c>
      <c r="G202" s="25" t="n">
        <v>2</v>
      </c>
      <c r="H202" s="26" t="n"/>
      <c r="I202" s="26">
        <f>IF(H202="",0,G202*H202)</f>
        <v/>
      </c>
      <c r="J202" s="23" t="inlineStr">
        <is>
          <t>ÚRS 2026</t>
        </is>
      </c>
      <c r="K202" s="32" t="inlineStr">
        <is>
          <t>? needs production lookup</t>
        </is>
      </c>
      <c r="L202" s="5" t="inlineStr">
        <is>
          <t>HSV-6 Bourací práce</t>
        </is>
      </c>
    </row>
    <row r="203">
      <c r="B203" s="17" t="n"/>
      <c r="C203" s="28" t="inlineStr">
        <is>
          <t>VV</t>
        </is>
      </c>
      <c r="D203" s="17" t="n"/>
      <c r="E203" s="29" t="inlineStr">
        <is>
          <t>DXF INSERT dveře = 2 (Path C Tier 4) + TZ ARS</t>
        </is>
      </c>
      <c r="F203" s="17" t="n"/>
      <c r="G203" s="30" t="n">
        <v>2</v>
      </c>
      <c r="H203" s="17" t="n"/>
      <c r="I203" s="17" t="n"/>
      <c r="J203" s="17" t="n"/>
      <c r="K203" s="17" t="n"/>
      <c r="L203" s="17" t="n"/>
    </row>
    <row r="204">
      <c r="B204" s="23" t="n">
        <v>74</v>
      </c>
      <c r="C204" s="23" t="inlineStr">
        <is>
          <t>K</t>
        </is>
      </c>
      <c r="D204" s="24" t="inlineStr">
        <is>
          <t>968072456</t>
        </is>
      </c>
      <c r="E204" s="24" t="inlineStr">
        <is>
          <t>Demontáž stávajících vnitřních dveří vč. ocelových/dřevěných zárubní — odhad 15 ks (3 patra × ~5 dveří/patro per DXF SM__dveře layer)</t>
        </is>
      </c>
      <c r="F204" s="23" t="inlineStr">
        <is>
          <t>ks</t>
        </is>
      </c>
      <c r="G204" s="25" t="n">
        <v>15</v>
      </c>
      <c r="H204" s="26" t="n"/>
      <c r="I204" s="26">
        <f>IF(H204="",0,G204*H204)</f>
        <v/>
      </c>
      <c r="J204" s="23" t="inlineStr">
        <is>
          <t>ÚRS 2026</t>
        </is>
      </c>
      <c r="K204" s="32" t="inlineStr">
        <is>
          <t>? needs production lookup</t>
        </is>
      </c>
      <c r="L204" s="5" t="inlineStr">
        <is>
          <t>HSV-6 Bourací práce</t>
        </is>
      </c>
    </row>
    <row r="205">
      <c r="B205" s="17" t="n"/>
      <c r="C205" s="28" t="inlineStr">
        <is>
          <t>VV</t>
        </is>
      </c>
      <c r="D205" s="17" t="n"/>
      <c r="E205" s="29" t="inlineStr">
        <is>
          <t>DXF SM__dveře polylines 102 / ~3 fáze / ~2.3 symbol per dveře ≈ 15 ks návrh (Path C confidence 0.65)</t>
        </is>
      </c>
      <c r="F205" s="17" t="n"/>
      <c r="G205" s="30" t="n">
        <v>15</v>
      </c>
      <c r="H205" s="17" t="n"/>
      <c r="I205" s="17" t="n"/>
      <c r="J205" s="17" t="n"/>
      <c r="K205" s="17" t="n"/>
      <c r="L205" s="17" t="n"/>
    </row>
    <row r="206">
      <c r="B206" s="23" t="n">
        <v>75</v>
      </c>
      <c r="C206" s="23" t="inlineStr">
        <is>
          <t>K</t>
        </is>
      </c>
      <c r="D206" s="24" t="inlineStr">
        <is>
          <t>962024141</t>
        </is>
      </c>
      <c r="E206" s="24" t="inlineStr">
        <is>
          <t>Bourání vrchní části stávajícího komínu v posledním podlaží (cihelné zdivo, ručně), vč. likvidace cihelné suti</t>
        </is>
      </c>
      <c r="F206" s="23" t="inlineStr">
        <is>
          <t>m³</t>
        </is>
      </c>
      <c r="G206" s="25" t="n">
        <v>0.6</v>
      </c>
      <c r="H206" s="26" t="n"/>
      <c r="I206" s="26">
        <f>IF(H206="",0,G206*H206)</f>
        <v/>
      </c>
      <c r="J206" s="23" t="inlineStr">
        <is>
          <t>ÚRS 2026</t>
        </is>
      </c>
      <c r="K206" s="31" t="inlineStr">
        <is>
          <t>⚠ family OK, leaf KROS lookup [evidence: https://www.cs-urs.cz/podminky/cu202/801-3-Budovy-a-haly---b]</t>
        </is>
      </c>
      <c r="L206" s="5" t="inlineStr">
        <is>
          <t>HSV-6 Bourací práce</t>
        </is>
      </c>
    </row>
    <row r="207">
      <c r="B207" s="17" t="n"/>
      <c r="C207" s="28" t="inlineStr">
        <is>
          <t>VV</t>
        </is>
      </c>
      <c r="D207" s="17" t="n"/>
      <c r="E207" s="29" t="inlineStr">
        <is>
          <t>průměr komín 0.50×0.50 × výška nad střechou ~2.4 m = 0.6 m³ (OPRAVA ChatGPT revize 2026-05-29: dříve 6.0 m³ = ×10 chybná inflace; skutečný objem 0.6 m³)</t>
        </is>
      </c>
      <c r="F207" s="17" t="n"/>
      <c r="G207" s="30" t="n">
        <v>0.6</v>
      </c>
      <c r="H207" s="17" t="n"/>
      <c r="I207" s="17" t="n"/>
      <c r="J207" s="17" t="n"/>
      <c r="K207" s="17" t="n"/>
      <c r="L207" s="17" t="n"/>
    </row>
    <row r="208">
      <c r="B208" s="23" t="n">
        <v>76</v>
      </c>
      <c r="C208" s="23" t="inlineStr">
        <is>
          <t>K</t>
        </is>
      </c>
      <c r="D208" s="24" t="inlineStr">
        <is>
          <t>961044111</t>
        </is>
      </c>
      <c r="E208" s="24" t="inlineStr">
        <is>
          <t>Bourání stávajících opěrných zídek a venkovního schodiště v zahradě/dvoře — částečné, dle vyznačení v půdorysech bourání</t>
        </is>
      </c>
      <c r="F208" s="23" t="inlineStr">
        <is>
          <t>m³</t>
        </is>
      </c>
      <c r="G208" s="25" t="n">
        <v>8</v>
      </c>
      <c r="H208" s="26" t="n"/>
      <c r="I208" s="26">
        <f>IF(H208="",0,G208*H208)</f>
        <v/>
      </c>
      <c r="J208" s="23" t="inlineStr">
        <is>
          <t>ÚRS 2026</t>
        </is>
      </c>
      <c r="K208" s="31" t="inlineStr">
        <is>
          <t>⚠ family OK, leaf KROS lookup [evidence: https://www.cs-urs.cz/podminky/cu202/801-3-Budovy-a-haly---b]</t>
        </is>
      </c>
      <c r="L208" s="5" t="inlineStr">
        <is>
          <t>HSV-6 Bourací práce</t>
        </is>
      </c>
    </row>
    <row r="209">
      <c r="B209" s="17" t="n"/>
      <c r="C209" s="28" t="inlineStr">
        <is>
          <t>VV</t>
        </is>
      </c>
      <c r="D209" s="17" t="n"/>
      <c r="E209" s="29" t="inlineStr">
        <is>
          <t>odhad ze řez A-A bourání + půdorys bourání 1.NP/1.PP, ~8 m³ celkem (opěrné zídky + venkovní schodiště zahrada/dvůr)</t>
        </is>
      </c>
      <c r="F209" s="17" t="n"/>
      <c r="G209" s="30" t="n">
        <v>8</v>
      </c>
      <c r="H209" s="17" t="n"/>
      <c r="I209" s="17" t="n"/>
      <c r="J209" s="17" t="n"/>
      <c r="K209" s="17" t="n"/>
      <c r="L209" s="17" t="n"/>
    </row>
    <row r="210">
      <c r="B210" s="21" t="n"/>
      <c r="C210" s="22" t="inlineStr">
        <is>
          <t>D</t>
        </is>
      </c>
      <c r="D210" s="22" t="inlineStr">
        <is>
          <t>HSV-7</t>
        </is>
      </c>
      <c r="E210" s="22" t="inlineStr">
        <is>
          <t>HSV-7 Fasáda ETICS</t>
        </is>
      </c>
      <c r="F210" s="21" t="n"/>
      <c r="G210" s="21" t="n"/>
      <c r="H210" s="21" t="n"/>
      <c r="I210" s="21" t="n"/>
      <c r="J210" s="21" t="n"/>
      <c r="K210" s="21" t="n"/>
      <c r="L210" s="21" t="n"/>
    </row>
    <row r="211">
      <c r="B211" s="23" t="n">
        <v>77</v>
      </c>
      <c r="C211" s="23" t="inlineStr">
        <is>
          <t>K</t>
        </is>
      </c>
      <c r="D211" s="24" t="inlineStr">
        <is>
          <t>622401110</t>
        </is>
      </c>
      <c r="E211" s="24" t="inlineStr">
        <is>
          <t>Příprava fasádního podkladu — očištění tlakovou vodou, vyspravení omítek, fungicidní nátěr</t>
        </is>
      </c>
      <c r="F211" s="23" t="inlineStr">
        <is>
          <t>m²</t>
        </is>
      </c>
      <c r="G211" s="25" t="n">
        <v>276.7</v>
      </c>
      <c r="H211" s="26" t="n"/>
      <c r="I211" s="26">
        <f>IF(H211="",0,G211*H211)</f>
        <v/>
      </c>
      <c r="J211" s="23" t="inlineStr">
        <is>
          <t>ÚRS 2026</t>
        </is>
      </c>
      <c r="K211" s="32" t="inlineStr">
        <is>
          <t>? needs production lookup</t>
        </is>
      </c>
      <c r="L211" s="5" t="inlineStr">
        <is>
          <t>HSV-7 Fasáda ETICS</t>
        </is>
      </c>
    </row>
    <row r="212">
      <c r="B212" s="17" t="n"/>
      <c r="C212" s="28" t="inlineStr">
        <is>
          <t>VV</t>
        </is>
      </c>
      <c r="D212" s="17" t="n"/>
      <c r="E212" s="29" t="inlineStr">
        <is>
          <t>obvod 38.7 m (DXF) × 0.55 (volná fasáda, štíty zachované) × výška 13.0 m = 276.7 m²</t>
        </is>
      </c>
      <c r="F212" s="17" t="n"/>
      <c r="G212" s="30" t="n">
        <v>276.7</v>
      </c>
      <c r="H212" s="17" t="n"/>
      <c r="I212" s="17" t="n"/>
      <c r="J212" s="17" t="n"/>
      <c r="K212" s="17" t="n"/>
      <c r="L212" s="17" t="n"/>
    </row>
    <row r="213">
      <c r="B213" s="23" t="n">
        <v>78</v>
      </c>
      <c r="C213" s="23" t="inlineStr">
        <is>
          <t>K</t>
        </is>
      </c>
      <c r="D213" s="24" t="inlineStr">
        <is>
          <t>622221121</t>
        </is>
      </c>
      <c r="E213" s="24" t="inlineStr">
        <is>
          <t>ETICS kontaktní zateplení — EPS 70F grey λ=0.032 tl. 160 mm + síťka + lepidlo + zatírací stěrka (řez S01+S12a explicit, ne 200 mm fallback)</t>
        </is>
      </c>
      <c r="F213" s="23" t="inlineStr">
        <is>
          <t>m²</t>
        </is>
      </c>
      <c r="G213" s="25" t="n">
        <v>276.7</v>
      </c>
      <c r="H213" s="26" t="n"/>
      <c r="I213" s="26">
        <f>IF(H213="",0,G213*H213)</f>
        <v/>
      </c>
      <c r="J213" s="23" t="inlineStr">
        <is>
          <t>ÚRS 2026</t>
        </is>
      </c>
      <c r="K213" s="31" t="inlineStr">
        <is>
          <t>⚠ family OK, leaf KROS lookup [evidence: https://www.isover.cz/produkty/eps/isover-eps-70f]</t>
        </is>
      </c>
      <c r="L213" s="5" t="inlineStr">
        <is>
          <t>HSV-7 Fasáda ETICS</t>
        </is>
      </c>
    </row>
    <row r="214">
      <c r="B214" s="17" t="n"/>
      <c r="C214" s="28" t="inlineStr">
        <is>
          <t>VV</t>
        </is>
      </c>
      <c r="D214" s="17" t="n"/>
      <c r="E214" s="29" t="inlineStr">
        <is>
          <t>obvod 38.7 m × 0.55 × 13.0 m = 276.7 m² (PBŘ: tl. max 200 mm povolena, řez S01+S12a EXPLICIT 160 mm applied)</t>
        </is>
      </c>
      <c r="F214" s="17" t="n"/>
      <c r="G214" s="30" t="n">
        <v>276.7</v>
      </c>
      <c r="H214" s="17" t="n"/>
      <c r="I214" s="17" t="n"/>
      <c r="J214" s="17" t="n"/>
      <c r="K214" s="17" t="n"/>
      <c r="L214" s="17" t="n"/>
    </row>
    <row r="215">
      <c r="B215" s="23" t="n">
        <v>79</v>
      </c>
      <c r="C215" s="23" t="inlineStr">
        <is>
          <t>K</t>
        </is>
      </c>
      <c r="D215" s="24" t="inlineStr">
        <is>
          <t>622223111</t>
        </is>
      </c>
      <c r="E215" s="24" t="inlineStr">
        <is>
          <t>ETICS sokl — XPS λ=0.034 tl. 120 mm + soklový profil + cihelný obklad spárovaný</t>
        </is>
      </c>
      <c r="F215" s="23" t="inlineStr">
        <is>
          <t>m²</t>
        </is>
      </c>
      <c r="G215" s="25" t="n">
        <v>13.5</v>
      </c>
      <c r="H215" s="26" t="n"/>
      <c r="I215" s="26">
        <f>IF(H215="",0,G215*H215)</f>
        <v/>
      </c>
      <c r="J215" s="23" t="inlineStr">
        <is>
          <t>ÚRS 2026</t>
        </is>
      </c>
      <c r="K215" s="31" t="inlineStr">
        <is>
          <t>⚠ family OK, leaf KROS lookup [evidence: https://baumit.cz/produkty/komponenty-pro-zateplovani/zaklad]</t>
        </is>
      </c>
      <c r="L215" s="5" t="inlineStr">
        <is>
          <t>HSV-7 Fasáda ETICS</t>
        </is>
      </c>
    </row>
    <row r="216">
      <c r="B216" s="17" t="n"/>
      <c r="C216" s="28" t="inlineStr">
        <is>
          <t>VV</t>
        </is>
      </c>
      <c r="D216" s="17" t="n"/>
      <c r="E216" s="29" t="inlineStr">
        <is>
          <t>obvod 38.7 m × 0.5 m výška sokl × 0.7 (řadovka) = 13.5 m²</t>
        </is>
      </c>
      <c r="F216" s="17" t="n"/>
      <c r="G216" s="30" t="n">
        <v>13.5</v>
      </c>
      <c r="H216" s="17" t="n"/>
      <c r="I216" s="17" t="n"/>
      <c r="J216" s="17" t="n"/>
      <c r="K216" s="17" t="n"/>
      <c r="L216" s="17" t="n"/>
    </row>
    <row r="217">
      <c r="B217" s="23" t="n">
        <v>80</v>
      </c>
      <c r="C217" s="23" t="inlineStr">
        <is>
          <t>K</t>
        </is>
      </c>
      <c r="D217" s="24" t="inlineStr">
        <is>
          <t>622221221</t>
        </is>
      </c>
      <c r="E217" s="24" t="inlineStr">
        <is>
          <t>Špalety oken — EPS přesah 35-40 mm + síťka + omítka</t>
        </is>
      </c>
      <c r="F217" s="23" t="inlineStr">
        <is>
          <t>bm</t>
        </is>
      </c>
      <c r="G217" s="25" t="n">
        <v>82.2</v>
      </c>
      <c r="H217" s="26" t="n"/>
      <c r="I217" s="26">
        <f>IF(H217="",0,G217*H217)</f>
        <v/>
      </c>
      <c r="J217" s="23" t="inlineStr">
        <is>
          <t>ÚRS 2026</t>
        </is>
      </c>
      <c r="K217" s="32" t="inlineStr">
        <is>
          <t>? needs production lookup</t>
        </is>
      </c>
      <c r="L217" s="5" t="inlineStr">
        <is>
          <t>HSV-7 Fasáda ETICS</t>
        </is>
      </c>
    </row>
    <row r="218">
      <c r="B218" s="17" t="n"/>
      <c r="C218" s="28" t="inlineStr">
        <is>
          <t>VV</t>
        </is>
      </c>
      <c r="D218" s="17" t="n"/>
      <c r="E218" s="29" t="inlineStr">
        <is>
          <t>Σ per-typ okno 16 ks × per-window perimeter (2×(W+H)) z DXF bbox = 82.2 bm</t>
        </is>
      </c>
      <c r="F218" s="17" t="n"/>
      <c r="G218" s="30" t="n">
        <v>82.2</v>
      </c>
      <c r="H218" s="17" t="n"/>
      <c r="I218" s="17" t="n"/>
      <c r="J218" s="17" t="n"/>
      <c r="K218" s="17" t="n"/>
      <c r="L218" s="17" t="n"/>
    </row>
    <row r="219">
      <c r="B219" s="23" t="n">
        <v>81</v>
      </c>
      <c r="C219" s="23" t="inlineStr">
        <is>
          <t>K</t>
        </is>
      </c>
      <c r="D219" s="24" t="inlineStr">
        <is>
          <t>622221221</t>
        </is>
      </c>
      <c r="E219" s="24" t="inlineStr">
        <is>
          <t>Profilace fasády — různé tloušťky EPS (kordony, šambrány, rámování oken) — paušál podle pohledů</t>
        </is>
      </c>
      <c r="F219" s="23" t="inlineStr">
        <is>
          <t>soubor</t>
        </is>
      </c>
      <c r="G219" s="25" t="n">
        <v>1</v>
      </c>
      <c r="H219" s="26" t="n"/>
      <c r="I219" s="26">
        <f>IF(H219="",0,G219*H219)</f>
        <v/>
      </c>
      <c r="J219" s="23" t="inlineStr">
        <is>
          <t>ÚRS 2026</t>
        </is>
      </c>
      <c r="K219" s="32" t="inlineStr">
        <is>
          <t>? needs production lookup</t>
        </is>
      </c>
      <c r="L219" s="5" t="inlineStr">
        <is>
          <t>HSV-7 Fasáda ETICS</t>
        </is>
      </c>
    </row>
    <row r="220">
      <c r="B220" s="17" t="n"/>
      <c r="C220" s="28" t="inlineStr">
        <is>
          <t>VV</t>
        </is>
      </c>
      <c r="D220" s="17" t="n"/>
      <c r="E220" s="29" t="inlineStr">
        <is>
          <t>paušál — dle pohledů NCS NZÚ</t>
        </is>
      </c>
      <c r="F220" s="17" t="n"/>
      <c r="G220" s="30" t="n">
        <v>1</v>
      </c>
      <c r="H220" s="17" t="n"/>
      <c r="I220" s="17" t="n"/>
      <c r="J220" s="17" t="n"/>
      <c r="K220" s="17" t="n"/>
      <c r="L220" s="17" t="n"/>
    </row>
    <row r="221">
      <c r="B221" s="23" t="n">
        <v>82</v>
      </c>
      <c r="C221" s="23" t="inlineStr">
        <is>
          <t>K</t>
        </is>
      </c>
      <c r="D221" s="24" t="inlineStr">
        <is>
          <t>622521111</t>
        </is>
      </c>
      <c r="E221" s="24" t="inlineStr">
        <is>
          <t>Tenkovrstvá pastovitá probarvená omítka, lomená bílá NCS NZÚ — finální vrstva ETICS</t>
        </is>
      </c>
      <c r="F221" s="23" t="inlineStr">
        <is>
          <t>m²</t>
        </is>
      </c>
      <c r="G221" s="25" t="n">
        <v>290.2</v>
      </c>
      <c r="H221" s="26" t="n"/>
      <c r="I221" s="26">
        <f>IF(H221="",0,G221*H221)</f>
        <v/>
      </c>
      <c r="J221" s="23" t="inlineStr">
        <is>
          <t>ÚRS 2026</t>
        </is>
      </c>
      <c r="K221" s="31" t="inlineStr">
        <is>
          <t>⚠ family OK, leaf KROS lookup [evidence: https://www.cz.weber/ncs-odstiny-dle-nzu-2023]</t>
        </is>
      </c>
      <c r="L221" s="5" t="inlineStr">
        <is>
          <t>HSV-7 Fasáda ETICS</t>
        </is>
      </c>
    </row>
    <row r="222">
      <c r="B222" s="17" t="n"/>
      <c r="C222" s="28" t="inlineStr">
        <is>
          <t>VV</t>
        </is>
      </c>
      <c r="D222" s="17" t="n"/>
      <c r="E222" s="29" t="inlineStr">
        <is>
          <t>ETICS plocha 276.7 m² + sokl 13.5 m² = 290.2 m²</t>
        </is>
      </c>
      <c r="F222" s="17" t="n"/>
      <c r="G222" s="30" t="n">
        <v>290.2</v>
      </c>
      <c r="H222" s="17" t="n"/>
      <c r="I222" s="17" t="n"/>
      <c r="J222" s="17" t="n"/>
      <c r="K222" s="17" t="n"/>
      <c r="L222" s="17" t="n"/>
    </row>
    <row r="223">
      <c r="B223" s="19" t="n"/>
      <c r="C223" s="20" t="inlineStr">
        <is>
          <t>D</t>
        </is>
      </c>
      <c r="D223" s="20" t="inlineStr">
        <is>
          <t>M</t>
        </is>
      </c>
      <c r="E223" s="20" t="inlineStr">
        <is>
          <t>Práce a dodávky M (montáže)</t>
        </is>
      </c>
      <c r="F223" s="19" t="n"/>
      <c r="G223" s="19" t="n"/>
      <c r="H223" s="19" t="n"/>
      <c r="I223" s="19" t="n"/>
      <c r="J223" s="19" t="n"/>
      <c r="K223" s="19" t="n"/>
      <c r="L223" s="19" t="n"/>
    </row>
    <row r="224">
      <c r="B224" s="21" t="n"/>
      <c r="C224" s="22" t="inlineStr">
        <is>
          <t>D</t>
        </is>
      </c>
      <c r="D224" s="22" t="inlineStr">
        <is>
          <t>M-21</t>
        </is>
      </c>
      <c r="E224" s="22" t="inlineStr">
        <is>
          <t>M-21 ELI silnoproud</t>
        </is>
      </c>
      <c r="F224" s="21" t="n"/>
      <c r="G224" s="21" t="n"/>
      <c r="H224" s="21" t="n"/>
      <c r="I224" s="21" t="n"/>
      <c r="J224" s="21" t="n"/>
      <c r="K224" s="21" t="n"/>
      <c r="L224" s="21" t="n"/>
    </row>
    <row r="225">
      <c r="B225" s="23" t="n">
        <v>83</v>
      </c>
      <c r="C225" s="23" t="inlineStr">
        <is>
          <t>K</t>
        </is>
      </c>
      <c r="D225" s="24" t="inlineStr">
        <is>
          <t>210010011</t>
        </is>
      </c>
      <c r="E225" s="24" t="inlineStr">
        <is>
          <t>Demontáž stávající elektroinstalace v celém domě (vodiče, rozvaděč, zásuvky, svítidla) — recyklace mědi</t>
        </is>
      </c>
      <c r="F225" s="23" t="inlineStr">
        <is>
          <t>kpl</t>
        </is>
      </c>
      <c r="G225" s="25" t="n">
        <v>1</v>
      </c>
      <c r="H225" s="26" t="n"/>
      <c r="I225" s="26">
        <f>IF(H225="",0,G225*H225)</f>
        <v/>
      </c>
      <c r="J225" s="23" t="inlineStr">
        <is>
          <t>ÚRS 2026</t>
        </is>
      </c>
      <c r="K225" s="32" t="inlineStr">
        <is>
          <t>? needs production lookup</t>
        </is>
      </c>
      <c r="L225" s="5" t="inlineStr">
        <is>
          <t>M-21 ELI silnoproud</t>
        </is>
      </c>
    </row>
    <row r="226">
      <c r="B226" s="17" t="n"/>
      <c r="C226" s="28" t="inlineStr">
        <is>
          <t>VV</t>
        </is>
      </c>
      <c r="D226" s="17" t="n"/>
      <c r="E226" s="29" t="inlineStr">
        <is>
          <t>TZ ARS — stávající ELI plně bourána; B m.10.e — 0.1 t kovů celkem</t>
        </is>
      </c>
      <c r="F226" s="17" t="n"/>
      <c r="G226" s="30" t="n">
        <v>1</v>
      </c>
      <c r="H226" s="17" t="n"/>
      <c r="I226" s="17" t="n"/>
      <c r="J226" s="17" t="n"/>
      <c r="K226" s="17" t="n"/>
      <c r="L226" s="17" t="n"/>
    </row>
    <row r="227">
      <c r="B227" s="23" t="n">
        <v>84</v>
      </c>
      <c r="C227" s="23" t="inlineStr">
        <is>
          <t>K</t>
        </is>
      </c>
      <c r="D227" s="24" t="inlineStr">
        <is>
          <t>210110023</t>
        </is>
      </c>
      <c r="E227" s="24" t="inlineStr">
        <is>
          <t>Nová pojistková skříň + 3× podružný rozvaděč pro každé patro (1.NP, 2.NP, 3.NP) s podružným měřením</t>
        </is>
      </c>
      <c r="F227" s="23" t="inlineStr">
        <is>
          <t>ks</t>
        </is>
      </c>
      <c r="G227" s="25" t="n">
        <v>4</v>
      </c>
      <c r="H227" s="26" t="n"/>
      <c r="I227" s="26">
        <f>IF(H227="",0,G227*H227)</f>
        <v/>
      </c>
      <c r="J227" s="23" t="inlineStr">
        <is>
          <t>ÚRS 2026</t>
        </is>
      </c>
      <c r="K227" s="32" t="inlineStr">
        <is>
          <t>? needs production lookup</t>
        </is>
      </c>
      <c r="L227" s="5" t="inlineStr">
        <is>
          <t>M-21 ELI silnoproud</t>
        </is>
      </c>
    </row>
    <row r="228">
      <c r="B228" s="17" t="n"/>
      <c r="C228" s="28" t="inlineStr">
        <is>
          <t>VV</t>
        </is>
      </c>
      <c r="D228" s="17" t="n"/>
      <c r="E228" s="29" t="inlineStr">
        <is>
          <t>1 hlavní + 3 podružné = 4 rozvaděče</t>
        </is>
      </c>
      <c r="F228" s="17" t="n"/>
      <c r="G228" s="30" t="n">
        <v>4</v>
      </c>
      <c r="H228" s="17" t="n"/>
      <c r="I228" s="17" t="n"/>
      <c r="J228" s="17" t="n"/>
      <c r="K228" s="17" t="n"/>
      <c r="L228" s="17" t="n"/>
    </row>
    <row r="229">
      <c r="B229" s="23" t="n">
        <v>85</v>
      </c>
      <c r="C229" s="23" t="inlineStr">
        <is>
          <t>K</t>
        </is>
      </c>
      <c r="D229" s="24" t="inlineStr">
        <is>
          <t>210800012</t>
        </is>
      </c>
      <c r="E229" s="24" t="inlineStr">
        <is>
          <t>Nové silnoproudé rozvody — vodiče CYKY 3×1.5 / 3×2.5 / 5×2.5 / 5×6 + krabice + instalační trubky</t>
        </is>
      </c>
      <c r="F229" s="23" t="inlineStr">
        <is>
          <t>bm</t>
        </is>
      </c>
      <c r="G229" s="25" t="n">
        <v>700</v>
      </c>
      <c r="H229" s="26" t="n"/>
      <c r="I229" s="26">
        <f>IF(H229="",0,G229*H229)</f>
        <v/>
      </c>
      <c r="J229" s="23" t="inlineStr">
        <is>
          <t>ÚRS 2026</t>
        </is>
      </c>
      <c r="K229" s="32" t="inlineStr">
        <is>
          <t>? needs production lookup</t>
        </is>
      </c>
      <c r="L229" s="5" t="inlineStr">
        <is>
          <t>M-21 ELI silnoproud</t>
        </is>
      </c>
    </row>
    <row r="230">
      <c r="B230" s="17" t="n"/>
      <c r="C230" s="28" t="inlineStr">
        <is>
          <t>VV</t>
        </is>
      </c>
      <c r="D230" s="17" t="n"/>
      <c r="E230" s="29" t="inlineStr">
        <is>
          <t>RD 219 m² × ~3.2 bm/m² standard ELI = 700 bm; vyjasnění #7 working assumption</t>
        </is>
      </c>
      <c r="F230" s="17" t="n"/>
      <c r="G230" s="30" t="n">
        <v>700</v>
      </c>
      <c r="H230" s="17" t="n"/>
      <c r="I230" s="17" t="n"/>
      <c r="J230" s="17" t="n"/>
      <c r="K230" s="17" t="n"/>
      <c r="L230" s="17" t="n"/>
    </row>
    <row r="231">
      <c r="B231" s="23" t="n">
        <v>86</v>
      </c>
      <c r="C231" s="23" t="inlineStr">
        <is>
          <t>K</t>
        </is>
      </c>
      <c r="D231" s="24" t="inlineStr">
        <is>
          <t>210810050</t>
        </is>
      </c>
      <c r="E231" s="24" t="inlineStr">
        <is>
          <t>Zásuvky a vypínače dodávka + montáž — ~70 ks (60-80 dle vyjasnění #7)</t>
        </is>
      </c>
      <c r="F231" s="23" t="inlineStr">
        <is>
          <t>ks</t>
        </is>
      </c>
      <c r="G231" s="25" t="n">
        <v>70</v>
      </c>
      <c r="H231" s="26" t="n"/>
      <c r="I231" s="26">
        <f>IF(H231="",0,G231*H231)</f>
        <v/>
      </c>
      <c r="J231" s="23" t="inlineStr">
        <is>
          <t>ÚRS 2026</t>
        </is>
      </c>
      <c r="K231" s="32" t="inlineStr">
        <is>
          <t>? needs production lookup</t>
        </is>
      </c>
      <c r="L231" s="5" t="inlineStr">
        <is>
          <t>M-21 ELI silnoproud</t>
        </is>
      </c>
    </row>
    <row r="232">
      <c r="B232" s="17" t="n"/>
      <c r="C232" s="28" t="inlineStr">
        <is>
          <t>VV</t>
        </is>
      </c>
      <c r="D232" s="17" t="n"/>
      <c r="E232" s="29" t="inlineStr">
        <is>
          <t>RD 219 m² × ~0.3 ks/m² standard 3-byt. dispozice = 70 ks</t>
        </is>
      </c>
      <c r="F232" s="17" t="n"/>
      <c r="G232" s="30" t="n">
        <v>70</v>
      </c>
      <c r="H232" s="17" t="n"/>
      <c r="I232" s="17" t="n"/>
      <c r="J232" s="17" t="n"/>
      <c r="K232" s="17" t="n"/>
      <c r="L232" s="17" t="n"/>
    </row>
    <row r="233">
      <c r="B233" s="23" t="n">
        <v>87</v>
      </c>
      <c r="C233" s="23" t="inlineStr">
        <is>
          <t>K</t>
        </is>
      </c>
      <c r="D233" s="24" t="inlineStr">
        <is>
          <t>210820002</t>
        </is>
      </c>
      <c r="E233" s="24" t="inlineStr">
        <is>
          <t>Svítidla dodávka + montáž — ~35 ks (30-40 dle vyjasnění #7) interiér + venkovní u vstupů</t>
        </is>
      </c>
      <c r="F233" s="23" t="inlineStr">
        <is>
          <t>ks</t>
        </is>
      </c>
      <c r="G233" s="25" t="n">
        <v>35</v>
      </c>
      <c r="H233" s="26" t="n"/>
      <c r="I233" s="26">
        <f>IF(H233="",0,G233*H233)</f>
        <v/>
      </c>
      <c r="J233" s="23" t="inlineStr">
        <is>
          <t>ÚRS 2026</t>
        </is>
      </c>
      <c r="K233" s="32" t="inlineStr">
        <is>
          <t>? needs production lookup</t>
        </is>
      </c>
      <c r="L233" s="5" t="inlineStr">
        <is>
          <t>M-21 ELI silnoproud</t>
        </is>
      </c>
    </row>
    <row r="234">
      <c r="B234" s="17" t="n"/>
      <c r="C234" s="28" t="inlineStr">
        <is>
          <t>VV</t>
        </is>
      </c>
      <c r="D234" s="17" t="n"/>
      <c r="E234" s="29" t="inlineStr">
        <is>
          <t>standard RD 220 m² = ~35 ks svítidel</t>
        </is>
      </c>
      <c r="F234" s="17" t="n"/>
      <c r="G234" s="30" t="n">
        <v>35</v>
      </c>
      <c r="H234" s="17" t="n"/>
      <c r="I234" s="17" t="n"/>
      <c r="J234" s="17" t="n"/>
      <c r="K234" s="17" t="n"/>
      <c r="L234" s="17" t="n"/>
    </row>
    <row r="235">
      <c r="B235" s="23" t="n">
        <v>88</v>
      </c>
      <c r="C235" s="23" t="inlineStr">
        <is>
          <t>K</t>
        </is>
      </c>
      <c r="D235" s="24" t="inlineStr">
        <is>
          <t>210800099</t>
        </is>
      </c>
      <c r="E235" s="24" t="inlineStr">
        <is>
          <t>Příprava na osazení FVE — rezerva v rozvaděči (jistič + zásuvka pro střídač) + trasy do střechy</t>
        </is>
      </c>
      <c r="F235" s="23" t="inlineStr">
        <is>
          <t>kpl</t>
        </is>
      </c>
      <c r="G235" s="25" t="n">
        <v>1</v>
      </c>
      <c r="H235" s="26" t="n"/>
      <c r="I235" s="26">
        <f>IF(H235="",0,G235*H235)</f>
        <v/>
      </c>
      <c r="J235" s="23" t="inlineStr">
        <is>
          <t>ÚRS 2026</t>
        </is>
      </c>
      <c r="K235" s="32" t="inlineStr">
        <is>
          <t>? needs production lookup</t>
        </is>
      </c>
      <c r="L235" s="5" t="inlineStr">
        <is>
          <t>M-21 ELI silnoproud</t>
        </is>
      </c>
    </row>
    <row r="236">
      <c r="B236" s="17" t="n"/>
      <c r="C236" s="28" t="inlineStr">
        <is>
          <t>VV</t>
        </is>
      </c>
      <c r="D236" s="17" t="n"/>
      <c r="E236" s="29" t="inlineStr">
        <is>
          <t>TZ ARS — 'příprava na osazení FVE'</t>
        </is>
      </c>
      <c r="F236" s="17" t="n"/>
      <c r="G236" s="30" t="n">
        <v>1</v>
      </c>
      <c r="H236" s="17" t="n"/>
      <c r="I236" s="17" t="n"/>
      <c r="J236" s="17" t="n"/>
      <c r="K236" s="17" t="n"/>
      <c r="L236" s="17" t="n"/>
    </row>
    <row r="237">
      <c r="B237" s="23" t="n">
        <v>89</v>
      </c>
      <c r="C237" s="23" t="inlineStr">
        <is>
          <t>K</t>
        </is>
      </c>
      <c r="D237" s="24" t="inlineStr">
        <is>
          <t>996019011</t>
        </is>
      </c>
      <c r="E237" s="24" t="inlineStr">
        <is>
          <t>Výchozí revize elektrické instalace dle ČSN 33 2000-6 + revizní zpráva pro kolaudaci</t>
        </is>
      </c>
      <c r="F237" s="23" t="inlineStr">
        <is>
          <t>kpl</t>
        </is>
      </c>
      <c r="G237" s="25" t="n">
        <v>1</v>
      </c>
      <c r="H237" s="26" t="n"/>
      <c r="I237" s="26">
        <f>IF(H237="",0,G237*H237)</f>
        <v/>
      </c>
      <c r="J237" s="23" t="inlineStr">
        <is>
          <t>ÚRS 2026</t>
        </is>
      </c>
      <c r="K237" s="32" t="inlineStr">
        <is>
          <t>? needs production lookup</t>
        </is>
      </c>
      <c r="L237" s="5" t="inlineStr">
        <is>
          <t>M-21 ELI silnoproud</t>
        </is>
      </c>
    </row>
    <row r="238">
      <c r="B238" s="17" t="n"/>
      <c r="C238" s="28" t="inlineStr">
        <is>
          <t>VV</t>
        </is>
      </c>
      <c r="D238" s="17" t="n"/>
      <c r="E238" s="29" t="inlineStr">
        <is>
          <t>ČSN 33 2000-6 — povinná revize před kolaudací</t>
        </is>
      </c>
      <c r="F238" s="17" t="n"/>
      <c r="G238" s="30" t="n">
        <v>1</v>
      </c>
      <c r="H238" s="17" t="n"/>
      <c r="I238" s="17" t="n"/>
      <c r="J238" s="17" t="n"/>
      <c r="K238" s="17" t="n"/>
      <c r="L238" s="17" t="n"/>
    </row>
    <row r="239">
      <c r="B239" s="19" t="n"/>
      <c r="C239" s="20" t="inlineStr">
        <is>
          <t>D</t>
        </is>
      </c>
      <c r="D239" s="20" t="inlineStr">
        <is>
          <t>PSV</t>
        </is>
      </c>
      <c r="E239" s="20" t="inlineStr">
        <is>
          <t>Práce a dodávky PSV</t>
        </is>
      </c>
      <c r="F239" s="19" t="n"/>
      <c r="G239" s="19" t="n"/>
      <c r="H239" s="19" t="n"/>
      <c r="I239" s="19" t="n"/>
      <c r="J239" s="19" t="n"/>
      <c r="K239" s="19" t="n"/>
      <c r="L239" s="19" t="n"/>
    </row>
    <row r="240">
      <c r="B240" s="21" t="n"/>
      <c r="C240" s="22" t="inlineStr">
        <is>
          <t>D</t>
        </is>
      </c>
      <c r="D240" s="22" t="inlineStr">
        <is>
          <t>PSV-71</t>
        </is>
      </c>
      <c r="E240" s="22" t="inlineStr">
        <is>
          <t>PSV-71 Izolace HI</t>
        </is>
      </c>
      <c r="F240" s="21" t="n"/>
      <c r="G240" s="21" t="n"/>
      <c r="H240" s="21" t="n"/>
      <c r="I240" s="21" t="n"/>
      <c r="J240" s="21" t="n"/>
      <c r="K240" s="21" t="n"/>
      <c r="L240" s="21" t="n"/>
    </row>
    <row r="241">
      <c r="B241" s="23" t="n">
        <v>90</v>
      </c>
      <c r="C241" s="23" t="inlineStr">
        <is>
          <t>K</t>
        </is>
      </c>
      <c r="D241" s="24" t="inlineStr">
        <is>
          <t>712311101</t>
        </is>
      </c>
      <c r="E241" s="24" t="inlineStr">
        <is>
          <t>Hydroizolace pod ŽB deskou 1.NP — modifikované asfaltové pásy SBS 2× (zároveň protiradonová bariéra)</t>
        </is>
      </c>
      <c r="F241" s="23" t="inlineStr">
        <is>
          <t>m²</t>
        </is>
      </c>
      <c r="G241" s="25" t="n">
        <v>80.40000000000001</v>
      </c>
      <c r="H241" s="26" t="n"/>
      <c r="I241" s="26">
        <f>IF(H241="",0,G241*H241)</f>
        <v/>
      </c>
      <c r="J241" s="23" t="inlineStr">
        <is>
          <t>ÚRS 2026</t>
        </is>
      </c>
      <c r="K241" s="31" t="inlineStr">
        <is>
          <t>⚠ family OK, leaf KROS lookup [evidence: https://stavimbydlim.cz/postup-hydroizolace-zakladove-desky-]</t>
        </is>
      </c>
      <c r="L241" s="5" t="inlineStr">
        <is>
          <t>PSV-71 Izolace HI</t>
        </is>
      </c>
    </row>
    <row r="242">
      <c r="B242" s="17" t="n"/>
      <c r="C242" s="28" t="inlineStr">
        <is>
          <t>VV</t>
        </is>
      </c>
      <c r="D242" s="17" t="n"/>
      <c r="E242" s="29" t="inlineStr">
        <is>
          <t>(zastavena × 0.7 rozsah 1.NP) × 1.10 přesah = 80.4</t>
        </is>
      </c>
      <c r="F242" s="17" t="n"/>
      <c r="G242" s="30" t="n">
        <v>80.40000000000001</v>
      </c>
      <c r="H242" s="17" t="n"/>
      <c r="I242" s="17" t="n"/>
      <c r="J242" s="17" t="n"/>
      <c r="K242" s="17" t="n"/>
      <c r="L242" s="17" t="n"/>
    </row>
    <row r="243">
      <c r="B243" s="23" t="n">
        <v>91</v>
      </c>
      <c r="C243" s="23" t="inlineStr">
        <is>
          <t>K</t>
        </is>
      </c>
      <c r="D243" s="24" t="inlineStr">
        <is>
          <t>712381111</t>
        </is>
      </c>
      <c r="E243" s="24" t="inlineStr">
        <is>
          <t>Odvětrání radonu z podloží — perforované DN50 trubky v štěrkovém loži + výdech nad střechu</t>
        </is>
      </c>
      <c r="F243" s="23" t="inlineStr">
        <is>
          <t>bm</t>
        </is>
      </c>
      <c r="G243" s="25" t="n">
        <v>12</v>
      </c>
      <c r="H243" s="26" t="n"/>
      <c r="I243" s="26">
        <f>IF(H243="",0,G243*H243)</f>
        <v/>
      </c>
      <c r="J243" s="23" t="inlineStr">
        <is>
          <t>ÚRS 2026</t>
        </is>
      </c>
      <c r="K243" s="31" t="inlineStr">
        <is>
          <t>⚠ family OK, leaf KROS lookup [evidence: https://cze.sika.com/cs/produkty-pro-stavebnictvi/hydroizola]</t>
        </is>
      </c>
      <c r="L243" s="5" t="inlineStr">
        <is>
          <t>PSV-71 Izolace HI</t>
        </is>
      </c>
    </row>
    <row r="244">
      <c r="B244" s="17" t="n"/>
      <c r="C244" s="28" t="inlineStr">
        <is>
          <t>VV</t>
        </is>
      </c>
      <c r="D244" s="17" t="n"/>
      <c r="E244" s="29" t="inlineStr">
        <is>
          <t>podsanační síť ~12 bm (3 řady × 4 m pod podlahou 1.NP)</t>
        </is>
      </c>
      <c r="F244" s="17" t="n"/>
      <c r="G244" s="30" t="n">
        <v>12</v>
      </c>
      <c r="H244" s="17" t="n"/>
      <c r="I244" s="17" t="n"/>
      <c r="J244" s="17" t="n"/>
      <c r="K244" s="17" t="n"/>
      <c r="L244" s="17" t="n"/>
    </row>
    <row r="245">
      <c r="B245" s="23" t="n">
        <v>92</v>
      </c>
      <c r="C245" s="23" t="inlineStr">
        <is>
          <t>K</t>
        </is>
      </c>
      <c r="D245" s="24" t="inlineStr"/>
      <c r="E245" s="24" t="inlineStr">
        <is>
          <t>Hydroizolační stěrka koupelen 3 ks — podlaha + sokl 200 mm + sprchový kout výška 2.0 m</t>
        </is>
      </c>
      <c r="F245" s="23" t="inlineStr">
        <is>
          <t>m²</t>
        </is>
      </c>
      <c r="G245" s="25" t="n">
        <v>40.5</v>
      </c>
      <c r="H245" s="26" t="n"/>
      <c r="I245" s="26">
        <f>IF(H245="",0,G245*H245)</f>
        <v/>
      </c>
      <c r="J245" s="23" t="inlineStr">
        <is>
          <t>ÚRS 2026</t>
        </is>
      </c>
      <c r="K245" s="31" t="inlineStr">
        <is>
          <t>⚠ family 711 OK — leaf KROS lookup [evidence: https://cze.sika.com/cs/produkty-pro-stavebnictvi/hydroizola]</t>
        </is>
      </c>
      <c r="L245" s="5" t="inlineStr">
        <is>
          <t>PSV-71 Izolace HI</t>
        </is>
      </c>
    </row>
    <row r="246">
      <c r="B246" s="17" t="n"/>
      <c r="C246" s="28" t="inlineStr">
        <is>
          <t>VV</t>
        </is>
      </c>
      <c r="D246" s="17" t="n"/>
      <c r="E246" s="29" t="inlineStr">
        <is>
          <t>3 koupelny × (~5.5 m² podlaha + ~8 m² stěny v okolí sprchy) = 40.5</t>
        </is>
      </c>
      <c r="F246" s="17" t="n"/>
      <c r="G246" s="30" t="n">
        <v>40.5</v>
      </c>
      <c r="H246" s="17" t="n"/>
      <c r="I246" s="17" t="n"/>
      <c r="J246" s="17" t="n"/>
      <c r="K246" s="17" t="n"/>
      <c r="L246" s="17" t="n"/>
    </row>
    <row r="247">
      <c r="B247" s="21" t="n"/>
      <c r="C247" s="22" t="inlineStr">
        <is>
          <t>D</t>
        </is>
      </c>
      <c r="D247" s="22" t="inlineStr">
        <is>
          <t>PSV-71</t>
        </is>
      </c>
      <c r="E247" s="22" t="inlineStr">
        <is>
          <t>PSV-71 Izolace TI</t>
        </is>
      </c>
      <c r="F247" s="21" t="n"/>
      <c r="G247" s="21" t="n"/>
      <c r="H247" s="21" t="n"/>
      <c r="I247" s="21" t="n"/>
      <c r="J247" s="21" t="n"/>
      <c r="K247" s="21" t="n"/>
      <c r="L247" s="21" t="n"/>
    </row>
    <row r="248">
      <c r="B248" s="23" t="n">
        <v>93</v>
      </c>
      <c r="C248" s="23" t="inlineStr">
        <is>
          <t>K</t>
        </is>
      </c>
      <c r="D248" s="24" t="inlineStr"/>
      <c r="E248" s="24" t="inlineStr">
        <is>
          <t>Podlahový EPS 150 λ=0.035 tl. 120 mm — pod betonový potěr 1.NP a 3.NP</t>
        </is>
      </c>
      <c r="F248" s="23" t="inlineStr">
        <is>
          <t>m²</t>
        </is>
      </c>
      <c r="G248" s="25" t="n">
        <v>177.5</v>
      </c>
      <c r="H248" s="26" t="n"/>
      <c r="I248" s="26">
        <f>IF(H248="",0,G248*H248)</f>
        <v/>
      </c>
      <c r="J248" s="23" t="inlineStr">
        <is>
          <t>ÚRS 2026</t>
        </is>
      </c>
      <c r="K248" s="31" t="inlineStr">
        <is>
          <t>⚠ family 713121 OK — leaf KROS lookup [evidence: https://styrotrade.cz/cs/produkty/strechy/izolace-bezne-zati]</t>
        </is>
      </c>
      <c r="L248" s="5" t="inlineStr">
        <is>
          <t>PSV-71 Izolace TI</t>
        </is>
      </c>
    </row>
    <row r="249">
      <c r="B249" s="17" t="n"/>
      <c r="C249" s="28" t="inlineStr">
        <is>
          <t>VV</t>
        </is>
      </c>
      <c r="D249" s="17" t="n"/>
      <c r="E249" s="29" t="inlineStr">
        <is>
          <t>(rozsah 1.NP 73 m²) + (3.NP nadstavba 104 m²) = ~177 m²</t>
        </is>
      </c>
      <c r="F249" s="17" t="n"/>
      <c r="G249" s="30" t="n">
        <v>177.5</v>
      </c>
      <c r="H249" s="17" t="n"/>
      <c r="I249" s="17" t="n"/>
      <c r="J249" s="17" t="n"/>
      <c r="K249" s="17" t="n"/>
      <c r="L249" s="17" t="n"/>
    </row>
    <row r="250">
      <c r="B250" s="23" t="n">
        <v>94</v>
      </c>
      <c r="C250" s="23" t="inlineStr">
        <is>
          <t>K</t>
        </is>
      </c>
      <c r="D250" s="24" t="inlineStr"/>
      <c r="E250" s="24" t="inlineStr">
        <is>
          <t>Kročejová EPS 150 / 30 dB tl. 30 mm nad ocelobetonovým stropem 2.NP/3.NP</t>
        </is>
      </c>
      <c r="F250" s="23" t="inlineStr">
        <is>
          <t>m²</t>
        </is>
      </c>
      <c r="G250" s="25" t="n">
        <v>104.4</v>
      </c>
      <c r="H250" s="26" t="n"/>
      <c r="I250" s="26">
        <f>IF(H250="",0,G250*H250)</f>
        <v/>
      </c>
      <c r="J250" s="23" t="inlineStr">
        <is>
          <t>ÚRS 2026</t>
        </is>
      </c>
      <c r="K250" s="31" t="inlineStr">
        <is>
          <t>⚠ family 713121 OK — leaf KROS lookup [evidence: https://styrotrade.cz/cs/produkty/strechy/izolace-bezne-zati]</t>
        </is>
      </c>
      <c r="L250" s="5" t="inlineStr">
        <is>
          <t>PSV-71 Izolace TI</t>
        </is>
      </c>
    </row>
    <row r="251">
      <c r="B251" s="17" t="n"/>
      <c r="C251" s="28" t="inlineStr">
        <is>
          <t>VV</t>
        </is>
      </c>
      <c r="D251" s="17" t="n"/>
      <c r="E251" s="29">
        <f> zastavěna plocha 104.4 m² (strop 2.NP/3.NP)</f>
        <v/>
      </c>
      <c r="F251" s="17" t="n"/>
      <c r="G251" s="30" t="n">
        <v>104.4</v>
      </c>
      <c r="H251" s="17" t="n"/>
      <c r="I251" s="17" t="n"/>
      <c r="J251" s="17" t="n"/>
      <c r="K251" s="17" t="n"/>
      <c r="L251" s="17" t="n"/>
    </row>
    <row r="252">
      <c r="B252" s="21" t="n"/>
      <c r="C252" s="22" t="inlineStr">
        <is>
          <t>D</t>
        </is>
      </c>
      <c r="D252" s="22" t="inlineStr">
        <is>
          <t>PSV-72</t>
        </is>
      </c>
      <c r="E252" s="22" t="inlineStr">
        <is>
          <t>PSV-72 ZTI</t>
        </is>
      </c>
      <c r="F252" s="21" t="n"/>
      <c r="G252" s="21" t="n"/>
      <c r="H252" s="21" t="n"/>
      <c r="I252" s="21" t="n"/>
      <c r="J252" s="21" t="n"/>
      <c r="K252" s="21" t="n"/>
      <c r="L252" s="21" t="n"/>
    </row>
    <row r="253">
      <c r="B253" s="23" t="n">
        <v>95</v>
      </c>
      <c r="C253" s="23" t="inlineStr">
        <is>
          <t>K</t>
        </is>
      </c>
      <c r="D253" s="24" t="inlineStr">
        <is>
          <t>722290515</t>
        </is>
      </c>
      <c r="E253" s="24" t="inlineStr">
        <is>
          <t>Revize stávajícího napojení vodovodu + kanalizace na pozemku — kontrola stavu, čištění, tlaková zkouška</t>
        </is>
      </c>
      <c r="F253" s="23" t="inlineStr">
        <is>
          <t>kpl</t>
        </is>
      </c>
      <c r="G253" s="25" t="n">
        <v>1</v>
      </c>
      <c r="H253" s="26" t="n"/>
      <c r="I253" s="26">
        <f>IF(H253="",0,G253*H253)</f>
        <v/>
      </c>
      <c r="J253" s="23" t="inlineStr">
        <is>
          <t>ÚRS 2026</t>
        </is>
      </c>
      <c r="K253" s="31" t="inlineStr">
        <is>
          <t>⚠ family OK, leaf KROS lookup [evidence: https://www.sanitino.cz/vodovodni-baterie]</t>
        </is>
      </c>
      <c r="L253" s="5" t="inlineStr">
        <is>
          <t>PSV-72 ZTI</t>
        </is>
      </c>
    </row>
    <row r="254">
      <c r="B254" s="17" t="n"/>
      <c r="C254" s="28" t="inlineStr">
        <is>
          <t>VV</t>
        </is>
      </c>
      <c r="D254" s="17" t="n"/>
      <c r="E254" s="29" t="inlineStr">
        <is>
          <t>TZ ARS dům §4 — stávající přípojka zachována bez změny</t>
        </is>
      </c>
      <c r="F254" s="17" t="n"/>
      <c r="G254" s="30" t="n">
        <v>1</v>
      </c>
      <c r="H254" s="17" t="n"/>
      <c r="I254" s="17" t="n"/>
      <c r="J254" s="17" t="n"/>
      <c r="K254" s="17" t="n"/>
      <c r="L254" s="17" t="n"/>
    </row>
    <row r="255">
      <c r="B255" s="23" t="n">
        <v>96</v>
      </c>
      <c r="C255" s="23" t="inlineStr">
        <is>
          <t>K</t>
        </is>
      </c>
      <c r="D255" s="24" t="inlineStr">
        <is>
          <t>722172011</t>
        </is>
      </c>
      <c r="E255" s="24" t="inlineStr">
        <is>
          <t>Nové rozvody studené + teplé vody do koupelen 1.NP + 2.NP + 3.NP a kuchyní (PEX/Cu, dimenze DN15-25)</t>
        </is>
      </c>
      <c r="F255" s="23" t="inlineStr">
        <is>
          <t>bm</t>
        </is>
      </c>
      <c r="G255" s="25" t="n">
        <v>80</v>
      </c>
      <c r="H255" s="26" t="n"/>
      <c r="I255" s="26">
        <f>IF(H255="",0,G255*H255)</f>
        <v/>
      </c>
      <c r="J255" s="23" t="inlineStr">
        <is>
          <t>ÚRS 2026</t>
        </is>
      </c>
      <c r="K255" s="31" t="inlineStr">
        <is>
          <t>⚠ family OK, leaf KROS lookup [evidence: https://www.ceskestavby.cz/jak-se-stavi-dum/sprchy-vany-vana]</t>
        </is>
      </c>
      <c r="L255" s="5" t="inlineStr">
        <is>
          <t>PSV-72 ZTI</t>
        </is>
      </c>
    </row>
    <row r="256">
      <c r="B256" s="17" t="n"/>
      <c r="C256" s="28" t="inlineStr">
        <is>
          <t>VV</t>
        </is>
      </c>
      <c r="D256" s="17" t="n"/>
      <c r="E256" s="29" t="inlineStr">
        <is>
          <t>3 patra × ~25 bm rozvodů (koupelny + kuchyně + bojler 3.NP) = 75 (round 80)</t>
        </is>
      </c>
      <c r="F256" s="17" t="n"/>
      <c r="G256" s="30" t="n">
        <v>80</v>
      </c>
      <c r="H256" s="17" t="n"/>
      <c r="I256" s="17" t="n"/>
      <c r="J256" s="17" t="n"/>
      <c r="K256" s="17" t="n"/>
      <c r="L256" s="17" t="n"/>
    </row>
    <row r="257">
      <c r="B257" s="23" t="n">
        <v>97</v>
      </c>
      <c r="C257" s="23" t="inlineStr">
        <is>
          <t>K</t>
        </is>
      </c>
      <c r="D257" s="24" t="inlineStr">
        <is>
          <t>721174021</t>
        </is>
      </c>
      <c r="E257" s="24" t="inlineStr">
        <is>
          <t>Nové odpadní rozvody PVC-HT DN40-DN110 ke koupelnám 1.NP, 2.NP, 3.NP a kuchyním + napojení na stávající</t>
        </is>
      </c>
      <c r="F257" s="23" t="inlineStr">
        <is>
          <t>bm</t>
        </is>
      </c>
      <c r="G257" s="25" t="n">
        <v>60</v>
      </c>
      <c r="H257" s="26" t="n"/>
      <c r="I257" s="26">
        <f>IF(H257="",0,G257*H257)</f>
        <v/>
      </c>
      <c r="J257" s="23" t="inlineStr">
        <is>
          <t>ÚRS 2026</t>
        </is>
      </c>
      <c r="K257" s="32" t="inlineStr">
        <is>
          <t>? needs production lookup</t>
        </is>
      </c>
      <c r="L257" s="5" t="inlineStr">
        <is>
          <t>PSV-72 ZTI</t>
        </is>
      </c>
    </row>
    <row r="258">
      <c r="B258" s="17" t="n"/>
      <c r="C258" s="28" t="inlineStr">
        <is>
          <t>VV</t>
        </is>
      </c>
      <c r="D258" s="17" t="n"/>
      <c r="E258" s="29" t="inlineStr">
        <is>
          <t>3 patra × ~20 bm odpadní + svislé propojení = 60</t>
        </is>
      </c>
      <c r="F258" s="17" t="n"/>
      <c r="G258" s="30" t="n">
        <v>60</v>
      </c>
      <c r="H258" s="17" t="n"/>
      <c r="I258" s="17" t="n"/>
      <c r="J258" s="17" t="n"/>
      <c r="K258" s="17" t="n"/>
      <c r="L258" s="17" t="n"/>
    </row>
    <row r="259">
      <c r="B259" s="23" t="n">
        <v>98</v>
      </c>
      <c r="C259" s="23" t="inlineStr">
        <is>
          <t>K</t>
        </is>
      </c>
      <c r="D259" s="24" t="inlineStr">
        <is>
          <t>725840111</t>
        </is>
      </c>
      <c r="E259" s="24" t="inlineStr">
        <is>
          <t>Kuchyňský dřez nerez + montáž — 2 ks (kuchyně 1.06 byt rodičů + kuchyně 3.05 byt 3.NP)</t>
        </is>
      </c>
      <c r="F259" s="23" t="inlineStr">
        <is>
          <t>ks</t>
        </is>
      </c>
      <c r="G259" s="25" t="n">
        <v>2</v>
      </c>
      <c r="H259" s="26" t="n"/>
      <c r="I259" s="26">
        <f>IF(H259="",0,G259*H259)</f>
        <v/>
      </c>
      <c r="J259" s="23" t="inlineStr">
        <is>
          <t>ÚRS 2026</t>
        </is>
      </c>
      <c r="K259" s="32" t="inlineStr">
        <is>
          <t>? needs production lookup</t>
        </is>
      </c>
      <c r="L259" s="5" t="inlineStr">
        <is>
          <t>PSV-72 ZTI</t>
        </is>
      </c>
    </row>
    <row r="260">
      <c r="B260" s="17" t="n"/>
      <c r="C260" s="28" t="inlineStr">
        <is>
          <t>VV</t>
        </is>
      </c>
      <c r="D260" s="17" t="n"/>
      <c r="E260" s="29" t="inlineStr">
        <is>
          <t>DXF rooms 1.06 + 3.05 kuchyně MTEXT (každá obytná místnost + kuchyně) = 2 dřezy</t>
        </is>
      </c>
      <c r="F260" s="17" t="n"/>
      <c r="G260" s="30" t="n">
        <v>2</v>
      </c>
      <c r="H260" s="17" t="n"/>
      <c r="I260" s="17" t="n"/>
      <c r="J260" s="17" t="n"/>
      <c r="K260" s="17" t="n"/>
      <c r="L260" s="17" t="n"/>
    </row>
    <row r="261">
      <c r="B261" s="23" t="n">
        <v>99</v>
      </c>
      <c r="C261" s="23" t="inlineStr">
        <is>
          <t>K</t>
        </is>
      </c>
      <c r="D261" s="24" t="inlineStr">
        <is>
          <t>725822611</t>
        </is>
      </c>
      <c r="E261" s="24" t="inlineStr">
        <is>
          <t>Vodovodní baterie (WC ventil + páková umyvadlová + sprchové + dřezové + termostat sprchové) — ~15 ks + drobné instalační materiály</t>
        </is>
      </c>
      <c r="F261" s="23" t="inlineStr">
        <is>
          <t>ks</t>
        </is>
      </c>
      <c r="G261" s="25" t="n">
        <v>15</v>
      </c>
      <c r="H261" s="26" t="n"/>
      <c r="I261" s="26">
        <f>IF(H261="",0,G261*H261)</f>
        <v/>
      </c>
      <c r="J261" s="23" t="inlineStr">
        <is>
          <t>ÚRS 2026</t>
        </is>
      </c>
      <c r="K261" s="32" t="inlineStr">
        <is>
          <t>? needs production lookup</t>
        </is>
      </c>
      <c r="L261" s="5" t="inlineStr">
        <is>
          <t>PSV-72 ZTI</t>
        </is>
      </c>
    </row>
    <row r="262">
      <c r="B262" s="17" t="n"/>
      <c r="C262" s="28" t="inlineStr">
        <is>
          <t>VV</t>
        </is>
      </c>
      <c r="D262" s="17" t="n"/>
      <c r="E262" s="29" t="inlineStr">
        <is>
          <t>12 sanit. zařízení × 1 baterie + 3 drobnosti (rohové ventily, sifony) = 15</t>
        </is>
      </c>
      <c r="F262" s="17" t="n"/>
      <c r="G262" s="30" t="n">
        <v>15</v>
      </c>
      <c r="H262" s="17" t="n"/>
      <c r="I262" s="17" t="n"/>
      <c r="J262" s="17" t="n"/>
      <c r="K262" s="17" t="n"/>
      <c r="L262" s="17" t="n"/>
    </row>
    <row r="263">
      <c r="B263" s="23" t="n">
        <v>100</v>
      </c>
      <c r="C263" s="23" t="inlineStr">
        <is>
          <t>K</t>
        </is>
      </c>
      <c r="D263" s="24" t="inlineStr">
        <is>
          <t>732419411</t>
        </is>
      </c>
      <c r="E263" s="24" t="inlineStr">
        <is>
          <t>Akumulační zásobník TUV ~300 l v 1.PP napojený na topný systém (sporáková kamna + krb + elektrokotel) — nepřímotop</t>
        </is>
      </c>
      <c r="F263" s="23" t="inlineStr">
        <is>
          <t>ks</t>
        </is>
      </c>
      <c r="G263" s="25" t="n">
        <v>1</v>
      </c>
      <c r="H263" s="26" t="n"/>
      <c r="I263" s="26">
        <f>IF(H263="",0,G263*H263)</f>
        <v/>
      </c>
      <c r="J263" s="23" t="inlineStr">
        <is>
          <t>ÚRS 2026</t>
        </is>
      </c>
      <c r="K263" s="32" t="inlineStr">
        <is>
          <t>? needs production lookup</t>
        </is>
      </c>
      <c r="L263" s="5" t="inlineStr">
        <is>
          <t>PSV-72 ZTI</t>
        </is>
      </c>
    </row>
    <row r="264">
      <c r="B264" s="17" t="n"/>
      <c r="C264" s="28" t="inlineStr">
        <is>
          <t>VV</t>
        </is>
      </c>
      <c r="D264" s="17" t="n"/>
      <c r="E264" s="29" t="inlineStr">
        <is>
          <t>TZ ARS — 'akumulační zásobník TUV v suterénu napojený na topný systém'</t>
        </is>
      </c>
      <c r="F264" s="17" t="n"/>
      <c r="G264" s="30" t="n">
        <v>1</v>
      </c>
      <c r="H264" s="17" t="n"/>
      <c r="I264" s="17" t="n"/>
      <c r="J264" s="17" t="n"/>
      <c r="K264" s="17" t="n"/>
      <c r="L264" s="17" t="n"/>
    </row>
    <row r="265">
      <c r="B265" s="23" t="n">
        <v>101</v>
      </c>
      <c r="C265" s="23" t="inlineStr">
        <is>
          <t>K</t>
        </is>
      </c>
      <c r="D265" s="24" t="inlineStr">
        <is>
          <t>732429211</t>
        </is>
      </c>
      <c r="E265" s="24" t="inlineStr">
        <is>
          <t>Elektrický bojler ~80 l v koupelně 3.NP (nezávislý zdroj pro samostatný byt)</t>
        </is>
      </c>
      <c r="F265" s="23" t="inlineStr">
        <is>
          <t>ks</t>
        </is>
      </c>
      <c r="G265" s="25" t="n">
        <v>1</v>
      </c>
      <c r="H265" s="26" t="n"/>
      <c r="I265" s="26">
        <f>IF(H265="",0,G265*H265)</f>
        <v/>
      </c>
      <c r="J265" s="23" t="inlineStr">
        <is>
          <t>ÚRS 2026</t>
        </is>
      </c>
      <c r="K265" s="32" t="inlineStr">
        <is>
          <t>? needs production lookup</t>
        </is>
      </c>
      <c r="L265" s="5" t="inlineStr">
        <is>
          <t>PSV-72 ZTI</t>
        </is>
      </c>
    </row>
    <row r="266">
      <c r="B266" s="17" t="n"/>
      <c r="C266" s="28" t="inlineStr">
        <is>
          <t>VV</t>
        </is>
      </c>
      <c r="D266" s="17" t="n"/>
      <c r="E266" s="29" t="inlineStr">
        <is>
          <t>TZ ARS — 'elektrický bojler v koupelně 3.NP'</t>
        </is>
      </c>
      <c r="F266" s="17" t="n"/>
      <c r="G266" s="30" t="n">
        <v>1</v>
      </c>
      <c r="H266" s="17" t="n"/>
      <c r="I266" s="17" t="n"/>
      <c r="J266" s="17" t="n"/>
      <c r="K266" s="17" t="n"/>
      <c r="L266" s="17" t="n"/>
    </row>
    <row r="267">
      <c r="B267" s="23" t="n">
        <v>102</v>
      </c>
      <c r="C267" s="23" t="inlineStr">
        <is>
          <t>K</t>
        </is>
      </c>
      <c r="D267" s="24" t="inlineStr">
        <is>
          <t>725211101</t>
        </is>
      </c>
      <c r="E267" s="24" t="inlineStr">
        <is>
          <t>Vana koupelnová obdélníková 170×70 cm — koupelna 1.05 1.NP</t>
        </is>
      </c>
      <c r="F267" s="23" t="inlineStr">
        <is>
          <t>ks</t>
        </is>
      </c>
      <c r="G267" s="25" t="n">
        <v>1</v>
      </c>
      <c r="H267" s="26" t="n"/>
      <c r="I267" s="26">
        <f>IF(H267="",0,G267*H267)</f>
        <v/>
      </c>
      <c r="J267" s="23" t="inlineStr">
        <is>
          <t>ÚRS 2026</t>
        </is>
      </c>
      <c r="K267" s="32" t="inlineStr">
        <is>
          <t>? needs production lookup</t>
        </is>
      </c>
      <c r="L267" s="5" t="inlineStr">
        <is>
          <t>PSV-72 ZTI</t>
        </is>
      </c>
    </row>
    <row r="268">
      <c r="B268" s="17" t="n"/>
      <c r="C268" s="28" t="inlineStr">
        <is>
          <t>VV</t>
        </is>
      </c>
      <c r="D268" s="17" t="n"/>
      <c r="E268" s="29" t="inlineStr">
        <is>
          <t>set split from 260219_dum.PSV72.004 per audit v2 GAP_005 — 1 fixture per item</t>
        </is>
      </c>
      <c r="F268" s="17" t="n"/>
      <c r="G268" s="30" t="n">
        <v>1</v>
      </c>
      <c r="H268" s="17" t="n"/>
      <c r="I268" s="17" t="n"/>
      <c r="J268" s="17" t="n"/>
      <c r="K268" s="17" t="n"/>
      <c r="L268" s="17" t="n"/>
    </row>
    <row r="269">
      <c r="B269" s="23" t="n">
        <v>103</v>
      </c>
      <c r="C269" s="23" t="inlineStr">
        <is>
          <t>K</t>
        </is>
      </c>
      <c r="D269" s="24" t="inlineStr">
        <is>
          <t>725311111</t>
        </is>
      </c>
      <c r="E269" s="24" t="inlineStr">
        <is>
          <t>Umyvadlo bílé keramické se sloupcem 60 cm — koupelna 1.05 1.NP</t>
        </is>
      </c>
      <c r="F269" s="23" t="inlineStr">
        <is>
          <t>ks</t>
        </is>
      </c>
      <c r="G269" s="25" t="n">
        <v>1</v>
      </c>
      <c r="H269" s="26" t="n"/>
      <c r="I269" s="26">
        <f>IF(H269="",0,G269*H269)</f>
        <v/>
      </c>
      <c r="J269" s="23" t="inlineStr">
        <is>
          <t>ÚRS 2026</t>
        </is>
      </c>
      <c r="K269" s="32" t="inlineStr">
        <is>
          <t>? needs production lookup</t>
        </is>
      </c>
      <c r="L269" s="5" t="inlineStr">
        <is>
          <t>PSV-72 ZTI</t>
        </is>
      </c>
    </row>
    <row r="270">
      <c r="B270" s="17" t="n"/>
      <c r="C270" s="28" t="inlineStr">
        <is>
          <t>VV</t>
        </is>
      </c>
      <c r="D270" s="17" t="n"/>
      <c r="E270" s="29" t="inlineStr">
        <is>
          <t>set split from 260219_dum.PSV72.004 per audit v2 GAP_005 — 1 fixture per item</t>
        </is>
      </c>
      <c r="F270" s="17" t="n"/>
      <c r="G270" s="30" t="n">
        <v>1</v>
      </c>
      <c r="H270" s="17" t="n"/>
      <c r="I270" s="17" t="n"/>
      <c r="J270" s="17" t="n"/>
      <c r="K270" s="17" t="n"/>
      <c r="L270" s="17" t="n"/>
    </row>
    <row r="271">
      <c r="B271" s="23" t="n">
        <v>104</v>
      </c>
      <c r="C271" s="23" t="inlineStr">
        <is>
          <t>K</t>
        </is>
      </c>
      <c r="D271" s="24" t="inlineStr">
        <is>
          <t>725111101</t>
        </is>
      </c>
      <c r="E271" s="24" t="inlineStr">
        <is>
          <t>WC kombi keramické bílé — koupelna 1.05 1.NP</t>
        </is>
      </c>
      <c r="F271" s="23" t="inlineStr">
        <is>
          <t>ks</t>
        </is>
      </c>
      <c r="G271" s="25" t="n">
        <v>1</v>
      </c>
      <c r="H271" s="26" t="n"/>
      <c r="I271" s="26">
        <f>IF(H271="",0,G271*H271)</f>
        <v/>
      </c>
      <c r="J271" s="23" t="inlineStr">
        <is>
          <t>ÚRS 2026</t>
        </is>
      </c>
      <c r="K271" s="32" t="inlineStr">
        <is>
          <t>? needs production lookup</t>
        </is>
      </c>
      <c r="L271" s="5" t="inlineStr">
        <is>
          <t>PSV-72 ZTI</t>
        </is>
      </c>
    </row>
    <row r="272">
      <c r="B272" s="17" t="n"/>
      <c r="C272" s="28" t="inlineStr">
        <is>
          <t>VV</t>
        </is>
      </c>
      <c r="D272" s="17" t="n"/>
      <c r="E272" s="29" t="inlineStr">
        <is>
          <t>set split from 260219_dum.PSV72.004 per audit v2 GAP_005 — 1 fixture per item</t>
        </is>
      </c>
      <c r="F272" s="17" t="n"/>
      <c r="G272" s="30" t="n">
        <v>1</v>
      </c>
      <c r="H272" s="17" t="n"/>
      <c r="I272" s="17" t="n"/>
      <c r="J272" s="17" t="n"/>
      <c r="K272" s="17" t="n"/>
      <c r="L272" s="17" t="n"/>
    </row>
    <row r="273">
      <c r="B273" s="23" t="n">
        <v>105</v>
      </c>
      <c r="C273" s="23" t="inlineStr">
        <is>
          <t>K</t>
        </is>
      </c>
      <c r="D273" s="24" t="inlineStr">
        <is>
          <t>725311111</t>
        </is>
      </c>
      <c r="E273" s="24" t="inlineStr">
        <is>
          <t>Umyvadlo bílé keramické se sloupcem 60 cm — koupelna 2.03 2.NP</t>
        </is>
      </c>
      <c r="F273" s="23" t="inlineStr">
        <is>
          <t>ks</t>
        </is>
      </c>
      <c r="G273" s="25" t="n">
        <v>1</v>
      </c>
      <c r="H273" s="26" t="n"/>
      <c r="I273" s="26">
        <f>IF(H273="",0,G273*H273)</f>
        <v/>
      </c>
      <c r="J273" s="23" t="inlineStr">
        <is>
          <t>ÚRS 2026</t>
        </is>
      </c>
      <c r="K273" s="32" t="inlineStr">
        <is>
          <t>? needs production lookup</t>
        </is>
      </c>
      <c r="L273" s="5" t="inlineStr">
        <is>
          <t>PSV-72 ZTI</t>
        </is>
      </c>
    </row>
    <row r="274">
      <c r="B274" s="17" t="n"/>
      <c r="C274" s="28" t="inlineStr">
        <is>
          <t>VV</t>
        </is>
      </c>
      <c r="D274" s="17" t="n"/>
      <c r="E274" s="29" t="inlineStr">
        <is>
          <t>set split from 260219_dum.PSV72.005 per audit v2 GAP_005 — 1 fixture per item</t>
        </is>
      </c>
      <c r="F274" s="17" t="n"/>
      <c r="G274" s="30" t="n">
        <v>1</v>
      </c>
      <c r="H274" s="17" t="n"/>
      <c r="I274" s="17" t="n"/>
      <c r="J274" s="17" t="n"/>
      <c r="K274" s="17" t="n"/>
      <c r="L274" s="17" t="n"/>
    </row>
    <row r="275">
      <c r="B275" s="23" t="n">
        <v>106</v>
      </c>
      <c r="C275" s="23" t="inlineStr">
        <is>
          <t>K</t>
        </is>
      </c>
      <c r="D275" s="24" t="inlineStr">
        <is>
          <t>725221201</t>
        </is>
      </c>
      <c r="E275" s="24" t="inlineStr">
        <is>
          <t>Sprchový kout 90×90 cm vč. vaničky + skleněných dveří — koupelna 2.03 2.NP</t>
        </is>
      </c>
      <c r="F275" s="23" t="inlineStr">
        <is>
          <t>ks</t>
        </is>
      </c>
      <c r="G275" s="25" t="n">
        <v>1</v>
      </c>
      <c r="H275" s="26" t="n"/>
      <c r="I275" s="26">
        <f>IF(H275="",0,G275*H275)</f>
        <v/>
      </c>
      <c r="J275" s="23" t="inlineStr">
        <is>
          <t>ÚRS 2026</t>
        </is>
      </c>
      <c r="K275" s="32" t="inlineStr">
        <is>
          <t>? needs production lookup</t>
        </is>
      </c>
      <c r="L275" s="5" t="inlineStr">
        <is>
          <t>PSV-72 ZTI</t>
        </is>
      </c>
    </row>
    <row r="276">
      <c r="B276" s="17" t="n"/>
      <c r="C276" s="28" t="inlineStr">
        <is>
          <t>VV</t>
        </is>
      </c>
      <c r="D276" s="17" t="n"/>
      <c r="E276" s="29" t="inlineStr">
        <is>
          <t>set split from 260219_dum.PSV72.005 per audit v2 GAP_005 — 1 fixture per item</t>
        </is>
      </c>
      <c r="F276" s="17" t="n"/>
      <c r="G276" s="30" t="n">
        <v>1</v>
      </c>
      <c r="H276" s="17" t="n"/>
      <c r="I276" s="17" t="n"/>
      <c r="J276" s="17" t="n"/>
      <c r="K276" s="17" t="n"/>
      <c r="L276" s="17" t="n"/>
    </row>
    <row r="277">
      <c r="B277" s="23" t="n">
        <v>107</v>
      </c>
      <c r="C277" s="23" t="inlineStr">
        <is>
          <t>K</t>
        </is>
      </c>
      <c r="D277" s="24" t="inlineStr">
        <is>
          <t>725111101</t>
        </is>
      </c>
      <c r="E277" s="24" t="inlineStr">
        <is>
          <t>WC kombi keramické bílé — koupelna 2.03 2.NP</t>
        </is>
      </c>
      <c r="F277" s="23" t="inlineStr">
        <is>
          <t>ks</t>
        </is>
      </c>
      <c r="G277" s="25" t="n">
        <v>1</v>
      </c>
      <c r="H277" s="26" t="n"/>
      <c r="I277" s="26">
        <f>IF(H277="",0,G277*H277)</f>
        <v/>
      </c>
      <c r="J277" s="23" t="inlineStr">
        <is>
          <t>ÚRS 2026</t>
        </is>
      </c>
      <c r="K277" s="32" t="inlineStr">
        <is>
          <t>? needs production lookup</t>
        </is>
      </c>
      <c r="L277" s="5" t="inlineStr">
        <is>
          <t>PSV-72 ZTI</t>
        </is>
      </c>
    </row>
    <row r="278">
      <c r="B278" s="17" t="n"/>
      <c r="C278" s="28" t="inlineStr">
        <is>
          <t>VV</t>
        </is>
      </c>
      <c r="D278" s="17" t="n"/>
      <c r="E278" s="29" t="inlineStr">
        <is>
          <t>set split from 260219_dum.PSV72.005 per audit v2 GAP_005 — 1 fixture per item</t>
        </is>
      </c>
      <c r="F278" s="17" t="n"/>
      <c r="G278" s="30" t="n">
        <v>1</v>
      </c>
      <c r="H278" s="17" t="n"/>
      <c r="I278" s="17" t="n"/>
      <c r="J278" s="17" t="n"/>
      <c r="K278" s="17" t="n"/>
      <c r="L278" s="17" t="n"/>
    </row>
    <row r="279">
      <c r="B279" s="23" t="n">
        <v>108</v>
      </c>
      <c r="C279" s="23" t="inlineStr">
        <is>
          <t>K</t>
        </is>
      </c>
      <c r="D279" s="24" t="inlineStr">
        <is>
          <t>725111101</t>
        </is>
      </c>
      <c r="E279" s="24" t="inlineStr">
        <is>
          <t>WC kombi keramické bílé — koupelna 3.04 3.NP</t>
        </is>
      </c>
      <c r="F279" s="23" t="inlineStr">
        <is>
          <t>ks</t>
        </is>
      </c>
      <c r="G279" s="25" t="n">
        <v>1</v>
      </c>
      <c r="H279" s="26" t="n"/>
      <c r="I279" s="26">
        <f>IF(H279="",0,G279*H279)</f>
        <v/>
      </c>
      <c r="J279" s="23" t="inlineStr">
        <is>
          <t>ÚRS 2026</t>
        </is>
      </c>
      <c r="K279" s="32" t="inlineStr">
        <is>
          <t>? needs production lookup</t>
        </is>
      </c>
      <c r="L279" s="5" t="inlineStr">
        <is>
          <t>PSV-72 ZTI</t>
        </is>
      </c>
    </row>
    <row r="280">
      <c r="B280" s="17" t="n"/>
      <c r="C280" s="28" t="inlineStr">
        <is>
          <t>VV</t>
        </is>
      </c>
      <c r="D280" s="17" t="n"/>
      <c r="E280" s="29" t="inlineStr">
        <is>
          <t>set split from 260219_dum.PSV72.006 per audit v2 GAP_005 — 1 fixture per item</t>
        </is>
      </c>
      <c r="F280" s="17" t="n"/>
      <c r="G280" s="30" t="n">
        <v>1</v>
      </c>
      <c r="H280" s="17" t="n"/>
      <c r="I280" s="17" t="n"/>
      <c r="J280" s="17" t="n"/>
      <c r="K280" s="17" t="n"/>
      <c r="L280" s="17" t="n"/>
    </row>
    <row r="281">
      <c r="B281" s="23" t="n">
        <v>109</v>
      </c>
      <c r="C281" s="23" t="inlineStr">
        <is>
          <t>K</t>
        </is>
      </c>
      <c r="D281" s="24" t="inlineStr">
        <is>
          <t>725311111</t>
        </is>
      </c>
      <c r="E281" s="24" t="inlineStr">
        <is>
          <t>Umyvadlo bílé keramické se sloupcem 60 cm — koupelna 3.04 3.NP</t>
        </is>
      </c>
      <c r="F281" s="23" t="inlineStr">
        <is>
          <t>ks</t>
        </is>
      </c>
      <c r="G281" s="25" t="n">
        <v>1</v>
      </c>
      <c r="H281" s="26" t="n"/>
      <c r="I281" s="26">
        <f>IF(H281="",0,G281*H281)</f>
        <v/>
      </c>
      <c r="J281" s="23" t="inlineStr">
        <is>
          <t>ÚRS 2026</t>
        </is>
      </c>
      <c r="K281" s="32" t="inlineStr">
        <is>
          <t>? needs production lookup</t>
        </is>
      </c>
      <c r="L281" s="5" t="inlineStr">
        <is>
          <t>PSV-72 ZTI</t>
        </is>
      </c>
    </row>
    <row r="282">
      <c r="B282" s="17" t="n"/>
      <c r="C282" s="28" t="inlineStr">
        <is>
          <t>VV</t>
        </is>
      </c>
      <c r="D282" s="17" t="n"/>
      <c r="E282" s="29" t="inlineStr">
        <is>
          <t>set split from 260219_dum.PSV72.006 per audit v2 GAP_005 — 1 fixture per item</t>
        </is>
      </c>
      <c r="F282" s="17" t="n"/>
      <c r="G282" s="30" t="n">
        <v>1</v>
      </c>
      <c r="H282" s="17" t="n"/>
      <c r="I282" s="17" t="n"/>
      <c r="J282" s="17" t="n"/>
      <c r="K282" s="17" t="n"/>
      <c r="L282" s="17" t="n"/>
    </row>
    <row r="283">
      <c r="B283" s="23" t="n">
        <v>110</v>
      </c>
      <c r="C283" s="23" t="inlineStr">
        <is>
          <t>K</t>
        </is>
      </c>
      <c r="D283" s="24" t="inlineStr">
        <is>
          <t>725221201</t>
        </is>
      </c>
      <c r="E283" s="24" t="inlineStr">
        <is>
          <t>Sprchový kout 90×90 cm vč. vaničky + skleněných dveří — koupelna 3.04 3.NP</t>
        </is>
      </c>
      <c r="F283" s="23" t="inlineStr">
        <is>
          <t>ks</t>
        </is>
      </c>
      <c r="G283" s="25" t="n">
        <v>1</v>
      </c>
      <c r="H283" s="26" t="n"/>
      <c r="I283" s="26">
        <f>IF(H283="",0,G283*H283)</f>
        <v/>
      </c>
      <c r="J283" s="23" t="inlineStr">
        <is>
          <t>ÚRS 2026</t>
        </is>
      </c>
      <c r="K283" s="32" t="inlineStr">
        <is>
          <t>? needs production lookup</t>
        </is>
      </c>
      <c r="L283" s="5" t="inlineStr">
        <is>
          <t>PSV-72 ZTI</t>
        </is>
      </c>
    </row>
    <row r="284">
      <c r="B284" s="17" t="n"/>
      <c r="C284" s="28" t="inlineStr">
        <is>
          <t>VV</t>
        </is>
      </c>
      <c r="D284" s="17" t="n"/>
      <c r="E284" s="29" t="inlineStr">
        <is>
          <t>set split from 260219_dum.PSV72.006 per audit v2 GAP_005 — 1 fixture per item</t>
        </is>
      </c>
      <c r="F284" s="17" t="n"/>
      <c r="G284" s="30" t="n">
        <v>1</v>
      </c>
      <c r="H284" s="17" t="n"/>
      <c r="I284" s="17" t="n"/>
      <c r="J284" s="17" t="n"/>
      <c r="K284" s="17" t="n"/>
      <c r="L284" s="17" t="n"/>
    </row>
    <row r="285">
      <c r="B285" s="21" t="n"/>
      <c r="C285" s="22" t="inlineStr">
        <is>
          <t>D</t>
        </is>
      </c>
      <c r="D285" s="22" t="inlineStr">
        <is>
          <t>PSV-73</t>
        </is>
      </c>
      <c r="E285" s="22" t="inlineStr">
        <is>
          <t>PSV-73 Vytápění</t>
        </is>
      </c>
      <c r="F285" s="21" t="n"/>
      <c r="G285" s="21" t="n"/>
      <c r="H285" s="21" t="n"/>
      <c r="I285" s="21" t="n"/>
      <c r="J285" s="21" t="n"/>
      <c r="K285" s="21" t="n"/>
      <c r="L285" s="21" t="n"/>
    </row>
    <row r="286">
      <c r="B286" s="23" t="n">
        <v>111</v>
      </c>
      <c r="C286" s="23" t="inlineStr">
        <is>
          <t>K</t>
        </is>
      </c>
      <c r="D286" s="24" t="inlineStr">
        <is>
          <t>733241011</t>
        </is>
      </c>
      <c r="E286" s="24" t="inlineStr">
        <is>
          <t>Sporáková kamna na tuhá paliva ~10 kW s akumulačním zásobníkem TUV — dodávka</t>
        </is>
      </c>
      <c r="F286" s="23" t="inlineStr">
        <is>
          <t>ks</t>
        </is>
      </c>
      <c r="G286" s="25" t="n">
        <v>1</v>
      </c>
      <c r="H286" s="26" t="n"/>
      <c r="I286" s="26">
        <f>IF(H286="",0,G286*H286)</f>
        <v/>
      </c>
      <c r="J286" s="23" t="inlineStr">
        <is>
          <t>ÚRS 2026</t>
        </is>
      </c>
      <c r="K286" s="32" t="inlineStr">
        <is>
          <t>? needs production lookup</t>
        </is>
      </c>
      <c r="L286" s="5" t="inlineStr">
        <is>
          <t>PSV-73 Vytápění</t>
        </is>
      </c>
    </row>
    <row r="287">
      <c r="B287" s="17" t="n"/>
      <c r="C287" s="28" t="inlineStr">
        <is>
          <t>VV</t>
        </is>
      </c>
      <c r="D287" s="17" t="n"/>
      <c r="E287" s="29" t="inlineStr">
        <is>
          <t>TZ ARS dům §4 — sporáková kamna v 1.PP/1.NP zóně</t>
        </is>
      </c>
      <c r="F287" s="17" t="n"/>
      <c r="G287" s="30" t="n">
        <v>1</v>
      </c>
      <c r="H287" s="17" t="n"/>
      <c r="I287" s="17" t="n"/>
      <c r="J287" s="17" t="n"/>
      <c r="K287" s="17" t="n"/>
      <c r="L287" s="17" t="n"/>
    </row>
    <row r="288">
      <c r="B288" s="23" t="n">
        <v>112</v>
      </c>
      <c r="C288" s="23" t="inlineStr">
        <is>
          <t>K</t>
        </is>
      </c>
      <c r="D288" s="24" t="inlineStr">
        <is>
          <t>733281011</t>
        </is>
      </c>
      <c r="E288" s="24" t="inlineStr">
        <is>
          <t>Sporáková kamna — montáž vč. napojení na komín + akumulační zásobník (cca 8 Nh)</t>
        </is>
      </c>
      <c r="F288" s="23" t="inlineStr">
        <is>
          <t>kpl</t>
        </is>
      </c>
      <c r="G288" s="25" t="n">
        <v>1</v>
      </c>
      <c r="H288" s="26" t="n"/>
      <c r="I288" s="26">
        <f>IF(H288="",0,G288*H288)</f>
        <v/>
      </c>
      <c r="J288" s="23" t="inlineStr">
        <is>
          <t>ÚRS 2026</t>
        </is>
      </c>
      <c r="K288" s="32" t="inlineStr">
        <is>
          <t>? needs production lookup</t>
        </is>
      </c>
      <c r="L288" s="5" t="inlineStr">
        <is>
          <t>PSV-73 Vytápění</t>
        </is>
      </c>
    </row>
    <row r="289">
      <c r="B289" s="17" t="n"/>
      <c r="C289" s="28" t="inlineStr">
        <is>
          <t>VV</t>
        </is>
      </c>
      <c r="D289" s="17" t="n"/>
      <c r="E289" s="29">
        <f> ks kamen</f>
        <v/>
      </c>
      <c r="F289" s="17" t="n"/>
      <c r="G289" s="30" t="n">
        <v>1</v>
      </c>
      <c r="H289" s="17" t="n"/>
      <c r="I289" s="17" t="n"/>
      <c r="J289" s="17" t="n"/>
      <c r="K289" s="17" t="n"/>
      <c r="L289" s="17" t="n"/>
    </row>
    <row r="290">
      <c r="B290" s="23" t="n">
        <v>113</v>
      </c>
      <c r="C290" s="23" t="inlineStr">
        <is>
          <t>K</t>
        </is>
      </c>
      <c r="D290" s="24" t="inlineStr">
        <is>
          <t>733131221</t>
        </is>
      </c>
      <c r="E290" s="24" t="inlineStr">
        <is>
          <t>Elektrokotel ~8 kW pro 3.NP samostatný byt — dodávka + montáž + napojení</t>
        </is>
      </c>
      <c r="F290" s="23" t="inlineStr">
        <is>
          <t>ks</t>
        </is>
      </c>
      <c r="G290" s="25" t="n">
        <v>1</v>
      </c>
      <c r="H290" s="26" t="n"/>
      <c r="I290" s="26">
        <f>IF(H290="",0,G290*H290)</f>
        <v/>
      </c>
      <c r="J290" s="23" t="inlineStr">
        <is>
          <t>ÚRS 2026</t>
        </is>
      </c>
      <c r="K290" s="32" t="inlineStr">
        <is>
          <t>? needs production lookup</t>
        </is>
      </c>
      <c r="L290" s="5" t="inlineStr">
        <is>
          <t>PSV-73 Vytápění</t>
        </is>
      </c>
    </row>
    <row r="291">
      <c r="B291" s="17" t="n"/>
      <c r="C291" s="28" t="inlineStr">
        <is>
          <t>VV</t>
        </is>
      </c>
      <c r="D291" s="17" t="n"/>
      <c r="E291" s="29" t="inlineStr">
        <is>
          <t>TZ ARS — elektrokotel pro 3.NP samostatný byt</t>
        </is>
      </c>
      <c r="F291" s="17" t="n"/>
      <c r="G291" s="30" t="n">
        <v>1</v>
      </c>
      <c r="H291" s="17" t="n"/>
      <c r="I291" s="17" t="n"/>
      <c r="J291" s="17" t="n"/>
      <c r="K291" s="17" t="n"/>
      <c r="L291" s="17" t="n"/>
    </row>
    <row r="292">
      <c r="B292" s="23" t="n">
        <v>114</v>
      </c>
      <c r="C292" s="23" t="inlineStr">
        <is>
          <t>K</t>
        </is>
      </c>
      <c r="D292" s="24" t="inlineStr">
        <is>
          <t>733241011</t>
        </is>
      </c>
      <c r="E292" s="24" t="inlineStr">
        <is>
          <t>Krb na tuhá paliva v 3.NP ~6 kW — dodávka + montáž s napojením na samostatný komín</t>
        </is>
      </c>
      <c r="F292" s="23" t="inlineStr">
        <is>
          <t>ks</t>
        </is>
      </c>
      <c r="G292" s="25" t="n">
        <v>1</v>
      </c>
      <c r="H292" s="26" t="n"/>
      <c r="I292" s="26">
        <f>IF(H292="",0,G292*H292)</f>
        <v/>
      </c>
      <c r="J292" s="23" t="inlineStr">
        <is>
          <t>ÚRS 2026</t>
        </is>
      </c>
      <c r="K292" s="32" t="inlineStr">
        <is>
          <t>? needs production lookup</t>
        </is>
      </c>
      <c r="L292" s="5" t="inlineStr">
        <is>
          <t>PSV-73 Vytápění</t>
        </is>
      </c>
    </row>
    <row r="293">
      <c r="B293" s="17" t="n"/>
      <c r="C293" s="28" t="inlineStr">
        <is>
          <t>VV</t>
        </is>
      </c>
      <c r="D293" s="17" t="n"/>
      <c r="E293" s="29" t="inlineStr">
        <is>
          <t>TZ ARS — 'krbem na tuhá paliva' v 3.NP</t>
        </is>
      </c>
      <c r="F293" s="17" t="n"/>
      <c r="G293" s="30" t="n">
        <v>1</v>
      </c>
      <c r="H293" s="17" t="n"/>
      <c r="I293" s="17" t="n"/>
      <c r="J293" s="17" t="n"/>
      <c r="K293" s="17" t="n"/>
      <c r="L293" s="17" t="n"/>
    </row>
    <row r="294">
      <c r="B294" s="23" t="n">
        <v>115</v>
      </c>
      <c r="C294" s="23" t="inlineStr">
        <is>
          <t>K</t>
        </is>
      </c>
      <c r="D294" s="24" t="inlineStr">
        <is>
          <t>733425211</t>
        </is>
      </c>
      <c r="E294" s="24" t="inlineStr">
        <is>
          <t>Multisplit tepelné čerpadlo vzduch-vzduch — 1× venkovní jednotka ~10 kW (silent mode hl. tlaku ≤49 dBA)</t>
        </is>
      </c>
      <c r="F294" s="23" t="inlineStr">
        <is>
          <t>ks</t>
        </is>
      </c>
      <c r="G294" s="25" t="n">
        <v>1</v>
      </c>
      <c r="H294" s="26" t="n"/>
      <c r="I294" s="26">
        <f>IF(H294="",0,G294*H294)</f>
        <v/>
      </c>
      <c r="J294" s="23" t="inlineStr">
        <is>
          <t>ÚRS 2026</t>
        </is>
      </c>
      <c r="K294" s="32" t="inlineStr">
        <is>
          <t>? needs production lookup</t>
        </is>
      </c>
      <c r="L294" s="5" t="inlineStr">
        <is>
          <t>PSV-73 Vytápění</t>
        </is>
      </c>
    </row>
    <row r="295">
      <c r="B295" s="17" t="n"/>
      <c r="C295" s="28" t="inlineStr">
        <is>
          <t>VV</t>
        </is>
      </c>
      <c r="D295" s="17" t="n"/>
      <c r="E295" s="29" t="inlineStr">
        <is>
          <t>TZ ARS — multisplit TČ vzduch-vzduch</t>
        </is>
      </c>
      <c r="F295" s="17" t="n"/>
      <c r="G295" s="30" t="n">
        <v>1</v>
      </c>
      <c r="H295" s="17" t="n"/>
      <c r="I295" s="17" t="n"/>
      <c r="J295" s="17" t="n"/>
      <c r="K295" s="17" t="n"/>
      <c r="L295" s="17" t="n"/>
    </row>
    <row r="296">
      <c r="B296" s="23" t="n">
        <v>116</v>
      </c>
      <c r="C296" s="23" t="inlineStr">
        <is>
          <t>K</t>
        </is>
      </c>
      <c r="D296" s="24" t="inlineStr">
        <is>
          <t>733425221</t>
        </is>
      </c>
      <c r="E296" s="24" t="inlineStr">
        <is>
          <t>Multisplit TČ — 5× vnitřní jednotka v obytných místnostech (1.NP, 2.NP, 3.NP — chlazení + vytápění)</t>
        </is>
      </c>
      <c r="F296" s="23" t="inlineStr">
        <is>
          <t>ks</t>
        </is>
      </c>
      <c r="G296" s="25" t="n">
        <v>5</v>
      </c>
      <c r="H296" s="26" t="n"/>
      <c r="I296" s="26">
        <f>IF(H296="",0,G296*H296)</f>
        <v/>
      </c>
      <c r="J296" s="23" t="inlineStr">
        <is>
          <t>ÚRS 2026</t>
        </is>
      </c>
      <c r="K296" s="32" t="inlineStr">
        <is>
          <t>? needs production lookup</t>
        </is>
      </c>
      <c r="L296" s="5" t="inlineStr">
        <is>
          <t>PSV-73 Vytápění</t>
        </is>
      </c>
    </row>
    <row r="297">
      <c r="B297" s="17" t="n"/>
      <c r="C297" s="28" t="inlineStr">
        <is>
          <t>VV</t>
        </is>
      </c>
      <c r="D297" s="17" t="n"/>
      <c r="E297" s="29" t="inlineStr">
        <is>
          <t>TZ ARS — 'vnitřní jednotky v obytných místnostech', odhad 5 ks (3 patra × ~1.7 j/patro)</t>
        </is>
      </c>
      <c r="F297" s="17" t="n"/>
      <c r="G297" s="30" t="n">
        <v>5</v>
      </c>
      <c r="H297" s="17" t="n"/>
      <c r="I297" s="17" t="n"/>
      <c r="J297" s="17" t="n"/>
      <c r="K297" s="17" t="n"/>
      <c r="L297" s="17" t="n"/>
    </row>
    <row r="298">
      <c r="B298" s="23" t="n">
        <v>117</v>
      </c>
      <c r="C298" s="23" t="inlineStr">
        <is>
          <t>K</t>
        </is>
      </c>
      <c r="D298" s="24" t="inlineStr">
        <is>
          <t>734262122</t>
        </is>
      </c>
      <c r="E298" s="24" t="inlineStr">
        <is>
          <t>Revize stávajícího komínu — kontrola, čištění, vystrojení vložkou nerez DN160 pro kamna + krb 3.NP</t>
        </is>
      </c>
      <c r="F298" s="23" t="inlineStr">
        <is>
          <t>kpl</t>
        </is>
      </c>
      <c r="G298" s="25" t="n">
        <v>1</v>
      </c>
      <c r="H298" s="26" t="n"/>
      <c r="I298" s="26">
        <f>IF(H298="",0,G298*H298)</f>
        <v/>
      </c>
      <c r="J298" s="23" t="inlineStr">
        <is>
          <t>ÚRS 2026</t>
        </is>
      </c>
      <c r="K298" s="32" t="inlineStr">
        <is>
          <t>? needs production lookup</t>
        </is>
      </c>
      <c r="L298" s="5" t="inlineStr">
        <is>
          <t>PSV-73 Vytápění</t>
        </is>
      </c>
    </row>
    <row r="299">
      <c r="B299" s="17" t="n"/>
      <c r="C299" s="28" t="inlineStr">
        <is>
          <t>VV</t>
        </is>
      </c>
      <c r="D299" s="17" t="n"/>
      <c r="E299" s="29" t="inlineStr">
        <is>
          <t>TZ ARS — komín revize a úpravy stávajícího</t>
        </is>
      </c>
      <c r="F299" s="17" t="n"/>
      <c r="G299" s="30" t="n">
        <v>1</v>
      </c>
      <c r="H299" s="17" t="n"/>
      <c r="I299" s="17" t="n"/>
      <c r="J299" s="17" t="n"/>
      <c r="K299" s="17" t="n"/>
      <c r="L299" s="17" t="n"/>
    </row>
    <row r="300">
      <c r="B300" s="23" t="n">
        <v>118</v>
      </c>
      <c r="C300" s="23" t="inlineStr">
        <is>
          <t>K</t>
        </is>
      </c>
      <c r="D300" s="24" t="inlineStr">
        <is>
          <t>733111021</t>
        </is>
      </c>
      <c r="E300" s="24" t="inlineStr">
        <is>
          <t>Rozvody otopné soustavy Cu/PEX k vnitřním jednotkám TČ + radiátorům pro doplňkové (cca 100 bm odhad)</t>
        </is>
      </c>
      <c r="F300" s="23" t="inlineStr">
        <is>
          <t>bm</t>
        </is>
      </c>
      <c r="G300" s="25" t="n">
        <v>100</v>
      </c>
      <c r="H300" s="26" t="n"/>
      <c r="I300" s="26">
        <f>IF(H300="",0,G300*H300)</f>
        <v/>
      </c>
      <c r="J300" s="23" t="inlineStr">
        <is>
          <t>ÚRS 2026</t>
        </is>
      </c>
      <c r="K300" s="32" t="inlineStr">
        <is>
          <t>? needs production lookup</t>
        </is>
      </c>
      <c r="L300" s="5" t="inlineStr">
        <is>
          <t>PSV-73 Vytápění</t>
        </is>
      </c>
    </row>
    <row r="301">
      <c r="B301" s="17" t="n"/>
      <c r="C301" s="28" t="inlineStr">
        <is>
          <t>VV</t>
        </is>
      </c>
      <c r="D301" s="17" t="n"/>
      <c r="E301" s="29" t="inlineStr">
        <is>
          <t>TZ ARS — vyjasnění #6 working assumption, multisplit + doplň. radiátory</t>
        </is>
      </c>
      <c r="F301" s="17" t="n"/>
      <c r="G301" s="30" t="n">
        <v>100</v>
      </c>
      <c r="H301" s="17" t="n"/>
      <c r="I301" s="17" t="n"/>
      <c r="J301" s="17" t="n"/>
      <c r="K301" s="17" t="n"/>
      <c r="L301" s="17" t="n"/>
    </row>
    <row r="302">
      <c r="B302" s="21" t="n"/>
      <c r="C302" s="22" t="inlineStr">
        <is>
          <t>D</t>
        </is>
      </c>
      <c r="D302" s="22" t="inlineStr">
        <is>
          <t>PSV-76</t>
        </is>
      </c>
      <c r="E302" s="22" t="inlineStr">
        <is>
          <t>PSV-76 Klempíř</t>
        </is>
      </c>
      <c r="F302" s="21" t="n"/>
      <c r="G302" s="21" t="n"/>
      <c r="H302" s="21" t="n"/>
      <c r="I302" s="21" t="n"/>
      <c r="J302" s="21" t="n"/>
      <c r="K302" s="21" t="n"/>
      <c r="L302" s="21" t="n"/>
    </row>
    <row r="303">
      <c r="B303" s="23" t="n">
        <v>119</v>
      </c>
      <c r="C303" s="23" t="inlineStr">
        <is>
          <t>K</t>
        </is>
      </c>
      <c r="D303" s="24" t="inlineStr">
        <is>
          <t>764312235</t>
        </is>
      </c>
      <c r="E303" s="24" t="inlineStr">
        <is>
          <t>Klempířské oplechování krytiny — úžlabí, hřeben, štítové lemy (Al / Pzn lakovaný 0.55 mm)</t>
        </is>
      </c>
      <c r="F303" s="23" t="inlineStr">
        <is>
          <t>bm</t>
        </is>
      </c>
      <c r="G303" s="25" t="n">
        <v>69.5</v>
      </c>
      <c r="H303" s="26" t="n"/>
      <c r="I303" s="26">
        <f>IF(H303="",0,G303*H303)</f>
        <v/>
      </c>
      <c r="J303" s="23" t="inlineStr">
        <is>
          <t>ÚRS 2026</t>
        </is>
      </c>
      <c r="K303" s="31" t="inlineStr">
        <is>
          <t>⚠ chapter OK, leaf KROS lookup [evidence: https://www.cs-urs.cz/podminky/cu201/800-764-Konstrukce-klem]</t>
        </is>
      </c>
      <c r="L303" s="5" t="inlineStr">
        <is>
          <t>PSV-76 Klempíř</t>
        </is>
      </c>
    </row>
    <row r="304">
      <c r="B304" s="17" t="n"/>
      <c r="C304" s="28" t="inlineStr">
        <is>
          <t>VV</t>
        </is>
      </c>
      <c r="D304" s="17" t="n"/>
      <c r="E304" s="29" t="inlineStr">
        <is>
          <t>DXF klempířina total 173.8 m × 0.40 (oplechování+úžlabí+hřeben+lemy) = 69.5 bm</t>
        </is>
      </c>
      <c r="F304" s="17" t="n"/>
      <c r="G304" s="30" t="n">
        <v>69.5</v>
      </c>
      <c r="H304" s="17" t="n"/>
      <c r="I304" s="17" t="n"/>
      <c r="J304" s="17" t="n"/>
      <c r="K304" s="17" t="n"/>
      <c r="L304" s="17" t="n"/>
    </row>
    <row r="305">
      <c r="B305" s="23" t="n">
        <v>120</v>
      </c>
      <c r="C305" s="23" t="inlineStr">
        <is>
          <t>K</t>
        </is>
      </c>
      <c r="D305" s="24" t="inlineStr">
        <is>
          <t>764218201</t>
        </is>
      </c>
      <c r="E305" s="24" t="inlineStr">
        <is>
          <t>Venkovní parapety oken — Pzn plech lakovaný 250 mm × tl. 0.55 mm × 16 ks oken</t>
        </is>
      </c>
      <c r="F305" s="23" t="inlineStr">
        <is>
          <t>bm</t>
        </is>
      </c>
      <c r="G305" s="25" t="n">
        <v>20.8</v>
      </c>
      <c r="H305" s="26" t="n"/>
      <c r="I305" s="26">
        <f>IF(H305="",0,G305*H305)</f>
        <v/>
      </c>
      <c r="J305" s="23" t="inlineStr">
        <is>
          <t>ÚRS 2026</t>
        </is>
      </c>
      <c r="K305" s="31" t="inlineStr">
        <is>
          <t>⚠ chapter OK, leaf KROS lookup [evidence: https://www.cs-urs.cz/podminky/cu201/800-764-Konstrukce-klem]</t>
        </is>
      </c>
      <c r="L305" s="5" t="inlineStr">
        <is>
          <t>PSV-76 Klempíř</t>
        </is>
      </c>
    </row>
    <row r="306">
      <c r="B306" s="17" t="n"/>
      <c r="C306" s="28" t="inlineStr">
        <is>
          <t>VV</t>
        </is>
      </c>
      <c r="D306" s="17" t="n"/>
      <c r="E306" s="29">
        <f> 16 oken (DXF INSERT) × průměrná šíře 1.3 m parapetu</f>
        <v/>
      </c>
      <c r="F306" s="17" t="n"/>
      <c r="G306" s="30" t="n">
        <v>20.8</v>
      </c>
      <c r="H306" s="17" t="n"/>
      <c r="I306" s="17" t="n"/>
      <c r="J306" s="17" t="n"/>
      <c r="K306" s="17" t="n"/>
      <c r="L306" s="17" t="n"/>
    </row>
    <row r="307">
      <c r="B307" s="23" t="n">
        <v>121</v>
      </c>
      <c r="C307" s="23" t="inlineStr">
        <is>
          <t>K</t>
        </is>
      </c>
      <c r="D307" s="24" t="inlineStr">
        <is>
          <t>764454802</t>
        </is>
      </c>
      <c r="E307" s="24" t="inlineStr">
        <is>
          <t>Dešťové svody Pzn 100 mm + žlaby — 4 svody × ~14 m + žlaby per obvod střechy</t>
        </is>
      </c>
      <c r="F307" s="23" t="inlineStr">
        <is>
          <t>bm</t>
        </is>
      </c>
      <c r="G307" s="25" t="n">
        <v>43.5</v>
      </c>
      <c r="H307" s="26" t="n"/>
      <c r="I307" s="26">
        <f>IF(H307="",0,G307*H307)</f>
        <v/>
      </c>
      <c r="J307" s="23" t="inlineStr">
        <is>
          <t>ÚRS 2026</t>
        </is>
      </c>
      <c r="K307" s="31" t="inlineStr">
        <is>
          <t>⚠ chapter OK, leaf KROS lookup [evidence: https://www.cs-urs.cz/podminky/cu201/800-764-Konstrukce-klem]</t>
        </is>
      </c>
      <c r="L307" s="5" t="inlineStr">
        <is>
          <t>PSV-76 Klempíř</t>
        </is>
      </c>
    </row>
    <row r="308">
      <c r="B308" s="17" t="n"/>
      <c r="C308" s="28" t="inlineStr">
        <is>
          <t>VV</t>
        </is>
      </c>
      <c r="D308" s="17" t="n"/>
      <c r="E308" s="29" t="inlineStr">
        <is>
          <t>DXF klempířina total 173.8 m × 0.25 (svody+žlaby) = 43.5 bm</t>
        </is>
      </c>
      <c r="F308" s="17" t="n"/>
      <c r="G308" s="30" t="n">
        <v>43.5</v>
      </c>
      <c r="H308" s="17" t="n"/>
      <c r="I308" s="17" t="n"/>
      <c r="J308" s="17" t="n"/>
      <c r="K308" s="17" t="n"/>
      <c r="L308" s="17" t="n"/>
    </row>
    <row r="309">
      <c r="B309" s="23" t="n">
        <v>122</v>
      </c>
      <c r="C309" s="23" t="inlineStr">
        <is>
          <t>K</t>
        </is>
      </c>
      <c r="D309" s="24" t="inlineStr">
        <is>
          <t>764315235</t>
        </is>
      </c>
      <c r="E309" s="24" t="inlineStr">
        <is>
          <t>Klempířské doplňky vikýřů + atika + závětrné lemy (4 vikýře komplexní detail)</t>
        </is>
      </c>
      <c r="F309" s="23" t="inlineStr">
        <is>
          <t>bm</t>
        </is>
      </c>
      <c r="G309" s="25" t="n">
        <v>26.1</v>
      </c>
      <c r="H309" s="26" t="n"/>
      <c r="I309" s="26">
        <f>IF(H309="",0,G309*H309)</f>
        <v/>
      </c>
      <c r="J309" s="23" t="inlineStr">
        <is>
          <t>ÚRS 2026</t>
        </is>
      </c>
      <c r="K309" s="31" t="inlineStr">
        <is>
          <t>⚠ chapter OK, leaf KROS lookup [evidence: https://www.cs-urs.cz/podminky/cu201/800-764-Konstrukce-klem]</t>
        </is>
      </c>
      <c r="L309" s="5" t="inlineStr">
        <is>
          <t>PSV-76 Klempíř</t>
        </is>
      </c>
    </row>
    <row r="310">
      <c r="B310" s="17" t="n"/>
      <c r="C310" s="28" t="inlineStr">
        <is>
          <t>VV</t>
        </is>
      </c>
      <c r="D310" s="17" t="n"/>
      <c r="E310" s="29" t="inlineStr">
        <is>
          <t>DXF klempířina total 173.8 m × 0.15 (vikýře+atika+lemy) = 26.1 bm</t>
        </is>
      </c>
      <c r="F310" s="17" t="n"/>
      <c r="G310" s="30" t="n">
        <v>26.1</v>
      </c>
      <c r="H310" s="17" t="n"/>
      <c r="I310" s="17" t="n"/>
      <c r="J310" s="17" t="n"/>
      <c r="K310" s="17" t="n"/>
      <c r="L310" s="17" t="n"/>
    </row>
    <row r="311">
      <c r="B311" s="21" t="n"/>
      <c r="C311" s="22" t="inlineStr">
        <is>
          <t>D</t>
        </is>
      </c>
      <c r="D311" s="22" t="inlineStr">
        <is>
          <t>PSV-76</t>
        </is>
      </c>
      <c r="E311" s="22" t="inlineStr">
        <is>
          <t>PSV-76 Truhlář</t>
        </is>
      </c>
      <c r="F311" s="21" t="n"/>
      <c r="G311" s="21" t="n"/>
      <c r="H311" s="21" t="n"/>
      <c r="I311" s="21" t="n"/>
      <c r="J311" s="21" t="n"/>
      <c r="K311" s="21" t="n"/>
      <c r="L311" s="21" t="n"/>
    </row>
    <row r="312">
      <c r="B312" s="23" t="n">
        <v>123</v>
      </c>
      <c r="C312" s="23" t="inlineStr">
        <is>
          <t>K</t>
        </is>
      </c>
      <c r="D312" s="24" t="inlineStr">
        <is>
          <t>766811111</t>
        </is>
      </c>
      <c r="E312" s="24" t="inlineStr">
        <is>
          <t>Dřevěné stupně ocelových schodišť (truhlářské, dub masiv tl. 40 mm)</t>
        </is>
      </c>
      <c r="F312" s="23" t="inlineStr">
        <is>
          <t>ks</t>
        </is>
      </c>
      <c r="G312" s="25" t="n">
        <v>16</v>
      </c>
      <c r="H312" s="26" t="n"/>
      <c r="I312" s="26">
        <f>IF(H312="",0,G312*H312)</f>
        <v/>
      </c>
      <c r="J312" s="23" t="inlineStr">
        <is>
          <t>ÚRS 2026</t>
        </is>
      </c>
      <c r="K312" s="32" t="inlineStr">
        <is>
          <t>? needs production lookup</t>
        </is>
      </c>
      <c r="L312" s="5" t="inlineStr">
        <is>
          <t>PSV-76 Truhlář</t>
        </is>
      </c>
    </row>
    <row r="313">
      <c r="B313" s="17" t="n"/>
      <c r="C313" s="28" t="inlineStr">
        <is>
          <t>VV</t>
        </is>
      </c>
      <c r="D313" s="17" t="n"/>
      <c r="E313" s="29" t="inlineStr">
        <is>
          <t>2 schodiště × ~8 stupňů = 16</t>
        </is>
      </c>
      <c r="F313" s="17" t="n"/>
      <c r="G313" s="30" t="n">
        <v>16</v>
      </c>
      <c r="H313" s="17" t="n"/>
      <c r="I313" s="17" t="n"/>
      <c r="J313" s="17" t="n"/>
      <c r="K313" s="17" t="n"/>
      <c r="L313" s="17" t="n"/>
    </row>
    <row r="314">
      <c r="B314" s="23" t="n">
        <v>124</v>
      </c>
      <c r="C314" s="23" t="inlineStr">
        <is>
          <t>K</t>
        </is>
      </c>
      <c r="D314" s="24" t="inlineStr"/>
      <c r="E314" s="24" t="inlineStr">
        <is>
          <t>Dřevěná terasa za opěrnou stěnou — prkna garapa 145×25 mm na dřevěném roštu z hranolů 50 mm na rektifikovatelných terčích (terče + podkladní skladba viz HSV1.005)</t>
        </is>
      </c>
      <c r="F314" s="23" t="inlineStr">
        <is>
          <t>m²</t>
        </is>
      </c>
      <c r="G314" s="25" t="n">
        <v>30</v>
      </c>
      <c r="H314" s="26" t="n"/>
      <c r="I314" s="26">
        <f>IF(H314="",0,G314*H314)</f>
        <v/>
      </c>
      <c r="J314" s="23" t="inlineStr">
        <is>
          <t>ÚRS 2026</t>
        </is>
      </c>
      <c r="K314" s="33" t="inlineStr">
        <is>
          <t>❌ MANUAL — KROS catalog lookup</t>
        </is>
      </c>
      <c r="L314" s="5" t="inlineStr">
        <is>
          <t>PSV-76 Truhlář</t>
        </is>
      </c>
    </row>
    <row r="315">
      <c r="B315" s="17" t="n"/>
      <c r="C315" s="28" t="inlineStr">
        <is>
          <t>VV</t>
        </is>
      </c>
      <c r="D315" s="17" t="n"/>
      <c r="E315" s="29" t="inlineStr">
        <is>
          <t>DXF dum_situace PLOT_DREVENY_04 = 57 INSERTs (timber pattern blocks) → odhad terasa ~30 m². NEPOUŽITELNÉ pro 3.NP biodeska (PLOT_DREVENY_04 v dum_DPZ = 0).</t>
        </is>
      </c>
      <c r="F315" s="17" t="n"/>
      <c r="G315" s="30" t="n">
        <v>30</v>
      </c>
      <c r="H315" s="17" t="n"/>
      <c r="I315" s="17" t="n"/>
      <c r="J315" s="17" t="n"/>
      <c r="K315" s="17" t="n"/>
      <c r="L315" s="17" t="n"/>
    </row>
    <row r="316">
      <c r="B316" s="21" t="n"/>
      <c r="C316" s="22" t="inlineStr">
        <is>
          <t>D</t>
        </is>
      </c>
      <c r="D316" s="22" t="inlineStr">
        <is>
          <t>PSV-76</t>
        </is>
      </c>
      <c r="E316" s="22" t="inlineStr">
        <is>
          <t>PSV-76 Výplně otvorů</t>
        </is>
      </c>
      <c r="F316" s="21" t="n"/>
      <c r="G316" s="21" t="n"/>
      <c r="H316" s="21" t="n"/>
      <c r="I316" s="21" t="n"/>
      <c r="J316" s="21" t="n"/>
      <c r="K316" s="21" t="n"/>
      <c r="L316" s="21" t="n"/>
    </row>
    <row r="317">
      <c r="B317" s="23" t="n">
        <v>125</v>
      </c>
      <c r="C317" s="23" t="inlineStr">
        <is>
          <t>K</t>
        </is>
      </c>
      <c r="D317" s="24" t="inlineStr">
        <is>
          <t>766621011</t>
        </is>
      </c>
      <c r="E317" s="24" t="inlineStr">
        <is>
          <t>Plastové okno izolačním trojsklem Uw=0.85 W/m²K — typ 'okno 1.NP' velikost 1185×1600 mm × 2 ks (fasáda ulice)</t>
        </is>
      </c>
      <c r="F317" s="23" t="inlineStr">
        <is>
          <t>ks</t>
        </is>
      </c>
      <c r="G317" s="25" t="n">
        <v>2</v>
      </c>
      <c r="H317" s="26" t="n"/>
      <c r="I317" s="26">
        <f>IF(H317="",0,G317*H317)</f>
        <v/>
      </c>
      <c r="J317" s="23" t="inlineStr">
        <is>
          <t>ÚRS 2026</t>
        </is>
      </c>
      <c r="K317" s="31" t="inlineStr">
        <is>
          <t>⚠ family OK, leaf KROS lookup [evidence: https://www.vekra.cz/radce/plastova-okna-s-trojsklem/]</t>
        </is>
      </c>
      <c r="L317" s="5" t="inlineStr">
        <is>
          <t>PSV-76 Výplně otvorů</t>
        </is>
      </c>
    </row>
    <row r="318">
      <c r="B318" s="17" t="n"/>
      <c r="C318" s="28" t="inlineStr">
        <is>
          <t>VV</t>
        </is>
      </c>
      <c r="D318" s="17" t="n"/>
      <c r="E318" s="29" t="inlineStr">
        <is>
          <t>DXF INSERT block name 'okno 1.NP' count = 2 ks × bbox 1185×1600 mm = 3.8 m² fasády</t>
        </is>
      </c>
      <c r="F318" s="17" t="n"/>
      <c r="G318" s="30" t="n">
        <v>2</v>
      </c>
      <c r="H318" s="17" t="n"/>
      <c r="I318" s="17" t="n"/>
      <c r="J318" s="17" t="n"/>
      <c r="K318" s="17" t="n"/>
      <c r="L318" s="17" t="n"/>
    </row>
    <row r="319">
      <c r="B319" s="23" t="n">
        <v>126</v>
      </c>
      <c r="C319" s="23" t="inlineStr">
        <is>
          <t>K</t>
        </is>
      </c>
      <c r="D319" s="24" t="inlineStr">
        <is>
          <t>766621011</t>
        </is>
      </c>
      <c r="E319" s="24" t="inlineStr">
        <is>
          <t>Plastové okno izolačním trojsklem Uw=0.85 W/m²K — typ 'okno 1.NP vzadu' velikost 920×1600 mm × 3 ks (fasáda zahrada)</t>
        </is>
      </c>
      <c r="F319" s="23" t="inlineStr">
        <is>
          <t>ks</t>
        </is>
      </c>
      <c r="G319" s="25" t="n">
        <v>3</v>
      </c>
      <c r="H319" s="26" t="n"/>
      <c r="I319" s="26">
        <f>IF(H319="",0,G319*H319)</f>
        <v/>
      </c>
      <c r="J319" s="23" t="inlineStr">
        <is>
          <t>ÚRS 2026</t>
        </is>
      </c>
      <c r="K319" s="32" t="inlineStr">
        <is>
          <t>? needs production lookup</t>
        </is>
      </c>
      <c r="L319" s="5" t="inlineStr">
        <is>
          <t>PSV-76 Výplně otvorů</t>
        </is>
      </c>
    </row>
    <row r="320">
      <c r="B320" s="17" t="n"/>
      <c r="C320" s="28" t="inlineStr">
        <is>
          <t>VV</t>
        </is>
      </c>
      <c r="D320" s="17" t="n"/>
      <c r="E320" s="29" t="inlineStr">
        <is>
          <t>DXF INSERT block name 'okno 1.NP vzadu' count = 3 ks × bbox 920×1600 mm = 4.41 m² fasády</t>
        </is>
      </c>
      <c r="F320" s="17" t="n"/>
      <c r="G320" s="30" t="n">
        <v>3</v>
      </c>
      <c r="H320" s="17" t="n"/>
      <c r="I320" s="17" t="n"/>
      <c r="J320" s="17" t="n"/>
      <c r="K320" s="17" t="n"/>
      <c r="L320" s="17" t="n"/>
    </row>
    <row r="321">
      <c r="B321" s="23" t="n">
        <v>127</v>
      </c>
      <c r="C321" s="23" t="inlineStr">
        <is>
          <t>K</t>
        </is>
      </c>
      <c r="D321" s="24" t="inlineStr">
        <is>
          <t>766621011</t>
        </is>
      </c>
      <c r="E321" s="24" t="inlineStr">
        <is>
          <t>Plastové okno izolačním trojsklem Uw=0.85 W/m²K — typ 'okno 2.NP' velikost 1160×1480 mm × 4 ks (fasáda ulice)</t>
        </is>
      </c>
      <c r="F321" s="23" t="inlineStr">
        <is>
          <t>ks</t>
        </is>
      </c>
      <c r="G321" s="25" t="n">
        <v>4</v>
      </c>
      <c r="H321" s="26" t="n"/>
      <c r="I321" s="26">
        <f>IF(H321="",0,G321*H321)</f>
        <v/>
      </c>
      <c r="J321" s="23" t="inlineStr">
        <is>
          <t>ÚRS 2026</t>
        </is>
      </c>
      <c r="K321" s="32" t="inlineStr">
        <is>
          <t>? needs production lookup</t>
        </is>
      </c>
      <c r="L321" s="5" t="inlineStr">
        <is>
          <t>PSV-76 Výplně otvorů</t>
        </is>
      </c>
    </row>
    <row r="322">
      <c r="B322" s="17" t="n"/>
      <c r="C322" s="28" t="inlineStr">
        <is>
          <t>VV</t>
        </is>
      </c>
      <c r="D322" s="17" t="n"/>
      <c r="E322" s="29" t="inlineStr">
        <is>
          <t>DXF INSERT block name 'okno 2.NP' count = 4 ks × bbox 1160×1480 mm = 6.88 m² fasády</t>
        </is>
      </c>
      <c r="F322" s="17" t="n"/>
      <c r="G322" s="30" t="n">
        <v>4</v>
      </c>
      <c r="H322" s="17" t="n"/>
      <c r="I322" s="17" t="n"/>
      <c r="J322" s="17" t="n"/>
      <c r="K322" s="17" t="n"/>
      <c r="L322" s="17" t="n"/>
    </row>
    <row r="323">
      <c r="B323" s="23" t="n">
        <v>128</v>
      </c>
      <c r="C323" s="23" t="inlineStr">
        <is>
          <t>K</t>
        </is>
      </c>
      <c r="D323" s="24" t="inlineStr">
        <is>
          <t>766621011</t>
        </is>
      </c>
      <c r="E323" s="24" t="inlineStr">
        <is>
          <t>Plastové okno izolačním trojsklem Uw=0.85 W/m²K — typ 'okno 3.NP' velikost 1785×1241 mm × 3 ks (fasáda ulice)</t>
        </is>
      </c>
      <c r="F323" s="23" t="inlineStr">
        <is>
          <t>ks</t>
        </is>
      </c>
      <c r="G323" s="25" t="n">
        <v>3</v>
      </c>
      <c r="H323" s="26" t="n"/>
      <c r="I323" s="26">
        <f>IF(H323="",0,G323*H323)</f>
        <v/>
      </c>
      <c r="J323" s="23" t="inlineStr">
        <is>
          <t>ÚRS 2026</t>
        </is>
      </c>
      <c r="K323" s="32" t="inlineStr">
        <is>
          <t>? needs production lookup</t>
        </is>
      </c>
      <c r="L323" s="5" t="inlineStr">
        <is>
          <t>PSV-76 Výplně otvorů</t>
        </is>
      </c>
    </row>
    <row r="324">
      <c r="B324" s="17" t="n"/>
      <c r="C324" s="28" t="inlineStr">
        <is>
          <t>VV</t>
        </is>
      </c>
      <c r="D324" s="17" t="n"/>
      <c r="E324" s="29" t="inlineStr">
        <is>
          <t>DXF INSERT block name 'okno 3.NP' count = 3 ks × bbox 1785×1241 mm = 6.66 m² fasády</t>
        </is>
      </c>
      <c r="F324" s="17" t="n"/>
      <c r="G324" s="30" t="n">
        <v>3</v>
      </c>
      <c r="H324" s="17" t="n"/>
      <c r="I324" s="17" t="n"/>
      <c r="J324" s="17" t="n"/>
      <c r="K324" s="17" t="n"/>
      <c r="L324" s="17" t="n"/>
    </row>
    <row r="325">
      <c r="B325" s="23" t="n">
        <v>129</v>
      </c>
      <c r="C325" s="23" t="inlineStr">
        <is>
          <t>K</t>
        </is>
      </c>
      <c r="D325" s="24" t="inlineStr">
        <is>
          <t>766621011</t>
        </is>
      </c>
      <c r="E325" s="24" t="inlineStr">
        <is>
          <t>Plastové okno izolačním trojsklem Uw=0.85 W/m²K — typ 'okno 3.NP vzadu' velikost 2075×1241 mm × 1 ks (fasáda zahrada)</t>
        </is>
      </c>
      <c r="F325" s="23" t="inlineStr">
        <is>
          <t>ks</t>
        </is>
      </c>
      <c r="G325" s="25" t="n">
        <v>1</v>
      </c>
      <c r="H325" s="26" t="n"/>
      <c r="I325" s="26">
        <f>IF(H325="",0,G325*H325)</f>
        <v/>
      </c>
      <c r="J325" s="23" t="inlineStr">
        <is>
          <t>ÚRS 2026</t>
        </is>
      </c>
      <c r="K325" s="32" t="inlineStr">
        <is>
          <t>? needs production lookup</t>
        </is>
      </c>
      <c r="L325" s="5" t="inlineStr">
        <is>
          <t>PSV-76 Výplně otvorů</t>
        </is>
      </c>
    </row>
    <row r="326">
      <c r="B326" s="17" t="n"/>
      <c r="C326" s="28" t="inlineStr">
        <is>
          <t>VV</t>
        </is>
      </c>
      <c r="D326" s="17" t="n"/>
      <c r="E326" s="29" t="inlineStr">
        <is>
          <t>DXF INSERT block name 'okno 3.NP vzadu' count = 1 ks × bbox 2075×1241 mm = 2.57 m² fasády</t>
        </is>
      </c>
      <c r="F326" s="17" t="n"/>
      <c r="G326" s="30" t="n">
        <v>1</v>
      </c>
      <c r="H326" s="17" t="n"/>
      <c r="I326" s="17" t="n"/>
      <c r="J326" s="17" t="n"/>
      <c r="K326" s="17" t="n"/>
      <c r="L326" s="17" t="n"/>
    </row>
    <row r="327">
      <c r="B327" s="23" t="n">
        <v>130</v>
      </c>
      <c r="C327" s="23" t="inlineStr">
        <is>
          <t>K</t>
        </is>
      </c>
      <c r="D327" s="24" t="inlineStr">
        <is>
          <t>766621011</t>
        </is>
      </c>
      <c r="E327" s="24" t="inlineStr">
        <is>
          <t>Plastové okno izolačním trojsklem Uw=0.85 W/m²K — typ 'okno male 3.NP vzadu' velikost 800×1241 mm × 1 ks (fasáda zahrada)</t>
        </is>
      </c>
      <c r="F327" s="23" t="inlineStr">
        <is>
          <t>ks</t>
        </is>
      </c>
      <c r="G327" s="25" t="n">
        <v>1</v>
      </c>
      <c r="H327" s="26" t="n"/>
      <c r="I327" s="26">
        <f>IF(H327="",0,G327*H327)</f>
        <v/>
      </c>
      <c r="J327" s="23" t="inlineStr">
        <is>
          <t>ÚRS 2026</t>
        </is>
      </c>
      <c r="K327" s="32" t="inlineStr">
        <is>
          <t>? needs production lookup</t>
        </is>
      </c>
      <c r="L327" s="5" t="inlineStr">
        <is>
          <t>PSV-76 Výplně otvorů</t>
        </is>
      </c>
    </row>
    <row r="328">
      <c r="B328" s="17" t="n"/>
      <c r="C328" s="28" t="inlineStr">
        <is>
          <t>VV</t>
        </is>
      </c>
      <c r="D328" s="17" t="n"/>
      <c r="E328" s="29" t="inlineStr">
        <is>
          <t>DXF INSERT block name 'okno male 3.NP vzadu' count = 1 ks × bbox 800×1241 mm = 0.99 m² fasády</t>
        </is>
      </c>
      <c r="F328" s="17" t="n"/>
      <c r="G328" s="30" t="n">
        <v>1</v>
      </c>
      <c r="H328" s="17" t="n"/>
      <c r="I328" s="17" t="n"/>
      <c r="J328" s="17" t="n"/>
      <c r="K328" s="17" t="n"/>
      <c r="L328" s="17" t="n"/>
    </row>
    <row r="329">
      <c r="B329" s="23" t="n">
        <v>131</v>
      </c>
      <c r="C329" s="23" t="inlineStr">
        <is>
          <t>K</t>
        </is>
      </c>
      <c r="D329" s="24" t="inlineStr">
        <is>
          <t>766621011</t>
        </is>
      </c>
      <c r="E329" s="24" t="inlineStr">
        <is>
          <t>Plastové okno izolačním trojsklem Uw=0.85 W/m²K — typ 'okno malé vzadu' velikost 700×800 mm × 2 ks (fasáda zahrada)</t>
        </is>
      </c>
      <c r="F329" s="23" t="inlineStr">
        <is>
          <t>ks</t>
        </is>
      </c>
      <c r="G329" s="25" t="n">
        <v>2</v>
      </c>
      <c r="H329" s="26" t="n"/>
      <c r="I329" s="26">
        <f>IF(H329="",0,G329*H329)</f>
        <v/>
      </c>
      <c r="J329" s="23" t="inlineStr">
        <is>
          <t>ÚRS 2026</t>
        </is>
      </c>
      <c r="K329" s="32" t="inlineStr">
        <is>
          <t>? needs production lookup</t>
        </is>
      </c>
      <c r="L329" s="5" t="inlineStr">
        <is>
          <t>PSV-76 Výplně otvorů</t>
        </is>
      </c>
    </row>
    <row r="330">
      <c r="B330" s="17" t="n"/>
      <c r="C330" s="28" t="inlineStr">
        <is>
          <t>VV</t>
        </is>
      </c>
      <c r="D330" s="17" t="n"/>
      <c r="E330" s="29" t="inlineStr">
        <is>
          <t>DXF INSERT block name 'okno malé vzadu' count = 2 ks × bbox 700×800 mm = 1.12 m² fasády</t>
        </is>
      </c>
      <c r="F330" s="17" t="n"/>
      <c r="G330" s="30" t="n">
        <v>2</v>
      </c>
      <c r="H330" s="17" t="n"/>
      <c r="I330" s="17" t="n"/>
      <c r="J330" s="17" t="n"/>
      <c r="K330" s="17" t="n"/>
      <c r="L330" s="17" t="n"/>
    </row>
    <row r="331">
      <c r="B331" s="23" t="n">
        <v>132</v>
      </c>
      <c r="C331" s="23" t="inlineStr">
        <is>
          <t>K</t>
        </is>
      </c>
      <c r="D331" s="24" t="inlineStr">
        <is>
          <t>766631211</t>
        </is>
      </c>
      <c r="E331" s="24" t="inlineStr">
        <is>
          <t>Integrované stínící venkovní žaluzie v kastlíku pod omítkou s purenitovou izolací — uliční fasáda Fibichova (9 ks)</t>
        </is>
      </c>
      <c r="F331" s="23" t="inlineStr">
        <is>
          <t>ks</t>
        </is>
      </c>
      <c r="G331" s="25" t="n">
        <v>9</v>
      </c>
      <c r="H331" s="26" t="n"/>
      <c r="I331" s="26">
        <f>IF(H331="",0,G331*H331)</f>
        <v/>
      </c>
      <c r="J331" s="23" t="inlineStr">
        <is>
          <t>ÚRS 2026</t>
        </is>
      </c>
      <c r="K331" s="32" t="inlineStr">
        <is>
          <t>? needs production lookup</t>
        </is>
      </c>
      <c r="L331" s="5" t="inlineStr">
        <is>
          <t>PSV-76 Výplně otvorů</t>
        </is>
      </c>
    </row>
    <row r="332">
      <c r="B332" s="17" t="n"/>
      <c r="C332" s="28" t="inlineStr">
        <is>
          <t>VV</t>
        </is>
      </c>
      <c r="D332" s="17" t="n"/>
      <c r="E332" s="29" t="inlineStr">
        <is>
          <t>Σ uličních oken (block names bez 'vzadu' = okno 1.NP 2 + okno 2.NP 4 + okno 3.NP 3) = 9 ks</t>
        </is>
      </c>
      <c r="F332" s="17" t="n"/>
      <c r="G332" s="30" t="n">
        <v>9</v>
      </c>
      <c r="H332" s="17" t="n"/>
      <c r="I332" s="17" t="n"/>
      <c r="J332" s="17" t="n"/>
      <c r="K332" s="17" t="n"/>
      <c r="L332" s="17" t="n"/>
    </row>
    <row r="333">
      <c r="B333" s="23" t="n">
        <v>133</v>
      </c>
      <c r="C333" s="23" t="inlineStr">
        <is>
          <t>K</t>
        </is>
      </c>
      <c r="D333" s="24" t="inlineStr">
        <is>
          <t>766682111</t>
        </is>
      </c>
      <c r="E333" s="24" t="inlineStr">
        <is>
          <t>Plastové vstupní dveře (ulice + zahrada) — 2 ks</t>
        </is>
      </c>
      <c r="F333" s="23" t="inlineStr">
        <is>
          <t>ks</t>
        </is>
      </c>
      <c r="G333" s="25" t="n">
        <v>2</v>
      </c>
      <c r="H333" s="26" t="n"/>
      <c r="I333" s="26">
        <f>IF(H333="",0,G333*H333)</f>
        <v/>
      </c>
      <c r="J333" s="23" t="inlineStr">
        <is>
          <t>ÚRS 2026</t>
        </is>
      </c>
      <c r="K333" s="32" t="inlineStr">
        <is>
          <t>? needs production lookup</t>
        </is>
      </c>
      <c r="L333" s="5" t="inlineStr">
        <is>
          <t>PSV-76 Výplně otvorů</t>
        </is>
      </c>
    </row>
    <row r="334">
      <c r="B334" s="17" t="n"/>
      <c r="C334" s="28" t="inlineStr">
        <is>
          <t>VV</t>
        </is>
      </c>
      <c r="D334" s="17" t="n"/>
      <c r="E334" s="29" t="inlineStr">
        <is>
          <t>TZ ARS — vstupní plastové dveře</t>
        </is>
      </c>
      <c r="F334" s="17" t="n"/>
      <c r="G334" s="30" t="n">
        <v>2</v>
      </c>
      <c r="H334" s="17" t="n"/>
      <c r="I334" s="17" t="n"/>
      <c r="J334" s="17" t="n"/>
      <c r="K334" s="17" t="n"/>
      <c r="L334" s="17" t="n"/>
    </row>
    <row r="335">
      <c r="B335" s="23" t="n">
        <v>134</v>
      </c>
      <c r="C335" s="23" t="inlineStr">
        <is>
          <t>K</t>
        </is>
      </c>
      <c r="D335" s="24" t="inlineStr">
        <is>
          <t>766660035</t>
        </is>
      </c>
      <c r="E335" s="24" t="inlineStr">
        <is>
          <t>Vnitřní dveře DTD laminované s obložkovou zárubní — odhad 15 ks</t>
        </is>
      </c>
      <c r="F335" s="23" t="inlineStr">
        <is>
          <t>ks</t>
        </is>
      </c>
      <c r="G335" s="25" t="n">
        <v>15</v>
      </c>
      <c r="H335" s="26" t="n"/>
      <c r="I335" s="26">
        <f>IF(H335="",0,G335*H335)</f>
        <v/>
      </c>
      <c r="J335" s="23" t="inlineStr">
        <is>
          <t>ÚRS 2026</t>
        </is>
      </c>
      <c r="K335" s="32" t="inlineStr">
        <is>
          <t>? needs production lookup</t>
        </is>
      </c>
      <c r="L335" s="5" t="inlineStr">
        <is>
          <t>PSV-76 Výplně otvorů</t>
        </is>
      </c>
    </row>
    <row r="336">
      <c r="B336" s="17" t="n"/>
      <c r="C336" s="28" t="inlineStr">
        <is>
          <t>VV</t>
        </is>
      </c>
      <c r="D336" s="17" t="n"/>
      <c r="E336" s="29" t="inlineStr">
        <is>
          <t>3 patra × ~5 dveří (4 pokoje + chodba): 1.NP byt + 2.NP děti + 3.NP nový byt</t>
        </is>
      </c>
      <c r="F336" s="17" t="n"/>
      <c r="G336" s="30" t="n">
        <v>15</v>
      </c>
      <c r="H336" s="17" t="n"/>
      <c r="I336" s="17" t="n"/>
      <c r="J336" s="17" t="n"/>
      <c r="K336" s="17" t="n"/>
      <c r="L336" s="17" t="n"/>
    </row>
    <row r="337">
      <c r="B337" s="23" t="n">
        <v>135</v>
      </c>
      <c r="C337" s="23" t="inlineStr">
        <is>
          <t>K</t>
        </is>
      </c>
      <c r="D337" s="24" t="inlineStr">
        <is>
          <t>766694112</t>
        </is>
      </c>
      <c r="E337" s="24" t="inlineStr">
        <is>
          <t>Požárně odolné jednokřídlové dveře EI 30 DP3 na vrcholu schodiště mezi 1.PP a 1.NP — uzavírá otvor v REI 90 stropu klenby sklepa (per PBŘ TUSPO § 'Požární uzávěry otvorů v požárních stěnách a požárních stropech: podzemní 30 DP1')</t>
        </is>
      </c>
      <c r="F337" s="23" t="inlineStr">
        <is>
          <t>ks</t>
        </is>
      </c>
      <c r="G337" s="25" t="n">
        <v>1</v>
      </c>
      <c r="H337" s="26" t="n"/>
      <c r="I337" s="26">
        <f>IF(H337="",0,G337*H337)</f>
        <v/>
      </c>
      <c r="J337" s="23" t="inlineStr">
        <is>
          <t>ÚRS 2026</t>
        </is>
      </c>
      <c r="K337" s="32" t="inlineStr">
        <is>
          <t>? needs production lookup</t>
        </is>
      </c>
      <c r="L337" s="5" t="inlineStr">
        <is>
          <t>PSV-76 Výplně otvorů</t>
        </is>
      </c>
    </row>
    <row r="338">
      <c r="B338" s="17" t="n"/>
      <c r="C338" s="28" t="inlineStr">
        <is>
          <t>VV</t>
        </is>
      </c>
      <c r="D338" s="17" t="n"/>
      <c r="E338" s="29" t="inlineStr">
        <is>
          <t>1× dveře na vrcholu schodiště 1.PP/1.NP (room 1.08 → 0.01) per PBŘ TUSPO</t>
        </is>
      </c>
      <c r="F338" s="17" t="n"/>
      <c r="G338" s="30" t="n">
        <v>1</v>
      </c>
      <c r="H338" s="17" t="n"/>
      <c r="I338" s="17" t="n"/>
      <c r="J338" s="17" t="n"/>
      <c r="K338" s="17" t="n"/>
      <c r="L338" s="17" t="n"/>
    </row>
    <row r="339">
      <c r="B339" s="23" t="n">
        <v>136</v>
      </c>
      <c r="C339" s="23" t="inlineStr">
        <is>
          <t>K</t>
        </is>
      </c>
      <c r="D339" s="24" t="inlineStr">
        <is>
          <t>764811112</t>
        </is>
      </c>
      <c r="E339" s="24" t="inlineStr">
        <is>
          <t>Oplechování venkovních parapetů Pzn plech lakovaný 250 mm × tl. 0.55 mm, vč. okapnice + boční zakončení — 16 ks (per DXF INSERT okno × 16)</t>
        </is>
      </c>
      <c r="F339" s="23" t="inlineStr">
        <is>
          <t>ks</t>
        </is>
      </c>
      <c r="G339" s="25" t="n">
        <v>16</v>
      </c>
      <c r="H339" s="26" t="n"/>
      <c r="I339" s="26">
        <f>IF(H339="",0,G339*H339)</f>
        <v/>
      </c>
      <c r="J339" s="23" t="inlineStr">
        <is>
          <t>ÚRS 2026</t>
        </is>
      </c>
      <c r="K339" s="32" t="inlineStr">
        <is>
          <t>? needs production lookup</t>
        </is>
      </c>
      <c r="L339" s="5" t="inlineStr">
        <is>
          <t>PSV-76 Výplně otvorů</t>
        </is>
      </c>
    </row>
    <row r="340">
      <c r="B340" s="17" t="n"/>
      <c r="C340" s="28" t="inlineStr">
        <is>
          <t>VV</t>
        </is>
      </c>
      <c r="D340" s="17" t="n"/>
      <c r="E340" s="29" t="inlineStr">
        <is>
          <t>DXF okno × 16 ks (Path C Tier 4) = 16 parapetů</t>
        </is>
      </c>
      <c r="F340" s="17" t="n"/>
      <c r="G340" s="30" t="n">
        <v>16</v>
      </c>
      <c r="H340" s="17" t="n"/>
      <c r="I340" s="17" t="n"/>
      <c r="J340" s="17" t="n"/>
      <c r="K340" s="17" t="n"/>
      <c r="L340" s="17" t="n"/>
    </row>
    <row r="341">
      <c r="B341" s="21" t="n"/>
      <c r="C341" s="22" t="inlineStr">
        <is>
          <t>D</t>
        </is>
      </c>
      <c r="D341" s="22" t="inlineStr">
        <is>
          <t>PSV-76</t>
        </is>
      </c>
      <c r="E341" s="22" t="inlineStr">
        <is>
          <t>PSV-76 Zámečnictví</t>
        </is>
      </c>
      <c r="F341" s="21" t="n"/>
      <c r="G341" s="21" t="n"/>
      <c r="H341" s="21" t="n"/>
      <c r="I341" s="21" t="n"/>
      <c r="J341" s="21" t="n"/>
      <c r="K341" s="21" t="n"/>
      <c r="L341" s="21" t="n"/>
    </row>
    <row r="342">
      <c r="B342" s="23" t="n">
        <v>137</v>
      </c>
      <c r="C342" s="23" t="inlineStr">
        <is>
          <t>K</t>
        </is>
      </c>
      <c r="D342" s="24" t="inlineStr">
        <is>
          <t>767531111</t>
        </is>
      </c>
      <c r="E342" s="24" t="inlineStr">
        <is>
          <t>Ocelové schodiště ze zahrady na mezipodestu — UPE200 schodnice + dřevěné nášlapy, kotvené do koruny opěrné stěny a zdiva (TZ statika §4)</t>
        </is>
      </c>
      <c r="F342" s="23" t="inlineStr">
        <is>
          <t>kpl</t>
        </is>
      </c>
      <c r="G342" s="25" t="n">
        <v>1</v>
      </c>
      <c r="H342" s="26" t="n"/>
      <c r="I342" s="26">
        <f>IF(H342="",0,G342*H342)</f>
        <v/>
      </c>
      <c r="J342" s="23" t="inlineStr">
        <is>
          <t>ÚRS 2026</t>
        </is>
      </c>
      <c r="K342" s="31" t="inlineStr">
        <is>
          <t>⚠ family OK, leaf KROS lookup [evidence: https://www.obchodprodilnu.cz/produkty/stavebni-prvky-a-mate]</t>
        </is>
      </c>
      <c r="L342" s="5" t="inlineStr">
        <is>
          <t>PSV-76 Zámečnictví</t>
        </is>
      </c>
    </row>
    <row r="343">
      <c r="B343" s="17" t="n"/>
      <c r="C343" s="28" t="inlineStr">
        <is>
          <t>VV</t>
        </is>
      </c>
      <c r="D343" s="17" t="n"/>
      <c r="E343" s="29" t="inlineStr">
        <is>
          <t>1 schodiště (~8 stupňů × ~3 m výška)</t>
        </is>
      </c>
      <c r="F343" s="17" t="n"/>
      <c r="G343" s="30" t="n">
        <v>1</v>
      </c>
      <c r="H343" s="17" t="n"/>
      <c r="I343" s="17" t="n"/>
      <c r="J343" s="17" t="n"/>
      <c r="K343" s="17" t="n"/>
      <c r="L343" s="17" t="n"/>
    </row>
    <row r="344">
      <c r="B344" s="23" t="n">
        <v>138</v>
      </c>
      <c r="C344" s="23" t="inlineStr">
        <is>
          <t>K</t>
        </is>
      </c>
      <c r="D344" s="24" t="inlineStr">
        <is>
          <t>767531111</t>
        </is>
      </c>
      <c r="E344" s="24" t="inlineStr">
        <is>
          <t>Interní ocelové schodiště do spacího patra v 3.NP s dřevěnými stupni (truhlářské)</t>
        </is>
      </c>
      <c r="F344" s="23" t="inlineStr">
        <is>
          <t>kpl</t>
        </is>
      </c>
      <c r="G344" s="25" t="n">
        <v>1</v>
      </c>
      <c r="H344" s="26" t="n"/>
      <c r="I344" s="26">
        <f>IF(H344="",0,G344*H344)</f>
        <v/>
      </c>
      <c r="J344" s="23" t="inlineStr">
        <is>
          <t>ÚRS 2026</t>
        </is>
      </c>
      <c r="K344" s="31" t="inlineStr">
        <is>
          <t>⚠ family OK, leaf KROS lookup [evidence: https://www.obchodprodilnu.cz/produkty/stavebni-prvky-a-mate]</t>
        </is>
      </c>
      <c r="L344" s="5" t="inlineStr">
        <is>
          <t>PSV-76 Zámečnictví</t>
        </is>
      </c>
    </row>
    <row r="345">
      <c r="B345" s="17" t="n"/>
      <c r="C345" s="28" t="inlineStr">
        <is>
          <t>VV</t>
        </is>
      </c>
      <c r="D345" s="17" t="n"/>
      <c r="E345" s="29" t="inlineStr">
        <is>
          <t>1 schodiště do podkroví (TZ ARS)</t>
        </is>
      </c>
      <c r="F345" s="17" t="n"/>
      <c r="G345" s="30" t="n">
        <v>1</v>
      </c>
      <c r="H345" s="17" t="n"/>
      <c r="I345" s="17" t="n"/>
      <c r="J345" s="17" t="n"/>
      <c r="K345" s="17" t="n"/>
      <c r="L345" s="17" t="n"/>
    </row>
    <row r="346">
      <c r="B346" s="23" t="n">
        <v>139</v>
      </c>
      <c r="C346" s="23" t="inlineStr">
        <is>
          <t>K</t>
        </is>
      </c>
      <c r="D346" s="24" t="inlineStr">
        <is>
          <t>767532111</t>
        </is>
      </c>
      <c r="E346" s="24" t="inlineStr">
        <is>
          <t>Stříšky nad vstupy z ocelové konstrukce + Cetris desky + falcovaná krytina — 2 ks (ulice + zahrada)</t>
        </is>
      </c>
      <c r="F346" s="23" t="inlineStr">
        <is>
          <t>ks</t>
        </is>
      </c>
      <c r="G346" s="25" t="n">
        <v>2</v>
      </c>
      <c r="H346" s="26" t="n"/>
      <c r="I346" s="26">
        <f>IF(H346="",0,G346*H346)</f>
        <v/>
      </c>
      <c r="J346" s="23" t="inlineStr">
        <is>
          <t>ÚRS 2026</t>
        </is>
      </c>
      <c r="K346" s="32" t="inlineStr">
        <is>
          <t>? needs production lookup</t>
        </is>
      </c>
      <c r="L346" s="5" t="inlineStr">
        <is>
          <t>PSV-76 Zámečnictví</t>
        </is>
      </c>
    </row>
    <row r="347">
      <c r="B347" s="17" t="n"/>
      <c r="C347" s="28" t="inlineStr">
        <is>
          <t>VV</t>
        </is>
      </c>
      <c r="D347" s="17" t="n"/>
      <c r="E347" s="29" t="inlineStr">
        <is>
          <t>2 vstupy</t>
        </is>
      </c>
      <c r="F347" s="17" t="n"/>
      <c r="G347" s="30" t="n">
        <v>2</v>
      </c>
      <c r="H347" s="17" t="n"/>
      <c r="I347" s="17" t="n"/>
      <c r="J347" s="17" t="n"/>
      <c r="K347" s="17" t="n"/>
      <c r="L347" s="17" t="n"/>
    </row>
    <row r="348">
      <c r="B348" s="23" t="n">
        <v>140</v>
      </c>
      <c r="C348" s="23" t="inlineStr">
        <is>
          <t>K</t>
        </is>
      </c>
      <c r="D348" s="24" t="inlineStr">
        <is>
          <t>767163115</t>
        </is>
      </c>
      <c r="E348" s="24" t="inlineStr">
        <is>
          <t>Ocelové zábradlí svařované z jeklů + nerez výplň pZn antracit — schodiště interier + venkovní terasa</t>
        </is>
      </c>
      <c r="F348" s="23" t="inlineStr">
        <is>
          <t>bm</t>
        </is>
      </c>
      <c r="G348" s="25" t="n">
        <v>18</v>
      </c>
      <c r="H348" s="26" t="n"/>
      <c r="I348" s="26">
        <f>IF(H348="",0,G348*H348)</f>
        <v/>
      </c>
      <c r="J348" s="23" t="inlineStr">
        <is>
          <t>ÚRS 2026</t>
        </is>
      </c>
      <c r="K348" s="32" t="inlineStr">
        <is>
          <t>? needs production lookup</t>
        </is>
      </c>
      <c r="L348" s="5" t="inlineStr">
        <is>
          <t>PSV-76 Zámečnictví</t>
        </is>
      </c>
    </row>
    <row r="349">
      <c r="B349" s="17" t="n"/>
      <c r="C349" s="28" t="inlineStr">
        <is>
          <t>VV</t>
        </is>
      </c>
      <c r="D349" s="17" t="n"/>
      <c r="E349" s="29" t="inlineStr">
        <is>
          <t>odhad 12 m interier (2 schodiště × 6 m) + 6 m terasa</t>
        </is>
      </c>
      <c r="F349" s="17" t="n"/>
      <c r="G349" s="30" t="n">
        <v>18</v>
      </c>
      <c r="H349" s="17" t="n"/>
      <c r="I349" s="17" t="n"/>
      <c r="J349" s="17" t="n"/>
      <c r="K349" s="17" t="n"/>
      <c r="L349" s="17" t="n"/>
    </row>
    <row r="350">
      <c r="B350" s="21" t="n"/>
      <c r="C350" s="22" t="inlineStr">
        <is>
          <t>D</t>
        </is>
      </c>
      <c r="D350" s="22" t="inlineStr">
        <is>
          <t>PSV-77</t>
        </is>
      </c>
      <c r="E350" s="22" t="inlineStr">
        <is>
          <t>PSV-77 Podlahy</t>
        </is>
      </c>
      <c r="F350" s="21" t="n"/>
      <c r="G350" s="21" t="n"/>
      <c r="H350" s="21" t="n"/>
      <c r="I350" s="21" t="n"/>
      <c r="J350" s="21" t="n"/>
      <c r="K350" s="21" t="n"/>
      <c r="L350" s="21" t="n"/>
    </row>
    <row r="351">
      <c r="B351" s="23" t="n">
        <v>141</v>
      </c>
      <c r="C351" s="23" t="inlineStr">
        <is>
          <t>K</t>
        </is>
      </c>
      <c r="D351" s="24" t="inlineStr">
        <is>
          <t>776511820</t>
        </is>
      </c>
      <c r="E351" s="24" t="inlineStr">
        <is>
          <t>Nášlapná vrstva vinyl tl. 4 mm na suchou skladbu — obytné místnosti (ložnice, obývák, kuchyně, chodby)</t>
        </is>
      </c>
      <c r="F351" s="23" t="inlineStr">
        <is>
          <t>m²</t>
        </is>
      </c>
      <c r="G351" s="25" t="n">
        <v>171.5</v>
      </c>
      <c r="H351" s="26" t="n"/>
      <c r="I351" s="26">
        <f>IF(H351="",0,G351*H351)</f>
        <v/>
      </c>
      <c r="J351" s="23" t="inlineStr">
        <is>
          <t>ÚRS 2026</t>
        </is>
      </c>
      <c r="K351" s="31" t="inlineStr">
        <is>
          <t>⚠ family OK, leaf KROS lookup [evidence: https://podminky.urs.cz/item/CS_URS_2021_02/776321212]</t>
        </is>
      </c>
      <c r="L351" s="5" t="inlineStr">
        <is>
          <t>PSV-77 Podlahy</t>
        </is>
      </c>
    </row>
    <row r="352">
      <c r="B352" s="17" t="n"/>
      <c r="C352" s="28" t="inlineStr">
        <is>
          <t>VV</t>
        </is>
      </c>
      <c r="D352" s="17" t="n"/>
      <c r="E352" s="29" t="inlineStr">
        <is>
          <t>1.01=12.4 + 1.02=3.6 + 1.06=24.0 + 1.07=9.4 + 1.08=3.8 + 2.01=7.3 + 2.02=5.9 + 2.04=15.5 + 2.05=14.1 + 2.06=15.8 + 3.01=7.6 + 3.02=4.1 + 3.03=2.4 + 3.05=32.8 + 3.06=12.8 = 171.5 m²</t>
        </is>
      </c>
      <c r="F352" s="17" t="n"/>
      <c r="G352" s="30" t="n">
        <v>171.5</v>
      </c>
      <c r="H352" s="17" t="n"/>
      <c r="I352" s="17" t="n"/>
      <c r="J352" s="17" t="n"/>
      <c r="K352" s="17" t="n"/>
      <c r="L352" s="17" t="n"/>
    </row>
    <row r="353">
      <c r="B353" s="23" t="n">
        <v>142</v>
      </c>
      <c r="C353" s="23" t="inlineStr">
        <is>
          <t>K</t>
        </is>
      </c>
      <c r="D353" s="24" t="inlineStr">
        <is>
          <t>771274102</t>
        </is>
      </c>
      <c r="E353" s="24" t="inlineStr">
        <is>
          <t>Nášlapná vrstva keramická dlažba lepená — koupelny + WC + spíž + komora (NÁDRŽ NP)</t>
        </is>
      </c>
      <c r="F353" s="23" t="inlineStr">
        <is>
          <t>m²</t>
        </is>
      </c>
      <c r="G353" s="25" t="n">
        <v>13.5</v>
      </c>
      <c r="H353" s="26" t="n"/>
      <c r="I353" s="26">
        <f>IF(H353="",0,G353*H353)</f>
        <v/>
      </c>
      <c r="J353" s="23" t="inlineStr">
        <is>
          <t>ÚRS 2026</t>
        </is>
      </c>
      <c r="K353" s="32" t="inlineStr">
        <is>
          <t>? needs production lookup</t>
        </is>
      </c>
      <c r="L353" s="5" t="inlineStr">
        <is>
          <t>PSV-77 Podlahy</t>
        </is>
      </c>
    </row>
    <row r="354">
      <c r="B354" s="17" t="n"/>
      <c r="C354" s="28" t="inlineStr">
        <is>
          <t>VV</t>
        </is>
      </c>
      <c r="D354" s="17" t="n"/>
      <c r="E354" s="29" t="inlineStr">
        <is>
          <t>1.03=0.7 + 1.04=1.5 + 1.05=4.1 + 2.03=2.4 + 3.04=4.8 = 13.5 m²</t>
        </is>
      </c>
      <c r="F354" s="17" t="n"/>
      <c r="G354" s="30" t="n">
        <v>13.5</v>
      </c>
      <c r="H354" s="17" t="n"/>
      <c r="I354" s="17" t="n"/>
      <c r="J354" s="17" t="n"/>
      <c r="K354" s="17" t="n"/>
      <c r="L354" s="17" t="n"/>
    </row>
    <row r="355">
      <c r="B355" s="23" t="n">
        <v>143</v>
      </c>
      <c r="C355" s="23" t="inlineStr">
        <is>
          <t>K</t>
        </is>
      </c>
      <c r="D355" s="24" t="inlineStr">
        <is>
          <t>771274102</t>
        </is>
      </c>
      <c r="E355" s="24" t="inlineStr">
        <is>
          <t>Nášlapná vrstva keramická dlažba — 1.PP technické místnosti (sušárna + sklepy + schodiště + chodba)</t>
        </is>
      </c>
      <c r="F355" s="23" t="inlineStr">
        <is>
          <t>m²</t>
        </is>
      </c>
      <c r="G355" s="25" t="n">
        <v>32.4</v>
      </c>
      <c r="H355" s="26" t="n"/>
      <c r="I355" s="26">
        <f>IF(H355="",0,G355*H355)</f>
        <v/>
      </c>
      <c r="J355" s="23" t="inlineStr">
        <is>
          <t>ÚRS 2026</t>
        </is>
      </c>
      <c r="K355" s="32" t="inlineStr">
        <is>
          <t>? needs production lookup</t>
        </is>
      </c>
      <c r="L355" s="5" t="inlineStr">
        <is>
          <t>PSV-77 Podlahy</t>
        </is>
      </c>
    </row>
    <row r="356">
      <c r="B356" s="17" t="n"/>
      <c r="C356" s="28" t="inlineStr">
        <is>
          <t>VV</t>
        </is>
      </c>
      <c r="D356" s="17" t="n"/>
      <c r="E356" s="29" t="inlineStr">
        <is>
          <t>0.01=3.5 + 0.02=4.4 + 0.03=22.2 + 0.04=2.3 = 32.4 m²</t>
        </is>
      </c>
      <c r="F356" s="17" t="n"/>
      <c r="G356" s="30" t="n">
        <v>32.4</v>
      </c>
      <c r="H356" s="17" t="n"/>
      <c r="I356" s="17" t="n"/>
      <c r="J356" s="17" t="n"/>
      <c r="K356" s="17" t="n"/>
      <c r="L356" s="17" t="n"/>
    </row>
    <row r="357">
      <c r="B357" s="23" t="n">
        <v>144</v>
      </c>
      <c r="C357" s="23" t="inlineStr">
        <is>
          <t>K</t>
        </is>
      </c>
      <c r="D357" s="24" t="inlineStr">
        <is>
          <t>766411111</t>
        </is>
      </c>
      <c r="E357" s="24" t="inlineStr">
        <is>
          <t>Nášlapná vrstva biodeska (smrk masiv) nebo OSB v 3.NP spací části nad krovem</t>
        </is>
      </c>
      <c r="F357" s="23" t="inlineStr">
        <is>
          <t>m²</t>
        </is>
      </c>
      <c r="G357" s="25" t="n">
        <v>25</v>
      </c>
      <c r="H357" s="26" t="n"/>
      <c r="I357" s="26">
        <f>IF(H357="",0,G357*H357)</f>
        <v/>
      </c>
      <c r="J357" s="23" t="inlineStr">
        <is>
          <t>ÚRS 2026</t>
        </is>
      </c>
      <c r="K357" s="32" t="inlineStr">
        <is>
          <t>? needs production lookup</t>
        </is>
      </c>
      <c r="L357" s="5" t="inlineStr">
        <is>
          <t>PSV-77 Podlahy</t>
        </is>
      </c>
    </row>
    <row r="358">
      <c r="B358" s="17" t="n"/>
      <c r="C358" s="28" t="inlineStr">
        <is>
          <t>VV</t>
        </is>
      </c>
      <c r="D358" s="17" t="n"/>
      <c r="E358" s="29" t="inlineStr">
        <is>
          <t>TZ ARS dům §3.2.3 — 'patro pro přespání z biodesky nad kleštinami'; DXF dum_DPZ NEMÁ samostatnou místnost s biodeska klasifikací (PLOT_DREVENY_04=0 v dum_DPZ, ten block je terasa v situaci). Fallback TZ.</t>
        </is>
      </c>
      <c r="F358" s="17" t="n"/>
      <c r="G358" s="30" t="n">
        <v>25</v>
      </c>
      <c r="H358" s="17" t="n"/>
      <c r="I358" s="17" t="n"/>
      <c r="J358" s="17" t="n"/>
      <c r="K358" s="17" t="n"/>
      <c r="L358" s="17" t="n"/>
    </row>
    <row r="359">
      <c r="B359" s="23" t="n">
        <v>145</v>
      </c>
      <c r="C359" s="23" t="inlineStr">
        <is>
          <t>K</t>
        </is>
      </c>
      <c r="D359" s="24" t="inlineStr">
        <is>
          <t>631321311</t>
        </is>
      </c>
      <c r="E359" s="24" t="inlineStr">
        <is>
          <t>Mokrá podlahová skladba — betonový potěr s kari síťkou 4/100/100 tl. 50 mm + samonivelační stěrka</t>
        </is>
      </c>
      <c r="F359" s="23" t="inlineStr">
        <is>
          <t>m²</t>
        </is>
      </c>
      <c r="G359" s="25" t="n">
        <v>126.4</v>
      </c>
      <c r="H359" s="26" t="n"/>
      <c r="I359" s="26">
        <f>IF(H359="",0,G359*H359)</f>
        <v/>
      </c>
      <c r="J359" s="23" t="inlineStr">
        <is>
          <t>ÚRS 2026</t>
        </is>
      </c>
      <c r="K359" s="32" t="inlineStr">
        <is>
          <t>? needs production lookup</t>
        </is>
      </c>
      <c r="L359" s="5" t="inlineStr">
        <is>
          <t>PSV-77 Podlahy</t>
        </is>
      </c>
    </row>
    <row r="360">
      <c r="B360" s="17" t="n"/>
      <c r="C360" s="28" t="inlineStr">
        <is>
          <t>VV</t>
        </is>
      </c>
      <c r="D360" s="17" t="n"/>
      <c r="E360" s="29" t="inlineStr">
        <is>
          <t>vinyl 1.NP+3.NP + dlažba mokré (vyňato 2.NP suchá skladba) = 126.4 m²</t>
        </is>
      </c>
      <c r="F360" s="17" t="n"/>
      <c r="G360" s="30" t="n">
        <v>126.4</v>
      </c>
      <c r="H360" s="17" t="n"/>
      <c r="I360" s="17" t="n"/>
      <c r="J360" s="17" t="n"/>
      <c r="K360" s="17" t="n"/>
      <c r="L360" s="17" t="n"/>
    </row>
    <row r="361">
      <c r="B361" s="23" t="n">
        <v>146</v>
      </c>
      <c r="C361" s="23" t="inlineStr">
        <is>
          <t>K</t>
        </is>
      </c>
      <c r="D361" s="24" t="inlineStr">
        <is>
          <t>776511831</t>
        </is>
      </c>
      <c r="E361" s="24" t="inlineStr">
        <is>
          <t>Soklíky podlahové laminátové (dub) v obytných místnostech s vinyl podlahou</t>
        </is>
      </c>
      <c r="F361" s="23" t="inlineStr">
        <is>
          <t>bm</t>
        </is>
      </c>
      <c r="G361" s="25" t="n">
        <v>72.03</v>
      </c>
      <c r="H361" s="26" t="n"/>
      <c r="I361" s="26">
        <f>IF(H361="",0,G361*H361)</f>
        <v/>
      </c>
      <c r="J361" s="23" t="inlineStr">
        <is>
          <t>ÚRS 2026</t>
        </is>
      </c>
      <c r="K361" s="32" t="inlineStr">
        <is>
          <t>? needs production lookup</t>
        </is>
      </c>
      <c r="L361" s="5" t="inlineStr">
        <is>
          <t>PSV-77 Podlahy</t>
        </is>
      </c>
    </row>
    <row r="362">
      <c r="B362" s="17" t="n"/>
      <c r="C362" s="28" t="inlineStr">
        <is>
          <t>VV</t>
        </is>
      </c>
      <c r="D362" s="17" t="n"/>
      <c r="E362" s="29" t="inlineStr">
        <is>
          <t>vinyl plocha 171.5 m² × 0.42 m soklíku/m² (typ. obvod/plocha ratio v Czech RD místnosti) = 72.03 bm</t>
        </is>
      </c>
      <c r="F362" s="17" t="n"/>
      <c r="G362" s="30" t="n">
        <v>72.03</v>
      </c>
      <c r="H362" s="17" t="n"/>
      <c r="I362" s="17" t="n"/>
      <c r="J362" s="17" t="n"/>
      <c r="K362" s="17" t="n"/>
      <c r="L362" s="17" t="n"/>
    </row>
    <row r="363">
      <c r="B363" s="23" t="n">
        <v>147</v>
      </c>
      <c r="C363" s="23" t="inlineStr">
        <is>
          <t>K</t>
        </is>
      </c>
      <c r="D363" s="24" t="inlineStr">
        <is>
          <t>771274107</t>
        </is>
      </c>
      <c r="E363" s="24" t="inlineStr">
        <is>
          <t>Soklíky keramické v místnostech s dlažbou (koupelny + WC + spíž + 1.PP)</t>
        </is>
      </c>
      <c r="F363" s="23" t="inlineStr">
        <is>
          <t>bm</t>
        </is>
      </c>
      <c r="G363" s="25" t="n">
        <v>19.28</v>
      </c>
      <c r="H363" s="26" t="n"/>
      <c r="I363" s="26">
        <f>IF(H363="",0,G363*H363)</f>
        <v/>
      </c>
      <c r="J363" s="23" t="inlineStr">
        <is>
          <t>ÚRS 2026</t>
        </is>
      </c>
      <c r="K363" s="32" t="inlineStr">
        <is>
          <t>? needs production lookup</t>
        </is>
      </c>
      <c r="L363" s="5" t="inlineStr">
        <is>
          <t>PSV-77 Podlahy</t>
        </is>
      </c>
    </row>
    <row r="364">
      <c r="B364" s="17" t="n"/>
      <c r="C364" s="28" t="inlineStr">
        <is>
          <t>VV</t>
        </is>
      </c>
      <c r="D364" s="17" t="n"/>
      <c r="E364" s="29" t="inlineStr">
        <is>
          <t>(dlažba mokré 13.5 + dlažba sklep 32.4) × 0.42 m soklíku/m² = 19.28 bm</t>
        </is>
      </c>
      <c r="F364" s="17" t="n"/>
      <c r="G364" s="30" t="n">
        <v>19.28</v>
      </c>
      <c r="H364" s="17" t="n"/>
      <c r="I364" s="17" t="n"/>
      <c r="J364" s="17" t="n"/>
      <c r="K364" s="17" t="n"/>
      <c r="L364" s="17" t="n"/>
    </row>
    <row r="365">
      <c r="B365" s="21" t="n"/>
      <c r="C365" s="22" t="inlineStr">
        <is>
          <t>D</t>
        </is>
      </c>
      <c r="D365" s="22" t="inlineStr">
        <is>
          <t>PSV-78</t>
        </is>
      </c>
      <c r="E365" s="22" t="inlineStr">
        <is>
          <t>PSV-78 Povrchové úpravy</t>
        </is>
      </c>
      <c r="F365" s="21" t="n"/>
      <c r="G365" s="21" t="n"/>
      <c r="H365" s="21" t="n"/>
      <c r="I365" s="21" t="n"/>
      <c r="J365" s="21" t="n"/>
      <c r="K365" s="21" t="n"/>
      <c r="L365" s="21" t="n"/>
    </row>
    <row r="366">
      <c r="B366" s="23" t="n">
        <v>148</v>
      </c>
      <c r="C366" s="23" t="inlineStr">
        <is>
          <t>K</t>
        </is>
      </c>
      <c r="D366" s="24" t="inlineStr">
        <is>
          <t>612311311</t>
        </is>
      </c>
      <c r="E366" s="24" t="inlineStr">
        <is>
          <t>Omítka jádrová vápenocementová tl. 15 mm + štuková povrchová úprava na stěnách 1.PP (stávající vyspravené + nové zděné)</t>
        </is>
      </c>
      <c r="F366" s="23" t="inlineStr">
        <is>
          <t>m²</t>
        </is>
      </c>
      <c r="G366" s="25" t="n">
        <v>78.2</v>
      </c>
      <c r="H366" s="26" t="n"/>
      <c r="I366" s="26">
        <f>IF(H366="",0,G366*H366)</f>
        <v/>
      </c>
      <c r="J366" s="23" t="inlineStr">
        <is>
          <t>ÚRS 2026</t>
        </is>
      </c>
      <c r="K366" s="32" t="inlineStr">
        <is>
          <t>? needs production lookup</t>
        </is>
      </c>
      <c r="L366" s="5" t="inlineStr">
        <is>
          <t>PSV-78 Povrchové úpravy</t>
        </is>
      </c>
    </row>
    <row r="367">
      <c r="B367" s="17" t="n"/>
      <c r="C367" s="28" t="inlineStr">
        <is>
          <t>VV</t>
        </is>
      </c>
      <c r="D367" s="17" t="n"/>
      <c r="E367" s="29" t="inlineStr">
        <is>
          <t>Σ obvodů rooms 1.PP (0.01=3.5m²→7.64m, 0.02=4.4m²→8.56m, 0.03=22.2m²→19.24m, 0.04=2.3m²→6.19m) = 41.63 m × výška 2.1 m = 87.4 m² stěn; − okna 6.61 − dveře 2.6 = 78.2 m²</t>
        </is>
      </c>
      <c r="F367" s="17" t="n"/>
      <c r="G367" s="30" t="n">
        <v>78.2</v>
      </c>
      <c r="H367" s="17" t="n"/>
      <c r="I367" s="17" t="n"/>
      <c r="J367" s="17" t="n"/>
      <c r="K367" s="17" t="n"/>
      <c r="L367" s="17" t="n"/>
    </row>
    <row r="368">
      <c r="B368" s="23" t="n">
        <v>149</v>
      </c>
      <c r="C368" s="23" t="inlineStr">
        <is>
          <t>K</t>
        </is>
      </c>
      <c r="D368" s="24" t="inlineStr">
        <is>
          <t>612311311</t>
        </is>
      </c>
      <c r="E368" s="24" t="inlineStr">
        <is>
          <t>Omítka jádrová vápenocementová tl. 15 mm + štuková povrchová úprava na stěnách 1.NP (stávající vyspravené + nové zděné)</t>
        </is>
      </c>
      <c r="F368" s="23" t="inlineStr">
        <is>
          <t>m²</t>
        </is>
      </c>
      <c r="G368" s="25" t="n">
        <v>208.4</v>
      </c>
      <c r="H368" s="26" t="n"/>
      <c r="I368" s="26">
        <f>IF(H368="",0,G368*H368)</f>
        <v/>
      </c>
      <c r="J368" s="23" t="inlineStr">
        <is>
          <t>ÚRS 2026</t>
        </is>
      </c>
      <c r="K368" s="32" t="inlineStr">
        <is>
          <t>? needs production lookup</t>
        </is>
      </c>
      <c r="L368" s="5" t="inlineStr">
        <is>
          <t>PSV-78 Povrchové úpravy</t>
        </is>
      </c>
    </row>
    <row r="369">
      <c r="B369" s="17" t="n"/>
      <c r="C369" s="28" t="inlineStr">
        <is>
          <t>VV</t>
        </is>
      </c>
      <c r="D369" s="17" t="n"/>
      <c r="E369" s="29" t="inlineStr">
        <is>
          <t>Σ obvodů rooms 1.NP (1.01=12.4m²→14.38m, 1.02=3.6m²→7.75m, 1.03=0.7m²→3.42m, 1.04=1.5m²→5.0m, 1.05=4.1m²→8.27m, 1.06=24.0m²→20.0m, 1.07=9.4m²→12.52m, 1.08=3.8m²→7.96m) = 79.3 m × výška 2.795 m = 221.6 m² stěn; − okna 6.61 − dveře 6.6 = 208.4 m²</t>
        </is>
      </c>
      <c r="F369" s="17" t="n"/>
      <c r="G369" s="30" t="n">
        <v>208.4</v>
      </c>
      <c r="H369" s="17" t="n"/>
      <c r="I369" s="17" t="n"/>
      <c r="J369" s="17" t="n"/>
      <c r="K369" s="17" t="n"/>
      <c r="L369" s="17" t="n"/>
    </row>
    <row r="370">
      <c r="B370" s="23" t="n">
        <v>150</v>
      </c>
      <c r="C370" s="23" t="inlineStr">
        <is>
          <t>K</t>
        </is>
      </c>
      <c r="D370" s="24" t="inlineStr">
        <is>
          <t>612311311</t>
        </is>
      </c>
      <c r="E370" s="24" t="inlineStr">
        <is>
          <t>Omítka jádrová vápenocementová tl. 15 mm + štuková povrchová úprava na stěnách 2.NP (stávající vyspravené + nové zděné)</t>
        </is>
      </c>
      <c r="F370" s="23" t="inlineStr">
        <is>
          <t>m²</t>
        </is>
      </c>
      <c r="G370" s="25" t="n">
        <v>201.6</v>
      </c>
      <c r="H370" s="26" t="n"/>
      <c r="I370" s="26">
        <f>IF(H370="",0,G370*H370)</f>
        <v/>
      </c>
      <c r="J370" s="23" t="inlineStr">
        <is>
          <t>ÚRS 2026</t>
        </is>
      </c>
      <c r="K370" s="32" t="inlineStr">
        <is>
          <t>? needs production lookup</t>
        </is>
      </c>
      <c r="L370" s="5" t="inlineStr">
        <is>
          <t>PSV-78 Povrchové úpravy</t>
        </is>
      </c>
    </row>
    <row r="371">
      <c r="B371" s="17" t="n"/>
      <c r="C371" s="28" t="inlineStr">
        <is>
          <t>VV</t>
        </is>
      </c>
      <c r="D371" s="17" t="n"/>
      <c r="E371" s="29" t="inlineStr">
        <is>
          <t>Σ obvodů rooms 2.NP (2.01=7.3m²→11.03m, 2.02=5.9m²→9.92m, 2.03=2.4m²→6.32m, 2.04=15.5m²→16.07m, 2.05=14.1m²→15.33m, 2.06=15.8m²→16.23m) = 74.9 m × výška 2.865 m = 214.6 m² stěn; − okna 6.61 − dveře 6.4 = 201.6 m²</t>
        </is>
      </c>
      <c r="F371" s="17" t="n"/>
      <c r="G371" s="30" t="n">
        <v>201.6</v>
      </c>
      <c r="H371" s="17" t="n"/>
      <c r="I371" s="17" t="n"/>
      <c r="J371" s="17" t="n"/>
      <c r="K371" s="17" t="n"/>
      <c r="L371" s="17" t="n"/>
    </row>
    <row r="372">
      <c r="B372" s="23" t="n">
        <v>151</v>
      </c>
      <c r="C372" s="23" t="inlineStr">
        <is>
          <t>K</t>
        </is>
      </c>
      <c r="D372" s="24" t="inlineStr">
        <is>
          <t>612311311</t>
        </is>
      </c>
      <c r="E372" s="24" t="inlineStr">
        <is>
          <t>Omítka jádrová vápenocementová tl. 15 mm + štuková povrchová úprava na stěnách 3.NP (stávající vyspravené + nové zděné)</t>
        </is>
      </c>
      <c r="F372" s="23" t="inlineStr">
        <is>
          <t>m²</t>
        </is>
      </c>
      <c r="G372" s="25" t="n">
        <v>179.1</v>
      </c>
      <c r="H372" s="26" t="n"/>
      <c r="I372" s="26">
        <f>IF(H372="",0,G372*H372)</f>
        <v/>
      </c>
      <c r="J372" s="23" t="inlineStr">
        <is>
          <t>ÚRS 2026</t>
        </is>
      </c>
      <c r="K372" s="32" t="inlineStr">
        <is>
          <t>? needs production lookup</t>
        </is>
      </c>
      <c r="L372" s="5" t="inlineStr">
        <is>
          <t>PSV-78 Povrchové úpravy</t>
        </is>
      </c>
    </row>
    <row r="373">
      <c r="B373" s="17" t="n"/>
      <c r="C373" s="28" t="inlineStr">
        <is>
          <t>VV</t>
        </is>
      </c>
      <c r="D373" s="17" t="n"/>
      <c r="E373" s="29" t="inlineStr">
        <is>
          <t>Σ obvodů rooms 3.NP (3.01=7.6m²→11.25m, 3.02=4.1m²→8.27m, 3.03=2.4m²→6.32m, 3.04=4.8m²→8.94m, 3.05=32.8m²→23.38m, 3.06=12.8m²→14.61m) = 72.77 m × výška 2.63 m = 191.4 m² stěn; − okna 6.61 − dveře 5.7 = 179.1 m²</t>
        </is>
      </c>
      <c r="F373" s="17" t="n"/>
      <c r="G373" s="30" t="n">
        <v>179.1</v>
      </c>
      <c r="H373" s="17" t="n"/>
      <c r="I373" s="17" t="n"/>
      <c r="J373" s="17" t="n"/>
      <c r="K373" s="17" t="n"/>
      <c r="L373" s="17" t="n"/>
    </row>
    <row r="374">
      <c r="B374" s="23" t="n">
        <v>152</v>
      </c>
      <c r="C374" s="23" t="inlineStr">
        <is>
          <t>K</t>
        </is>
      </c>
      <c r="D374" s="24" t="inlineStr">
        <is>
          <t>612471141</t>
        </is>
      </c>
      <c r="E374" s="24" t="inlineStr">
        <is>
          <t>SDK podhled + případné předstěny — tmelení spojů Q3 + povrchová úprava před výmalbou (1.NP)</t>
        </is>
      </c>
      <c r="F374" s="23" t="inlineStr">
        <is>
          <t>m²</t>
        </is>
      </c>
      <c r="G374" s="25" t="n">
        <v>59.5</v>
      </c>
      <c r="H374" s="26" t="n"/>
      <c r="I374" s="26">
        <f>IF(H374="",0,G374*H374)</f>
        <v/>
      </c>
      <c r="J374" s="23" t="inlineStr">
        <is>
          <t>ÚRS 2026</t>
        </is>
      </c>
      <c r="K374" s="32" t="inlineStr">
        <is>
          <t>? needs production lookup</t>
        </is>
      </c>
      <c r="L374" s="5" t="inlineStr">
        <is>
          <t>PSV-78 Povrchové úpravy</t>
        </is>
      </c>
    </row>
    <row r="375">
      <c r="B375" s="17" t="n"/>
      <c r="C375" s="28" t="inlineStr">
        <is>
          <t>VV</t>
        </is>
      </c>
      <c r="D375" s="17" t="n"/>
      <c r="E375" s="29" t="inlineStr">
        <is>
          <t>1.01=12.4 + 1.02=3.6 + 1.03=0.7 + 1.04=1.5 + 1.05=4.1 + 1.06=24.0 + 1.07=9.4 + 1.08=3.8 = 59.5 m²</t>
        </is>
      </c>
      <c r="F375" s="17" t="n"/>
      <c r="G375" s="30" t="n">
        <v>59.5</v>
      </c>
      <c r="H375" s="17" t="n"/>
      <c r="I375" s="17" t="n"/>
      <c r="J375" s="17" t="n"/>
      <c r="K375" s="17" t="n"/>
      <c r="L375" s="17" t="n"/>
    </row>
    <row r="376">
      <c r="B376" s="23" t="n">
        <v>153</v>
      </c>
      <c r="C376" s="23" t="inlineStr">
        <is>
          <t>K</t>
        </is>
      </c>
      <c r="D376" s="24" t="inlineStr">
        <is>
          <t>612471141</t>
        </is>
      </c>
      <c r="E376" s="24" t="inlineStr">
        <is>
          <t>SDK podhled + případné předstěny — tmelení spojů Q3 + povrchová úprava před výmalbou (2.NP)</t>
        </is>
      </c>
      <c r="F376" s="23" t="inlineStr">
        <is>
          <t>m²</t>
        </is>
      </c>
      <c r="G376" s="25" t="n">
        <v>61.1</v>
      </c>
      <c r="H376" s="26" t="n"/>
      <c r="I376" s="26">
        <f>IF(H376="",0,G376*H376)</f>
        <v/>
      </c>
      <c r="J376" s="23" t="inlineStr">
        <is>
          <t>ÚRS 2026</t>
        </is>
      </c>
      <c r="K376" s="32" t="inlineStr">
        <is>
          <t>? needs production lookup</t>
        </is>
      </c>
      <c r="L376" s="5" t="inlineStr">
        <is>
          <t>PSV-78 Povrchové úpravy</t>
        </is>
      </c>
    </row>
    <row r="377">
      <c r="B377" s="17" t="n"/>
      <c r="C377" s="28" t="inlineStr">
        <is>
          <t>VV</t>
        </is>
      </c>
      <c r="D377" s="17" t="n"/>
      <c r="E377" s="29" t="inlineStr">
        <is>
          <t>2.01=7.3 + 2.02=5.9 + 2.03=2.4 + 2.04=15.5 + 2.05=14.1 + 2.06=15.8 = 61.1 m²</t>
        </is>
      </c>
      <c r="F377" s="17" t="n"/>
      <c r="G377" s="30" t="n">
        <v>61.1</v>
      </c>
      <c r="H377" s="17" t="n"/>
      <c r="I377" s="17" t="n"/>
      <c r="J377" s="17" t="n"/>
      <c r="K377" s="17" t="n"/>
      <c r="L377" s="17" t="n"/>
    </row>
    <row r="378">
      <c r="B378" s="23" t="n">
        <v>154</v>
      </c>
      <c r="C378" s="23" t="inlineStr">
        <is>
          <t>K</t>
        </is>
      </c>
      <c r="D378" s="24" t="inlineStr">
        <is>
          <t>612471141</t>
        </is>
      </c>
      <c r="E378" s="24" t="inlineStr">
        <is>
          <t>SDK podhled + případné předstěny — tmelení spojů Q3 + povrchová úprava před výmalbou (3.NP)</t>
        </is>
      </c>
      <c r="F378" s="23" t="inlineStr">
        <is>
          <t>m²</t>
        </is>
      </c>
      <c r="G378" s="25" t="n">
        <v>64.5</v>
      </c>
      <c r="H378" s="26" t="n"/>
      <c r="I378" s="26">
        <f>IF(H378="",0,G378*H378)</f>
        <v/>
      </c>
      <c r="J378" s="23" t="inlineStr">
        <is>
          <t>ÚRS 2026</t>
        </is>
      </c>
      <c r="K378" s="32" t="inlineStr">
        <is>
          <t>? needs production lookup</t>
        </is>
      </c>
      <c r="L378" s="5" t="inlineStr">
        <is>
          <t>PSV-78 Povrchové úpravy</t>
        </is>
      </c>
    </row>
    <row r="379">
      <c r="B379" s="17" t="n"/>
      <c r="C379" s="28" t="inlineStr">
        <is>
          <t>VV</t>
        </is>
      </c>
      <c r="D379" s="17" t="n"/>
      <c r="E379" s="29" t="inlineStr">
        <is>
          <t>3.01=7.6 + 3.02=4.1 + 3.03=2.4 + 3.04=4.8 + 3.05=32.8 + 3.06=12.8 = 64.5 m²</t>
        </is>
      </c>
      <c r="F379" s="17" t="n"/>
      <c r="G379" s="30" t="n">
        <v>64.5</v>
      </c>
      <c r="H379" s="17" t="n"/>
      <c r="I379" s="17" t="n"/>
      <c r="J379" s="17" t="n"/>
      <c r="K379" s="17" t="n"/>
      <c r="L379" s="17" t="n"/>
    </row>
    <row r="380">
      <c r="B380" s="23" t="n">
        <v>155</v>
      </c>
      <c r="C380" s="23" t="inlineStr">
        <is>
          <t>K</t>
        </is>
      </c>
      <c r="D380" s="24" t="inlineStr">
        <is>
          <t>781447001</t>
        </is>
      </c>
      <c r="E380" s="24" t="inlineStr">
        <is>
          <t>Keramický obklad stěn koupelny 1.05 1.NP — výška obkladu 1.6 m (z DXF km Obklady layer)</t>
        </is>
      </c>
      <c r="F380" s="23" t="inlineStr">
        <is>
          <t>m²</t>
        </is>
      </c>
      <c r="G380" s="25" t="n">
        <v>13.4</v>
      </c>
      <c r="H380" s="26" t="n"/>
      <c r="I380" s="26">
        <f>IF(H380="",0,G380*H380)</f>
        <v/>
      </c>
      <c r="J380" s="23" t="inlineStr">
        <is>
          <t>ÚRS 2026</t>
        </is>
      </c>
      <c r="K380" s="32" t="inlineStr">
        <is>
          <t>? needs production lookup</t>
        </is>
      </c>
      <c r="L380" s="5" t="inlineStr">
        <is>
          <t>PSV-78 Povrchové úpravy</t>
        </is>
      </c>
    </row>
    <row r="381">
      <c r="B381" s="17" t="n"/>
      <c r="C381" s="28" t="inlineStr">
        <is>
          <t>VV</t>
        </is>
      </c>
      <c r="D381" s="17" t="n"/>
      <c r="E381" s="29" t="inlineStr">
        <is>
          <t>DXF IP_obrysy místností room 1.05 perimeter 8.4 bm × DXF km Obklady layer výška 1.6 m (per-koupelna explicit, NE uniform 2.0 m fallback) = 13.4 m²</t>
        </is>
      </c>
      <c r="F381" s="17" t="n"/>
      <c r="G381" s="30" t="n">
        <v>13.4</v>
      </c>
      <c r="H381" s="17" t="n"/>
      <c r="I381" s="17" t="n"/>
      <c r="J381" s="17" t="n"/>
      <c r="K381" s="17" t="n"/>
      <c r="L381" s="17" t="n"/>
    </row>
    <row r="382">
      <c r="B382" s="23" t="n">
        <v>156</v>
      </c>
      <c r="C382" s="23" t="inlineStr">
        <is>
          <t>K</t>
        </is>
      </c>
      <c r="D382" s="24" t="inlineStr">
        <is>
          <t>781447001</t>
        </is>
      </c>
      <c r="E382" s="24" t="inlineStr">
        <is>
          <t>Keramický obklad stěn koupelny 2.03 2.NP — výška obkladu 2.45 m (z DXF km Obklady layer)</t>
        </is>
      </c>
      <c r="F382" s="23" t="inlineStr">
        <is>
          <t>m²</t>
        </is>
      </c>
      <c r="G382" s="25" t="n">
        <v>15.2</v>
      </c>
      <c r="H382" s="26" t="n"/>
      <c r="I382" s="26">
        <f>IF(H382="",0,G382*H382)</f>
        <v/>
      </c>
      <c r="J382" s="23" t="inlineStr">
        <is>
          <t>ÚRS 2026</t>
        </is>
      </c>
      <c r="K382" s="32" t="inlineStr">
        <is>
          <t>? needs production lookup</t>
        </is>
      </c>
      <c r="L382" s="5" t="inlineStr">
        <is>
          <t>PSV-78 Povrchové úpravy</t>
        </is>
      </c>
    </row>
    <row r="383">
      <c r="B383" s="17" t="n"/>
      <c r="C383" s="28" t="inlineStr">
        <is>
          <t>VV</t>
        </is>
      </c>
      <c r="D383" s="17" t="n"/>
      <c r="E383" s="29" t="inlineStr">
        <is>
          <t>DXF IP_obrysy místností room 2.03 perimeter 6.2 bm × DXF km Obklady layer výška 2.45 m (per-koupelna explicit, NE uniform 2.0 m fallback) = 15.2 m²</t>
        </is>
      </c>
      <c r="F383" s="17" t="n"/>
      <c r="G383" s="30" t="n">
        <v>15.2</v>
      </c>
      <c r="H383" s="17" t="n"/>
      <c r="I383" s="17" t="n"/>
      <c r="J383" s="17" t="n"/>
      <c r="K383" s="17" t="n"/>
      <c r="L383" s="17" t="n"/>
    </row>
    <row r="384">
      <c r="B384" s="23" t="n">
        <v>157</v>
      </c>
      <c r="C384" s="23" t="inlineStr">
        <is>
          <t>K</t>
        </is>
      </c>
      <c r="D384" s="24" t="inlineStr">
        <is>
          <t>781447001</t>
        </is>
      </c>
      <c r="E384" s="24" t="inlineStr">
        <is>
          <t>Keramický obklad stěn koupelny 3.04 3.NP — výška obkladu 2.7 m (z DXF km Obklady layer)</t>
        </is>
      </c>
      <c r="F384" s="23" t="inlineStr">
        <is>
          <t>m²</t>
        </is>
      </c>
      <c r="G384" s="25" t="n">
        <v>24.3</v>
      </c>
      <c r="H384" s="26" t="n"/>
      <c r="I384" s="26">
        <f>IF(H384="",0,G384*H384)</f>
        <v/>
      </c>
      <c r="J384" s="23" t="inlineStr">
        <is>
          <t>ÚRS 2026</t>
        </is>
      </c>
      <c r="K384" s="32" t="inlineStr">
        <is>
          <t>? needs production lookup</t>
        </is>
      </c>
      <c r="L384" s="5" t="inlineStr">
        <is>
          <t>PSV-78 Povrchové úpravy</t>
        </is>
      </c>
    </row>
    <row r="385">
      <c r="B385" s="17" t="n"/>
      <c r="C385" s="28" t="inlineStr">
        <is>
          <t>VV</t>
        </is>
      </c>
      <c r="D385" s="17" t="n"/>
      <c r="E385" s="29" t="inlineStr">
        <is>
          <t>DXF IP_obrysy místností room 3.04 perimeter 9.0 bm × DXF km Obklady layer výška 2.7 m (per-koupelna explicit, NE uniform 2.0 m fallback) = 24.3 m²</t>
        </is>
      </c>
      <c r="F385" s="17" t="n"/>
      <c r="G385" s="30" t="n">
        <v>24.3</v>
      </c>
      <c r="H385" s="17" t="n"/>
      <c r="I385" s="17" t="n"/>
      <c r="J385" s="17" t="n"/>
      <c r="K385" s="17" t="n"/>
      <c r="L385" s="17" t="n"/>
    </row>
    <row r="386">
      <c r="B386" s="23" t="n">
        <v>158</v>
      </c>
      <c r="C386" s="23" t="inlineStr">
        <is>
          <t>K</t>
        </is>
      </c>
      <c r="D386" s="24" t="inlineStr">
        <is>
          <t>781447001</t>
        </is>
      </c>
      <c r="E386" s="24" t="inlineStr">
        <is>
          <t>Keramický obklad za kuchyňskou linkou nad pracovní deskou — 2 kuchyně × ~5 m² (1.06 byt rodičů + 3.05 byt 3.NP)</t>
        </is>
      </c>
      <c r="F386" s="23" t="inlineStr">
        <is>
          <t>m²</t>
        </is>
      </c>
      <c r="G386" s="25" t="n">
        <v>10</v>
      </c>
      <c r="H386" s="26" t="n"/>
      <c r="I386" s="26">
        <f>IF(H386="",0,G386*H386)</f>
        <v/>
      </c>
      <c r="J386" s="23" t="inlineStr">
        <is>
          <t>ÚRS 2026</t>
        </is>
      </c>
      <c r="K386" s="32" t="inlineStr">
        <is>
          <t>? needs production lookup</t>
        </is>
      </c>
      <c r="L386" s="5" t="inlineStr">
        <is>
          <t>PSV-78 Povrchové úpravy</t>
        </is>
      </c>
    </row>
    <row r="387">
      <c r="B387" s="17" t="n"/>
      <c r="C387" s="28" t="inlineStr">
        <is>
          <t>VV</t>
        </is>
      </c>
      <c r="D387" s="17" t="n"/>
      <c r="E387" s="29" t="inlineStr">
        <is>
          <t>DXF dum_DPZ 2× kuchyně MTEXT (rooms 1.06 obyt+kuchyně + 3.05 obyt+kuchyně) × 5 m² obklad za linkou = 10 m²</t>
        </is>
      </c>
      <c r="F387" s="17" t="n"/>
      <c r="G387" s="30" t="n">
        <v>10</v>
      </c>
      <c r="H387" s="17" t="n"/>
      <c r="I387" s="17" t="n"/>
      <c r="J387" s="17" t="n"/>
      <c r="K387" s="17" t="n"/>
      <c r="L387" s="17" t="n"/>
    </row>
    <row r="388">
      <c r="B388" s="23" t="n">
        <v>159</v>
      </c>
      <c r="C388" s="23" t="inlineStr">
        <is>
          <t>K</t>
        </is>
      </c>
      <c r="D388" s="24" t="inlineStr">
        <is>
          <t>784121011</t>
        </is>
      </c>
      <c r="E388" s="24" t="inlineStr">
        <is>
          <t>Interiérová výmalba 1.PP — sklep stěny + klenba bílá vápenná 2×</t>
        </is>
      </c>
      <c r="F388" s="23" t="inlineStr">
        <is>
          <t>m²</t>
        </is>
      </c>
      <c r="G388" s="25" t="n">
        <v>78.2</v>
      </c>
      <c r="H388" s="26" t="n"/>
      <c r="I388" s="26">
        <f>IF(H388="",0,G388*H388)</f>
        <v/>
      </c>
      <c r="J388" s="23" t="inlineStr">
        <is>
          <t>ÚRS 2026</t>
        </is>
      </c>
      <c r="K388" s="32" t="inlineStr">
        <is>
          <t>? needs production lookup</t>
        </is>
      </c>
      <c r="L388" s="5" t="inlineStr">
        <is>
          <t>PSV-78 Povrchové úpravy</t>
        </is>
      </c>
    </row>
    <row r="389">
      <c r="B389" s="17" t="n"/>
      <c r="C389" s="28" t="inlineStr">
        <is>
          <t>VV</t>
        </is>
      </c>
      <c r="D389" s="17" t="n"/>
      <c r="E389" s="29" t="inlineStr">
        <is>
          <t>omítka 1.PP 78.2 m² + SDK podhled 0 m² − obklad 0 m² = 78.2 m² (per-podlaží split per audit v2 GAP_007)</t>
        </is>
      </c>
      <c r="F389" s="17" t="n"/>
      <c r="G389" s="30" t="n">
        <v>78.2</v>
      </c>
      <c r="H389" s="17" t="n"/>
      <c r="I389" s="17" t="n"/>
      <c r="J389" s="17" t="n"/>
      <c r="K389" s="17" t="n"/>
      <c r="L389" s="17" t="n"/>
    </row>
    <row r="390">
      <c r="B390" s="23" t="n">
        <v>160</v>
      </c>
      <c r="C390" s="23" t="inlineStr">
        <is>
          <t>K</t>
        </is>
      </c>
      <c r="D390" s="24" t="inlineStr">
        <is>
          <t>784121011</t>
        </is>
      </c>
      <c r="E390" s="24" t="inlineStr">
        <is>
          <t>Interiérová výmalba 1.NP — stěny + SDK podhled − obklad koupelny 1.05 (1.6 m výška)</t>
        </is>
      </c>
      <c r="F390" s="23" t="inlineStr">
        <is>
          <t>m²</t>
        </is>
      </c>
      <c r="G390" s="25" t="n">
        <v>254.5</v>
      </c>
      <c r="H390" s="26" t="n"/>
      <c r="I390" s="26">
        <f>IF(H390="",0,G390*H390)</f>
        <v/>
      </c>
      <c r="J390" s="23" t="inlineStr">
        <is>
          <t>ÚRS 2026</t>
        </is>
      </c>
      <c r="K390" s="32" t="inlineStr">
        <is>
          <t>? needs production lookup</t>
        </is>
      </c>
      <c r="L390" s="5" t="inlineStr">
        <is>
          <t>PSV-78 Povrchové úpravy</t>
        </is>
      </c>
    </row>
    <row r="391">
      <c r="B391" s="17" t="n"/>
      <c r="C391" s="28" t="inlineStr">
        <is>
          <t>VV</t>
        </is>
      </c>
      <c r="D391" s="17" t="n"/>
      <c r="E391" s="29" t="inlineStr">
        <is>
          <t>omítka 1.NP 208.4 m² + SDK podhled 59.5 m² − obklad 13.4 m² = 254.5 m² (per-podlaží split per audit v2 GAP_007)</t>
        </is>
      </c>
      <c r="F391" s="17" t="n"/>
      <c r="G391" s="30" t="n">
        <v>254.5</v>
      </c>
      <c r="H391" s="17" t="n"/>
      <c r="I391" s="17" t="n"/>
      <c r="J391" s="17" t="n"/>
      <c r="K391" s="17" t="n"/>
      <c r="L391" s="17" t="n"/>
    </row>
    <row r="392">
      <c r="B392" s="23" t="n">
        <v>161</v>
      </c>
      <c r="C392" s="23" t="inlineStr">
        <is>
          <t>K</t>
        </is>
      </c>
      <c r="D392" s="24" t="inlineStr">
        <is>
          <t>784121011</t>
        </is>
      </c>
      <c r="E392" s="24" t="inlineStr">
        <is>
          <t>Interiérová výmalba 2.NP — stěny + SDK podhled − obklad koupelny 2.03 (2.45 m výška)</t>
        </is>
      </c>
      <c r="F392" s="23" t="inlineStr">
        <is>
          <t>m²</t>
        </is>
      </c>
      <c r="G392" s="25" t="n">
        <v>247.5</v>
      </c>
      <c r="H392" s="26" t="n"/>
      <c r="I392" s="26">
        <f>IF(H392="",0,G392*H392)</f>
        <v/>
      </c>
      <c r="J392" s="23" t="inlineStr">
        <is>
          <t>ÚRS 2026</t>
        </is>
      </c>
      <c r="K392" s="32" t="inlineStr">
        <is>
          <t>? needs production lookup</t>
        </is>
      </c>
      <c r="L392" s="5" t="inlineStr">
        <is>
          <t>PSV-78 Povrchové úpravy</t>
        </is>
      </c>
    </row>
    <row r="393">
      <c r="B393" s="17" t="n"/>
      <c r="C393" s="28" t="inlineStr">
        <is>
          <t>VV</t>
        </is>
      </c>
      <c r="D393" s="17" t="n"/>
      <c r="E393" s="29" t="inlineStr">
        <is>
          <t>omítka 2.NP 201.6 m² + SDK podhled 61.1 m² − obklad 15.2 m² = 247.5 m² (per-podlaží split per audit v2 GAP_007)</t>
        </is>
      </c>
      <c r="F393" s="17" t="n"/>
      <c r="G393" s="30" t="n">
        <v>247.5</v>
      </c>
      <c r="H393" s="17" t="n"/>
      <c r="I393" s="17" t="n"/>
      <c r="J393" s="17" t="n"/>
      <c r="K393" s="17" t="n"/>
      <c r="L393" s="17" t="n"/>
    </row>
    <row r="394">
      <c r="B394" s="23" t="n">
        <v>162</v>
      </c>
      <c r="C394" s="23" t="inlineStr">
        <is>
          <t>K</t>
        </is>
      </c>
      <c r="D394" s="24" t="inlineStr">
        <is>
          <t>784121011</t>
        </is>
      </c>
      <c r="E394" s="24" t="inlineStr">
        <is>
          <t>Interiérová výmalba 3.NP — stěny + SDK podhled − obklad koupelny 3.04 (2.7 m výška)</t>
        </is>
      </c>
      <c r="F394" s="23" t="inlineStr">
        <is>
          <t>m²</t>
        </is>
      </c>
      <c r="G394" s="25" t="n">
        <v>219.3</v>
      </c>
      <c r="H394" s="26" t="n"/>
      <c r="I394" s="26">
        <f>IF(H394="",0,G394*H394)</f>
        <v/>
      </c>
      <c r="J394" s="23" t="inlineStr">
        <is>
          <t>ÚRS 2026</t>
        </is>
      </c>
      <c r="K394" s="32" t="inlineStr">
        <is>
          <t>? needs production lookup</t>
        </is>
      </c>
      <c r="L394" s="5" t="inlineStr">
        <is>
          <t>PSV-78 Povrchové úpravy</t>
        </is>
      </c>
    </row>
    <row r="395">
      <c r="B395" s="17" t="n"/>
      <c r="C395" s="28" t="inlineStr">
        <is>
          <t>VV</t>
        </is>
      </c>
      <c r="D395" s="17" t="n"/>
      <c r="E395" s="29" t="inlineStr">
        <is>
          <t>omítka 3.NP 179.1 m² + SDK podhled 64.5 m² − obklad 24.3 m² = 219.3 m² (per-podlaží split per audit v2 GAP_007)</t>
        </is>
      </c>
      <c r="F395" s="17" t="n"/>
      <c r="G395" s="30" t="n">
        <v>219.3</v>
      </c>
      <c r="H395" s="17" t="n"/>
      <c r="I395" s="17" t="n"/>
      <c r="J395" s="17" t="n"/>
      <c r="K395" s="17" t="n"/>
      <c r="L395" s="17" t="n"/>
    </row>
    <row r="396">
      <c r="B396" s="21" t="n"/>
      <c r="C396" s="22" t="inlineStr">
        <is>
          <t>D</t>
        </is>
      </c>
      <c r="D396" s="22" t="inlineStr">
        <is>
          <t>PSV-95</t>
        </is>
      </c>
      <c r="E396" s="22" t="inlineStr">
        <is>
          <t>PSV-95 Detekce požární</t>
        </is>
      </c>
      <c r="F396" s="21" t="n"/>
      <c r="G396" s="21" t="n"/>
      <c r="H396" s="21" t="n"/>
      <c r="I396" s="21" t="n"/>
      <c r="J396" s="21" t="n"/>
      <c r="K396" s="21" t="n"/>
      <c r="L396" s="21" t="n"/>
    </row>
    <row r="397">
      <c r="B397" s="23" t="n">
        <v>163</v>
      </c>
      <c r="C397" s="23" t="inlineStr">
        <is>
          <t>K</t>
        </is>
      </c>
      <c r="D397" s="24" t="inlineStr">
        <is>
          <t>375211101</t>
        </is>
      </c>
      <c r="E397" s="24" t="inlineStr">
        <is>
          <t>Autonomní hlásič kouře dle ČSN EN 14604 — 4 ks v místnostech 1.01, 1.02, 2.04, 3.03 dle PBŘ</t>
        </is>
      </c>
      <c r="F397" s="23" t="inlineStr">
        <is>
          <t>ks</t>
        </is>
      </c>
      <c r="G397" s="25" t="n">
        <v>4</v>
      </c>
      <c r="H397" s="26" t="n"/>
      <c r="I397" s="26">
        <f>IF(H397="",0,G397*H397)</f>
        <v/>
      </c>
      <c r="J397" s="23" t="inlineStr">
        <is>
          <t>ÚRS 2026</t>
        </is>
      </c>
      <c r="K397" s="31" t="inlineStr">
        <is>
          <t>⚠ family OK, leaf KROS lookup [evidence: https://www.technicke-normy-csn.cz/csn-en-14604-342711-18294]</t>
        </is>
      </c>
      <c r="L397" s="5" t="inlineStr">
        <is>
          <t>PSV-95 Detekce požární</t>
        </is>
      </c>
    </row>
    <row r="398">
      <c r="B398" s="17" t="n"/>
      <c r="C398" s="28" t="inlineStr">
        <is>
          <t>VV</t>
        </is>
      </c>
      <c r="D398" s="17" t="n"/>
      <c r="E398" s="29" t="inlineStr">
        <is>
          <t>TZ PBŘ — 4 hlásiče v daných místnostech</t>
        </is>
      </c>
      <c r="F398" s="17" t="n"/>
      <c r="G398" s="30" t="n">
        <v>4</v>
      </c>
      <c r="H398" s="17" t="n"/>
      <c r="I398" s="17" t="n"/>
      <c r="J398" s="17" t="n"/>
      <c r="K398" s="17" t="n"/>
      <c r="L398" s="17" t="n"/>
    </row>
    <row r="399">
      <c r="B399" s="23" t="n">
        <v>164</v>
      </c>
      <c r="C399" s="23" t="inlineStr">
        <is>
          <t>K</t>
        </is>
      </c>
      <c r="D399" s="24" t="inlineStr">
        <is>
          <t>966067121</t>
        </is>
      </c>
      <c r="E399" s="24" t="inlineStr">
        <is>
          <t>Přenosný hasicí přístroj 34A dle PBŘ — min. 1 ks na společné chodbě</t>
        </is>
      </c>
      <c r="F399" s="23" t="inlineStr">
        <is>
          <t>ks</t>
        </is>
      </c>
      <c r="G399" s="25" t="n">
        <v>1</v>
      </c>
      <c r="H399" s="26" t="n"/>
      <c r="I399" s="26">
        <f>IF(H399="",0,G399*H399)</f>
        <v/>
      </c>
      <c r="J399" s="23" t="inlineStr">
        <is>
          <t>ÚRS 2026</t>
        </is>
      </c>
      <c r="K399" s="32" t="inlineStr">
        <is>
          <t>? needs production lookup</t>
        </is>
      </c>
      <c r="L399" s="5" t="inlineStr">
        <is>
          <t>PSV-95 Detekce požární</t>
        </is>
      </c>
    </row>
    <row r="400">
      <c r="B400" s="17" t="n"/>
      <c r="C400" s="28" t="inlineStr">
        <is>
          <t>VV</t>
        </is>
      </c>
      <c r="D400" s="17" t="n"/>
      <c r="E400" s="29" t="inlineStr">
        <is>
          <t>TZ PBŘ — min. 1 ks 34A</t>
        </is>
      </c>
      <c r="F400" s="17" t="n"/>
      <c r="G400" s="30" t="n">
        <v>1</v>
      </c>
      <c r="H400" s="17" t="n"/>
      <c r="I400" s="17" t="n"/>
      <c r="J400" s="17" t="n"/>
      <c r="K400" s="17" t="n"/>
      <c r="L400" s="17" t="n"/>
    </row>
    <row r="401">
      <c r="B401" s="19" t="n"/>
      <c r="C401" s="20" t="inlineStr">
        <is>
          <t>D</t>
        </is>
      </c>
      <c r="D401" s="20" t="inlineStr">
        <is>
          <t>VRN</t>
        </is>
      </c>
      <c r="E401" s="20" t="inlineStr">
        <is>
          <t>Vedlejší rozpočtové náklady</t>
        </is>
      </c>
      <c r="F401" s="19" t="n"/>
      <c r="G401" s="19" t="n"/>
      <c r="H401" s="19" t="n"/>
      <c r="I401" s="19" t="n"/>
      <c r="J401" s="19" t="n"/>
      <c r="K401" s="19" t="n"/>
      <c r="L401" s="19" t="n"/>
    </row>
    <row r="402">
      <c r="B402" s="21" t="n"/>
      <c r="C402" s="22" t="inlineStr">
        <is>
          <t>D</t>
        </is>
      </c>
      <c r="D402" s="22" t="inlineStr">
        <is>
          <t>VRN</t>
        </is>
      </c>
      <c r="E402" s="22" t="inlineStr">
        <is>
          <t>VRN — Zařízení staveniště</t>
        </is>
      </c>
      <c r="F402" s="21" t="n"/>
      <c r="G402" s="21" t="n"/>
      <c r="H402" s="21" t="n"/>
      <c r="I402" s="21" t="n"/>
      <c r="J402" s="21" t="n"/>
      <c r="K402" s="21" t="n"/>
      <c r="L402" s="21" t="n"/>
    </row>
    <row r="403">
      <c r="B403" s="23" t="n">
        <v>165</v>
      </c>
      <c r="C403" s="23" t="inlineStr">
        <is>
          <t>K</t>
        </is>
      </c>
      <c r="D403" s="24" t="inlineStr">
        <is>
          <t>030011000</t>
        </is>
      </c>
      <c r="E403" s="24" t="inlineStr">
        <is>
          <t>Zařízení staveniště — buňka kancelář + sociální buňka (WC + šatna), pronájem ~8 měsíců</t>
        </is>
      </c>
      <c r="F403" s="23" t="inlineStr">
        <is>
          <t>kpl-měs</t>
        </is>
      </c>
      <c r="G403" s="25" t="n">
        <v>8</v>
      </c>
      <c r="H403" s="26" t="n"/>
      <c r="I403" s="26">
        <f>IF(H403="",0,G403*H403)</f>
        <v/>
      </c>
      <c r="J403" s="23" t="inlineStr">
        <is>
          <t>ÚRS 2026</t>
        </is>
      </c>
      <c r="K403" s="32" t="inlineStr">
        <is>
          <t>? needs production lookup</t>
        </is>
      </c>
      <c r="L403" s="5" t="inlineStr">
        <is>
          <t>VRN — Zařízení staveniště</t>
        </is>
      </c>
    </row>
    <row r="404">
      <c r="B404" s="17" t="n"/>
      <c r="C404" s="28" t="inlineStr">
        <is>
          <t>VV</t>
        </is>
      </c>
      <c r="D404" s="17" t="n"/>
      <c r="E404" s="29" t="inlineStr">
        <is>
          <t>realizace odhad 8 měs (demolice 1.5 + hrubá 2.5 + dokončování 4)</t>
        </is>
      </c>
      <c r="F404" s="17" t="n"/>
      <c r="G404" s="30" t="n">
        <v>8</v>
      </c>
      <c r="H404" s="17" t="n"/>
      <c r="I404" s="17" t="n"/>
      <c r="J404" s="17" t="n"/>
      <c r="K404" s="17" t="n"/>
      <c r="L404" s="17" t="n"/>
    </row>
    <row r="405">
      <c r="B405" s="23" t="n">
        <v>166</v>
      </c>
      <c r="C405" s="23" t="inlineStr">
        <is>
          <t>K</t>
        </is>
      </c>
      <c r="D405" s="24" t="inlineStr">
        <is>
          <t>030013000</t>
        </is>
      </c>
      <c r="E405" s="24" t="inlineStr">
        <is>
          <t>Mobilní chemické WC TOI TOI pro pracovníky — pronájem ~8 měsíců</t>
        </is>
      </c>
      <c r="F405" s="23" t="inlineStr">
        <is>
          <t>ks-měs</t>
        </is>
      </c>
      <c r="G405" s="25" t="n">
        <v>8</v>
      </c>
      <c r="H405" s="26" t="n"/>
      <c r="I405" s="26">
        <f>IF(H405="",0,G405*H405)</f>
        <v/>
      </c>
      <c r="J405" s="23" t="inlineStr">
        <is>
          <t>ÚRS 2026</t>
        </is>
      </c>
      <c r="K405" s="32" t="inlineStr">
        <is>
          <t>? needs production lookup</t>
        </is>
      </c>
      <c r="L405" s="5" t="inlineStr">
        <is>
          <t>VRN — Zařízení staveniště</t>
        </is>
      </c>
    </row>
    <row r="406">
      <c r="B406" s="17" t="n"/>
      <c r="C406" s="28" t="inlineStr">
        <is>
          <t>VV</t>
        </is>
      </c>
      <c r="D406" s="17" t="n"/>
      <c r="E406" s="29" t="inlineStr">
        <is>
          <t>1 ks × 8 měs realizace</t>
        </is>
      </c>
      <c r="F406" s="17" t="n"/>
      <c r="G406" s="30" t="n">
        <v>8</v>
      </c>
      <c r="H406" s="17" t="n"/>
      <c r="I406" s="17" t="n"/>
      <c r="J406" s="17" t="n"/>
      <c r="K406" s="17" t="n"/>
      <c r="L406" s="17" t="n"/>
    </row>
    <row r="407">
      <c r="B407" s="23" t="n">
        <v>167</v>
      </c>
      <c r="C407" s="23" t="inlineStr">
        <is>
          <t>K</t>
        </is>
      </c>
      <c r="D407" s="24" t="inlineStr">
        <is>
          <t>031011000</t>
        </is>
      </c>
      <c r="E407" s="24" t="inlineStr">
        <is>
          <t>El. odběr stavby (zřízení staveništního rozvaděče + měřič) + vodovodní odběr (zřízení staveništní přípojky + vodoměr) — ~8 měsíců</t>
        </is>
      </c>
      <c r="F407" s="23" t="inlineStr">
        <is>
          <t>kpl</t>
        </is>
      </c>
      <c r="G407" s="25" t="n">
        <v>1</v>
      </c>
      <c r="H407" s="26" t="n"/>
      <c r="I407" s="26">
        <f>IF(H407="",0,G407*H407)</f>
        <v/>
      </c>
      <c r="J407" s="23" t="inlineStr">
        <is>
          <t>ÚRS 2026</t>
        </is>
      </c>
      <c r="K407" s="32" t="inlineStr">
        <is>
          <t>? needs production lookup</t>
        </is>
      </c>
      <c r="L407" s="5" t="inlineStr">
        <is>
          <t>VRN — Zařízení staveniště</t>
        </is>
      </c>
    </row>
    <row r="408">
      <c r="B408" s="17" t="n"/>
      <c r="C408" s="28" t="inlineStr">
        <is>
          <t>VV</t>
        </is>
      </c>
      <c r="D408" s="17" t="n"/>
      <c r="E408" s="29" t="inlineStr">
        <is>
          <t>Komplexní zřízení + provoz po dobu stavby</t>
        </is>
      </c>
      <c r="F408" s="17" t="n"/>
      <c r="G408" s="30" t="n">
        <v>1</v>
      </c>
      <c r="H408" s="17" t="n"/>
      <c r="I408" s="17" t="n"/>
      <c r="J408" s="17" t="n"/>
      <c r="K408" s="17" t="n"/>
      <c r="L408" s="17" t="n"/>
    </row>
    <row r="409">
      <c r="B409" s="23" t="n">
        <v>168</v>
      </c>
      <c r="C409" s="23" t="inlineStr">
        <is>
          <t>K</t>
        </is>
      </c>
      <c r="D409" s="24" t="inlineStr">
        <is>
          <t>012103101</t>
        </is>
      </c>
      <c r="E409" s="24" t="inlineStr">
        <is>
          <t>Voda staveniště — napojení na stávající vodovodní přípojku, dočasné rozvody na staveništi (mísení malt, čištění, soc. zázemí), paušál pro dobu výstavby ~18 měs.</t>
        </is>
      </c>
      <c r="F409" s="23" t="inlineStr">
        <is>
          <t>kpl</t>
        </is>
      </c>
      <c r="G409" s="25" t="n">
        <v>1</v>
      </c>
      <c r="H409" s="26" t="n"/>
      <c r="I409" s="26">
        <f>IF(H409="",0,G409*H409)</f>
        <v/>
      </c>
      <c r="J409" s="23" t="inlineStr">
        <is>
          <t>ÚRS 2026</t>
        </is>
      </c>
      <c r="K409" s="32" t="inlineStr">
        <is>
          <t>? needs production lookup</t>
        </is>
      </c>
      <c r="L409" s="5" t="inlineStr">
        <is>
          <t>VRN — Zařízení staveniště</t>
        </is>
      </c>
    </row>
    <row r="410">
      <c r="B410" s="17" t="n"/>
      <c r="C410" s="28" t="inlineStr">
        <is>
          <t>VV</t>
        </is>
      </c>
      <c r="D410" s="17" t="n"/>
      <c r="E410" s="29" t="inlineStr">
        <is>
          <t>1 paušál pro dobu výstavby (TZ B m.5 'Zásobování stavby vodou: stávající')</t>
        </is>
      </c>
      <c r="F410" s="17" t="n"/>
      <c r="G410" s="30" t="n">
        <v>1</v>
      </c>
      <c r="H410" s="17" t="n"/>
      <c r="I410" s="17" t="n"/>
      <c r="J410" s="17" t="n"/>
      <c r="K410" s="17" t="n"/>
      <c r="L410" s="17" t="n"/>
    </row>
    <row r="411">
      <c r="B411" s="21" t="n"/>
      <c r="C411" s="22" t="inlineStr">
        <is>
          <t>D</t>
        </is>
      </c>
      <c r="D411" s="22" t="inlineStr">
        <is>
          <t>VRN</t>
        </is>
      </c>
      <c r="E411" s="22" t="inlineStr">
        <is>
          <t>VRN — Přesun hmot</t>
        </is>
      </c>
      <c r="F411" s="21" t="n"/>
      <c r="G411" s="21" t="n"/>
      <c r="H411" s="21" t="n"/>
      <c r="I411" s="21" t="n"/>
      <c r="J411" s="21" t="n"/>
      <c r="K411" s="21" t="n"/>
      <c r="L411" s="21" t="n"/>
    </row>
    <row r="412">
      <c r="B412" s="23" t="n">
        <v>169</v>
      </c>
      <c r="C412" s="23" t="inlineStr">
        <is>
          <t>K</t>
        </is>
      </c>
      <c r="D412" s="24" t="inlineStr"/>
      <c r="E412" s="24" t="inlineStr">
        <is>
          <t>Přesun hmot pro budovu — vnitrostaveništní vertikální + horizontální doprava materiálu a hmot (rekonstrukce vícepodlažní RD + nástavba 3.NP)</t>
        </is>
      </c>
      <c r="F412" s="23" t="inlineStr">
        <is>
          <t>t</t>
        </is>
      </c>
      <c r="G412" s="25" t="n">
        <v>0</v>
      </c>
      <c r="H412" s="26" t="n"/>
      <c r="I412" s="26">
        <f>IF(H412="",0,G412*H412)</f>
        <v/>
      </c>
      <c r="J412" s="23" t="inlineStr">
        <is>
          <t>ÚRS 2026</t>
        </is>
      </c>
      <c r="K412" s="33" t="inlineStr">
        <is>
          <t>❌ MANUAL — KROS catalog lookup</t>
        </is>
      </c>
      <c r="L412" s="5" t="inlineStr">
        <is>
          <t>VRN — Přesun hmot</t>
        </is>
      </c>
    </row>
    <row r="413">
      <c r="B413" s="17" t="n"/>
      <c r="C413" s="28" t="inlineStr">
        <is>
          <t>VV</t>
        </is>
      </c>
      <c r="D413" s="17" t="n"/>
      <c r="E413" s="29" t="inlineStr">
        <is>
          <t>TBD — buď % z HSV nákladů (běžně 2-4 %) nebo dle celkové tonáže přesouvaných hmot; množství doplní rozpočtář při cenotvorbě</t>
        </is>
      </c>
      <c r="F413" s="17" t="n"/>
      <c r="G413" s="30" t="n">
        <v>0</v>
      </c>
      <c r="H413" s="17" t="n"/>
      <c r="I413" s="17" t="n"/>
      <c r="J413" s="17" t="n"/>
      <c r="K413" s="17" t="n"/>
      <c r="L413" s="17" t="n"/>
    </row>
    <row r="414">
      <c r="B414" s="21" t="n"/>
      <c r="C414" s="22" t="inlineStr">
        <is>
          <t>D</t>
        </is>
      </c>
      <c r="D414" s="22" t="inlineStr">
        <is>
          <t>VRN</t>
        </is>
      </c>
      <c r="E414" s="22" t="inlineStr">
        <is>
          <t>VRN — Lešení</t>
        </is>
      </c>
      <c r="F414" s="21" t="n"/>
      <c r="G414" s="21" t="n"/>
      <c r="H414" s="21" t="n"/>
      <c r="I414" s="21" t="n"/>
      <c r="J414" s="21" t="n"/>
      <c r="K414" s="21" t="n"/>
      <c r="L414" s="21" t="n"/>
    </row>
    <row r="415">
      <c r="B415" s="23" t="n">
        <v>170</v>
      </c>
      <c r="C415" s="23" t="inlineStr">
        <is>
          <t>K</t>
        </is>
      </c>
      <c r="D415" s="24" t="inlineStr"/>
      <c r="E415" s="24" t="inlineStr">
        <is>
          <t>Fasádní lešení trubkové/rámové vč. montáže + pronájmu + demontáže — pro provedení ETICS fasády, krovu a klempířiny po obvodu domu (výška 13 m)</t>
        </is>
      </c>
      <c r="F415" s="23" t="inlineStr">
        <is>
          <t>m²</t>
        </is>
      </c>
      <c r="G415" s="25" t="n">
        <v>503.1</v>
      </c>
      <c r="H415" s="26" t="n"/>
      <c r="I415" s="26">
        <f>IF(H415="",0,G415*H415)</f>
        <v/>
      </c>
      <c r="J415" s="23" t="inlineStr">
        <is>
          <t>ÚRS 2026</t>
        </is>
      </c>
      <c r="K415" s="33" t="inlineStr">
        <is>
          <t>❌ MANUAL — KROS catalog lookup</t>
        </is>
      </c>
      <c r="L415" s="5" t="inlineStr">
        <is>
          <t>VRN — Lešení</t>
        </is>
      </c>
    </row>
    <row r="416">
      <c r="B416" s="17" t="n"/>
      <c r="C416" s="28" t="inlineStr">
        <is>
          <t>VV</t>
        </is>
      </c>
      <c r="D416" s="17" t="n"/>
      <c r="E416" s="29" t="inlineStr">
        <is>
          <t>obvod domu 38.7 m × výška 13.0 m = 503.1 m² lešenné plochy (pro ETICS fasádu 276.7 m² + krov + klempířinu)</t>
        </is>
      </c>
      <c r="F416" s="17" t="n"/>
      <c r="G416" s="30" t="n">
        <v>503.1</v>
      </c>
      <c r="H416" s="17" t="n"/>
      <c r="I416" s="17" t="n"/>
      <c r="J416" s="17" t="n"/>
      <c r="K416" s="17" t="n"/>
      <c r="L416" s="17" t="n"/>
    </row>
    <row r="417">
      <c r="B417" s="21" t="n"/>
      <c r="C417" s="22" t="inlineStr">
        <is>
          <t>D</t>
        </is>
      </c>
      <c r="D417" s="22" t="inlineStr">
        <is>
          <t>VRN</t>
        </is>
      </c>
      <c r="E417" s="22" t="inlineStr">
        <is>
          <t>VRN — Doprava + odpad</t>
        </is>
      </c>
      <c r="F417" s="21" t="n"/>
      <c r="G417" s="21" t="n"/>
      <c r="H417" s="21" t="n"/>
      <c r="I417" s="21" t="n"/>
      <c r="J417" s="21" t="n"/>
      <c r="K417" s="21" t="n"/>
      <c r="L417" s="21" t="n"/>
    </row>
    <row r="418">
      <c r="B418" s="23" t="n">
        <v>171</v>
      </c>
      <c r="C418" s="23" t="inlineStr">
        <is>
          <t>K</t>
        </is>
      </c>
      <c r="D418" s="24" t="inlineStr">
        <is>
          <t>997013211</t>
        </is>
      </c>
      <c r="E418" s="24" t="inlineStr">
        <is>
          <t>Kontejnery na suť tříděnou velkoobjemové (beton/cihly, dřevo, kovy, EPS, sádra, směs) — pronájem + svozy</t>
        </is>
      </c>
      <c r="F418" s="23" t="inlineStr">
        <is>
          <t>ks</t>
        </is>
      </c>
      <c r="G418" s="25" t="n">
        <v>7</v>
      </c>
      <c r="H418" s="26" t="n"/>
      <c r="I418" s="26">
        <f>IF(H418="",0,G418*H418)</f>
        <v/>
      </c>
      <c r="J418" s="23" t="inlineStr">
        <is>
          <t>ÚRS 2026</t>
        </is>
      </c>
      <c r="K418" s="32" t="inlineStr">
        <is>
          <t>? needs production lookup</t>
        </is>
      </c>
      <c r="L418" s="5" t="inlineStr">
        <is>
          <t>VRN — Doprava + odpad</t>
        </is>
      </c>
    </row>
    <row r="419">
      <c r="B419" s="17" t="n"/>
      <c r="C419" s="28" t="inlineStr">
        <is>
          <t>VV</t>
        </is>
      </c>
      <c r="D419" s="17" t="n"/>
      <c r="E419" s="29" t="inlineStr">
        <is>
          <t>TZ B m.10.e: 56.9 t celkem → ~7 kontejnerů 8 m³ (beton/cihly hlavní hmota)</t>
        </is>
      </c>
      <c r="F419" s="17" t="n"/>
      <c r="G419" s="30" t="n">
        <v>7</v>
      </c>
      <c r="H419" s="17" t="n"/>
      <c r="I419" s="17" t="n"/>
      <c r="J419" s="17" t="n"/>
      <c r="K419" s="17" t="n"/>
      <c r="L419" s="17" t="n"/>
    </row>
    <row r="420">
      <c r="B420" s="23" t="n">
        <v>172</v>
      </c>
      <c r="C420" s="23" t="inlineStr">
        <is>
          <t>K</t>
        </is>
      </c>
      <c r="D420" s="24" t="inlineStr">
        <is>
          <t>031031000</t>
        </is>
      </c>
      <c r="E420" s="24" t="inlineStr">
        <is>
          <t>Doprava materiálu na stavbu (centrální koordinace) — paušál ~2-3 % z PN materiál</t>
        </is>
      </c>
      <c r="F420" s="23" t="inlineStr">
        <is>
          <t>paušál</t>
        </is>
      </c>
      <c r="G420" s="25" t="n">
        <v>1</v>
      </c>
      <c r="H420" s="26" t="n"/>
      <c r="I420" s="26">
        <f>IF(H420="",0,G420*H420)</f>
        <v/>
      </c>
      <c r="J420" s="23" t="inlineStr">
        <is>
          <t>ÚRS 2026</t>
        </is>
      </c>
      <c r="K420" s="32" t="inlineStr">
        <is>
          <t>? needs production lookup</t>
        </is>
      </c>
      <c r="L420" s="5" t="inlineStr">
        <is>
          <t>VRN — Doprava + odpad</t>
        </is>
      </c>
    </row>
    <row r="421">
      <c r="B421" s="17" t="n"/>
      <c r="C421" s="28" t="inlineStr">
        <is>
          <t>VV</t>
        </is>
      </c>
      <c r="D421" s="17" t="n"/>
      <c r="E421" s="29" t="inlineStr">
        <is>
          <t>Standard paušální koeficient pro RD městská zástavba 2-3 % z PN</t>
        </is>
      </c>
      <c r="F421" s="17" t="n"/>
      <c r="G421" s="30" t="n">
        <v>1</v>
      </c>
      <c r="H421" s="17" t="n"/>
      <c r="I421" s="17" t="n"/>
      <c r="J421" s="17" t="n"/>
      <c r="K421" s="17" t="n"/>
      <c r="L421" s="17" t="n"/>
    </row>
    <row r="422">
      <c r="B422" s="23" t="n">
        <v>173</v>
      </c>
      <c r="C422" s="23" t="inlineStr">
        <is>
          <t>K</t>
        </is>
      </c>
      <c r="D422" s="24" t="inlineStr">
        <is>
          <t>997013211</t>
        </is>
      </c>
      <c r="E422" s="24" t="inlineStr">
        <is>
          <t>Likvidace stavební suti dle vyhl. 8/2021 Sb. — skládkovné + recyklace + třídění (56.9 t celkem per TZ B m.10.e)</t>
        </is>
      </c>
      <c r="F422" s="23" t="inlineStr">
        <is>
          <t>t</t>
        </is>
      </c>
      <c r="G422" s="25" t="n">
        <v>56.9</v>
      </c>
      <c r="H422" s="26" t="n"/>
      <c r="I422" s="26">
        <f>IF(H422="",0,G422*H422)</f>
        <v/>
      </c>
      <c r="J422" s="23" t="inlineStr">
        <is>
          <t>ÚRS 2026</t>
        </is>
      </c>
      <c r="K422" s="32" t="inlineStr">
        <is>
          <t>? needs production lookup</t>
        </is>
      </c>
      <c r="L422" s="5" t="inlineStr">
        <is>
          <t>VRN — Doprava + odpad</t>
        </is>
      </c>
    </row>
    <row r="423">
      <c r="B423" s="17" t="n"/>
      <c r="C423" s="28" t="inlineStr">
        <is>
          <t>VV</t>
        </is>
      </c>
      <c r="D423" s="17" t="n"/>
      <c r="E423" s="29" t="inlineStr">
        <is>
          <t>TZ B m.10.e bilance: 46+9+0.1+0.1+0.2+1.0 = 56.4 t (round 56.9 vč. drobných)</t>
        </is>
      </c>
      <c r="F423" s="17" t="n"/>
      <c r="G423" s="30" t="n">
        <v>56.9</v>
      </c>
      <c r="H423" s="17" t="n"/>
      <c r="I423" s="17" t="n"/>
      <c r="J423" s="17" t="n"/>
      <c r="K423" s="17" t="n"/>
      <c r="L423" s="17" t="n"/>
    </row>
    <row r="424">
      <c r="B424" s="21" t="n"/>
      <c r="C424" s="22" t="inlineStr">
        <is>
          <t>D</t>
        </is>
      </c>
      <c r="D424" s="22" t="inlineStr">
        <is>
          <t>VRN</t>
        </is>
      </c>
      <c r="E424" s="22" t="inlineStr">
        <is>
          <t>VRN — Geodet</t>
        </is>
      </c>
      <c r="F424" s="21" t="n"/>
      <c r="G424" s="21" t="n"/>
      <c r="H424" s="21" t="n"/>
      <c r="I424" s="21" t="n"/>
      <c r="J424" s="21" t="n"/>
      <c r="K424" s="21" t="n"/>
      <c r="L424" s="21" t="n"/>
    </row>
    <row r="425">
      <c r="B425" s="23" t="n">
        <v>174</v>
      </c>
      <c r="C425" s="23" t="inlineStr">
        <is>
          <t>K</t>
        </is>
      </c>
      <c r="D425" s="24" t="inlineStr">
        <is>
          <t>030141000</t>
        </is>
      </c>
      <c r="E425" s="24" t="inlineStr">
        <is>
          <t>Geodetické zaměření před realizací (verifikace polohopis + výškopis) + po dokončení (zaměření skutečného provedení pro kolaudaci)</t>
        </is>
      </c>
      <c r="F425" s="23" t="inlineStr">
        <is>
          <t>kpl</t>
        </is>
      </c>
      <c r="G425" s="25" t="n">
        <v>2</v>
      </c>
      <c r="H425" s="26" t="n"/>
      <c r="I425" s="26">
        <f>IF(H425="",0,G425*H425)</f>
        <v/>
      </c>
      <c r="J425" s="23" t="inlineStr">
        <is>
          <t>ÚRS 2026</t>
        </is>
      </c>
      <c r="K425" s="32" t="inlineStr">
        <is>
          <t>? needs production lookup</t>
        </is>
      </c>
      <c r="L425" s="5" t="inlineStr">
        <is>
          <t>VRN — Geodet</t>
        </is>
      </c>
    </row>
    <row r="426">
      <c r="B426" s="17" t="n"/>
      <c r="C426" s="28" t="inlineStr">
        <is>
          <t>VV</t>
        </is>
      </c>
      <c r="D426" s="17" t="n"/>
      <c r="E426" s="29" t="inlineStr">
        <is>
          <t>2 etapy geodet × 1 kpl</t>
        </is>
      </c>
      <c r="F426" s="17" t="n"/>
      <c r="G426" s="30" t="n">
        <v>2</v>
      </c>
      <c r="H426" s="17" t="n"/>
      <c r="I426" s="17" t="n"/>
      <c r="J426" s="17" t="n"/>
      <c r="K426" s="17" t="n"/>
      <c r="L426" s="17" t="n"/>
    </row>
    <row r="427">
      <c r="B427" s="21" t="n"/>
      <c r="C427" s="22" t="inlineStr">
        <is>
          <t>D</t>
        </is>
      </c>
      <c r="D427" s="22" t="inlineStr">
        <is>
          <t>VRN</t>
        </is>
      </c>
      <c r="E427" s="22" t="inlineStr">
        <is>
          <t>VRN — Průzkumy</t>
        </is>
      </c>
      <c r="F427" s="21" t="n"/>
      <c r="G427" s="21" t="n"/>
      <c r="H427" s="21" t="n"/>
      <c r="I427" s="21" t="n"/>
      <c r="J427" s="21" t="n"/>
      <c r="K427" s="21" t="n"/>
      <c r="L427" s="21" t="n"/>
    </row>
    <row r="428">
      <c r="B428" s="23" t="n">
        <v>175</v>
      </c>
      <c r="C428" s="23" t="inlineStr">
        <is>
          <t>K</t>
        </is>
      </c>
      <c r="D428" s="24" t="inlineStr">
        <is>
          <t>030131000</t>
        </is>
      </c>
      <c r="E428" s="24" t="inlineStr">
        <is>
          <t>Mykologický průzkum + průzkum výskytu dřevokazného hmyzu stávajícího krovu a dřevěných trámů zhlaví — pro vyloučení narušení dřevěných konstrukcí; provádí autorizovaný mykolog při bourání</t>
        </is>
      </c>
      <c r="F428" s="23" t="inlineStr">
        <is>
          <t>kpl</t>
        </is>
      </c>
      <c r="G428" s="25" t="n">
        <v>1</v>
      </c>
      <c r="H428" s="26" t="n"/>
      <c r="I428" s="26">
        <f>IF(H428="",0,G428*H428)</f>
        <v/>
      </c>
      <c r="J428" s="23" t="inlineStr">
        <is>
          <t>ÚRS 2026</t>
        </is>
      </c>
      <c r="K428" s="32" t="inlineStr">
        <is>
          <t>? needs production lookup</t>
        </is>
      </c>
      <c r="L428" s="5" t="inlineStr">
        <is>
          <t>VRN — Průzkumy</t>
        </is>
      </c>
    </row>
    <row r="429">
      <c r="B429" s="17" t="n"/>
      <c r="C429" s="28" t="inlineStr">
        <is>
          <t>VV</t>
        </is>
      </c>
      <c r="D429" s="17" t="n"/>
      <c r="E429" s="29" t="inlineStr">
        <is>
          <t>TZ ARS §3.2.3 — 'při bourání bude proveden mykologický průzkum dřev. trámů (zhlaví)'</t>
        </is>
      </c>
      <c r="F429" s="17" t="n"/>
      <c r="G429" s="30" t="n">
        <v>1</v>
      </c>
      <c r="H429" s="17" t="n"/>
      <c r="I429" s="17" t="n"/>
      <c r="J429" s="17" t="n"/>
      <c r="K429" s="17" t="n"/>
      <c r="L429" s="17" t="n"/>
    </row>
    <row r="430">
      <c r="B430" s="23" t="n">
        <v>176</v>
      </c>
      <c r="C430" s="23" t="inlineStr">
        <is>
          <t>K</t>
        </is>
      </c>
      <c r="D430" s="24" t="inlineStr">
        <is>
          <t>030133000</t>
        </is>
      </c>
      <c r="E430" s="24" t="inlineStr">
        <is>
          <t>Azbestový průzkum podrobný před demolicí — laboratorní vzorky a posudek (B kap. m.7.a předběžně negativní, ale podrobný před bouráním povinný)</t>
        </is>
      </c>
      <c r="F430" s="23" t="inlineStr">
        <is>
          <t>kpl</t>
        </is>
      </c>
      <c r="G430" s="25" t="n">
        <v>1</v>
      </c>
      <c r="H430" s="26" t="n"/>
      <c r="I430" s="26">
        <f>IF(H430="",0,G430*H430)</f>
        <v/>
      </c>
      <c r="J430" s="23" t="inlineStr">
        <is>
          <t>ÚRS 2026</t>
        </is>
      </c>
      <c r="K430" s="32" t="inlineStr">
        <is>
          <t>? needs production lookup</t>
        </is>
      </c>
      <c r="L430" s="5" t="inlineStr">
        <is>
          <t>VRN — Průzkumy</t>
        </is>
      </c>
    </row>
    <row r="431">
      <c r="B431" s="17" t="n"/>
      <c r="C431" s="28" t="inlineStr">
        <is>
          <t>VV</t>
        </is>
      </c>
      <c r="D431" s="17" t="n"/>
      <c r="E431" s="29" t="inlineStr">
        <is>
          <t>TZ B m.7.a — 'předběžné ohledání negativní, podrobný průzkum před bouráním'</t>
        </is>
      </c>
      <c r="F431" s="17" t="n"/>
      <c r="G431" s="30" t="n">
        <v>1</v>
      </c>
      <c r="H431" s="17" t="n"/>
      <c r="I431" s="17" t="n"/>
      <c r="J431" s="17" t="n"/>
      <c r="K431" s="17" t="n"/>
      <c r="L431" s="17" t="n"/>
    </row>
    <row r="432">
      <c r="B432" s="21" t="n"/>
      <c r="C432" s="22" t="inlineStr">
        <is>
          <t>D</t>
        </is>
      </c>
      <c r="D432" s="22" t="inlineStr">
        <is>
          <t>VRN</t>
        </is>
      </c>
      <c r="E432" s="22" t="inlineStr">
        <is>
          <t>VRN — BOZP</t>
        </is>
      </c>
      <c r="F432" s="21" t="n"/>
      <c r="G432" s="21" t="n"/>
      <c r="H432" s="21" t="n"/>
      <c r="I432" s="21" t="n"/>
      <c r="J432" s="21" t="n"/>
      <c r="K432" s="21" t="n"/>
      <c r="L432" s="21" t="n"/>
    </row>
    <row r="433">
      <c r="B433" s="23" t="n">
        <v>177</v>
      </c>
      <c r="C433" s="23" t="inlineStr">
        <is>
          <t>K</t>
        </is>
      </c>
      <c r="D433" s="24" t="inlineStr">
        <is>
          <t>030091000</t>
        </is>
      </c>
      <c r="E433" s="24" t="inlineStr">
        <is>
          <t>Koordinátor BOZP na staveništi dle zákona 309/2006 Sb. — pro stavbu s více než jedním zhotovitelem</t>
        </is>
      </c>
      <c r="F433" s="23" t="inlineStr">
        <is>
          <t>kpl</t>
        </is>
      </c>
      <c r="G433" s="25" t="n">
        <v>1</v>
      </c>
      <c r="H433" s="26" t="n"/>
      <c r="I433" s="26">
        <f>IF(H433="",0,G433*H433)</f>
        <v/>
      </c>
      <c r="J433" s="23" t="inlineStr">
        <is>
          <t>ÚRS 2026</t>
        </is>
      </c>
      <c r="K433" s="32" t="inlineStr">
        <is>
          <t>? needs production lookup</t>
        </is>
      </c>
      <c r="L433" s="5" t="inlineStr">
        <is>
          <t>VRN — BOZP</t>
        </is>
      </c>
    </row>
    <row r="434">
      <c r="B434" s="17" t="n"/>
      <c r="C434" s="28" t="inlineStr">
        <is>
          <t>VV</t>
        </is>
      </c>
      <c r="D434" s="17" t="n"/>
      <c r="E434" s="29" t="inlineStr">
        <is>
          <t>realizace ~8 měs</t>
        </is>
      </c>
      <c r="F434" s="17" t="n"/>
      <c r="G434" s="30" t="n">
        <v>1</v>
      </c>
      <c r="H434" s="17" t="n"/>
      <c r="I434" s="17" t="n"/>
      <c r="J434" s="17" t="n"/>
      <c r="K434" s="17" t="n"/>
      <c r="L434" s="17" t="n"/>
    </row>
    <row r="435">
      <c r="B435" s="21" t="n"/>
      <c r="C435" s="22" t="inlineStr">
        <is>
          <t>D</t>
        </is>
      </c>
      <c r="D435" s="22" t="inlineStr">
        <is>
          <t>VRN</t>
        </is>
      </c>
      <c r="E435" s="22" t="inlineStr">
        <is>
          <t>VRN — Dokumentace</t>
        </is>
      </c>
      <c r="F435" s="21" t="n"/>
      <c r="G435" s="21" t="n"/>
      <c r="H435" s="21" t="n"/>
      <c r="I435" s="21" t="n"/>
      <c r="J435" s="21" t="n"/>
      <c r="K435" s="21" t="n"/>
      <c r="L435" s="21" t="n"/>
    </row>
    <row r="436">
      <c r="B436" s="23" t="n">
        <v>178</v>
      </c>
      <c r="C436" s="23" t="inlineStr">
        <is>
          <t>K</t>
        </is>
      </c>
      <c r="D436" s="24" t="inlineStr">
        <is>
          <t>030151000</t>
        </is>
      </c>
      <c r="E436" s="24" t="inlineStr">
        <is>
          <t>Předávací protokoly + Dokumentace skutečného provedení (DSP) — sestavení, vázání, dodávka 2× tiskem + elektronická verze</t>
        </is>
      </c>
      <c r="F436" s="23" t="inlineStr">
        <is>
          <t>kpl</t>
        </is>
      </c>
      <c r="G436" s="25" t="n">
        <v>1</v>
      </c>
      <c r="H436" s="26" t="n"/>
      <c r="I436" s="26">
        <f>IF(H436="",0,G436*H436)</f>
        <v/>
      </c>
      <c r="J436" s="23" t="inlineStr">
        <is>
          <t>ÚRS 2026</t>
        </is>
      </c>
      <c r="K436" s="32" t="inlineStr">
        <is>
          <t>? needs production lookup</t>
        </is>
      </c>
      <c r="L436" s="5" t="inlineStr">
        <is>
          <t>VRN — Dokumentace</t>
        </is>
      </c>
    </row>
    <row r="437">
      <c r="B437" s="17" t="n"/>
      <c r="C437" s="28" t="inlineStr">
        <is>
          <t>VV</t>
        </is>
      </c>
      <c r="D437" s="17" t="n"/>
      <c r="E437" s="29" t="inlineStr">
        <is>
          <t>Standard — DSP pro kolaudaci</t>
        </is>
      </c>
      <c r="F437" s="17" t="n"/>
      <c r="G437" s="30" t="n">
        <v>1</v>
      </c>
      <c r="H437" s="17" t="n"/>
      <c r="I437" s="17" t="n"/>
      <c r="J437" s="17" t="n"/>
      <c r="K437" s="17" t="n"/>
      <c r="L437" s="17" t="n"/>
    </row>
    <row r="438">
      <c r="B438" s="21" t="n"/>
      <c r="C438" s="22" t="inlineStr">
        <is>
          <t>D</t>
        </is>
      </c>
      <c r="D438" s="22" t="inlineStr">
        <is>
          <t>VRN</t>
        </is>
      </c>
      <c r="E438" s="22" t="inlineStr">
        <is>
          <t>VRN — Kolaudace</t>
        </is>
      </c>
      <c r="F438" s="21" t="n"/>
      <c r="G438" s="21" t="n"/>
      <c r="H438" s="21" t="n"/>
      <c r="I438" s="21" t="n"/>
      <c r="J438" s="21" t="n"/>
      <c r="K438" s="21" t="n"/>
      <c r="L438" s="21" t="n"/>
    </row>
    <row r="439">
      <c r="B439" s="23" t="n">
        <v>179</v>
      </c>
      <c r="C439" s="23" t="inlineStr">
        <is>
          <t>K</t>
        </is>
      </c>
      <c r="D439" s="24" t="inlineStr">
        <is>
          <t>030171000</t>
        </is>
      </c>
      <c r="E439" s="24" t="inlineStr">
        <is>
          <t>Kolaudační řízení — paušál (správní poplatky + součinnost) dle zákona 183/2006 Sb.</t>
        </is>
      </c>
      <c r="F439" s="23" t="inlineStr">
        <is>
          <t>paušál</t>
        </is>
      </c>
      <c r="G439" s="25" t="n">
        <v>1</v>
      </c>
      <c r="H439" s="26" t="n"/>
      <c r="I439" s="26">
        <f>IF(H439="",0,G439*H439)</f>
        <v/>
      </c>
      <c r="J439" s="23" t="inlineStr">
        <is>
          <t>ÚRS 2026</t>
        </is>
      </c>
      <c r="K439" s="32" t="inlineStr">
        <is>
          <t>? needs production lookup</t>
        </is>
      </c>
      <c r="L439" s="5" t="inlineStr">
        <is>
          <t>VRN — Kolaudace</t>
        </is>
      </c>
    </row>
    <row r="440">
      <c r="B440" s="17" t="n"/>
      <c r="C440" s="28" t="inlineStr">
        <is>
          <t>VV</t>
        </is>
      </c>
      <c r="D440" s="17" t="n"/>
      <c r="E440" s="29" t="inlineStr">
        <is>
          <t>Standard — paušál kolaudace</t>
        </is>
      </c>
      <c r="F440" s="17" t="n"/>
      <c r="G440" s="30" t="n">
        <v>1</v>
      </c>
      <c r="H440" s="17" t="n"/>
      <c r="I440" s="17" t="n"/>
      <c r="J440" s="17" t="n"/>
      <c r="K440" s="17" t="n"/>
      <c r="L440" s="17" t="n"/>
    </row>
    <row r="441">
      <c r="B441" s="21" t="n"/>
      <c r="C441" s="22" t="inlineStr">
        <is>
          <t>D</t>
        </is>
      </c>
      <c r="D441" s="22" t="inlineStr">
        <is>
          <t>VRN</t>
        </is>
      </c>
      <c r="E441" s="22" t="inlineStr">
        <is>
          <t>VRN — Pojištění + zábory</t>
        </is>
      </c>
      <c r="F441" s="21" t="n"/>
      <c r="G441" s="21" t="n"/>
      <c r="H441" s="21" t="n"/>
      <c r="I441" s="21" t="n"/>
      <c r="J441" s="21" t="n"/>
      <c r="K441" s="21" t="n"/>
      <c r="L441" s="21" t="n"/>
    </row>
    <row r="442">
      <c r="B442" s="23" t="n">
        <v>180</v>
      </c>
      <c r="C442" s="23" t="inlineStr">
        <is>
          <t>K</t>
        </is>
      </c>
      <c r="D442" s="24" t="inlineStr">
        <is>
          <t>030081000</t>
        </is>
      </c>
      <c r="E442" s="24" t="inlineStr">
        <is>
          <t>Montážní pojištění stavby (CAR) + pojištění odpovědnosti za škodu (zhotovitel) — paušál cca 0.3-0.5 % z PN</t>
        </is>
      </c>
      <c r="F442" s="23" t="inlineStr">
        <is>
          <t>paušál</t>
        </is>
      </c>
      <c r="G442" s="25" t="n">
        <v>1</v>
      </c>
      <c r="H442" s="26" t="n"/>
      <c r="I442" s="26">
        <f>IF(H442="",0,G442*H442)</f>
        <v/>
      </c>
      <c r="J442" s="23" t="inlineStr">
        <is>
          <t>ÚRS 2026</t>
        </is>
      </c>
      <c r="K442" s="32" t="inlineStr">
        <is>
          <t>? needs production lookup</t>
        </is>
      </c>
      <c r="L442" s="5" t="inlineStr">
        <is>
          <t>VRN — Pojištění + zábory</t>
        </is>
      </c>
    </row>
    <row r="443">
      <c r="B443" s="17" t="n"/>
      <c r="C443" s="28" t="inlineStr">
        <is>
          <t>VV</t>
        </is>
      </c>
      <c r="D443" s="17" t="n"/>
      <c r="E443" s="29" t="inlineStr">
        <is>
          <t>Standard pojistná sazba 0.3-0.5 % z přímých nákladů</t>
        </is>
      </c>
      <c r="F443" s="17" t="n"/>
      <c r="G443" s="30" t="n">
        <v>1</v>
      </c>
      <c r="H443" s="17" t="n"/>
      <c r="I443" s="17" t="n"/>
      <c r="J443" s="17" t="n"/>
      <c r="K443" s="17" t="n"/>
      <c r="L443" s="17" t="n"/>
    </row>
    <row r="444">
      <c r="B444" s="23" t="n">
        <v>181</v>
      </c>
      <c r="C444" s="23" t="inlineStr">
        <is>
          <t>K</t>
        </is>
      </c>
      <c r="D444" s="24" t="inlineStr">
        <is>
          <t>030083000</t>
        </is>
      </c>
      <c r="E444" s="24" t="inlineStr">
        <is>
          <t>Krátkodobé zábory ulice Fibichova pro materiál a kontejnery (povolení MU Jáchymov + DI) — odhad 30 dnů kumulativně</t>
        </is>
      </c>
      <c r="F444" s="23" t="inlineStr">
        <is>
          <t>kpl</t>
        </is>
      </c>
      <c r="G444" s="25" t="n">
        <v>1</v>
      </c>
      <c r="H444" s="26" t="n"/>
      <c r="I444" s="26">
        <f>IF(H444="",0,G444*H444)</f>
        <v/>
      </c>
      <c r="J444" s="23" t="inlineStr">
        <is>
          <t>ÚRS 2026</t>
        </is>
      </c>
      <c r="K444" s="32" t="inlineStr">
        <is>
          <t>? needs production lookup</t>
        </is>
      </c>
      <c r="L444" s="5" t="inlineStr">
        <is>
          <t>VRN — Pojištění + zábory</t>
        </is>
      </c>
    </row>
    <row r="445">
      <c r="B445" s="17" t="n"/>
      <c r="C445" s="28" t="inlineStr">
        <is>
          <t>VV</t>
        </is>
      </c>
      <c r="D445" s="17" t="n"/>
      <c r="E445" s="29" t="inlineStr">
        <is>
          <t>Řadová zástavba úzká ulice — opakované krátkodobé zábory cumulative ~30 dnů</t>
        </is>
      </c>
      <c r="F445" s="17" t="n"/>
      <c r="G445" s="30" t="n">
        <v>1</v>
      </c>
      <c r="H445" s="17" t="n"/>
      <c r="I445" s="17" t="n"/>
      <c r="J445" s="17" t="n"/>
      <c r="K445" s="17" t="n"/>
      <c r="L445" s="17" t="n"/>
    </row>
    <row r="446">
      <c r="B446" s="21" t="n"/>
      <c r="C446" s="22" t="inlineStr">
        <is>
          <t>D</t>
        </is>
      </c>
      <c r="D446" s="22" t="inlineStr">
        <is>
          <t>VRN</t>
        </is>
      </c>
      <c r="E446" s="22" t="inlineStr">
        <is>
          <t>VRN — Revize</t>
        </is>
      </c>
      <c r="F446" s="21" t="n"/>
      <c r="G446" s="21" t="n"/>
      <c r="H446" s="21" t="n"/>
      <c r="I446" s="21" t="n"/>
      <c r="J446" s="21" t="n"/>
      <c r="K446" s="21" t="n"/>
      <c r="L446" s="21" t="n"/>
    </row>
    <row r="447">
      <c r="B447" s="23" t="n">
        <v>182</v>
      </c>
      <c r="C447" s="23" t="inlineStr">
        <is>
          <t>K</t>
        </is>
      </c>
      <c r="D447" s="24" t="inlineStr">
        <is>
          <t>030161000</t>
        </is>
      </c>
      <c r="E447" s="24" t="inlineStr">
        <is>
          <t>Revize vnějšího hydrantu pro požární zabezpečení (DN min. 80, vzdálenost 100 m dle TZ PBŘ) — periodická kontrola</t>
        </is>
      </c>
      <c r="F447" s="23" t="inlineStr">
        <is>
          <t>kpl</t>
        </is>
      </c>
      <c r="G447" s="25" t="n">
        <v>1</v>
      </c>
      <c r="H447" s="26" t="n"/>
      <c r="I447" s="26">
        <f>IF(H447="",0,G447*H447)</f>
        <v/>
      </c>
      <c r="J447" s="23" t="inlineStr">
        <is>
          <t>ÚRS 2026</t>
        </is>
      </c>
      <c r="K447" s="32" t="inlineStr">
        <is>
          <t>? needs production lookup</t>
        </is>
      </c>
      <c r="L447" s="5" t="inlineStr">
        <is>
          <t>VRN — Revize</t>
        </is>
      </c>
    </row>
    <row r="448">
      <c r="B448" s="17" t="n"/>
      <c r="C448" s="28" t="inlineStr">
        <is>
          <t>VV</t>
        </is>
      </c>
      <c r="D448" s="17" t="n"/>
      <c r="E448" s="29" t="inlineStr">
        <is>
          <t>TZ PBŘ dům — vnější hydrant DN min. 80, vzdálenost 100 m</t>
        </is>
      </c>
      <c r="F448" s="17" t="n"/>
      <c r="G448" s="30" t="n">
        <v>1</v>
      </c>
      <c r="H448" s="17" t="n"/>
      <c r="I448" s="17" t="n"/>
      <c r="J448" s="17" t="n"/>
      <c r="K448" s="17" t="n"/>
      <c r="L448" s="17" t="n"/>
    </row>
  </sheetData>
  <mergeCells count="11">
    <mergeCell ref="C7:K7"/>
    <mergeCell ref="C11:K11"/>
    <mergeCell ref="B14:K14"/>
    <mergeCell ref="C10:K10"/>
    <mergeCell ref="C5:K5"/>
    <mergeCell ref="B49:K49"/>
    <mergeCell ref="C9:K9"/>
    <mergeCell ref="C8:K8"/>
    <mergeCell ref="C4:K4"/>
    <mergeCell ref="C12:K12"/>
    <mergeCell ref="C6:K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9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5" customWidth="1" min="3" max="3"/>
    <col width="14" customWidth="1" min="4" max="4"/>
    <col width="60" customWidth="1" min="5" max="5"/>
    <col width="8" customWidth="1" min="6" max="6"/>
    <col width="12" customWidth="1" min="7" max="7"/>
    <col width="14" customWidth="1" min="8" max="8"/>
    <col width="16" customWidth="1" min="9" max="9"/>
    <col width="14" customWidth="1" min="10" max="10"/>
    <col width="36" customWidth="1" min="11" max="11"/>
    <col width="50" customWidth="1" min="12" max="12"/>
    <col hidden="1" width="13" customWidth="1" min="13" max="13"/>
  </cols>
  <sheetData>
    <row r="2">
      <c r="B2" s="1" t="inlineStr">
        <is>
          <t>KRYCÍ LIST SOUPISU PRACÍ</t>
        </is>
      </c>
    </row>
    <row r="4">
      <c r="B4" s="2" t="inlineStr">
        <is>
          <t>Stavba:</t>
        </is>
      </c>
      <c r="C4" s="3" t="inlineStr">
        <is>
          <t>RD Jáchymov Fibichova 733 — rekonstrukce + nástavba 3.NP + sklad + parking</t>
        </is>
      </c>
    </row>
    <row r="5">
      <c r="B5" s="2" t="inlineStr">
        <is>
          <t>Objekt:</t>
        </is>
      </c>
      <c r="C5" s="3" t="inlineStr">
        <is>
          <t>SO 260217 — Sklad + parking</t>
        </is>
      </c>
    </row>
    <row r="6">
      <c r="B6" s="2" t="inlineStr">
        <is>
          <t>KSO:</t>
        </is>
      </c>
      <c r="C6" s="3" t="inlineStr">
        <is>
          <t>RD — pozemní stavby + rekonstrukce + nástavba</t>
        </is>
      </c>
    </row>
    <row r="7">
      <c r="B7" s="2" t="inlineStr">
        <is>
          <t>Místo:</t>
        </is>
      </c>
      <c r="C7" s="3" t="inlineStr">
        <is>
          <t>Fibichova 733, 362 51 Jáchymov, Karlovarský kraj</t>
        </is>
      </c>
    </row>
    <row r="8">
      <c r="B8" s="2" t="inlineStr">
        <is>
          <t>Datum:</t>
        </is>
      </c>
      <c r="C8" s="3" t="inlineStr">
        <is>
          <t>27.05.2026</t>
        </is>
      </c>
    </row>
    <row r="9">
      <c r="B9" s="2" t="inlineStr">
        <is>
          <t>Zadavatel:</t>
        </is>
      </c>
      <c r="C9" s="3" t="inlineStr">
        <is>
          <t>Mgr. Jindřich Volný</t>
        </is>
      </c>
    </row>
    <row r="10">
      <c r="B10" s="2" t="inlineStr">
        <is>
          <t>Zhotovitel:</t>
        </is>
      </c>
      <c r="C10" s="3" t="inlineStr">
        <is>
          <t>Karel Šmíd (smid.karell@gmail.com, +420 608 930 914)</t>
        </is>
      </c>
    </row>
    <row r="11">
      <c r="B11" s="2" t="inlineStr">
        <is>
          <t>Projektant:</t>
        </is>
      </c>
      <c r="C11" s="3" t="inlineStr">
        <is>
          <t>SMASH — Marek Smolka (ČKA 05394, ARS); TeAnau — Tvardík (ČKAIT 0012219, stavební část); TUSPO — Vodička (PBŘ)</t>
        </is>
      </c>
    </row>
    <row r="12">
      <c r="B12" s="2" t="inlineStr">
        <is>
          <t>Zpracovatel:</t>
        </is>
      </c>
      <c r="C12" s="3" t="inlineStr">
        <is>
          <t>Berger Bohemia — Alexander (přípravář, STAVAGENT v4.33)</t>
        </is>
      </c>
    </row>
    <row r="14">
      <c r="B14" s="16" t="inlineStr">
        <is>
          <t>REKAPITULACE ČLENĚNÍ SOUPISU</t>
        </is>
      </c>
    </row>
    <row r="15">
      <c r="B15" s="4" t="inlineStr"/>
      <c r="C15" s="4" t="inlineStr">
        <is>
          <t>Kapitola</t>
        </is>
      </c>
      <c r="D15" s="4" t="inlineStr">
        <is>
          <t>Cena bez DPH</t>
        </is>
      </c>
    </row>
    <row r="16">
      <c r="B16" s="17" t="n"/>
      <c r="C16" s="5" t="inlineStr">
        <is>
          <t>HSV-1 Zemní práce</t>
        </is>
      </c>
      <c r="D16" s="7">
        <f>SUMIFS(I31:I99,L31:L99,C16)</f>
        <v/>
      </c>
    </row>
    <row r="17">
      <c r="B17" s="17" t="n"/>
      <c r="C17" s="5" t="inlineStr">
        <is>
          <t>HSV-2 Základové a ŽB</t>
        </is>
      </c>
      <c r="D17" s="7">
        <f>SUMIFS(I31:I99,L31:L99,C17)</f>
        <v/>
      </c>
    </row>
    <row r="18">
      <c r="B18" s="17" t="n"/>
      <c r="C18" s="5" t="inlineStr">
        <is>
          <t>HSV-3 Svislé konstrukce</t>
        </is>
      </c>
      <c r="D18" s="7">
        <f>SUMIFS(I31:I99,L31:L99,C18)</f>
        <v/>
      </c>
    </row>
    <row r="19">
      <c r="B19" s="17" t="n"/>
      <c r="C19" s="5" t="inlineStr">
        <is>
          <t>HSV-4 Vodorovné</t>
        </is>
      </c>
      <c r="D19" s="7">
        <f>SUMIFS(I31:I99,L31:L99,C19)</f>
        <v/>
      </c>
    </row>
    <row r="20">
      <c r="B20" s="17" t="n"/>
      <c r="C20" s="5" t="inlineStr">
        <is>
          <t>HSV-5 Komunikace + schodiště</t>
        </is>
      </c>
      <c r="D20" s="7">
        <f>SUMIFS(I31:I99,L31:L99,C20)</f>
        <v/>
      </c>
    </row>
    <row r="21">
      <c r="B21" s="17" t="n"/>
      <c r="C21" s="5" t="inlineStr">
        <is>
          <t>PSV-76 Výplně otvorů</t>
        </is>
      </c>
      <c r="D21" s="7">
        <f>SUMIFS(I31:I99,L31:L99,C21)</f>
        <v/>
      </c>
    </row>
    <row r="22">
      <c r="B22" s="17" t="n"/>
      <c r="C22" s="5" t="inlineStr">
        <is>
          <t>PSV-77 Podlahy</t>
        </is>
      </c>
      <c r="D22" s="7">
        <f>SUMIFS(I31:I99,L31:L99,C22)</f>
        <v/>
      </c>
    </row>
    <row r="23">
      <c r="B23" s="17" t="n"/>
      <c r="C23" s="5" t="inlineStr">
        <is>
          <t>VRN — Společné</t>
        </is>
      </c>
      <c r="D23" s="7">
        <f>SUMIFS(I31:I99,L31:L99,C23)</f>
        <v/>
      </c>
    </row>
    <row r="24">
      <c r="B24" s="17" t="n"/>
      <c r="C24" s="5" t="inlineStr">
        <is>
          <t>VRN — Doprava + odpad</t>
        </is>
      </c>
      <c r="D24" s="7">
        <f>SUMIFS(I31:I99,L31:L99,C24)</f>
        <v/>
      </c>
    </row>
    <row r="25">
      <c r="B25" s="17" t="n"/>
      <c r="C25" s="5" t="inlineStr">
        <is>
          <t>VRN — Geodet</t>
        </is>
      </c>
      <c r="D25" s="7">
        <f>SUMIFS(I31:I99,L31:L99,C25)</f>
        <v/>
      </c>
    </row>
    <row r="26">
      <c r="B26" s="18" t="n"/>
      <c r="C26" s="8" t="inlineStr">
        <is>
          <t>Celkem objekt</t>
        </is>
      </c>
      <c r="D26" s="9">
        <f>SUM(D16:D25)</f>
        <v/>
      </c>
    </row>
    <row r="29">
      <c r="B29" s="16" t="inlineStr">
        <is>
          <t>SOUPIS PRACÍ</t>
        </is>
      </c>
    </row>
    <row r="30">
      <c r="B30" s="4" t="inlineStr">
        <is>
          <t>PČ</t>
        </is>
      </c>
      <c r="C30" s="4" t="inlineStr">
        <is>
          <t>Typ</t>
        </is>
      </c>
      <c r="D30" s="4" t="inlineStr">
        <is>
          <t>Kód</t>
        </is>
      </c>
      <c r="E30" s="4" t="inlineStr">
        <is>
          <t>Popis</t>
        </is>
      </c>
      <c r="F30" s="4" t="inlineStr">
        <is>
          <t>MJ</t>
        </is>
      </c>
      <c r="G30" s="4" t="inlineStr">
        <is>
          <t>Množství</t>
        </is>
      </c>
      <c r="H30" s="4" t="inlineStr">
        <is>
          <t>J.cena [Kč]</t>
        </is>
      </c>
      <c r="I30" s="4" t="inlineStr">
        <is>
          <t>Cena celkem [Kč]</t>
        </is>
      </c>
      <c r="J30" s="4" t="inlineStr">
        <is>
          <t>Cenová soustava</t>
        </is>
      </c>
      <c r="K30" s="4" t="inlineStr">
        <is>
          <t>Pozn.</t>
        </is>
      </c>
      <c r="L30" s="4" t="inlineStr">
        <is>
          <t>_kap_tag</t>
        </is>
      </c>
    </row>
    <row r="31">
      <c r="B31" s="19" t="n"/>
      <c r="C31" s="20" t="inlineStr">
        <is>
          <t>D</t>
        </is>
      </c>
      <c r="D31" s="20" t="inlineStr">
        <is>
          <t>HSV</t>
        </is>
      </c>
      <c r="E31" s="20" t="inlineStr">
        <is>
          <t>Práce a dodávky HSV</t>
        </is>
      </c>
      <c r="F31" s="19" t="n"/>
      <c r="G31" s="19" t="n"/>
      <c r="H31" s="19" t="n"/>
      <c r="I31" s="19" t="n"/>
      <c r="J31" s="19" t="n"/>
      <c r="K31" s="19" t="n"/>
      <c r="L31" s="19" t="n"/>
    </row>
    <row r="32">
      <c r="B32" s="21" t="n"/>
      <c r="C32" s="22" t="inlineStr">
        <is>
          <t>D</t>
        </is>
      </c>
      <c r="D32" s="22" t="inlineStr">
        <is>
          <t>HSV-1</t>
        </is>
      </c>
      <c r="E32" s="22" t="inlineStr">
        <is>
          <t>HSV-1 Zemní práce</t>
        </is>
      </c>
      <c r="F32" s="21" t="n"/>
      <c r="G32" s="21" t="n"/>
      <c r="H32" s="21" t="n"/>
      <c r="I32" s="21" t="n"/>
      <c r="J32" s="21" t="n"/>
      <c r="K32" s="21" t="n"/>
      <c r="L32" s="21" t="n"/>
    </row>
    <row r="33">
      <c r="B33" s="23" t="n">
        <v>1</v>
      </c>
      <c r="C33" s="23" t="inlineStr">
        <is>
          <t>K</t>
        </is>
      </c>
      <c r="D33" s="24" t="inlineStr">
        <is>
          <t>962031132</t>
        </is>
      </c>
      <c r="E33" s="24" t="inlineStr">
        <is>
          <t>Sejmutí ornice a demolice stávajících kamenných zídek a schodiště v místě nového skladu+parkingu</t>
        </is>
      </c>
      <c r="F33" s="23" t="inlineStr">
        <is>
          <t>m³</t>
        </is>
      </c>
      <c r="G33" s="25" t="n">
        <v>8</v>
      </c>
      <c r="H33" s="26" t="n"/>
      <c r="I33" s="26">
        <f>IF(H33="",0,G33*H33)</f>
        <v/>
      </c>
      <c r="J33" s="23" t="inlineStr">
        <is>
          <t>ÚRS 2026</t>
        </is>
      </c>
      <c r="K33" s="27" t="inlineStr">
        <is>
          <t>✓ cross-discipline OK [evidence: https://www.cs-urs.cz/podminky/cu202/801-3-Budovy-a-haly---b]</t>
        </is>
      </c>
      <c r="L33" s="5" t="inlineStr">
        <is>
          <t>HSV-1 Zemní práce</t>
        </is>
      </c>
    </row>
    <row r="34">
      <c r="B34" s="17" t="n"/>
      <c r="C34" s="28" t="inlineStr">
        <is>
          <t>VV</t>
        </is>
      </c>
      <c r="D34" s="17" t="n"/>
      <c r="E34" s="29" t="inlineStr">
        <is>
          <t>TZ ARS sklad §3 — odstranění stávajících kamenných prvků (odhad)</t>
        </is>
      </c>
      <c r="F34" s="17" t="n"/>
      <c r="G34" s="30" t="n">
        <v>8</v>
      </c>
      <c r="H34" s="17" t="n"/>
      <c r="I34" s="17" t="n"/>
      <c r="J34" s="17" t="n"/>
      <c r="K34" s="17" t="n"/>
      <c r="L34" s="17" t="n"/>
    </row>
    <row r="35">
      <c r="B35" s="23" t="n">
        <v>2</v>
      </c>
      <c r="C35" s="23" t="inlineStr">
        <is>
          <t>K</t>
        </is>
      </c>
      <c r="D35" s="24" t="inlineStr">
        <is>
          <t>131201101</t>
        </is>
      </c>
      <c r="E35" s="24" t="inlineStr">
        <is>
          <t>Hloubení jam nezapažených pro objekt skladu v lichoběžníku 6,35 × 3,34 m, hl. do 1,2 m, hornina tř. 3</t>
        </is>
      </c>
      <c r="F35" s="23" t="inlineStr">
        <is>
          <t>m³</t>
        </is>
      </c>
      <c r="G35" s="25" t="n">
        <v>25.5</v>
      </c>
      <c r="H35" s="26" t="n"/>
      <c r="I35" s="26">
        <f>IF(H35="",0,G35*H35)</f>
        <v/>
      </c>
      <c r="J35" s="23" t="inlineStr">
        <is>
          <t>ÚRS 2026</t>
        </is>
      </c>
      <c r="K35" s="32" t="inlineStr">
        <is>
          <t>? needs production lookup</t>
        </is>
      </c>
      <c r="L35" s="5" t="inlineStr">
        <is>
          <t>HSV-1 Zemní práce</t>
        </is>
      </c>
    </row>
    <row r="36">
      <c r="B36" s="17" t="n"/>
      <c r="C36" s="28" t="inlineStr">
        <is>
          <t>VV</t>
        </is>
      </c>
      <c r="D36" s="17" t="n"/>
      <c r="E36" s="29" t="inlineStr">
        <is>
          <t>DXF: L=6.350 × W=3.340 × H=1.2 (DXF DIMENSION ověřeno)</t>
        </is>
      </c>
      <c r="F36" s="17" t="n"/>
      <c r="G36" s="30" t="n">
        <v>25.5</v>
      </c>
      <c r="H36" s="17" t="n"/>
      <c r="I36" s="17" t="n"/>
      <c r="J36" s="17" t="n"/>
      <c r="K36" s="17" t="n"/>
      <c r="L36" s="17" t="n"/>
    </row>
    <row r="37">
      <c r="B37" s="23" t="n">
        <v>3</v>
      </c>
      <c r="C37" s="23" t="inlineStr">
        <is>
          <t>K</t>
        </is>
      </c>
      <c r="D37" s="24" t="inlineStr">
        <is>
          <t>132201101</t>
        </is>
      </c>
      <c r="E37" s="24" t="inlineStr">
        <is>
          <t>Hloubení rýh pro betonové základové pasy 500×500 mm po obvodu skladu (nezámrzná hl. 1.0 m)</t>
        </is>
      </c>
      <c r="F37" s="23" t="inlineStr">
        <is>
          <t>m³</t>
        </is>
      </c>
      <c r="G37" s="25" t="n">
        <v>4.85</v>
      </c>
      <c r="H37" s="26" t="n"/>
      <c r="I37" s="26">
        <f>IF(H37="",0,G37*H37)</f>
        <v/>
      </c>
      <c r="J37" s="23" t="inlineStr">
        <is>
          <t>ÚRS 2026</t>
        </is>
      </c>
      <c r="K37" s="32" t="inlineStr">
        <is>
          <t>? needs production lookup</t>
        </is>
      </c>
      <c r="L37" s="5" t="inlineStr">
        <is>
          <t>HSV-1 Zemní práce</t>
        </is>
      </c>
    </row>
    <row r="38">
      <c r="B38" s="17" t="n"/>
      <c r="C38" s="28" t="inlineStr">
        <is>
          <t>VV</t>
        </is>
      </c>
      <c r="D38" s="17" t="n"/>
      <c r="E38" s="29" t="inlineStr">
        <is>
          <t>obvod 2×(6.35+3.34) × W=0.5 × H=0.5</t>
        </is>
      </c>
      <c r="F38" s="17" t="n"/>
      <c r="G38" s="30" t="n">
        <v>4.85</v>
      </c>
      <c r="H38" s="17" t="n"/>
      <c r="I38" s="17" t="n"/>
      <c r="J38" s="17" t="n"/>
      <c r="K38" s="17" t="n"/>
      <c r="L38" s="17" t="n"/>
    </row>
    <row r="39">
      <c r="B39" s="23" t="n">
        <v>4</v>
      </c>
      <c r="C39" s="23" t="inlineStr">
        <is>
          <t>K</t>
        </is>
      </c>
      <c r="D39" s="24" t="inlineStr">
        <is>
          <t>132211101</t>
        </is>
      </c>
      <c r="E39" s="24" t="inlineStr">
        <is>
          <t>Hloubení patek pro stojky IPE180 zastřešení parkingu, 500×500 mm × 1.0 m hl. × 7 ks</t>
        </is>
      </c>
      <c r="F39" s="23" t="inlineStr">
        <is>
          <t>m³</t>
        </is>
      </c>
      <c r="G39" s="25" t="n">
        <v>1.75</v>
      </c>
      <c r="H39" s="26" t="n"/>
      <c r="I39" s="26">
        <f>IF(H39="",0,G39*H39)</f>
        <v/>
      </c>
      <c r="J39" s="23" t="inlineStr">
        <is>
          <t>ÚRS 2026</t>
        </is>
      </c>
      <c r="K39" s="32" t="inlineStr">
        <is>
          <t>? needs production lookup</t>
        </is>
      </c>
      <c r="L39" s="5" t="inlineStr">
        <is>
          <t>HSV-1 Zemní práce</t>
        </is>
      </c>
    </row>
    <row r="40">
      <c r="B40" s="17" t="n"/>
      <c r="C40" s="28" t="inlineStr">
        <is>
          <t>VV</t>
        </is>
      </c>
      <c r="D40" s="17" t="n"/>
      <c r="E40" s="29" t="inlineStr">
        <is>
          <t>DXF: 7 patek × 0.5 × 0.5 × 1.0 (TZ rozteč 1000 mm × 7 m parking)</t>
        </is>
      </c>
      <c r="F40" s="17" t="n"/>
      <c r="G40" s="30" t="n">
        <v>1.75</v>
      </c>
      <c r="H40" s="17" t="n"/>
      <c r="I40" s="17" t="n"/>
      <c r="J40" s="17" t="n"/>
      <c r="K40" s="17" t="n"/>
      <c r="L40" s="17" t="n"/>
    </row>
    <row r="41">
      <c r="B41" s="23" t="n">
        <v>5</v>
      </c>
      <c r="C41" s="23" t="inlineStr">
        <is>
          <t>K</t>
        </is>
      </c>
      <c r="D41" s="24" t="inlineStr">
        <is>
          <t>174101101</t>
        </is>
      </c>
      <c r="E41" s="24" t="inlineStr">
        <is>
          <t>Zhutněný štěrkopískový násyp pod podlahu skladu + štěrkopísek pro IPE patky</t>
        </is>
      </c>
      <c r="F41" s="23" t="inlineStr">
        <is>
          <t>m³</t>
        </is>
      </c>
      <c r="G41" s="25" t="n">
        <v>3.2</v>
      </c>
      <c r="H41" s="26" t="n"/>
      <c r="I41" s="26">
        <f>IF(H41="",0,G41*H41)</f>
        <v/>
      </c>
      <c r="J41" s="23" t="inlineStr">
        <is>
          <t>ÚRS 2026</t>
        </is>
      </c>
      <c r="K41" s="32" t="inlineStr">
        <is>
          <t>? needs production lookup</t>
        </is>
      </c>
      <c r="L41" s="5" t="inlineStr">
        <is>
          <t>HSV-1 Zemní práce</t>
        </is>
      </c>
    </row>
    <row r="42">
      <c r="B42" s="17" t="n"/>
      <c r="C42" s="28" t="inlineStr">
        <is>
          <t>VV</t>
        </is>
      </c>
      <c r="D42" s="17" t="n"/>
      <c r="E42" s="29" t="inlineStr">
        <is>
          <t>podlaha sklad 21.2 m² × 0.15 m štěrku</t>
        </is>
      </c>
      <c r="F42" s="17" t="n"/>
      <c r="G42" s="30" t="n">
        <v>3.2</v>
      </c>
      <c r="H42" s="17" t="n"/>
      <c r="I42" s="17" t="n"/>
      <c r="J42" s="17" t="n"/>
      <c r="K42" s="17" t="n"/>
      <c r="L42" s="17" t="n"/>
    </row>
    <row r="43">
      <c r="B43" s="23" t="n">
        <v>6</v>
      </c>
      <c r="C43" s="23" t="inlineStr">
        <is>
          <t>K</t>
        </is>
      </c>
      <c r="D43" s="24" t="inlineStr"/>
      <c r="E43" s="24" t="inlineStr">
        <is>
          <t>Odvoz výkopku z hloubení skladu + figur + patek na deponii do 8 km</t>
        </is>
      </c>
      <c r="F43" s="23" t="inlineStr">
        <is>
          <t>m³</t>
        </is>
      </c>
      <c r="G43" s="25" t="n">
        <v>32.1</v>
      </c>
      <c r="H43" s="26" t="n"/>
      <c r="I43" s="26">
        <f>IF(H43="",0,G43*H43)</f>
        <v/>
      </c>
      <c r="J43" s="23" t="inlineStr">
        <is>
          <t>ÚRS 2026</t>
        </is>
      </c>
      <c r="K43" s="33" t="inlineStr">
        <is>
          <t>❌ MANUAL — KROS catalog lookup</t>
        </is>
      </c>
      <c r="L43" s="5" t="inlineStr">
        <is>
          <t>HSV-1 Zemní práce</t>
        </is>
      </c>
    </row>
    <row r="44">
      <c r="B44" s="17" t="n"/>
      <c r="C44" s="28" t="inlineStr">
        <is>
          <t>VV</t>
        </is>
      </c>
      <c r="D44" s="17" t="n"/>
      <c r="E44" s="29">
        <f> součet hloubení sklad + figura + patky (25.5+4.85+1.75)</f>
        <v/>
      </c>
      <c r="F44" s="17" t="n"/>
      <c r="G44" s="30" t="n">
        <v>32.1</v>
      </c>
      <c r="H44" s="17" t="n"/>
      <c r="I44" s="17" t="n"/>
      <c r="J44" s="17" t="n"/>
      <c r="K44" s="17" t="n"/>
      <c r="L44" s="17" t="n"/>
    </row>
    <row r="45">
      <c r="B45" s="21" t="n"/>
      <c r="C45" s="22" t="inlineStr">
        <is>
          <t>D</t>
        </is>
      </c>
      <c r="D45" s="22" t="inlineStr">
        <is>
          <t>HSV-2</t>
        </is>
      </c>
      <c r="E45" s="22" t="inlineStr">
        <is>
          <t>HSV-2 Základové a ŽB</t>
        </is>
      </c>
      <c r="F45" s="21" t="n"/>
      <c r="G45" s="21" t="n"/>
      <c r="H45" s="21" t="n"/>
      <c r="I45" s="21" t="n"/>
      <c r="J45" s="21" t="n"/>
      <c r="K45" s="21" t="n"/>
      <c r="L45" s="21" t="n"/>
    </row>
    <row r="46">
      <c r="B46" s="23" t="n">
        <v>7</v>
      </c>
      <c r="C46" s="23" t="inlineStr">
        <is>
          <t>K</t>
        </is>
      </c>
      <c r="D46" s="24" t="inlineStr"/>
      <c r="E46" s="24" t="inlineStr">
        <is>
          <t>Základové pasy z prostého betonu C16/20 XC0, 500×500 mm po obvodu skladu (nezámrzná hl.)</t>
        </is>
      </c>
      <c r="F46" s="23" t="inlineStr">
        <is>
          <t>m³</t>
        </is>
      </c>
      <c r="G46" s="25" t="n">
        <v>4.84</v>
      </c>
      <c r="H46" s="26" t="n"/>
      <c r="I46" s="26">
        <f>IF(H46="",0,G46*H46)</f>
        <v/>
      </c>
      <c r="J46" s="23" t="inlineStr">
        <is>
          <t>ÚRS 2026</t>
        </is>
      </c>
      <c r="K46" s="33" t="inlineStr">
        <is>
          <t>❌ MANUAL — KROS catalog lookup</t>
        </is>
      </c>
      <c r="L46" s="5" t="inlineStr">
        <is>
          <t>HSV-2 Základové a ŽB</t>
        </is>
      </c>
    </row>
    <row r="47">
      <c r="B47" s="17" t="n"/>
      <c r="C47" s="28" t="inlineStr">
        <is>
          <t>VV</t>
        </is>
      </c>
      <c r="D47" s="17" t="n"/>
      <c r="E47" s="29" t="inlineStr">
        <is>
          <t>0.5 × 0.5 × 19.4 obvod = 4.85</t>
        </is>
      </c>
      <c r="F47" s="17" t="n"/>
      <c r="G47" s="30" t="n">
        <v>4.84</v>
      </c>
      <c r="H47" s="17" t="n"/>
      <c r="I47" s="17" t="n"/>
      <c r="J47" s="17" t="n"/>
      <c r="K47" s="17" t="n"/>
      <c r="L47" s="17" t="n"/>
    </row>
    <row r="48">
      <c r="B48" s="23" t="n">
        <v>8</v>
      </c>
      <c r="C48" s="23" t="inlineStr">
        <is>
          <t>K</t>
        </is>
      </c>
      <c r="D48" s="24" t="inlineStr">
        <is>
          <t>273313811</t>
        </is>
      </c>
      <c r="E48" s="24" t="inlineStr">
        <is>
          <t>Dvoustupňové patky pro IPE180 zastřešení parkingu — spodní část prostý beton C16/20 500×500×500 mm × 7 ks</t>
        </is>
      </c>
      <c r="F48" s="23" t="inlineStr">
        <is>
          <t>ks</t>
        </is>
      </c>
      <c r="G48" s="25" t="n">
        <v>7</v>
      </c>
      <c r="H48" s="26" t="n"/>
      <c r="I48" s="26">
        <f>IF(H48="",0,G48*H48)</f>
        <v/>
      </c>
      <c r="J48" s="23" t="inlineStr">
        <is>
          <t>ÚRS 2026</t>
        </is>
      </c>
      <c r="K48" s="31" t="inlineStr">
        <is>
          <t>⚠ family OK, leaf KROS lookup [evidence: https://www.cs-urs.cz/podminky/cu202/801-1-Budovy-a-haly---z]</t>
        </is>
      </c>
      <c r="L48" s="5" t="inlineStr">
        <is>
          <t>HSV-2 Základové a ŽB</t>
        </is>
      </c>
    </row>
    <row r="49">
      <c r="B49" s="17" t="n"/>
      <c r="C49" s="28" t="inlineStr">
        <is>
          <t>VV</t>
        </is>
      </c>
      <c r="D49" s="17" t="n"/>
      <c r="E49" s="29" t="inlineStr">
        <is>
          <t>DXF: 7 ks (rozteč 1000 mm × 7000 mm parking délka)</t>
        </is>
      </c>
      <c r="F49" s="17" t="n"/>
      <c r="G49" s="30" t="n">
        <v>7</v>
      </c>
      <c r="H49" s="17" t="n"/>
      <c r="I49" s="17" t="n"/>
      <c r="J49" s="17" t="n"/>
      <c r="K49" s="17" t="n"/>
      <c r="L49" s="17" t="n"/>
    </row>
    <row r="50">
      <c r="B50" s="23" t="n">
        <v>9</v>
      </c>
      <c r="C50" s="23" t="inlineStr">
        <is>
          <t>K</t>
        </is>
      </c>
      <c r="D50" s="24" t="inlineStr">
        <is>
          <t>311233812</t>
        </is>
      </c>
      <c r="E50" s="24" t="inlineStr">
        <is>
          <t>Dvoustupňové patky pro IPE180 — horní část z tvarovek ztraceného bednění 300×300 mm × 7 ks</t>
        </is>
      </c>
      <c r="F50" s="23" t="inlineStr">
        <is>
          <t>ks</t>
        </is>
      </c>
      <c r="G50" s="25" t="n">
        <v>7</v>
      </c>
      <c r="H50" s="26" t="n"/>
      <c r="I50" s="26">
        <f>IF(H50="",0,G50*H50)</f>
        <v/>
      </c>
      <c r="J50" s="23" t="inlineStr">
        <is>
          <t>ÚRS 2026</t>
        </is>
      </c>
      <c r="K50" s="32" t="inlineStr">
        <is>
          <t>? needs production lookup</t>
        </is>
      </c>
      <c r="L50" s="5" t="inlineStr">
        <is>
          <t>HSV-2 Základové a ŽB</t>
        </is>
      </c>
    </row>
    <row r="51">
      <c r="B51" s="17" t="n"/>
      <c r="C51" s="28" t="inlineStr">
        <is>
          <t>VV</t>
        </is>
      </c>
      <c r="D51" s="17" t="n"/>
      <c r="E51" s="29" t="inlineStr">
        <is>
          <t>7 ks (= spodní)</t>
        </is>
      </c>
      <c r="F51" s="17" t="n"/>
      <c r="G51" s="30" t="n">
        <v>7</v>
      </c>
      <c r="H51" s="17" t="n"/>
      <c r="I51" s="17" t="n"/>
      <c r="J51" s="17" t="n"/>
      <c r="K51" s="17" t="n"/>
      <c r="L51" s="17" t="n"/>
    </row>
    <row r="52">
      <c r="B52" s="23" t="n">
        <v>10</v>
      </c>
      <c r="C52" s="23" t="inlineStr">
        <is>
          <t>K</t>
        </is>
      </c>
      <c r="D52" s="24" t="inlineStr">
        <is>
          <t>273321321</t>
        </is>
      </c>
      <c r="E52" s="24" t="inlineStr">
        <is>
          <t>Beton C25/30 XC3 XF1 XA1 pro zalití tvarovek ZB patek + lemujících zídek parkingu</t>
        </is>
      </c>
      <c r="F52" s="23" t="inlineStr">
        <is>
          <t>m³</t>
        </is>
      </c>
      <c r="G52" s="25" t="n">
        <v>1.8</v>
      </c>
      <c r="H52" s="26" t="n"/>
      <c r="I52" s="26">
        <f>IF(H52="",0,G52*H52)</f>
        <v/>
      </c>
      <c r="J52" s="23" t="inlineStr">
        <is>
          <t>ÚRS 2026</t>
        </is>
      </c>
      <c r="K52" s="32" t="inlineStr">
        <is>
          <t>? needs production lookup</t>
        </is>
      </c>
      <c r="L52" s="5" t="inlineStr">
        <is>
          <t>HSV-2 Základové a ŽB</t>
        </is>
      </c>
    </row>
    <row r="53">
      <c r="B53" s="17" t="n"/>
      <c r="C53" s="28" t="inlineStr">
        <is>
          <t>VV</t>
        </is>
      </c>
      <c r="D53" s="17" t="n"/>
      <c r="E53" s="29" t="inlineStr">
        <is>
          <t>patky horní (0.3×0.3×0.5×7) + zídka (odhad ~1 m³)</t>
        </is>
      </c>
      <c r="F53" s="17" t="n"/>
      <c r="G53" s="30" t="n">
        <v>1.8</v>
      </c>
      <c r="H53" s="17" t="n"/>
      <c r="I53" s="17" t="n"/>
      <c r="J53" s="17" t="n"/>
      <c r="K53" s="17" t="n"/>
      <c r="L53" s="17" t="n"/>
    </row>
    <row r="54">
      <c r="B54" s="23" t="n">
        <v>11</v>
      </c>
      <c r="C54" s="23" t="inlineStr">
        <is>
          <t>K</t>
        </is>
      </c>
      <c r="D54" s="24" t="inlineStr">
        <is>
          <t>174101101</t>
        </is>
      </c>
      <c r="E54" s="24" t="inlineStr">
        <is>
          <t>Štěrkopískové lože pod podlahu skladu + pod schodišťovou desku</t>
        </is>
      </c>
      <c r="F54" s="23" t="inlineStr">
        <is>
          <t>m³</t>
        </is>
      </c>
      <c r="G54" s="25" t="n">
        <v>2.12</v>
      </c>
      <c r="H54" s="26" t="n"/>
      <c r="I54" s="26">
        <f>IF(H54="",0,G54*H54)</f>
        <v/>
      </c>
      <c r="J54" s="23" t="inlineStr">
        <is>
          <t>ÚRS 2026</t>
        </is>
      </c>
      <c r="K54" s="27" t="inlineStr">
        <is>
          <t>✓ cross-discipline OK [evidence: https://www.cs-urs.cz/podminky/cu201/800-1-Zemni-prace-(2020]</t>
        </is>
      </c>
      <c r="L54" s="5" t="inlineStr">
        <is>
          <t>HSV-2 Základové a ŽB</t>
        </is>
      </c>
    </row>
    <row r="55">
      <c r="B55" s="17" t="n"/>
      <c r="C55" s="28" t="inlineStr">
        <is>
          <t>VV</t>
        </is>
      </c>
      <c r="D55" s="17" t="n"/>
      <c r="E55" s="29" t="inlineStr">
        <is>
          <t>21.2 × 0.10 = 2.12</t>
        </is>
      </c>
      <c r="F55" s="17" t="n"/>
      <c r="G55" s="30" t="n">
        <v>2.12</v>
      </c>
      <c r="H55" s="17" t="n"/>
      <c r="I55" s="17" t="n"/>
      <c r="J55" s="17" t="n"/>
      <c r="K55" s="17" t="n"/>
      <c r="L55" s="17" t="n"/>
    </row>
    <row r="56">
      <c r="B56" s="23" t="n">
        <v>12</v>
      </c>
      <c r="C56" s="23" t="inlineStr">
        <is>
          <t>K</t>
        </is>
      </c>
      <c r="D56" s="24" t="inlineStr">
        <is>
          <t>273361821</t>
        </is>
      </c>
      <c r="E56" s="24" t="inlineStr">
        <is>
          <t>ŽB schodišťová deska ve sklonu + základový pas — beton C25/30 XC3 (terén ke skladu)</t>
        </is>
      </c>
      <c r="F56" s="23" t="inlineStr">
        <is>
          <t>m³</t>
        </is>
      </c>
      <c r="G56" s="25" t="n">
        <v>0.8</v>
      </c>
      <c r="H56" s="26" t="n"/>
      <c r="I56" s="26">
        <f>IF(H56="",0,G56*H56)</f>
        <v/>
      </c>
      <c r="J56" s="23" t="inlineStr">
        <is>
          <t>ÚRS 2026</t>
        </is>
      </c>
      <c r="K56" s="32" t="inlineStr">
        <is>
          <t>? needs production lookup</t>
        </is>
      </c>
      <c r="L56" s="5" t="inlineStr">
        <is>
          <t>HSV-2 Základové a ŽB</t>
        </is>
      </c>
    </row>
    <row r="57">
      <c r="B57" s="17" t="n"/>
      <c r="C57" s="28" t="inlineStr">
        <is>
          <t>VV</t>
        </is>
      </c>
      <c r="D57" s="17" t="n"/>
      <c r="E57" s="29" t="inlineStr">
        <is>
          <t>odhad 3 m schodů × 0.8 × 0.30 = 0.72 (ručně)</t>
        </is>
      </c>
      <c r="F57" s="17" t="n"/>
      <c r="G57" s="30" t="n">
        <v>0.8</v>
      </c>
      <c r="H57" s="17" t="n"/>
      <c r="I57" s="17" t="n"/>
      <c r="J57" s="17" t="n"/>
      <c r="K57" s="17" t="n"/>
      <c r="L57" s="17" t="n"/>
    </row>
    <row r="58">
      <c r="B58" s="21" t="n"/>
      <c r="C58" s="22" t="inlineStr">
        <is>
          <t>D</t>
        </is>
      </c>
      <c r="D58" s="22" t="inlineStr">
        <is>
          <t>HSV-3</t>
        </is>
      </c>
      <c r="E58" s="22" t="inlineStr">
        <is>
          <t>HSV-3 Svislé konstrukce</t>
        </is>
      </c>
      <c r="F58" s="21" t="n"/>
      <c r="G58" s="21" t="n"/>
      <c r="H58" s="21" t="n"/>
      <c r="I58" s="21" t="n"/>
      <c r="J58" s="21" t="n"/>
      <c r="K58" s="21" t="n"/>
      <c r="L58" s="21" t="n"/>
    </row>
    <row r="59">
      <c r="B59" s="23" t="n">
        <v>13</v>
      </c>
      <c r="C59" s="23" t="inlineStr">
        <is>
          <t>K</t>
        </is>
      </c>
      <c r="D59" s="24" t="inlineStr">
        <is>
          <t>311233815</t>
        </is>
      </c>
      <c r="E59" s="24" t="inlineStr">
        <is>
          <t>Zadní opěrná stěna — prefabrikované betonové bloky Herkul H-BLOK Standard, vazba běhounová s posunem 0.5</t>
        </is>
      </c>
      <c r="F59" s="23" t="inlineStr">
        <is>
          <t>ks</t>
        </is>
      </c>
      <c r="G59" s="25" t="n">
        <v>60</v>
      </c>
      <c r="H59" s="26" t="n"/>
      <c r="I59" s="26">
        <f>IF(H59="",0,G59*H59)</f>
        <v/>
      </c>
      <c r="J59" s="23" t="inlineStr">
        <is>
          <t>ÚRS 2026</t>
        </is>
      </c>
      <c r="K59" s="32" t="inlineStr">
        <is>
          <t>? needs production lookup</t>
        </is>
      </c>
      <c r="L59" s="5" t="inlineStr">
        <is>
          <t>HSV-3 Svislé konstrukce</t>
        </is>
      </c>
    </row>
    <row r="60">
      <c r="B60" s="17" t="n"/>
      <c r="C60" s="28" t="inlineStr">
        <is>
          <t>VV</t>
        </is>
      </c>
      <c r="D60" s="17" t="n"/>
      <c r="E60" s="29" t="inlineStr">
        <is>
          <t>odhad — výška ~1.6 m × šíře 6.35 m / blok 0.8×0.4 = ~32 bloků × 2 řady = 64; round 60</t>
        </is>
      </c>
      <c r="F60" s="17" t="n"/>
      <c r="G60" s="30" t="n">
        <v>60</v>
      </c>
      <c r="H60" s="17" t="n"/>
      <c r="I60" s="17" t="n"/>
      <c r="J60" s="17" t="n"/>
      <c r="K60" s="17" t="n"/>
      <c r="L60" s="17" t="n"/>
    </row>
    <row r="61">
      <c r="B61" s="23" t="n">
        <v>14</v>
      </c>
      <c r="C61" s="23" t="inlineStr">
        <is>
          <t>K</t>
        </is>
      </c>
      <c r="D61" s="24" t="inlineStr">
        <is>
          <t>311233811</t>
        </is>
      </c>
      <c r="E61" s="24" t="inlineStr">
        <is>
          <t>Obvodové stěny skladu — tvarovky ztraceného bednění tl. 250 mm × výška 2.4 m + zalití C25/30</t>
        </is>
      </c>
      <c r="F61" s="23" t="inlineStr">
        <is>
          <t>m²</t>
        </is>
      </c>
      <c r="G61" s="25" t="n">
        <v>46.5</v>
      </c>
      <c r="H61" s="26" t="n"/>
      <c r="I61" s="26">
        <f>IF(H61="",0,G61*H61)</f>
        <v/>
      </c>
      <c r="J61" s="23" t="inlineStr">
        <is>
          <t>ÚRS 2026</t>
        </is>
      </c>
      <c r="K61" s="32" t="inlineStr">
        <is>
          <t>? needs production lookup</t>
        </is>
      </c>
      <c r="L61" s="5" t="inlineStr">
        <is>
          <t>HSV-3 Svislé konstrukce</t>
        </is>
      </c>
    </row>
    <row r="62">
      <c r="B62" s="17" t="n"/>
      <c r="C62" s="28" t="inlineStr">
        <is>
          <t>VV</t>
        </is>
      </c>
      <c r="D62" s="17" t="n"/>
      <c r="E62" s="29" t="inlineStr">
        <is>
          <t>obvod 19.4 m × výška 2.4 m = 46.6</t>
        </is>
      </c>
      <c r="F62" s="17" t="n"/>
      <c r="G62" s="30" t="n">
        <v>46.5</v>
      </c>
      <c r="H62" s="17" t="n"/>
      <c r="I62" s="17" t="n"/>
      <c r="J62" s="17" t="n"/>
      <c r="K62" s="17" t="n"/>
      <c r="L62" s="17" t="n"/>
    </row>
    <row r="63">
      <c r="B63" s="23" t="n">
        <v>15</v>
      </c>
      <c r="C63" s="23" t="inlineStr">
        <is>
          <t>K</t>
        </is>
      </c>
      <c r="D63" s="24" t="inlineStr">
        <is>
          <t>273361821</t>
        </is>
      </c>
      <c r="E63" s="24" t="inlineStr">
        <is>
          <t>Výztuž B500B do tvarovek ztraceného bednění (~30 kg/m² stěny při zalití C25/30)</t>
        </is>
      </c>
      <c r="F63" s="23" t="inlineStr">
        <is>
          <t>kg</t>
        </is>
      </c>
      <c r="G63" s="25" t="n">
        <v>1398</v>
      </c>
      <c r="H63" s="26" t="n"/>
      <c r="I63" s="26">
        <f>IF(H63="",0,G63*H63)</f>
        <v/>
      </c>
      <c r="J63" s="23" t="inlineStr">
        <is>
          <t>ÚRS 2026</t>
        </is>
      </c>
      <c r="K63" s="31" t="inlineStr">
        <is>
          <t>⚠ family OK, leaf KROS lookup [evidence: https://www.cs-urs.cz/cenova-soustava-urs/]</t>
        </is>
      </c>
      <c r="L63" s="5" t="inlineStr">
        <is>
          <t>HSV-3 Svislé konstrukce</t>
        </is>
      </c>
    </row>
    <row r="64">
      <c r="B64" s="17" t="n"/>
      <c r="C64" s="28" t="inlineStr">
        <is>
          <t>VV</t>
        </is>
      </c>
      <c r="D64" s="17" t="n"/>
      <c r="E64" s="29" t="inlineStr">
        <is>
          <t>46.6 × 30 kg/m² = 1398</t>
        </is>
      </c>
      <c r="F64" s="17" t="n"/>
      <c r="G64" s="30" t="n">
        <v>1398</v>
      </c>
      <c r="H64" s="17" t="n"/>
      <c r="I64" s="17" t="n"/>
      <c r="J64" s="17" t="n"/>
      <c r="K64" s="17" t="n"/>
      <c r="L64" s="17" t="n"/>
    </row>
    <row r="65">
      <c r="B65" s="21" t="n"/>
      <c r="C65" s="22" t="inlineStr">
        <is>
          <t>D</t>
        </is>
      </c>
      <c r="D65" s="22" t="inlineStr">
        <is>
          <t>HSV-4</t>
        </is>
      </c>
      <c r="E65" s="22" t="inlineStr">
        <is>
          <t>HSV-4 Vodorovné</t>
        </is>
      </c>
      <c r="F65" s="21" t="n"/>
      <c r="G65" s="21" t="n"/>
      <c r="H65" s="21" t="n"/>
      <c r="I65" s="21" t="n"/>
      <c r="J65" s="21" t="n"/>
      <c r="K65" s="21" t="n"/>
      <c r="L65" s="21" t="n"/>
    </row>
    <row r="66">
      <c r="B66" s="23" t="n">
        <v>16</v>
      </c>
      <c r="C66" s="23" t="inlineStr">
        <is>
          <t>K</t>
        </is>
      </c>
      <c r="D66" s="24" t="inlineStr">
        <is>
          <t>762341110</t>
        </is>
      </c>
      <c r="E66" s="24" t="inlineStr">
        <is>
          <t>Dřevěné stropnice 100/160 mm á 625 mm primární zastřešení skladu — rezivo C24 fungicidní</t>
        </is>
      </c>
      <c r="F66" s="23" t="inlineStr">
        <is>
          <t>bm</t>
        </is>
      </c>
      <c r="G66" s="25" t="n">
        <v>33.9</v>
      </c>
      <c r="H66" s="26" t="n"/>
      <c r="I66" s="26">
        <f>IF(H66="",0,G66*H66)</f>
        <v/>
      </c>
      <c r="J66" s="23" t="inlineStr">
        <is>
          <t>ÚRS 2026</t>
        </is>
      </c>
      <c r="K66" s="32" t="inlineStr">
        <is>
          <t>? needs production lookup</t>
        </is>
      </c>
      <c r="L66" s="5" t="inlineStr">
        <is>
          <t>HSV-4 Vodorovné</t>
        </is>
      </c>
    </row>
    <row r="67">
      <c r="B67" s="17" t="n"/>
      <c r="C67" s="28" t="inlineStr">
        <is>
          <t>VV</t>
        </is>
      </c>
      <c r="D67" s="17" t="n"/>
      <c r="E67" s="29" t="inlineStr">
        <is>
          <t>rozpon 3.34 × počet stropnic (6.35/0.625 = 10) = ~10 ks × 3.34 = 33.4</t>
        </is>
      </c>
      <c r="F67" s="17" t="n"/>
      <c r="G67" s="30" t="n">
        <v>33.9</v>
      </c>
      <c r="H67" s="17" t="n"/>
      <c r="I67" s="17" t="n"/>
      <c r="J67" s="17" t="n"/>
      <c r="K67" s="17" t="n"/>
      <c r="L67" s="17" t="n"/>
    </row>
    <row r="68">
      <c r="B68" s="23" t="n">
        <v>17</v>
      </c>
      <c r="C68" s="23" t="inlineStr">
        <is>
          <t>K</t>
        </is>
      </c>
      <c r="D68" s="24" t="inlineStr">
        <is>
          <t>762331110</t>
        </is>
      </c>
      <c r="E68" s="24" t="inlineStr">
        <is>
          <t>Prkenný záklop stropnic skladu tl. 20 mm + impregnace</t>
        </is>
      </c>
      <c r="F68" s="23" t="inlineStr">
        <is>
          <t>m²</t>
        </is>
      </c>
      <c r="G68" s="25" t="n">
        <v>21.209</v>
      </c>
      <c r="H68" s="26" t="n"/>
      <c r="I68" s="26">
        <f>IF(H68="",0,G68*H68)</f>
        <v/>
      </c>
      <c r="J68" s="23" t="inlineStr">
        <is>
          <t>ÚRS 2026</t>
        </is>
      </c>
      <c r="K68" s="32" t="inlineStr">
        <is>
          <t>? needs production lookup</t>
        </is>
      </c>
      <c r="L68" s="5" t="inlineStr">
        <is>
          <t>HSV-4 Vodorovné</t>
        </is>
      </c>
    </row>
    <row r="69">
      <c r="B69" s="17" t="n"/>
      <c r="C69" s="28" t="inlineStr">
        <is>
          <t>VV</t>
        </is>
      </c>
      <c r="D69" s="17" t="n"/>
      <c r="E69" s="29">
        <f> 21.2 m² strop skladu</f>
        <v/>
      </c>
      <c r="F69" s="17" t="n"/>
      <c r="G69" s="30" t="n">
        <v>21.209</v>
      </c>
      <c r="H69" s="17" t="n"/>
      <c r="I69" s="17" t="n"/>
      <c r="J69" s="17" t="n"/>
      <c r="K69" s="17" t="n"/>
      <c r="L69" s="17" t="n"/>
    </row>
    <row r="70">
      <c r="B70" s="23" t="n">
        <v>18</v>
      </c>
      <c r="C70" s="23" t="inlineStr">
        <is>
          <t>K</t>
        </is>
      </c>
      <c r="D70" s="24" t="inlineStr">
        <is>
          <t>712331101</t>
        </is>
      </c>
      <c r="E70" s="24" t="inlineStr">
        <is>
          <t>Hydroizolační střešní souvrství skladu (modifikovaný asfaltový pás SBS + ochranná vrstva)</t>
        </is>
      </c>
      <c r="F70" s="23" t="inlineStr">
        <is>
          <t>m²</t>
        </is>
      </c>
      <c r="G70" s="25" t="n">
        <v>22.26945</v>
      </c>
      <c r="H70" s="26" t="n"/>
      <c r="I70" s="26">
        <f>IF(H70="",0,G70*H70)</f>
        <v/>
      </c>
      <c r="J70" s="23" t="inlineStr">
        <is>
          <t>ÚRS 2026</t>
        </is>
      </c>
      <c r="K70" s="32" t="inlineStr">
        <is>
          <t>? needs production lookup</t>
        </is>
      </c>
      <c r="L70" s="5" t="inlineStr">
        <is>
          <t>HSV-4 Vodorovné</t>
        </is>
      </c>
    </row>
    <row r="71">
      <c r="B71" s="17" t="n"/>
      <c r="C71" s="28" t="inlineStr">
        <is>
          <t>VV</t>
        </is>
      </c>
      <c r="D71" s="17" t="n"/>
      <c r="E71" s="29" t="inlineStr">
        <is>
          <t>21.2 × 1.05 přesah</t>
        </is>
      </c>
      <c r="F71" s="17" t="n"/>
      <c r="G71" s="30" t="n">
        <v>22.26945</v>
      </c>
      <c r="H71" s="17" t="n"/>
      <c r="I71" s="17" t="n"/>
      <c r="J71" s="17" t="n"/>
      <c r="K71" s="17" t="n"/>
      <c r="L71" s="17" t="n"/>
    </row>
    <row r="72">
      <c r="B72" s="23" t="n">
        <v>19</v>
      </c>
      <c r="C72" s="23" t="inlineStr">
        <is>
          <t>K</t>
        </is>
      </c>
      <c r="D72" s="24" t="inlineStr">
        <is>
          <t>411321414</t>
        </is>
      </c>
      <c r="E72" s="24" t="inlineStr">
        <is>
          <t>Sekundární zastřešení parkingu — IPE180 v rozteči 1000 mm × délka 7 m × 7 ks</t>
        </is>
      </c>
      <c r="F72" s="23" t="inlineStr">
        <is>
          <t>kg</t>
        </is>
      </c>
      <c r="G72" s="25" t="n">
        <v>921</v>
      </c>
      <c r="H72" s="26" t="n"/>
      <c r="I72" s="26">
        <f>IF(H72="",0,G72*H72)</f>
        <v/>
      </c>
      <c r="J72" s="23" t="inlineStr">
        <is>
          <t>ÚRS 2026</t>
        </is>
      </c>
      <c r="K72" s="32" t="inlineStr">
        <is>
          <t>? needs production lookup</t>
        </is>
      </c>
      <c r="L72" s="5" t="inlineStr">
        <is>
          <t>HSV-4 Vodorovné</t>
        </is>
      </c>
    </row>
    <row r="73">
      <c r="B73" s="17" t="n"/>
      <c r="C73" s="28" t="inlineStr">
        <is>
          <t>VV</t>
        </is>
      </c>
      <c r="D73" s="17" t="n"/>
      <c r="E73" s="29" t="inlineStr">
        <is>
          <t>7 ks × 7 m × 18.8 kg/m = 921</t>
        </is>
      </c>
      <c r="F73" s="17" t="n"/>
      <c r="G73" s="30" t="n">
        <v>921</v>
      </c>
      <c r="H73" s="17" t="n"/>
      <c r="I73" s="17" t="n"/>
      <c r="J73" s="17" t="n"/>
      <c r="K73" s="17" t="n"/>
      <c r="L73" s="17" t="n"/>
    </row>
    <row r="74">
      <c r="B74" s="23" t="n">
        <v>20</v>
      </c>
      <c r="C74" s="23" t="inlineStr">
        <is>
          <t>K</t>
        </is>
      </c>
      <c r="D74" s="24" t="inlineStr">
        <is>
          <t>411321515</t>
        </is>
      </c>
      <c r="E74" s="24" t="inlineStr">
        <is>
          <t>Pojezdové ocelové pororošty demontovatelné — povrch parkingu (žárově zinkováno)</t>
        </is>
      </c>
      <c r="F74" s="23" t="inlineStr">
        <is>
          <t>m²</t>
        </is>
      </c>
      <c r="G74" s="25" t="n">
        <v>44.6</v>
      </c>
      <c r="H74" s="26" t="n"/>
      <c r="I74" s="26">
        <f>IF(H74="",0,G74*H74)</f>
        <v/>
      </c>
      <c r="J74" s="23" t="inlineStr">
        <is>
          <t>ÚRS 2026</t>
        </is>
      </c>
      <c r="K74" s="31" t="inlineStr">
        <is>
          <t>⚠ family OK, leaf KROS lookup [evidence: https://www.cs-urs.cz/cenova-soustava-urs/]</t>
        </is>
      </c>
      <c r="L74" s="5" t="inlineStr">
        <is>
          <t>HSV-4 Vodorovné</t>
        </is>
      </c>
    </row>
    <row r="75">
      <c r="B75" s="17" t="n"/>
      <c r="C75" s="28" t="inlineStr">
        <is>
          <t>VV</t>
        </is>
      </c>
      <c r="D75" s="17" t="n"/>
      <c r="E75" s="29" t="inlineStr">
        <is>
          <t>DXF sklad_DPZ km_tabulka místností room 1.01 (stání pororošt) = 44.60 m². Prior rough estimate 21.0 m² (7×3) under-counted by 112.4% — actual parking footprint covers full sklad+access zone 2 cars + manoeuvring strip.</t>
        </is>
      </c>
      <c r="F75" s="17" t="n"/>
      <c r="G75" s="30" t="n">
        <v>44.6</v>
      </c>
      <c r="H75" s="17" t="n"/>
      <c r="I75" s="17" t="n"/>
      <c r="J75" s="17" t="n"/>
      <c r="K75" s="17" t="n"/>
      <c r="L75" s="17" t="n"/>
    </row>
    <row r="76">
      <c r="B76" s="23" t="n">
        <v>21</v>
      </c>
      <c r="C76" s="23" t="inlineStr">
        <is>
          <t>K</t>
        </is>
      </c>
      <c r="D76" s="24" t="inlineStr">
        <is>
          <t>783201001</t>
        </is>
      </c>
      <c r="E76" s="24" t="inlineStr">
        <is>
          <t>Žárově zinková povrchová úprava IPE180 + pororoštů dle ČSN EN ISO 12944 (C3 prostředí)</t>
        </is>
      </c>
      <c r="F76" s="23" t="inlineStr">
        <is>
          <t>kg</t>
        </is>
      </c>
      <c r="G76" s="25" t="n">
        <v>1551</v>
      </c>
      <c r="H76" s="26" t="n"/>
      <c r="I76" s="26">
        <f>IF(H76="",0,G76*H76)</f>
        <v/>
      </c>
      <c r="J76" s="23" t="inlineStr">
        <is>
          <t>ÚRS 2026</t>
        </is>
      </c>
      <c r="K76" s="32" t="inlineStr">
        <is>
          <t>? needs production lookup</t>
        </is>
      </c>
      <c r="L76" s="5" t="inlineStr">
        <is>
          <t>HSV-4 Vodorovné</t>
        </is>
      </c>
    </row>
    <row r="77">
      <c r="B77" s="17" t="n"/>
      <c r="C77" s="28" t="inlineStr">
        <is>
          <t>VV</t>
        </is>
      </c>
      <c r="D77" s="17" t="n"/>
      <c r="E77" s="29">
        <f> hmotnost IPE180 (921 kg) + odhad pororoštů (21 m² × 30 kg/m²) = ~1551</f>
        <v/>
      </c>
      <c r="F77" s="17" t="n"/>
      <c r="G77" s="30" t="n">
        <v>1551</v>
      </c>
      <c r="H77" s="17" t="n"/>
      <c r="I77" s="17" t="n"/>
      <c r="J77" s="17" t="n"/>
      <c r="K77" s="17" t="n"/>
      <c r="L77" s="17" t="n"/>
    </row>
    <row r="78">
      <c r="B78" s="21" t="n"/>
      <c r="C78" s="22" t="inlineStr">
        <is>
          <t>D</t>
        </is>
      </c>
      <c r="D78" s="22" t="inlineStr">
        <is>
          <t>HSV-5</t>
        </is>
      </c>
      <c r="E78" s="22" t="inlineStr">
        <is>
          <t>HSV-5 Komunikace + schodiště</t>
        </is>
      </c>
      <c r="F78" s="21" t="n"/>
      <c r="G78" s="21" t="n"/>
      <c r="H78" s="21" t="n"/>
      <c r="I78" s="21" t="n"/>
      <c r="J78" s="21" t="n"/>
      <c r="K78" s="21" t="n"/>
      <c r="L78" s="21" t="n"/>
    </row>
    <row r="79">
      <c r="B79" s="23" t="n">
        <v>22</v>
      </c>
      <c r="C79" s="23" t="inlineStr">
        <is>
          <t>K</t>
        </is>
      </c>
      <c r="D79" s="24" t="inlineStr">
        <is>
          <t>121301101</t>
        </is>
      </c>
      <c r="E79" s="24" t="inlineStr">
        <is>
          <t>Sklad mezipodesta schodiště — prefa betonové stupně (9 ks × 179.5×250 mm) + kladecí vrstva zavlhlého betonu nad ŽB podkladní deskou (S05 sklad skladba)</t>
        </is>
      </c>
      <c r="F79" s="23" t="inlineStr">
        <is>
          <t>m²</t>
        </is>
      </c>
      <c r="G79" s="25" t="n">
        <v>5.5</v>
      </c>
      <c r="H79" s="26" t="n"/>
      <c r="I79" s="26">
        <f>IF(H79="",0,G79*H79)</f>
        <v/>
      </c>
      <c r="J79" s="23" t="inlineStr">
        <is>
          <t>ÚRS 2026</t>
        </is>
      </c>
      <c r="K79" s="32" t="inlineStr">
        <is>
          <t>? needs production lookup</t>
        </is>
      </c>
      <c r="L79" s="5" t="inlineStr">
        <is>
          <t>HSV-5 Komunikace + schodiště</t>
        </is>
      </c>
    </row>
    <row r="80">
      <c r="B80" s="17" t="n"/>
      <c r="C80" s="28" t="inlineStr">
        <is>
          <t>VV</t>
        </is>
      </c>
      <c r="D80" s="17" t="n"/>
      <c r="E80" s="29" t="inlineStr">
        <is>
          <t>DXF sklad_DPZ km_tabulka místností: room 1.02 schodiště plocha = 5.50 m². 9 stupňů 179.5×250 mm vyznačené v půdoryse parking sheet (Phase 3.5 cross-check)</t>
        </is>
      </c>
      <c r="F80" s="17" t="n"/>
      <c r="G80" s="30" t="n">
        <v>5.5</v>
      </c>
      <c r="H80" s="17" t="n"/>
      <c r="I80" s="17" t="n"/>
      <c r="J80" s="17" t="n"/>
      <c r="K80" s="17" t="n"/>
      <c r="L80" s="17" t="n"/>
    </row>
    <row r="81">
      <c r="B81" s="19" t="n"/>
      <c r="C81" s="20" t="inlineStr">
        <is>
          <t>D</t>
        </is>
      </c>
      <c r="D81" s="20" t="inlineStr">
        <is>
          <t>PSV</t>
        </is>
      </c>
      <c r="E81" s="20" t="inlineStr">
        <is>
          <t>Práce a dodávky PSV</t>
        </is>
      </c>
      <c r="F81" s="19" t="n"/>
      <c r="G81" s="19" t="n"/>
      <c r="H81" s="19" t="n"/>
      <c r="I81" s="19" t="n"/>
      <c r="J81" s="19" t="n"/>
      <c r="K81" s="19" t="n"/>
      <c r="L81" s="19" t="n"/>
    </row>
    <row r="82">
      <c r="B82" s="21" t="n"/>
      <c r="C82" s="22" t="inlineStr">
        <is>
          <t>D</t>
        </is>
      </c>
      <c r="D82" s="22" t="inlineStr">
        <is>
          <t>PSV-76</t>
        </is>
      </c>
      <c r="E82" s="22" t="inlineStr">
        <is>
          <t>PSV-76 Výplně otvorů</t>
        </is>
      </c>
      <c r="F82" s="21" t="n"/>
      <c r="G82" s="21" t="n"/>
      <c r="H82" s="21" t="n"/>
      <c r="I82" s="21" t="n"/>
      <c r="J82" s="21" t="n"/>
      <c r="K82" s="21" t="n"/>
      <c r="L82" s="21" t="n"/>
    </row>
    <row r="83">
      <c r="B83" s="23" t="n">
        <v>23</v>
      </c>
      <c r="C83" s="23" t="inlineStr">
        <is>
          <t>K</t>
        </is>
      </c>
      <c r="D83" s="24" t="inlineStr">
        <is>
          <t>766682111</t>
        </is>
      </c>
      <c r="E83" s="24" t="inlineStr">
        <is>
          <t>Bezpečnostní dveře RC3 v ocelové zárubni — vrata skladu (TZ statika §1.4 RC3 certifikované)</t>
        </is>
      </c>
      <c r="F83" s="23" t="inlineStr">
        <is>
          <t>ks</t>
        </is>
      </c>
      <c r="G83" s="25" t="n">
        <v>1</v>
      </c>
      <c r="H83" s="26" t="n"/>
      <c r="I83" s="26">
        <f>IF(H83="",0,G83*H83)</f>
        <v/>
      </c>
      <c r="J83" s="23" t="inlineStr">
        <is>
          <t>ÚRS 2026</t>
        </is>
      </c>
      <c r="K83" s="32" t="inlineStr">
        <is>
          <t>? needs production lookup</t>
        </is>
      </c>
      <c r="L83" s="5" t="inlineStr">
        <is>
          <t>PSV-76 Výplně otvorů</t>
        </is>
      </c>
    </row>
    <row r="84">
      <c r="B84" s="17" t="n"/>
      <c r="C84" s="28" t="inlineStr">
        <is>
          <t>VV</t>
        </is>
      </c>
      <c r="D84" s="17" t="n"/>
      <c r="E84" s="29" t="inlineStr">
        <is>
          <t>1 ks vstupní dveře skladu</t>
        </is>
      </c>
      <c r="F84" s="17" t="n"/>
      <c r="G84" s="30" t="n">
        <v>1</v>
      </c>
      <c r="H84" s="17" t="n"/>
      <c r="I84" s="17" t="n"/>
      <c r="J84" s="17" t="n"/>
      <c r="K84" s="17" t="n"/>
      <c r="L84" s="17" t="n"/>
    </row>
    <row r="85">
      <c r="B85" s="21" t="n"/>
      <c r="C85" s="22" t="inlineStr">
        <is>
          <t>D</t>
        </is>
      </c>
      <c r="D85" s="22" t="inlineStr">
        <is>
          <t>PSV-77</t>
        </is>
      </c>
      <c r="E85" s="22" t="inlineStr">
        <is>
          <t>PSV-77 Podlahy</t>
        </is>
      </c>
      <c r="F85" s="21" t="n"/>
      <c r="G85" s="21" t="n"/>
      <c r="H85" s="21" t="n"/>
      <c r="I85" s="21" t="n"/>
      <c r="J85" s="21" t="n"/>
      <c r="K85" s="21" t="n"/>
      <c r="L85" s="21" t="n"/>
    </row>
    <row r="86">
      <c r="B86" s="23" t="n">
        <v>24</v>
      </c>
      <c r="C86" s="23" t="inlineStr">
        <is>
          <t>K</t>
        </is>
      </c>
      <c r="D86" s="24" t="inlineStr"/>
      <c r="E86" s="24" t="inlineStr">
        <is>
          <t>Betonová dlažba do pískového lože — povrch podlahy skladu (~21 m²)</t>
        </is>
      </c>
      <c r="F86" s="23" t="inlineStr">
        <is>
          <t>m²</t>
        </is>
      </c>
      <c r="G86" s="25" t="n">
        <v>17.6</v>
      </c>
      <c r="H86" s="26" t="n"/>
      <c r="I86" s="26">
        <f>IF(H86="",0,G86*H86)</f>
        <v/>
      </c>
      <c r="J86" s="23" t="inlineStr">
        <is>
          <t>ÚRS 2026</t>
        </is>
      </c>
      <c r="K86" s="33" t="inlineStr">
        <is>
          <t>❌ MANUAL — KROS catalog lookup</t>
        </is>
      </c>
      <c r="L86" s="5" t="inlineStr">
        <is>
          <t>PSV-77 Podlahy</t>
        </is>
      </c>
    </row>
    <row r="87">
      <c r="B87" s="17" t="n"/>
      <c r="C87" s="28" t="inlineStr">
        <is>
          <t>VV</t>
        </is>
      </c>
      <c r="D87" s="17" t="n"/>
      <c r="E87" s="29" t="inlineStr">
        <is>
          <t>DXF sklad_DPZ km_tabulka místností room 0.01 (sklad zahradní techniky) = 17.60 m² (inner usable area per DXF room table, walls excluded). Prior estimate 21.209 m² (outer 6.35×3.34) over-counted by 17.0% — walls of tvarovky ZB tl. 250 mm take ~3.6 m² of outer footprint.</t>
        </is>
      </c>
      <c r="F87" s="17" t="n"/>
      <c r="G87" s="30" t="n">
        <v>17.6</v>
      </c>
      <c r="H87" s="17" t="n"/>
      <c r="I87" s="17" t="n"/>
      <c r="J87" s="17" t="n"/>
      <c r="K87" s="17" t="n"/>
      <c r="L87" s="17" t="n"/>
    </row>
    <row r="88">
      <c r="B88" s="19" t="n"/>
      <c r="C88" s="20" t="inlineStr">
        <is>
          <t>D</t>
        </is>
      </c>
      <c r="D88" s="20" t="inlineStr">
        <is>
          <t>VRN</t>
        </is>
      </c>
      <c r="E88" s="20" t="inlineStr">
        <is>
          <t>Vedlejší rozpočtové náklady</t>
        </is>
      </c>
      <c r="F88" s="19" t="n"/>
      <c r="G88" s="19" t="n"/>
      <c r="H88" s="19" t="n"/>
      <c r="I88" s="19" t="n"/>
      <c r="J88" s="19" t="n"/>
      <c r="K88" s="19" t="n"/>
      <c r="L88" s="19" t="n"/>
    </row>
    <row r="89">
      <c r="B89" s="21" t="n"/>
      <c r="C89" s="22" t="inlineStr">
        <is>
          <t>D</t>
        </is>
      </c>
      <c r="D89" s="22" t="inlineStr">
        <is>
          <t>VRN</t>
        </is>
      </c>
      <c r="E89" s="22" t="inlineStr">
        <is>
          <t>VRN — Společné</t>
        </is>
      </c>
      <c r="F89" s="21" t="n"/>
      <c r="G89" s="21" t="n"/>
      <c r="H89" s="21" t="n"/>
      <c r="I89" s="21" t="n"/>
      <c r="J89" s="21" t="n"/>
      <c r="K89" s="21" t="n"/>
      <c r="L89" s="21" t="n"/>
    </row>
    <row r="90">
      <c r="B90" s="23" t="n">
        <v>25</v>
      </c>
      <c r="C90" s="23" t="inlineStr">
        <is>
          <t>K</t>
        </is>
      </c>
      <c r="D90" s="24" t="inlineStr">
        <is>
          <t>030001000</t>
        </is>
      </c>
      <c r="E90" s="24" t="inlineStr">
        <is>
          <t>Podíl na obecných VRN domu (buňky, BOZP, pojištění, kolaudace) — paušál ~10 % nákladů sklad nebo % alokace</t>
        </is>
      </c>
      <c r="F90" s="23" t="inlineStr">
        <is>
          <t>paušál</t>
        </is>
      </c>
      <c r="G90" s="25" t="n">
        <v>1</v>
      </c>
      <c r="H90" s="26" t="n"/>
      <c r="I90" s="26">
        <f>IF(H90="",0,G90*H90)</f>
        <v/>
      </c>
      <c r="J90" s="23" t="inlineStr">
        <is>
          <t>ÚRS 2026</t>
        </is>
      </c>
      <c r="K90" s="32" t="inlineStr">
        <is>
          <t>? needs production lookup</t>
        </is>
      </c>
      <c r="L90" s="5" t="inlineStr">
        <is>
          <t>VRN — Společné</t>
        </is>
      </c>
    </row>
    <row r="91">
      <c r="B91" s="17" t="n"/>
      <c r="C91" s="28" t="inlineStr">
        <is>
          <t>VV</t>
        </is>
      </c>
      <c r="D91" s="17" t="n"/>
      <c r="E91" s="29" t="inlineStr">
        <is>
          <t>Standard paušální alokace VRN pro paralelně realizovaný menší objekt</t>
        </is>
      </c>
      <c r="F91" s="17" t="n"/>
      <c r="G91" s="30" t="n">
        <v>1</v>
      </c>
      <c r="H91" s="17" t="n"/>
      <c r="I91" s="17" t="n"/>
      <c r="J91" s="17" t="n"/>
      <c r="K91" s="17" t="n"/>
      <c r="L91" s="17" t="n"/>
    </row>
    <row r="92">
      <c r="B92" s="21" t="n"/>
      <c r="C92" s="22" t="inlineStr">
        <is>
          <t>D</t>
        </is>
      </c>
      <c r="D92" s="22" t="inlineStr">
        <is>
          <t>VRN</t>
        </is>
      </c>
      <c r="E92" s="22" t="inlineStr">
        <is>
          <t>VRN — Doprava + odpad</t>
        </is>
      </c>
      <c r="F92" s="21" t="n"/>
      <c r="G92" s="21" t="n"/>
      <c r="H92" s="21" t="n"/>
      <c r="I92" s="21" t="n"/>
      <c r="J92" s="21" t="n"/>
      <c r="K92" s="21" t="n"/>
      <c r="L92" s="21" t="n"/>
    </row>
    <row r="93">
      <c r="B93" s="23" t="n">
        <v>26</v>
      </c>
      <c r="C93" s="23" t="inlineStr">
        <is>
          <t>K</t>
        </is>
      </c>
      <c r="D93" s="24" t="inlineStr">
        <is>
          <t>031032000</t>
        </is>
      </c>
      <c r="E93" s="24" t="inlineStr">
        <is>
          <t>Doprava prefa H-BLOK Standard z výrobny Herkul (Obrnice) auto s hydraulickou rukou — celkem ~60 ks bloků</t>
        </is>
      </c>
      <c r="F93" s="23" t="inlineStr">
        <is>
          <t>kpl</t>
        </is>
      </c>
      <c r="G93" s="25" t="n">
        <v>1</v>
      </c>
      <c r="H93" s="26" t="n"/>
      <c r="I93" s="26">
        <f>IF(H93="",0,G93*H93)</f>
        <v/>
      </c>
      <c r="J93" s="23" t="inlineStr">
        <is>
          <t>ÚRS 2026</t>
        </is>
      </c>
      <c r="K93" s="32" t="inlineStr">
        <is>
          <t>? needs production lookup</t>
        </is>
      </c>
      <c r="L93" s="5" t="inlineStr">
        <is>
          <t>VRN — Doprava + odpad</t>
        </is>
      </c>
    </row>
    <row r="94">
      <c r="B94" s="17" t="n"/>
      <c r="C94" s="28" t="inlineStr">
        <is>
          <t>VV</t>
        </is>
      </c>
      <c r="D94" s="17" t="n"/>
      <c r="E94" s="29" t="inlineStr">
        <is>
          <t>Standard doprava prefa Herkul autem s hyd. rukou pro lokální distribuci</t>
        </is>
      </c>
      <c r="F94" s="17" t="n"/>
      <c r="G94" s="30" t="n">
        <v>1</v>
      </c>
      <c r="H94" s="17" t="n"/>
      <c r="I94" s="17" t="n"/>
      <c r="J94" s="17" t="n"/>
      <c r="K94" s="17" t="n"/>
      <c r="L94" s="17" t="n"/>
    </row>
    <row r="95">
      <c r="B95" s="23" t="n">
        <v>27</v>
      </c>
      <c r="C95" s="23" t="inlineStr">
        <is>
          <t>K</t>
        </is>
      </c>
      <c r="D95" s="24" t="inlineStr">
        <is>
          <t>997013211</t>
        </is>
      </c>
      <c r="E95" s="24" t="inlineStr">
        <is>
          <t>Likvidace odpadu sklad — kameny ze zídek + výkop + dřevo (drobné množství)</t>
        </is>
      </c>
      <c r="F95" s="23" t="inlineStr">
        <is>
          <t>t</t>
        </is>
      </c>
      <c r="G95" s="25" t="n">
        <v>8</v>
      </c>
      <c r="H95" s="26" t="n"/>
      <c r="I95" s="26">
        <f>IF(H95="",0,G95*H95)</f>
        <v/>
      </c>
      <c r="J95" s="23" t="inlineStr">
        <is>
          <t>ÚRS 2026</t>
        </is>
      </c>
      <c r="K95" s="32" t="inlineStr">
        <is>
          <t>? needs production lookup</t>
        </is>
      </c>
      <c r="L95" s="5" t="inlineStr">
        <is>
          <t>VRN — Doprava + odpad</t>
        </is>
      </c>
    </row>
    <row r="96">
      <c r="B96" s="17" t="n"/>
      <c r="C96" s="28" t="inlineStr">
        <is>
          <t>VV</t>
        </is>
      </c>
      <c r="D96" s="17" t="n"/>
      <c r="E96" s="29" t="inlineStr">
        <is>
          <t>Odhad: kamenné zídky ~6 t + dřevo+výkop ~2 t = 8 t</t>
        </is>
      </c>
      <c r="F96" s="17" t="n"/>
      <c r="G96" s="30" t="n">
        <v>8</v>
      </c>
      <c r="H96" s="17" t="n"/>
      <c r="I96" s="17" t="n"/>
      <c r="J96" s="17" t="n"/>
      <c r="K96" s="17" t="n"/>
      <c r="L96" s="17" t="n"/>
    </row>
    <row r="97">
      <c r="B97" s="21" t="n"/>
      <c r="C97" s="22" t="inlineStr">
        <is>
          <t>D</t>
        </is>
      </c>
      <c r="D97" s="22" t="inlineStr">
        <is>
          <t>VRN</t>
        </is>
      </c>
      <c r="E97" s="22" t="inlineStr">
        <is>
          <t>VRN — Geodet</t>
        </is>
      </c>
      <c r="F97" s="21" t="n"/>
      <c r="G97" s="21" t="n"/>
      <c r="H97" s="21" t="n"/>
      <c r="I97" s="21" t="n"/>
      <c r="J97" s="21" t="n"/>
      <c r="K97" s="21" t="n"/>
      <c r="L97" s="21" t="n"/>
    </row>
    <row r="98">
      <c r="B98" s="23" t="n">
        <v>28</v>
      </c>
      <c r="C98" s="23" t="inlineStr">
        <is>
          <t>K</t>
        </is>
      </c>
      <c r="D98" s="24" t="inlineStr">
        <is>
          <t>030141000</t>
        </is>
      </c>
      <c r="E98" s="24" t="inlineStr">
        <is>
          <t>Geodetické vytýčení sklad+parking+schodiště ze situace (před realizací)</t>
        </is>
      </c>
      <c r="F98" s="23" t="inlineStr">
        <is>
          <t>kpl</t>
        </is>
      </c>
      <c r="G98" s="25" t="n">
        <v>1</v>
      </c>
      <c r="H98" s="26" t="n"/>
      <c r="I98" s="26">
        <f>IF(H98="",0,G98*H98)</f>
        <v/>
      </c>
      <c r="J98" s="23" t="inlineStr">
        <is>
          <t>ÚRS 2026</t>
        </is>
      </c>
      <c r="K98" s="32" t="inlineStr">
        <is>
          <t>? needs production lookup</t>
        </is>
      </c>
      <c r="L98" s="5" t="inlineStr">
        <is>
          <t>VRN — Geodet</t>
        </is>
      </c>
    </row>
    <row r="99">
      <c r="B99" s="17" t="n"/>
      <c r="C99" s="28" t="inlineStr">
        <is>
          <t>VV</t>
        </is>
      </c>
      <c r="D99" s="17" t="n"/>
      <c r="E99" s="29" t="inlineStr">
        <is>
          <t>Standard geodet vytýčení pro nový objekt</t>
        </is>
      </c>
      <c r="F99" s="17" t="n"/>
      <c r="G99" s="30" t="n">
        <v>1</v>
      </c>
      <c r="H99" s="17" t="n"/>
      <c r="I99" s="17" t="n"/>
      <c r="J99" s="17" t="n"/>
      <c r="K99" s="17" t="n"/>
      <c r="L99" s="17" t="n"/>
    </row>
  </sheetData>
  <mergeCells count="11">
    <mergeCell ref="C7:K7"/>
    <mergeCell ref="C11:K11"/>
    <mergeCell ref="B14:K14"/>
    <mergeCell ref="C10:K10"/>
    <mergeCell ref="C5:K5"/>
    <mergeCell ref="C9:K9"/>
    <mergeCell ref="B29:K29"/>
    <mergeCell ref="C8:K8"/>
    <mergeCell ref="C4:K4"/>
    <mergeCell ref="C12:K12"/>
    <mergeCell ref="C6:K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233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28" customWidth="1" min="4" max="4"/>
    <col width="14" customWidth="1" min="5" max="5"/>
    <col width="8" customWidth="1" min="6" max="6"/>
    <col width="60" customWidth="1" min="7" max="7"/>
    <col width="60" customWidth="1" min="8" max="8"/>
  </cols>
  <sheetData>
    <row r="2">
      <c r="B2" s="1" t="inlineStr">
        <is>
          <t>STAV URS KÓDŮ — PŘEHLED PRO KARLA</t>
        </is>
      </c>
    </row>
    <row r="4">
      <c r="B4" s="4" t="inlineStr">
        <is>
          <t>Skupina</t>
        </is>
      </c>
      <c r="C4" s="4" t="inlineStr">
        <is>
          <t>Počet</t>
        </is>
      </c>
    </row>
    <row r="5">
      <c r="B5" s="5" t="inlineStr">
        <is>
          <t>✓ VERIFIED + CROSS_DISCIPLINE_OK</t>
        </is>
      </c>
      <c r="C5" s="23" t="n">
        <v>8</v>
      </c>
    </row>
    <row r="6">
      <c r="B6" s="5" t="inlineStr">
        <is>
          <t>⚠ FAMILY_VERIFIED (leaf KROS lookup)</t>
        </is>
      </c>
      <c r="C6" s="23" t="n">
        <v>51</v>
      </c>
    </row>
    <row r="7">
      <c r="B7" s="5" t="inlineStr">
        <is>
          <t>❌ WRONG_LEAF (HSV2.003 + HSV2.008 — 274 family)</t>
        </is>
      </c>
      <c r="C7" s="23" t="n">
        <v>0</v>
      </c>
    </row>
    <row r="8">
      <c r="B8" s="5" t="inlineStr">
        <is>
          <t>❌ MANUAL LOOKUP (no Phase 5B verdict, blank code)</t>
        </is>
      </c>
      <c r="C8" s="23" t="n">
        <v>5</v>
      </c>
    </row>
    <row r="9">
      <c r="B9" s="5" t="inlineStr">
        <is>
          <t>? needs_production_lookup (default)</t>
        </is>
      </c>
      <c r="C9" s="23" t="n">
        <v>146</v>
      </c>
    </row>
    <row r="10">
      <c r="B10" s="8" t="inlineStr">
        <is>
          <t>CELKEM AKTIVNÍ</t>
        </is>
      </c>
      <c r="C10" s="34" t="n">
        <v>210</v>
      </c>
    </row>
    <row r="13">
      <c r="B13" s="16" t="inlineStr">
        <is>
          <t>✓ VERIFIED + CROSS_DISCIPLINE_OK</t>
        </is>
      </c>
    </row>
    <row r="14">
      <c r="B14" s="4" t="inlineStr">
        <is>
          <t>ID</t>
        </is>
      </c>
      <c r="C14" s="4" t="inlineStr">
        <is>
          <t>Objekt</t>
        </is>
      </c>
      <c r="D14" s="4" t="inlineStr">
        <is>
          <t>Kapitola</t>
        </is>
      </c>
      <c r="E14" s="4" t="inlineStr">
        <is>
          <t>Kód proposed</t>
        </is>
      </c>
      <c r="F14" s="4" t="inlineStr">
        <is>
          <t>Family</t>
        </is>
      </c>
      <c r="G14" s="4" t="inlineStr">
        <is>
          <t>Popis</t>
        </is>
      </c>
      <c r="H14" s="4" t="inlineStr">
        <is>
          <t>Pozn. / hint</t>
        </is>
      </c>
    </row>
    <row r="15">
      <c r="B15" s="24" t="inlineStr">
        <is>
          <t>260219_dum.HSV1.001</t>
        </is>
      </c>
      <c r="C15" s="24" t="inlineStr">
        <is>
          <t>260219_dum</t>
        </is>
      </c>
      <c r="D15" s="24" t="inlineStr">
        <is>
          <t>HSV-1 Zemní práce</t>
        </is>
      </c>
      <c r="E15" s="24" t="inlineStr">
        <is>
          <t>121101101</t>
        </is>
      </c>
      <c r="F15" s="24" t="inlineStr"/>
      <c r="G15" s="24" t="inlineStr">
        <is>
          <t>Sejmutí ornice tl. 100 mm na ploše budoucí opěrné stěny a anglického d</t>
        </is>
      </c>
      <c r="H15" s="24" t="inlineStr">
        <is>
          <t>✓ ověřeno cs-urs.cz [evidence: https://www.cs-urs.cz/podminky/cu201/823-2-Rekultivace-(2020]</t>
        </is>
      </c>
    </row>
    <row r="16">
      <c r="B16" s="24" t="inlineStr">
        <is>
          <t>260219_dum.HSV1.006</t>
        </is>
      </c>
      <c r="C16" s="24" t="inlineStr">
        <is>
          <t>260219_dum</t>
        </is>
      </c>
      <c r="D16" s="24" t="inlineStr">
        <is>
          <t>HSV-1 Zemní práce</t>
        </is>
      </c>
      <c r="E16" s="24" t="inlineStr">
        <is>
          <t>151101101</t>
        </is>
      </c>
      <c r="F16" s="24" t="inlineStr"/>
      <c r="G16" s="24" t="inlineStr">
        <is>
          <t>Pažení a rozepření dočasných výkopů příložné, hl. do 2 m, v zemině tří</t>
        </is>
      </c>
      <c r="H16" s="24" t="inlineStr">
        <is>
          <t>✓ ověřeno cs-urs.cz [evidence: https://www.cs-urs.cz/podminky/cu201/800-1-Zemni-prace-(2020]</t>
        </is>
      </c>
    </row>
    <row r="17">
      <c r="B17" s="24" t="inlineStr">
        <is>
          <t>260217_sklad.HSV1.001</t>
        </is>
      </c>
      <c r="C17" s="24" t="inlineStr">
        <is>
          <t>260217_sklad</t>
        </is>
      </c>
      <c r="D17" s="24" t="inlineStr">
        <is>
          <t>HSV-1 Zemní práce</t>
        </is>
      </c>
      <c r="E17" s="24" t="inlineStr">
        <is>
          <t>962031132</t>
        </is>
      </c>
      <c r="F17" s="24" t="inlineStr"/>
      <c r="G17" s="24" t="inlineStr">
        <is>
          <t>Sejmutí ornice a demolice stávajících kamenných zídek a schodiště v mí</t>
        </is>
      </c>
      <c r="H17" s="24" t="inlineStr">
        <is>
          <t>✓ cross-discipline OK [evidence: https://www.cs-urs.cz/podminky/cu202/801-3-Budovy-a-haly---b]</t>
        </is>
      </c>
    </row>
    <row r="18">
      <c r="B18" s="24" t="inlineStr">
        <is>
          <t>260217_sklad.HSV2.005</t>
        </is>
      </c>
      <c r="C18" s="24" t="inlineStr">
        <is>
          <t>260217_sklad</t>
        </is>
      </c>
      <c r="D18" s="24" t="inlineStr">
        <is>
          <t>HSV-2 Základové a ŽB</t>
        </is>
      </c>
      <c r="E18" s="24" t="inlineStr">
        <is>
          <t>174101101</t>
        </is>
      </c>
      <c r="F18" s="24" t="inlineStr"/>
      <c r="G18" s="24" t="inlineStr">
        <is>
          <t>Štěrkopískové lože pod podlahu skladu + pod schodišťovou desku</t>
        </is>
      </c>
      <c r="H18" s="24" t="inlineStr">
        <is>
          <t>✓ cross-discipline OK [evidence: https://www.cs-urs.cz/podminky/cu201/800-1-Zemni-prace-(2020]</t>
        </is>
      </c>
    </row>
    <row r="19">
      <c r="B19" s="24" t="inlineStr">
        <is>
          <t>260219_dum.HSV3.002</t>
        </is>
      </c>
      <c r="C19" s="24" t="inlineStr">
        <is>
          <t>260219_dum</t>
        </is>
      </c>
      <c r="D19" s="24" t="inlineStr">
        <is>
          <t>HSV-3 Svislé konstrukce</t>
        </is>
      </c>
      <c r="E19" s="24" t="inlineStr">
        <is>
          <t>311321411</t>
        </is>
      </c>
      <c r="F19" s="24" t="inlineStr"/>
      <c r="G19" s="24" t="inlineStr">
        <is>
          <t>Nadezdívka 3.NP a čela vikýřů — Porotherm 30 Profi P10 na maltu pro te</t>
        </is>
      </c>
      <c r="H19" s="24" t="inlineStr">
        <is>
          <t>✓ ověřeno cs-urs.cz [evidence: https://www.wienerberger.cz/zdivo-porotherm/produkty/cihly/p]</t>
        </is>
      </c>
    </row>
    <row r="20">
      <c r="B20" s="24" t="inlineStr">
        <is>
          <t>260219_dum.HSV3.005</t>
        </is>
      </c>
      <c r="C20" s="24" t="inlineStr">
        <is>
          <t>260219_dum</t>
        </is>
      </c>
      <c r="D20" s="24" t="inlineStr">
        <is>
          <t>HSV-3 Svislé konstrukce</t>
        </is>
      </c>
      <c r="E20" s="24" t="inlineStr">
        <is>
          <t>767131120</t>
        </is>
      </c>
      <c r="F20" s="24" t="inlineStr"/>
      <c r="G20" s="24" t="inlineStr">
        <is>
          <t xml:space="preserve">Zesílení ostění úhelníky L100/10 dvojicí u otvoru u komínového tělesa </t>
        </is>
      </c>
      <c r="H20" s="24" t="inlineStr">
        <is>
          <t>✓ cross-discipline OK [evidence: https://online.ferona.cz/detail/28401/profil-rovnoramenny-l-]</t>
        </is>
      </c>
    </row>
    <row r="21">
      <c r="B21" s="24" t="inlineStr">
        <is>
          <t>260219_dum.HSV4.007</t>
        </is>
      </c>
      <c r="C21" s="24" t="inlineStr">
        <is>
          <t>260219_dum</t>
        </is>
      </c>
      <c r="D21" s="24" t="inlineStr">
        <is>
          <t>HSV-4 Vodorovné</t>
        </is>
      </c>
      <c r="E21" s="24" t="inlineStr">
        <is>
          <t>974031150</t>
        </is>
      </c>
      <c r="F21" s="24" t="inlineStr"/>
      <c r="G21" s="24" t="inlineStr">
        <is>
          <t>Vyvezení původního zásypu z cihelné klenby 1.PP/1.NP — manuálně + odvo</t>
        </is>
      </c>
      <c r="H21" s="24" t="inlineStr">
        <is>
          <t>✓ cross-discipline OK [evidence: https://www.cs-urs.cz/podminky/cu202/801-3-Budovy-a-haly---b]</t>
        </is>
      </c>
    </row>
    <row r="22">
      <c r="B22" s="24" t="inlineStr">
        <is>
          <t>260219_dum.HSV5.009</t>
        </is>
      </c>
      <c r="C22" s="24" t="inlineStr">
        <is>
          <t>260219_dum</t>
        </is>
      </c>
      <c r="D22" s="24" t="inlineStr">
        <is>
          <t>HSV-5 Krov + střecha</t>
        </is>
      </c>
      <c r="E22" s="24" t="inlineStr">
        <is>
          <t>713131811</t>
        </is>
      </c>
      <c r="F22" s="24" t="inlineStr"/>
      <c r="G22" s="24" t="inlineStr">
        <is>
          <t xml:space="preserve">Nadkrokevní tepelná izolace PIR (polyisokyanurát) tl. 160 mm (λ=0,022 </t>
        </is>
      </c>
      <c r="H22" s="24" t="inlineStr">
        <is>
          <t>✓ ověřeno cs-urs.cz [evidence: https://www.pamazastreseni.cz/katalog/228-pamatherm-alukraft]</t>
        </is>
      </c>
    </row>
    <row r="24">
      <c r="B24" s="16" t="inlineStr">
        <is>
          <t>⚠ FAMILY_VERIFIED (leaf KROS lookup)</t>
        </is>
      </c>
    </row>
    <row r="25">
      <c r="B25" s="4" t="inlineStr">
        <is>
          <t>ID</t>
        </is>
      </c>
      <c r="C25" s="4" t="inlineStr">
        <is>
          <t>Objekt</t>
        </is>
      </c>
      <c r="D25" s="4" t="inlineStr">
        <is>
          <t>Kapitola</t>
        </is>
      </c>
      <c r="E25" s="4" t="inlineStr">
        <is>
          <t>Kód proposed</t>
        </is>
      </c>
      <c r="F25" s="4" t="inlineStr">
        <is>
          <t>Family</t>
        </is>
      </c>
      <c r="G25" s="4" t="inlineStr">
        <is>
          <t>Popis</t>
        </is>
      </c>
      <c r="H25" s="4" t="inlineStr">
        <is>
          <t>Pozn. / hint</t>
        </is>
      </c>
    </row>
    <row r="26">
      <c r="B26" s="24" t="inlineStr">
        <is>
          <t>260219_dum.HSV1.002</t>
        </is>
      </c>
      <c r="C26" s="24" t="inlineStr">
        <is>
          <t>260219_dum</t>
        </is>
      </c>
      <c r="D26" s="24" t="inlineStr">
        <is>
          <t>HSV-1 Zemní práce</t>
        </is>
      </c>
      <c r="E26" s="24" t="inlineStr">
        <is>
          <t>132201101</t>
        </is>
      </c>
      <c r="F26" s="24" t="inlineStr"/>
      <c r="G26" s="24" t="inlineStr">
        <is>
          <t>Hloubení rýh š. do 60 cm pro pas opěrné stěny bílé vany v zemině třídy</t>
        </is>
      </c>
      <c r="H26" s="24" t="inlineStr">
        <is>
          <t>⚠ family OK, leaf KROS lookup [evidence: https://www.cs-urs.cz/podminky/cu201/800-1-Zemni-prace-(2020]</t>
        </is>
      </c>
    </row>
    <row r="27">
      <c r="B27" s="24" t="inlineStr">
        <is>
          <t>260219_dum.HSV1.003</t>
        </is>
      </c>
      <c r="C27" s="24" t="inlineStr">
        <is>
          <t>260219_dum</t>
        </is>
      </c>
      <c r="D27" s="24" t="inlineStr">
        <is>
          <t>HSV-1 Zemní práce</t>
        </is>
      </c>
      <c r="E27" s="24" t="inlineStr">
        <is>
          <t>131201101</t>
        </is>
      </c>
      <c r="F27" s="24" t="inlineStr"/>
      <c r="G27" s="24" t="inlineStr">
        <is>
          <t xml:space="preserve">Hloubení jam nezapažených pro anglický dvorek a nový vstup do 1.PP ze </t>
        </is>
      </c>
      <c r="H27" s="24" t="inlineStr">
        <is>
          <t>⚠ family OK, leaf KROS lookup [evidence: https://www.cs-urs.cz/podminky/cu201/800-1-Zemni-prace-(2020]</t>
        </is>
      </c>
    </row>
    <row r="28">
      <c r="B28" s="24" t="inlineStr">
        <is>
          <t>260219_dum.HSV1.007</t>
        </is>
      </c>
      <c r="C28" s="24" t="inlineStr">
        <is>
          <t>260219_dum</t>
        </is>
      </c>
      <c r="D28" s="24" t="inlineStr">
        <is>
          <t>HSV-1 Zemní práce</t>
        </is>
      </c>
      <c r="E28" s="24" t="inlineStr"/>
      <c r="F28" s="24" t="inlineStr">
        <is>
          <t>162701</t>
        </is>
      </c>
      <c r="G28" s="24" t="inlineStr">
        <is>
          <t>Vodorovné přemístění výkopku — odvoz na deponii do 8 km vč. skládkovné</t>
        </is>
      </c>
      <c r="H28" s="24" t="inlineStr">
        <is>
          <t>⚠ family 162701 OK — leaf KROS lookup [evidence: https://www.cs-urs.cz/podminky/cu201/800-1-Zemni-prace-(2020]</t>
        </is>
      </c>
    </row>
    <row r="29">
      <c r="B29" s="24" t="inlineStr">
        <is>
          <t>260219_dum.HSV1.008</t>
        </is>
      </c>
      <c r="C29" s="24" t="inlineStr">
        <is>
          <t>260219_dum</t>
        </is>
      </c>
      <c r="D29" s="24" t="inlineStr">
        <is>
          <t>HSV-1 Zemní práce</t>
        </is>
      </c>
      <c r="E29" s="24" t="inlineStr">
        <is>
          <t>174101101</t>
        </is>
      </c>
      <c r="F29" s="24" t="inlineStr"/>
      <c r="G29" s="24" t="inlineStr">
        <is>
          <t>Zhutněný štěrkopískový zásyp + lože pod ŽB deskou 1.NP, Edef2 ≥ 30 MPa</t>
        </is>
      </c>
      <c r="H29" s="24" t="inlineStr">
        <is>
          <t>⚠ family OK, leaf KROS lookup [evidence: https://www.cs-urs.cz/cenova-soustava-urs/]</t>
        </is>
      </c>
    </row>
    <row r="30">
      <c r="B30" s="24" t="inlineStr">
        <is>
          <t>260219_dum.HSV2.001</t>
        </is>
      </c>
      <c r="C30" s="24" t="inlineStr">
        <is>
          <t>260219_dum</t>
        </is>
      </c>
      <c r="D30" s="24" t="inlineStr">
        <is>
          <t>HSV-2 Základové a ŽB</t>
        </is>
      </c>
      <c r="E30" s="24" t="inlineStr">
        <is>
          <t>274321321</t>
        </is>
      </c>
      <c r="F30" s="24" t="inlineStr"/>
      <c r="G30" s="24" t="inlineStr">
        <is>
          <t>Bílá vana ČBS 02 — pata úhlové opěrné stěny 250×1200 mm × L=10 m, C25/</t>
        </is>
      </c>
      <c r="H30" s="24" t="inlineStr">
        <is>
          <t>⚠ family OK, leaf KROS lookup [evidence: https://www.cs-urs.cz/podminky/cu202/801-1-Budovy-a-haly---z]</t>
        </is>
      </c>
    </row>
    <row r="31">
      <c r="B31" s="24" t="inlineStr">
        <is>
          <t>260219_dum.HSV2.004</t>
        </is>
      </c>
      <c r="C31" s="24" t="inlineStr">
        <is>
          <t>260219_dum</t>
        </is>
      </c>
      <c r="D31" s="24" t="inlineStr">
        <is>
          <t>HSV-2 Základové a ŽB</t>
        </is>
      </c>
      <c r="E31" s="24" t="inlineStr">
        <is>
          <t>273361821</t>
        </is>
      </c>
      <c r="F31" s="24" t="inlineStr"/>
      <c r="G31" s="24" t="inlineStr">
        <is>
          <t>Výztuž bílé vany B500B 120 kg/m³ (empirická sazba Methvin pro úhlové o</t>
        </is>
      </c>
      <c r="H31" s="24" t="inlineStr">
        <is>
          <t>⚠ family OK, leaf KROS lookup [evidence: https://cs.wikipedia.org/wiki/Beton%C3%A1%C5%99sk%C3%A1_v%C3]</t>
        </is>
      </c>
    </row>
    <row r="32">
      <c r="B32" s="24" t="inlineStr">
        <is>
          <t>260219_dum.HSV2.007</t>
        </is>
      </c>
      <c r="C32" s="24" t="inlineStr">
        <is>
          <t>260219_dum</t>
        </is>
      </c>
      <c r="D32" s="24" t="inlineStr">
        <is>
          <t>HSV-2 Základové a ŽB</t>
        </is>
      </c>
      <c r="E32" s="24" t="inlineStr">
        <is>
          <t>274321311</t>
        </is>
      </c>
      <c r="F32" s="24" t="inlineStr"/>
      <c r="G32" s="24" t="inlineStr">
        <is>
          <t>ŽB pozední věnec 300×250 mm po obvodu nadezdívky 3.NP, beton C25/30 XC</t>
        </is>
      </c>
      <c r="H32" s="24" t="inlineStr">
        <is>
          <t>⚠ family OK, leaf KROS lookup [evidence: https://www.estav.cz/cz/10863.pozedni-zelezobetonovy-venec-k]</t>
        </is>
      </c>
    </row>
    <row r="33">
      <c r="B33" s="24" t="inlineStr">
        <is>
          <t>260219_dum.HSV2.010</t>
        </is>
      </c>
      <c r="C33" s="24" t="inlineStr">
        <is>
          <t>260219_dum</t>
        </is>
      </c>
      <c r="D33" s="24" t="inlineStr">
        <is>
          <t>HSV-2 Základové a ŽB</t>
        </is>
      </c>
      <c r="E33" s="24" t="inlineStr">
        <is>
          <t>274321111</t>
        </is>
      </c>
      <c r="F33" s="24" t="inlineStr"/>
      <c r="G33" s="24" t="inlineStr">
        <is>
          <t>Nabetonávka stropu 2.NP/3.NP — beton C25/30 XC1 tl. 60 mm nad vlnu tra</t>
        </is>
      </c>
      <c r="H33" s="24" t="inlineStr">
        <is>
          <t>⚠ family OK, leaf KROS lookup [evidence: https://www.cs-urs.cz/podminky/cu202/801-1-Budovy-a-haly---z]</t>
        </is>
      </c>
    </row>
    <row r="34">
      <c r="B34" s="24" t="inlineStr">
        <is>
          <t>260219_dum.HSV2.012</t>
        </is>
      </c>
      <c r="C34" s="24" t="inlineStr">
        <is>
          <t>260219_dum</t>
        </is>
      </c>
      <c r="D34" s="24" t="inlineStr">
        <is>
          <t>HSV-2 Základové a ŽB</t>
        </is>
      </c>
      <c r="E34" s="24" t="inlineStr">
        <is>
          <t>273321311</t>
        </is>
      </c>
      <c r="F34" s="24" t="inlineStr"/>
      <c r="G34" s="24" t="inlineStr">
        <is>
          <t>ŽB deska podlahy 1.NP na terénu tl. 150 mm, C25/30 XC2 + vyztužení kar</t>
        </is>
      </c>
      <c r="H34" s="24" t="inlineStr">
        <is>
          <t>⚠ family OK, leaf KROS lookup [evidence: https://styrotrade.cz/cs/nas-obchod/odborne-rady/skladby-pod]</t>
        </is>
      </c>
    </row>
    <row r="35">
      <c r="B35" s="24" t="inlineStr">
        <is>
          <t>260217_sklad.HSV2.002</t>
        </is>
      </c>
      <c r="C35" s="24" t="inlineStr">
        <is>
          <t>260217_sklad</t>
        </is>
      </c>
      <c r="D35" s="24" t="inlineStr">
        <is>
          <t>HSV-2 Základové a ŽB</t>
        </is>
      </c>
      <c r="E35" s="24" t="inlineStr">
        <is>
          <t>273313811</t>
        </is>
      </c>
      <c r="F35" s="24" t="inlineStr"/>
      <c r="G35" s="24" t="inlineStr">
        <is>
          <t>Dvoustupňové patky pro IPE180 zastřešení parkingu — spodní část prostý</t>
        </is>
      </c>
      <c r="H35" s="24" t="inlineStr">
        <is>
          <t>⚠ family OK, leaf KROS lookup [evidence: https://www.cs-urs.cz/podminky/cu202/801-1-Budovy-a-haly---z]</t>
        </is>
      </c>
    </row>
    <row r="36">
      <c r="B36" s="24" t="inlineStr">
        <is>
          <t>260219_dum.HSV3.003</t>
        </is>
      </c>
      <c r="C36" s="24" t="inlineStr">
        <is>
          <t>260219_dum</t>
        </is>
      </c>
      <c r="D36" s="24" t="inlineStr">
        <is>
          <t>HSV-3 Svislé konstrukce</t>
        </is>
      </c>
      <c r="E36" s="24" t="inlineStr">
        <is>
          <t>317143112</t>
        </is>
      </c>
      <c r="F36" s="24" t="inlineStr"/>
      <c r="G36" s="24" t="inlineStr">
        <is>
          <t>Ocelové překlady IPN160 ve dvojici nad otvory pro nové dveře/okna v 1.</t>
        </is>
      </c>
      <c r="H36" s="24" t="inlineStr">
        <is>
          <t>⚠ family OK, leaf KROS lookup [evidence: https://www.heluz.cz/cs/vyrobek/preklad-heluz-23-8-a-200-1]</t>
        </is>
      </c>
    </row>
    <row r="37">
      <c r="B37" s="24" t="inlineStr">
        <is>
          <t>260219_dum.HSV3.006</t>
        </is>
      </c>
      <c r="C37" s="24" t="inlineStr">
        <is>
          <t>260219_dum</t>
        </is>
      </c>
      <c r="D37" s="24" t="inlineStr">
        <is>
          <t>HSV-3 Svislé konstrukce</t>
        </is>
      </c>
      <c r="E37" s="24" t="inlineStr">
        <is>
          <t>962081120</t>
        </is>
      </c>
      <c r="F37" s="24" t="inlineStr"/>
      <c r="G37" s="24" t="inlineStr">
        <is>
          <t>Dočasné podstojkování stávajících přiléhajících stropů při osazování I</t>
        </is>
      </c>
      <c r="H37" s="24" t="inlineStr">
        <is>
          <t>⚠ family OK, leaf KROS lookup [evidence: https://www.cs-urs.cz/podminky/cu202/801-3-Budovy-a-haly---b]</t>
        </is>
      </c>
    </row>
    <row r="38">
      <c r="B38" s="24" t="inlineStr">
        <is>
          <t>260219_dum.HSV3.007</t>
        </is>
      </c>
      <c r="C38" s="24" t="inlineStr">
        <is>
          <t>260219_dum</t>
        </is>
      </c>
      <c r="D38" s="24" t="inlineStr">
        <is>
          <t>HSV-3 Svislé konstrukce</t>
        </is>
      </c>
      <c r="E38" s="24" t="inlineStr">
        <is>
          <t>342241211</t>
        </is>
      </c>
      <c r="F38" s="24" t="inlineStr"/>
      <c r="G38" s="24" t="inlineStr">
        <is>
          <t>Nové příčky z pórobetonových tvárnic 150 mm na lepidlo + dilatovány od</t>
        </is>
      </c>
      <c r="H38" s="24" t="inlineStr">
        <is>
          <t>⚠ family OK, leaf KROS lookup [evidence: https://www.stavago.cz/prickovka-ytong-klasik-tl-150-mm/]</t>
        </is>
      </c>
    </row>
    <row r="39">
      <c r="B39" s="24" t="inlineStr">
        <is>
          <t>260217_sklad.HSV3.003</t>
        </is>
      </c>
      <c r="C39" s="24" t="inlineStr">
        <is>
          <t>260217_sklad</t>
        </is>
      </c>
      <c r="D39" s="24" t="inlineStr">
        <is>
          <t>HSV-3 Svislé konstrukce</t>
        </is>
      </c>
      <c r="E39" s="24" t="inlineStr">
        <is>
          <t>273361821</t>
        </is>
      </c>
      <c r="F39" s="24" t="inlineStr"/>
      <c r="G39" s="24" t="inlineStr">
        <is>
          <t>Výztuž B500B do tvarovek ztraceného bednění (~30 kg/m² stěny při zalit</t>
        </is>
      </c>
      <c r="H39" s="24" t="inlineStr">
        <is>
          <t>⚠ family OK, leaf KROS lookup [evidence: https://www.cs-urs.cz/cenova-soustava-urs/]</t>
        </is>
      </c>
    </row>
    <row r="40">
      <c r="B40" s="24" t="inlineStr">
        <is>
          <t>260219_dum.HSV4.001</t>
        </is>
      </c>
      <c r="C40" s="24" t="inlineStr">
        <is>
          <t>260219_dum</t>
        </is>
      </c>
      <c r="D40" s="24" t="inlineStr">
        <is>
          <t>HSV-4 Vodorovné</t>
        </is>
      </c>
      <c r="E40" s="24" t="inlineStr">
        <is>
          <t>411321414</t>
        </is>
      </c>
      <c r="F40" s="24" t="inlineStr"/>
      <c r="G40" s="24" t="inlineStr">
        <is>
          <t>Ocelová stropnice IPE180 1.NP v pozici nové příčky 2.NP — dodávka + mo</t>
        </is>
      </c>
      <c r="H40" s="24" t="inlineStr">
        <is>
          <t>⚠ family OK, leaf KROS lookup [evidence: https://podminky.urs.cz/]</t>
        </is>
      </c>
    </row>
    <row r="41">
      <c r="B41" s="24" t="inlineStr">
        <is>
          <t>260219_dum.HSV4.002</t>
        </is>
      </c>
      <c r="C41" s="24" t="inlineStr">
        <is>
          <t>260219_dum</t>
        </is>
      </c>
      <c r="D41" s="24" t="inlineStr">
        <is>
          <t>HSV-4 Vodorovné</t>
        </is>
      </c>
      <c r="E41" s="24" t="inlineStr">
        <is>
          <t>411321414</t>
        </is>
      </c>
      <c r="F41" s="24" t="inlineStr"/>
      <c r="G41" s="24" t="inlineStr">
        <is>
          <t>Ocelobetonový strop 2.NP/3.NP — stropnice IPE180 á 1000 mm × rozpon ~8</t>
        </is>
      </c>
      <c r="H41" s="24" t="inlineStr">
        <is>
          <t>⚠ family OK, leaf KROS lookup [evidence: https://www.urs.cz/data/download/seznam-katalogu-cs-urs-v-kr]</t>
        </is>
      </c>
    </row>
    <row r="42">
      <c r="B42" s="24" t="inlineStr">
        <is>
          <t>260219_dum.HSV4.003</t>
        </is>
      </c>
      <c r="C42" s="24" t="inlineStr">
        <is>
          <t>260219_dum</t>
        </is>
      </c>
      <c r="D42" s="24" t="inlineStr">
        <is>
          <t>HSV-4 Vodorovné</t>
        </is>
      </c>
      <c r="E42" s="24" t="inlineStr">
        <is>
          <t>411321414</t>
        </is>
      </c>
      <c r="F42" s="24" t="inlineStr"/>
      <c r="G42" s="24" t="inlineStr">
        <is>
          <t>Ocelobetonový strop — výztuha 2×HEA180 trakt do ulice (Fibichova), dl.</t>
        </is>
      </c>
      <c r="H42" s="24" t="inlineStr">
        <is>
          <t>⚠ family OK, leaf KROS lookup [evidence: https://podminky.urs.cz/]</t>
        </is>
      </c>
    </row>
    <row r="43">
      <c r="B43" s="24" t="inlineStr">
        <is>
          <t>260219_dum.HSV4.005</t>
        </is>
      </c>
      <c r="C43" s="24" t="inlineStr">
        <is>
          <t>260219_dum</t>
        </is>
      </c>
      <c r="D43" s="24" t="inlineStr">
        <is>
          <t>HSV-4 Vodorovné</t>
        </is>
      </c>
      <c r="E43" s="24" t="inlineStr">
        <is>
          <t>411321414</t>
        </is>
      </c>
      <c r="F43" s="24" t="inlineStr"/>
      <c r="G43" s="24" t="inlineStr">
        <is>
          <t>Trapézový plech 40S/160 tl. 0.75 mm — dodávka + montáž na stropnice IP</t>
        </is>
      </c>
      <c r="H43" s="24" t="inlineStr">
        <is>
          <t>⚠ family OK, leaf KROS lookup [evidence: https://www.cs-urs.cz/podminky/cu202/801-1-Budovy-a-haly---z]</t>
        </is>
      </c>
    </row>
    <row r="44">
      <c r="B44" s="24" t="inlineStr">
        <is>
          <t>260219_dum.HSV4.006</t>
        </is>
      </c>
      <c r="C44" s="24" t="inlineStr">
        <is>
          <t>260219_dum</t>
        </is>
      </c>
      <c r="D44" s="24" t="inlineStr">
        <is>
          <t>HSV-4 Vodorovné</t>
        </is>
      </c>
      <c r="E44" s="24" t="inlineStr">
        <is>
          <t>342213131</t>
        </is>
      </c>
      <c r="F44" s="24" t="inlineStr"/>
      <c r="G44" s="24" t="inlineStr">
        <is>
          <t>Protipožární SDK podhled pod trapézovým plechem (EI 30 dle PBŘ — ocelo</t>
        </is>
      </c>
      <c r="H44" s="24" t="inlineStr">
        <is>
          <t>⚠ family OK, leaf KROS lookup [evidence: https://www.cs-urs.cz/podminky/cu202/801-1-Budovy-a-haly---z]</t>
        </is>
      </c>
    </row>
    <row r="45">
      <c r="B45" s="24" t="inlineStr">
        <is>
          <t>260219_dum.HSV4.011</t>
        </is>
      </c>
      <c r="C45" s="24" t="inlineStr">
        <is>
          <t>260219_dum</t>
        </is>
      </c>
      <c r="D45" s="24" t="inlineStr">
        <is>
          <t>HSV-4 Vodorovné</t>
        </is>
      </c>
      <c r="E45" s="24" t="inlineStr">
        <is>
          <t>713121121</t>
        </is>
      </c>
      <c r="F45" s="24" t="inlineStr"/>
      <c r="G45" s="24" t="inlineStr">
        <is>
          <t>Tepelná izolace minerální vata mezi trámy stropu 1.NP/2.NP, tl. 180 mm</t>
        </is>
      </c>
      <c r="H45" s="24" t="inlineStr">
        <is>
          <t>⚠ family OK, leaf KROS lookup [evidence: https://www.centrum-zatepleni.cz/mineralni-vata-isover-uni-t]</t>
        </is>
      </c>
    </row>
    <row r="46">
      <c r="B46" s="24" t="inlineStr">
        <is>
          <t>260217_sklad.HSV4.005</t>
        </is>
      </c>
      <c r="C46" s="24" t="inlineStr">
        <is>
          <t>260217_sklad</t>
        </is>
      </c>
      <c r="D46" s="24" t="inlineStr">
        <is>
          <t>HSV-4 Vodorovné</t>
        </is>
      </c>
      <c r="E46" s="24" t="inlineStr">
        <is>
          <t>411321515</t>
        </is>
      </c>
      <c r="F46" s="24" t="inlineStr"/>
      <c r="G46" s="24" t="inlineStr">
        <is>
          <t>Pojezdové ocelové pororošty demontovatelné — povrch parkingu (žárově z</t>
        </is>
      </c>
      <c r="H46" s="24" t="inlineStr">
        <is>
          <t>⚠ family OK, leaf KROS lookup [evidence: https://www.cs-urs.cz/cenova-soustava-urs/]</t>
        </is>
      </c>
    </row>
    <row r="47">
      <c r="B47" s="24" t="inlineStr">
        <is>
          <t>260219_dum.HSV5.001</t>
        </is>
      </c>
      <c r="C47" s="24" t="inlineStr">
        <is>
          <t>260219_dum</t>
        </is>
      </c>
      <c r="D47" s="24" t="inlineStr">
        <is>
          <t>HSV-5 Krov + střecha</t>
        </is>
      </c>
      <c r="E47" s="24" t="inlineStr">
        <is>
          <t>762331911</t>
        </is>
      </c>
      <c r="F47" s="24" t="inlineStr"/>
      <c r="G47" s="24" t="inlineStr">
        <is>
          <t>Tesařský krov — krokve 100/180 mm á 800 mm, rezivo C24 fungicidní + pr</t>
        </is>
      </c>
      <c r="H47" s="24" t="inlineStr">
        <is>
          <t>⚠ family OK, leaf KROS lookup [evidence: https://www.gala-drevo.cz/clanky/proc-na-krovy-pouzivat-kvh-]</t>
        </is>
      </c>
    </row>
    <row r="48">
      <c r="B48" s="24" t="inlineStr">
        <is>
          <t>260219_dum.HSV5.002</t>
        </is>
      </c>
      <c r="C48" s="24" t="inlineStr">
        <is>
          <t>260219_dum</t>
        </is>
      </c>
      <c r="D48" s="24" t="inlineStr">
        <is>
          <t>HSV-5 Krov + střecha</t>
        </is>
      </c>
      <c r="E48" s="24" t="inlineStr">
        <is>
          <t>762331912</t>
        </is>
      </c>
      <c r="F48" s="24" t="inlineStr"/>
      <c r="G48" s="24" t="inlineStr">
        <is>
          <t>Tesařský krov — kleštiny dvojfošny 60/180 mm probíhající v oblasti spa</t>
        </is>
      </c>
      <c r="H48" s="24" t="inlineStr">
        <is>
          <t>⚠ family OK, leaf KROS lookup [evidence: https://www.gala-drevo.cz/clanky/proc-na-krovy-pouzivat-kvh-]</t>
        </is>
      </c>
    </row>
    <row r="49">
      <c r="B49" s="24" t="inlineStr">
        <is>
          <t>260219_dum.HSV5.003</t>
        </is>
      </c>
      <c r="C49" s="24" t="inlineStr">
        <is>
          <t>260219_dum</t>
        </is>
      </c>
      <c r="D49" s="24" t="inlineStr">
        <is>
          <t>HSV-5 Krov + střecha</t>
        </is>
      </c>
      <c r="E49" s="24" t="inlineStr">
        <is>
          <t>762331923</t>
        </is>
      </c>
      <c r="F49" s="24" t="inlineStr"/>
      <c r="G49" s="24" t="inlineStr">
        <is>
          <t>Tesařský krov — pozednice 140/160 mm kotvená do ŽB věnce 3.NP</t>
        </is>
      </c>
      <c r="H49" s="24" t="inlineStr">
        <is>
          <t>⚠ family OK, leaf KROS lookup [evidence: https://forum.tzb-info.cz/119036-kotveni-pozednice]</t>
        </is>
      </c>
    </row>
    <row r="50">
      <c r="B50" s="24" t="inlineStr">
        <is>
          <t>260219_dum.HSV5.005</t>
        </is>
      </c>
      <c r="C50" s="24" t="inlineStr">
        <is>
          <t>260219_dum</t>
        </is>
      </c>
      <c r="D50" s="24" t="inlineStr">
        <is>
          <t>HSV-5 Krov + střecha</t>
        </is>
      </c>
      <c r="E50" s="24" t="inlineStr">
        <is>
          <t>411321414</t>
        </is>
      </c>
      <c r="F50" s="24" t="inlineStr"/>
      <c r="G50" s="24" t="inlineStr">
        <is>
          <t>Ocelová středová vaznice HEA160 — 2 ks × cca 10 m délka</t>
        </is>
      </c>
      <c r="H50" s="24" t="inlineStr">
        <is>
          <t>⚠ family OK, leaf KROS lookup [evidence: https://online.ferona.cz/detail/26080/profil-hea-valcovany-z]</t>
        </is>
      </c>
    </row>
    <row r="51">
      <c r="B51" s="24" t="inlineStr">
        <is>
          <t>260219_dum.HSV5.012</t>
        </is>
      </c>
      <c r="C51" s="24" t="inlineStr">
        <is>
          <t>260219_dum</t>
        </is>
      </c>
      <c r="D51" s="24" t="inlineStr">
        <is>
          <t>HSV-5 Krov + střecha</t>
        </is>
      </c>
      <c r="E51" s="24" t="inlineStr">
        <is>
          <t>762341711</t>
        </is>
      </c>
      <c r="F51" s="24" t="inlineStr"/>
      <c r="G51" s="24" t="inlineStr">
        <is>
          <t>Bednění z prken tl. 25 mm pod plechovou hliníkovou krytinu (rozsah dle</t>
        </is>
      </c>
      <c r="H51" s="24" t="inlineStr">
        <is>
          <t>⚠ family OK, leaf KROS lookup [evidence: https://www.krytiny-strechy.cz/katalog/plechove-falcovane-kr]</t>
        </is>
      </c>
    </row>
    <row r="52">
      <c r="B52" s="24" t="inlineStr">
        <is>
          <t>260219_dum.HSV5.013</t>
        </is>
      </c>
      <c r="C52" s="24" t="inlineStr">
        <is>
          <t>260219_dum</t>
        </is>
      </c>
      <c r="D52" s="24" t="inlineStr">
        <is>
          <t>HSV-5 Krov + střecha</t>
        </is>
      </c>
      <c r="E52" s="24" t="inlineStr">
        <is>
          <t>765791121</t>
        </is>
      </c>
      <c r="F52" s="24" t="inlineStr"/>
      <c r="G52" s="24" t="inlineStr">
        <is>
          <t xml:space="preserve">Plechová falcovaná HLINÍKOVÁ krytina (např. PREFA, Rheinzink, Lindab) </t>
        </is>
      </c>
      <c r="H52" s="24" t="inlineStr">
        <is>
          <t>⚠ family OK, leaf KROS lookup [evidence: https://us.prefa.com/product-catalogue/roof-systems/]</t>
        </is>
      </c>
    </row>
    <row r="53">
      <c r="B53" s="24" t="inlineStr">
        <is>
          <t>260219_dum.HSV6.001</t>
        </is>
      </c>
      <c r="C53" s="24" t="inlineStr">
        <is>
          <t>260219_dum</t>
        </is>
      </c>
      <c r="D53" s="24" t="inlineStr">
        <is>
          <t>HSV-6 Bourací práce</t>
        </is>
      </c>
      <c r="E53" s="24" t="inlineStr">
        <is>
          <t>962041141</t>
        </is>
      </c>
      <c r="F53" s="24" t="inlineStr"/>
      <c r="G53" s="24" t="inlineStr">
        <is>
          <t>Bourání kompletního stávajícího krovu vč. vikýřů — vaznicový s ležatou</t>
        </is>
      </c>
      <c r="H53" s="24" t="inlineStr">
        <is>
          <t>⚠ family OK, leaf KROS lookup [evidence: https://www.cs-urs.cz/podminky/cu202/801-3-Budovy-a-haly---b]</t>
        </is>
      </c>
    </row>
    <row r="54">
      <c r="B54" s="24" t="inlineStr">
        <is>
          <t>260219_dum.HSV6.007</t>
        </is>
      </c>
      <c r="C54" s="24" t="inlineStr">
        <is>
          <t>260219_dum</t>
        </is>
      </c>
      <c r="D54" s="24" t="inlineStr">
        <is>
          <t>HSV-6 Bourací práce</t>
        </is>
      </c>
      <c r="E54" s="24" t="inlineStr">
        <is>
          <t>781473810</t>
        </is>
      </c>
      <c r="F54" s="24" t="inlineStr"/>
      <c r="G54" s="24" t="inlineStr">
        <is>
          <t xml:space="preserve">Bourání keramických obkladů a zařizovacích předmětů v koupelnách 1.NP </t>
        </is>
      </c>
      <c r="H54" s="24" t="inlineStr">
        <is>
          <t>⚠ family OK, leaf KROS lookup [evidence: https://www.cs-urs.cz/podminky/cu202/801-3-Budovy-a-haly---b]</t>
        </is>
      </c>
    </row>
    <row r="55">
      <c r="B55" s="24" t="inlineStr">
        <is>
          <t>260219_dum.HSV7.002</t>
        </is>
      </c>
      <c r="C55" s="24" t="inlineStr">
        <is>
          <t>260219_dum</t>
        </is>
      </c>
      <c r="D55" s="24" t="inlineStr">
        <is>
          <t>HSV-7 Fasáda ETICS</t>
        </is>
      </c>
      <c r="E55" s="24" t="inlineStr">
        <is>
          <t>622221121</t>
        </is>
      </c>
      <c r="F55" s="24" t="inlineStr"/>
      <c r="G55" s="24" t="inlineStr">
        <is>
          <t xml:space="preserve">ETICS kontaktní zateplení — EPS 70F grey λ=0.032 tl. 160 mm + síťka + </t>
        </is>
      </c>
      <c r="H55" s="24" t="inlineStr">
        <is>
          <t>⚠ family OK, leaf KROS lookup [evidence: https://www.isover.cz/produkty/eps/isover-eps-70f]</t>
        </is>
      </c>
    </row>
    <row r="56">
      <c r="B56" s="24" t="inlineStr">
        <is>
          <t>260219_dum.HSV7.003</t>
        </is>
      </c>
      <c r="C56" s="24" t="inlineStr">
        <is>
          <t>260219_dum</t>
        </is>
      </c>
      <c r="D56" s="24" t="inlineStr">
        <is>
          <t>HSV-7 Fasáda ETICS</t>
        </is>
      </c>
      <c r="E56" s="24" t="inlineStr">
        <is>
          <t>622223111</t>
        </is>
      </c>
      <c r="F56" s="24" t="inlineStr"/>
      <c r="G56" s="24" t="inlineStr">
        <is>
          <t xml:space="preserve">ETICS sokl — XPS λ=0.034 tl. 120 mm + soklový profil + cihelný obklad </t>
        </is>
      </c>
      <c r="H56" s="24" t="inlineStr">
        <is>
          <t>⚠ family OK, leaf KROS lookup [evidence: https://baumit.cz/produkty/komponenty-pro-zateplovani/zaklad]</t>
        </is>
      </c>
    </row>
    <row r="57">
      <c r="B57" s="24" t="inlineStr">
        <is>
          <t>260219_dum.HSV7.006</t>
        </is>
      </c>
      <c r="C57" s="24" t="inlineStr">
        <is>
          <t>260219_dum</t>
        </is>
      </c>
      <c r="D57" s="24" t="inlineStr">
        <is>
          <t>HSV-7 Fasáda ETICS</t>
        </is>
      </c>
      <c r="E57" s="24" t="inlineStr">
        <is>
          <t>622521111</t>
        </is>
      </c>
      <c r="F57" s="24" t="inlineStr"/>
      <c r="G57" s="24" t="inlineStr">
        <is>
          <t>Tenkovrstvá pastovitá probarvená omítka, lomená bílá NCS NZÚ — finální</t>
        </is>
      </c>
      <c r="H57" s="24" t="inlineStr">
        <is>
          <t>⚠ family OK, leaf KROS lookup [evidence: https://www.cz.weber/ncs-odstiny-dle-nzu-2023]</t>
        </is>
      </c>
    </row>
    <row r="58">
      <c r="B58" s="24" t="inlineStr">
        <is>
          <t>260219_dum.PSV71.001</t>
        </is>
      </c>
      <c r="C58" s="24" t="inlineStr">
        <is>
          <t>260219_dum</t>
        </is>
      </c>
      <c r="D58" s="24" t="inlineStr">
        <is>
          <t>PSV-71 Izolace HI</t>
        </is>
      </c>
      <c r="E58" s="24" t="inlineStr">
        <is>
          <t>712311101</t>
        </is>
      </c>
      <c r="F58" s="24" t="inlineStr"/>
      <c r="G58" s="24" t="inlineStr">
        <is>
          <t>Hydroizolace pod ŽB deskou 1.NP — modifikované asfaltové pásy SBS 2× (</t>
        </is>
      </c>
      <c r="H58" s="24" t="inlineStr">
        <is>
          <t>⚠ family OK, leaf KROS lookup [evidence: https://stavimbydlim.cz/postup-hydroizolace-zakladove-desky-]</t>
        </is>
      </c>
    </row>
    <row r="59">
      <c r="B59" s="24" t="inlineStr">
        <is>
          <t>260219_dum.PSV71.002</t>
        </is>
      </c>
      <c r="C59" s="24" t="inlineStr">
        <is>
          <t>260219_dum</t>
        </is>
      </c>
      <c r="D59" s="24" t="inlineStr">
        <is>
          <t>PSV-71 Izolace HI</t>
        </is>
      </c>
      <c r="E59" s="24" t="inlineStr">
        <is>
          <t>712381111</t>
        </is>
      </c>
      <c r="F59" s="24" t="inlineStr"/>
      <c r="G59" s="24" t="inlineStr">
        <is>
          <t xml:space="preserve">Odvětrání radonu z podloží — perforované DN50 trubky v štěrkovém loži </t>
        </is>
      </c>
      <c r="H59" s="24" t="inlineStr">
        <is>
          <t>⚠ family OK, leaf KROS lookup [evidence: https://cze.sika.com/cs/produkty-pro-stavebnictvi/hydroizola]</t>
        </is>
      </c>
    </row>
    <row r="60">
      <c r="B60" s="24" t="inlineStr">
        <is>
          <t>260219_dum.PSV71.003</t>
        </is>
      </c>
      <c r="C60" s="24" t="inlineStr">
        <is>
          <t>260219_dum</t>
        </is>
      </c>
      <c r="D60" s="24" t="inlineStr">
        <is>
          <t>PSV-71 Izolace HI</t>
        </is>
      </c>
      <c r="E60" s="24" t="inlineStr"/>
      <c r="F60" s="24" t="inlineStr">
        <is>
          <t>711</t>
        </is>
      </c>
      <c r="G60" s="24" t="inlineStr">
        <is>
          <t xml:space="preserve">Hydroizolační stěrka koupelen 3 ks — podlaha + sokl 200 mm + sprchový </t>
        </is>
      </c>
      <c r="H60" s="24" t="inlineStr">
        <is>
          <t>⚠ family 711 OK — leaf KROS lookup [evidence: https://cze.sika.com/cs/produkty-pro-stavebnictvi/hydroizola]</t>
        </is>
      </c>
    </row>
    <row r="61">
      <c r="B61" s="24" t="inlineStr">
        <is>
          <t>260219_dum.PSV71.001</t>
        </is>
      </c>
      <c r="C61" s="24" t="inlineStr">
        <is>
          <t>260219_dum</t>
        </is>
      </c>
      <c r="D61" s="24" t="inlineStr">
        <is>
          <t>PSV-71 Izolace TI</t>
        </is>
      </c>
      <c r="E61" s="24" t="inlineStr"/>
      <c r="F61" s="24" t="inlineStr">
        <is>
          <t>713121</t>
        </is>
      </c>
      <c r="G61" s="24" t="inlineStr">
        <is>
          <t>Podlahový EPS 150 λ=0.035 tl. 120 mm — pod betonový potěr 1.NP a 3.NP</t>
        </is>
      </c>
      <c r="H61" s="24" t="inlineStr">
        <is>
          <t>⚠ family 713121 OK — leaf KROS lookup [evidence: https://styrotrade.cz/cs/produkty/strechy/izolace-bezne-zati]</t>
        </is>
      </c>
    </row>
    <row r="62">
      <c r="B62" s="24" t="inlineStr">
        <is>
          <t>260219_dum.PSV71.002</t>
        </is>
      </c>
      <c r="C62" s="24" t="inlineStr">
        <is>
          <t>260219_dum</t>
        </is>
      </c>
      <c r="D62" s="24" t="inlineStr">
        <is>
          <t>PSV-71 Izolace TI</t>
        </is>
      </c>
      <c r="E62" s="24" t="inlineStr"/>
      <c r="F62" s="24" t="inlineStr">
        <is>
          <t>713121</t>
        </is>
      </c>
      <c r="G62" s="24" t="inlineStr">
        <is>
          <t>Kročejová EPS 150 / 30 dB tl. 30 mm nad ocelobetonovým stropem 2.NP/3.</t>
        </is>
      </c>
      <c r="H62" s="24" t="inlineStr">
        <is>
          <t>⚠ family 713121 OK — leaf KROS lookup [evidence: https://styrotrade.cz/cs/produkty/strechy/izolace-bezne-zati]</t>
        </is>
      </c>
    </row>
    <row r="63">
      <c r="B63" s="24" t="inlineStr">
        <is>
          <t>260219_dum.PSV76.001</t>
        </is>
      </c>
      <c r="C63" s="24" t="inlineStr">
        <is>
          <t>260219_dum</t>
        </is>
      </c>
      <c r="D63" s="24" t="inlineStr">
        <is>
          <t>PSV-76 Výplně otvorů</t>
        </is>
      </c>
      <c r="E63" s="24" t="inlineStr">
        <is>
          <t>766621011</t>
        </is>
      </c>
      <c r="F63" s="24" t="inlineStr"/>
      <c r="G63" s="24" t="inlineStr">
        <is>
          <t>Plastové okno izolačním trojsklem Uw=0.85 W/m²K — typ 'okno 1.NP' veli</t>
        </is>
      </c>
      <c r="H63" s="24" t="inlineStr">
        <is>
          <t>⚠ family OK, leaf KROS lookup [evidence: https://www.vekra.cz/radce/plastova-okna-s-trojsklem/]</t>
        </is>
      </c>
    </row>
    <row r="64">
      <c r="B64" s="24" t="inlineStr">
        <is>
          <t>260219_dum.PSV76.001</t>
        </is>
      </c>
      <c r="C64" s="24" t="inlineStr">
        <is>
          <t>260219_dum</t>
        </is>
      </c>
      <c r="D64" s="24" t="inlineStr">
        <is>
          <t>PSV-76 Klempíř</t>
        </is>
      </c>
      <c r="E64" s="24" t="inlineStr">
        <is>
          <t>764312235</t>
        </is>
      </c>
      <c r="F64" s="24" t="inlineStr"/>
      <c r="G64" s="24" t="inlineStr">
        <is>
          <t>Klempířské oplechování krytiny — úžlabí, hřeben, štítové lemy (Al / Pz</t>
        </is>
      </c>
      <c r="H64" s="24" t="inlineStr">
        <is>
          <t>⚠ chapter OK, leaf KROS lookup [evidence: https://www.cs-urs.cz/podminky/cu201/800-764-Konstrukce-klem]</t>
        </is>
      </c>
    </row>
    <row r="65">
      <c r="B65" s="24" t="inlineStr">
        <is>
          <t>260219_dum.PSV76.002</t>
        </is>
      </c>
      <c r="C65" s="24" t="inlineStr">
        <is>
          <t>260219_dum</t>
        </is>
      </c>
      <c r="D65" s="24" t="inlineStr">
        <is>
          <t>PSV-76 Klempíř</t>
        </is>
      </c>
      <c r="E65" s="24" t="inlineStr">
        <is>
          <t>764218201</t>
        </is>
      </c>
      <c r="F65" s="24" t="inlineStr"/>
      <c r="G65" s="24" t="inlineStr">
        <is>
          <t xml:space="preserve">Venkovní parapety oken — Pzn plech lakovaný 250 mm × tl. 0.55 mm × 16 </t>
        </is>
      </c>
      <c r="H65" s="24" t="inlineStr">
        <is>
          <t>⚠ chapter OK, leaf KROS lookup [evidence: https://www.cs-urs.cz/podminky/cu201/800-764-Konstrukce-klem]</t>
        </is>
      </c>
    </row>
    <row r="66">
      <c r="B66" s="24" t="inlineStr">
        <is>
          <t>260219_dum.PSV76.003</t>
        </is>
      </c>
      <c r="C66" s="24" t="inlineStr">
        <is>
          <t>260219_dum</t>
        </is>
      </c>
      <c r="D66" s="24" t="inlineStr">
        <is>
          <t>PSV-76 Klempíř</t>
        </is>
      </c>
      <c r="E66" s="24" t="inlineStr">
        <is>
          <t>764454802</t>
        </is>
      </c>
      <c r="F66" s="24" t="inlineStr"/>
      <c r="G66" s="24" t="inlineStr">
        <is>
          <t>Dešťové svody Pzn 100 mm + žlaby — 4 svody × ~14 m + žlaby per obvod s</t>
        </is>
      </c>
      <c r="H66" s="24" t="inlineStr">
        <is>
          <t>⚠ chapter OK, leaf KROS lookup [evidence: https://www.cs-urs.cz/podminky/cu201/800-764-Konstrukce-klem]</t>
        </is>
      </c>
    </row>
    <row r="67">
      <c r="B67" s="24" t="inlineStr">
        <is>
          <t>260219_dum.PSV76.004</t>
        </is>
      </c>
      <c r="C67" s="24" t="inlineStr">
        <is>
          <t>260219_dum</t>
        </is>
      </c>
      <c r="D67" s="24" t="inlineStr">
        <is>
          <t>PSV-76 Klempíř</t>
        </is>
      </c>
      <c r="E67" s="24" t="inlineStr">
        <is>
          <t>764315235</t>
        </is>
      </c>
      <c r="F67" s="24" t="inlineStr"/>
      <c r="G67" s="24" t="inlineStr">
        <is>
          <t xml:space="preserve">Klempířské doplňky vikýřů + atika + závětrné lemy (4 vikýře komplexní </t>
        </is>
      </c>
      <c r="H67" s="24" t="inlineStr">
        <is>
          <t>⚠ chapter OK, leaf KROS lookup [evidence: https://www.cs-urs.cz/podminky/cu201/800-764-Konstrukce-klem]</t>
        </is>
      </c>
    </row>
    <row r="68">
      <c r="B68" s="24" t="inlineStr">
        <is>
          <t>260219_dum.PSV76.001</t>
        </is>
      </c>
      <c r="C68" s="24" t="inlineStr">
        <is>
          <t>260219_dum</t>
        </is>
      </c>
      <c r="D68" s="24" t="inlineStr">
        <is>
          <t>PSV-76 Zámečnictví</t>
        </is>
      </c>
      <c r="E68" s="24" t="inlineStr">
        <is>
          <t>767531111</t>
        </is>
      </c>
      <c r="F68" s="24" t="inlineStr"/>
      <c r="G68" s="24" t="inlineStr">
        <is>
          <t>Ocelové schodiště ze zahrady na mezipodestu — UPE200 schodnice + dřevě</t>
        </is>
      </c>
      <c r="H68" s="24" t="inlineStr">
        <is>
          <t>⚠ family OK, leaf KROS lookup [evidence: https://www.obchodprodilnu.cz/produkty/stavebni-prvky-a-mate]</t>
        </is>
      </c>
    </row>
    <row r="69">
      <c r="B69" s="24" t="inlineStr">
        <is>
          <t>260219_dum.PSV76.002</t>
        </is>
      </c>
      <c r="C69" s="24" t="inlineStr">
        <is>
          <t>260219_dum</t>
        </is>
      </c>
      <c r="D69" s="24" t="inlineStr">
        <is>
          <t>PSV-76 Zámečnictví</t>
        </is>
      </c>
      <c r="E69" s="24" t="inlineStr">
        <is>
          <t>767531111</t>
        </is>
      </c>
      <c r="F69" s="24" t="inlineStr"/>
      <c r="G69" s="24" t="inlineStr">
        <is>
          <t>Interní ocelové schodiště do spacího patra v 3.NP s dřevěnými stupni (</t>
        </is>
      </c>
      <c r="H69" s="24" t="inlineStr">
        <is>
          <t>⚠ family OK, leaf KROS lookup [evidence: https://www.obchodprodilnu.cz/produkty/stavebni-prvky-a-mate]</t>
        </is>
      </c>
    </row>
    <row r="70">
      <c r="B70" s="24" t="inlineStr">
        <is>
          <t>260219_dum.PSV77.001</t>
        </is>
      </c>
      <c r="C70" s="24" t="inlineStr">
        <is>
          <t>260219_dum</t>
        </is>
      </c>
      <c r="D70" s="24" t="inlineStr">
        <is>
          <t>PSV-77 Podlahy</t>
        </is>
      </c>
      <c r="E70" s="24" t="inlineStr">
        <is>
          <t>776511820</t>
        </is>
      </c>
      <c r="F70" s="24" t="inlineStr"/>
      <c r="G70" s="24" t="inlineStr">
        <is>
          <t>Nášlapná vrstva vinyl tl. 4 mm na suchou skladbu — obytné místnosti (l</t>
        </is>
      </c>
      <c r="H70" s="24" t="inlineStr">
        <is>
          <t>⚠ family OK, leaf KROS lookup [evidence: https://podminky.urs.cz/item/CS_URS_2021_02/776321212]</t>
        </is>
      </c>
    </row>
    <row r="71">
      <c r="B71" s="24" t="inlineStr">
        <is>
          <t>260219_dum.PSV95.001</t>
        </is>
      </c>
      <c r="C71" s="24" t="inlineStr">
        <is>
          <t>260219_dum</t>
        </is>
      </c>
      <c r="D71" s="24" t="inlineStr">
        <is>
          <t>PSV-95 Detekce požární</t>
        </is>
      </c>
      <c r="E71" s="24" t="inlineStr">
        <is>
          <t>375211101</t>
        </is>
      </c>
      <c r="F71" s="24" t="inlineStr"/>
      <c r="G71" s="24" t="inlineStr">
        <is>
          <t>Autonomní hlásič kouře dle ČSN EN 14604 — 4 ks v místnostech 1.01, 1.0</t>
        </is>
      </c>
      <c r="H71" s="24" t="inlineStr">
        <is>
          <t>⚠ family OK, leaf KROS lookup [evidence: https://www.technicke-normy-csn.cz/csn-en-14604-342711-18294]</t>
        </is>
      </c>
    </row>
    <row r="72">
      <c r="B72" s="24" t="inlineStr">
        <is>
          <t>260219_dum.PSV72.001</t>
        </is>
      </c>
      <c r="C72" s="24" t="inlineStr">
        <is>
          <t>260219_dum</t>
        </is>
      </c>
      <c r="D72" s="24" t="inlineStr">
        <is>
          <t>PSV-72 ZTI</t>
        </is>
      </c>
      <c r="E72" s="24" t="inlineStr">
        <is>
          <t>722290515</t>
        </is>
      </c>
      <c r="F72" s="24" t="inlineStr"/>
      <c r="G72" s="24" t="inlineStr">
        <is>
          <t>Revize stávajícího napojení vodovodu + kanalizace na pozemku — kontrol</t>
        </is>
      </c>
      <c r="H72" s="24" t="inlineStr">
        <is>
          <t>⚠ family OK, leaf KROS lookup [evidence: https://www.sanitino.cz/vodovodni-baterie]</t>
        </is>
      </c>
    </row>
    <row r="73">
      <c r="B73" s="24" t="inlineStr">
        <is>
          <t>260219_dum.PSV72.002</t>
        </is>
      </c>
      <c r="C73" s="24" t="inlineStr">
        <is>
          <t>260219_dum</t>
        </is>
      </c>
      <c r="D73" s="24" t="inlineStr">
        <is>
          <t>PSV-72 ZTI</t>
        </is>
      </c>
      <c r="E73" s="24" t="inlineStr">
        <is>
          <t>722172011</t>
        </is>
      </c>
      <c r="F73" s="24" t="inlineStr"/>
      <c r="G73" s="24" t="inlineStr">
        <is>
          <t>Nové rozvody studené + teplé vody do koupelen 1.NP + 2.NP + 3.NP a kuc</t>
        </is>
      </c>
      <c r="H73" s="24" t="inlineStr">
        <is>
          <t>⚠ family OK, leaf KROS lookup [evidence: https://www.ceskestavby.cz/jak-se-stavi-dum/sprchy-vany-vana]</t>
        </is>
      </c>
    </row>
    <row r="74">
      <c r="B74" s="24" t="inlineStr">
        <is>
          <t>260219_dum.HSV6.016</t>
        </is>
      </c>
      <c r="C74" s="24" t="inlineStr">
        <is>
          <t>260219_dum</t>
        </is>
      </c>
      <c r="D74" s="24" t="inlineStr">
        <is>
          <t>HSV-6 Bourací práce</t>
        </is>
      </c>
      <c r="E74" s="24" t="inlineStr">
        <is>
          <t>962024141</t>
        </is>
      </c>
      <c r="F74" s="24" t="inlineStr"/>
      <c r="G74" s="24" t="inlineStr">
        <is>
          <t>Bourání vrchní části stávajícího komínu v posledním podlaží (cihelné z</t>
        </is>
      </c>
      <c r="H74" s="24" t="inlineStr">
        <is>
          <t>⚠ family OK, leaf KROS lookup [evidence: https://www.cs-urs.cz/podminky/cu202/801-3-Budovy-a-haly---b]</t>
        </is>
      </c>
    </row>
    <row r="75">
      <c r="B75" s="24" t="inlineStr">
        <is>
          <t>260219_dum.HSV6.017</t>
        </is>
      </c>
      <c r="C75" s="24" t="inlineStr">
        <is>
          <t>260219_dum</t>
        </is>
      </c>
      <c r="D75" s="24" t="inlineStr">
        <is>
          <t>HSV-6 Bourací práce</t>
        </is>
      </c>
      <c r="E75" s="24" t="inlineStr">
        <is>
          <t>961044111</t>
        </is>
      </c>
      <c r="F75" s="24" t="inlineStr"/>
      <c r="G75" s="24" t="inlineStr">
        <is>
          <t>Bourání stávajících opěrných zídek a venkovního schodiště v zahradě/dv</t>
        </is>
      </c>
      <c r="H75" s="24" t="inlineStr">
        <is>
          <t>⚠ family OK, leaf KROS lookup [evidence: https://www.cs-urs.cz/podminky/cu202/801-3-Budovy-a-haly---b]</t>
        </is>
      </c>
    </row>
    <row r="76">
      <c r="B76" s="24" t="inlineStr">
        <is>
          <t>260219_dum.HSV1.015</t>
        </is>
      </c>
      <c r="C76" s="24" t="inlineStr">
        <is>
          <t>260219_dum</t>
        </is>
      </c>
      <c r="D76" s="24" t="inlineStr">
        <is>
          <t>HSV-1 Zemní práce</t>
        </is>
      </c>
      <c r="E76" s="24" t="inlineStr">
        <is>
          <t>877315111</t>
        </is>
      </c>
      <c r="F76" s="24" t="inlineStr"/>
      <c r="G76" s="24" t="inlineStr">
        <is>
          <t xml:space="preserve">Drenáž za opěrnou stěnou (bílou vanou) — drenážní trubka DN100 vlnitá </t>
        </is>
      </c>
      <c r="H76" s="24" t="inlineStr">
        <is>
          <t>⚠ family OK, leaf KROS lookup [evidence: https://www.cs-urs.cz/cenova-soustava-urs/]</t>
        </is>
      </c>
    </row>
    <row r="78">
      <c r="B78" s="16" t="inlineStr">
        <is>
          <t>❌ MANUAL LOOKUP (no Phase 5B verdict, blank code)</t>
        </is>
      </c>
    </row>
    <row r="79">
      <c r="B79" s="4" t="inlineStr">
        <is>
          <t>ID</t>
        </is>
      </c>
      <c r="C79" s="4" t="inlineStr">
        <is>
          <t>Objekt</t>
        </is>
      </c>
      <c r="D79" s="4" t="inlineStr">
        <is>
          <t>Kapitola</t>
        </is>
      </c>
      <c r="E79" s="4" t="inlineStr">
        <is>
          <t>Kód proposed</t>
        </is>
      </c>
      <c r="F79" s="4" t="inlineStr">
        <is>
          <t>Family</t>
        </is>
      </c>
      <c r="G79" s="4" t="inlineStr">
        <is>
          <t>Popis</t>
        </is>
      </c>
      <c r="H79" s="4" t="inlineStr">
        <is>
          <t>Pozn. / hint</t>
        </is>
      </c>
    </row>
    <row r="80">
      <c r="B80" s="24" t="inlineStr">
        <is>
          <t>260217_sklad.HSV1.006</t>
        </is>
      </c>
      <c r="C80" s="24" t="inlineStr">
        <is>
          <t>260217_sklad</t>
        </is>
      </c>
      <c r="D80" s="24" t="inlineStr">
        <is>
          <t>HSV-1 Zemní práce</t>
        </is>
      </c>
      <c r="E80" s="24" t="inlineStr"/>
      <c r="F80" s="24" t="inlineStr">
        <is>
          <t>162701</t>
        </is>
      </c>
      <c r="G80" s="24" t="inlineStr">
        <is>
          <t>Odvoz výkopku z hloubení skladu + figur + patek na deponii do 8 km</t>
        </is>
      </c>
      <c r="H80" s="24" t="inlineStr">
        <is>
          <t>❌ MANUAL — KROS catalog lookup</t>
        </is>
      </c>
    </row>
    <row r="81">
      <c r="B81" s="24" t="inlineStr">
        <is>
          <t>260219_dum.HSV2.005</t>
        </is>
      </c>
      <c r="C81" s="24" t="inlineStr">
        <is>
          <t>260219_dum</t>
        </is>
      </c>
      <c r="D81" s="24" t="inlineStr">
        <is>
          <t>HSV-2 Základové a ŽB</t>
        </is>
      </c>
      <c r="E81" s="24" t="inlineStr"/>
      <c r="F81" s="24" t="inlineStr">
        <is>
          <t>711141</t>
        </is>
      </c>
      <c r="G81" s="24" t="inlineStr">
        <is>
          <t>Separační PE fólie pod základovou patou bílé vany (povinná dle ČBS 02)</t>
        </is>
      </c>
      <c r="H81" s="24" t="inlineStr">
        <is>
          <t>❌ MANUAL — KROS catalog lookup</t>
        </is>
      </c>
    </row>
    <row r="82">
      <c r="B82" s="24" t="inlineStr">
        <is>
          <t>260217_sklad.HSV2.001</t>
        </is>
      </c>
      <c r="C82" s="24" t="inlineStr">
        <is>
          <t>260217_sklad</t>
        </is>
      </c>
      <c r="D82" s="24" t="inlineStr">
        <is>
          <t>HSV-2 Základové a ŽB</t>
        </is>
      </c>
      <c r="E82" s="24" t="inlineStr"/>
      <c r="F82" s="24" t="inlineStr">
        <is>
          <t>271313</t>
        </is>
      </c>
      <c r="G82" s="24" t="inlineStr">
        <is>
          <t>Základové pasy z prostého betonu C16/20 XC0, 500×500 mm po obvodu skla</t>
        </is>
      </c>
      <c r="H82" s="24" t="inlineStr">
        <is>
          <t>❌ MANUAL — KROS catalog lookup</t>
        </is>
      </c>
    </row>
    <row r="83">
      <c r="B83" s="24" t="inlineStr">
        <is>
          <t>260219_dum.HSV6.002</t>
        </is>
      </c>
      <c r="C83" s="24" t="inlineStr">
        <is>
          <t>260219_dum</t>
        </is>
      </c>
      <c r="D83" s="24" t="inlineStr">
        <is>
          <t>HSV-6 Bourací práce</t>
        </is>
      </c>
      <c r="E83" s="24" t="inlineStr"/>
      <c r="F83" s="24" t="inlineStr">
        <is>
          <t>762</t>
        </is>
      </c>
      <c r="G83" s="24" t="inlineStr">
        <is>
          <t>Bourání stávající plechové krytiny (manuálně, recyklace plechu)</t>
        </is>
      </c>
      <c r="H83" s="24" t="inlineStr">
        <is>
          <t>❌ MANUAL — KROS catalog lookup</t>
        </is>
      </c>
    </row>
    <row r="84">
      <c r="B84" s="24" t="inlineStr">
        <is>
          <t>260217_sklad.PSV77.001</t>
        </is>
      </c>
      <c r="C84" s="24" t="inlineStr">
        <is>
          <t>260217_sklad</t>
        </is>
      </c>
      <c r="D84" s="24" t="inlineStr">
        <is>
          <t>PSV-77 Podlahy</t>
        </is>
      </c>
      <c r="E84" s="24" t="inlineStr"/>
      <c r="F84" s="24" t="inlineStr">
        <is>
          <t>596</t>
        </is>
      </c>
      <c r="G84" s="24" t="inlineStr">
        <is>
          <t>Betonová dlažba do pískového lože — povrch podlahy skladu (~21 m²)</t>
        </is>
      </c>
      <c r="H84" s="24" t="inlineStr">
        <is>
          <t>❌ MANUAL — KROS catalog lookup</t>
        </is>
      </c>
    </row>
    <row r="86">
      <c r="B86" s="16" t="inlineStr">
        <is>
          <t>? needs_production_lookup (default)</t>
        </is>
      </c>
    </row>
    <row r="87">
      <c r="B87" s="4" t="inlineStr">
        <is>
          <t>ID</t>
        </is>
      </c>
      <c r="C87" s="4" t="inlineStr">
        <is>
          <t>Objekt</t>
        </is>
      </c>
      <c r="D87" s="4" t="inlineStr">
        <is>
          <t>Kapitola</t>
        </is>
      </c>
      <c r="E87" s="4" t="inlineStr">
        <is>
          <t>Kód proposed</t>
        </is>
      </c>
      <c r="F87" s="4" t="inlineStr">
        <is>
          <t>Family</t>
        </is>
      </c>
      <c r="G87" s="4" t="inlineStr">
        <is>
          <t>Popis</t>
        </is>
      </c>
      <c r="H87" s="4" t="inlineStr">
        <is>
          <t>Pozn. / hint</t>
        </is>
      </c>
    </row>
    <row r="88">
      <c r="B88" s="24" t="inlineStr">
        <is>
          <t>260219_dum.HSV1.004</t>
        </is>
      </c>
      <c r="C88" s="24" t="inlineStr">
        <is>
          <t>260219_dum</t>
        </is>
      </c>
      <c r="D88" s="24" t="inlineStr">
        <is>
          <t>HSV-1 Zemní práce</t>
        </is>
      </c>
      <c r="E88" s="24" t="inlineStr">
        <is>
          <t>596811220</t>
        </is>
      </c>
      <c r="F88" s="24" t="inlineStr">
        <is>
          <t>596</t>
        </is>
      </c>
      <c r="G88" s="24" t="inlineStr">
        <is>
          <t>Anglický dvorek: betonová dlažba 50 mm + kladecí vrstva kamenná drť 4-</t>
        </is>
      </c>
      <c r="H88" s="24" t="inlineStr">
        <is>
          <t>? needs production lookup</t>
        </is>
      </c>
    </row>
    <row r="89">
      <c r="B89" s="24" t="inlineStr">
        <is>
          <t>260219_dum.HSV1.005</t>
        </is>
      </c>
      <c r="C89" s="24" t="inlineStr">
        <is>
          <t>260219_dum</t>
        </is>
      </c>
      <c r="D89" s="24" t="inlineStr">
        <is>
          <t>HSV-1 Zemní práce</t>
        </is>
      </c>
      <c r="E89" s="24" t="inlineStr"/>
      <c r="F89" s="24" t="inlineStr">
        <is>
          <t>564</t>
        </is>
      </c>
      <c r="G89" s="24" t="inlineStr">
        <is>
          <t>Terasa za opěrnou stěnou — PODKLADNÍ SKLADBA pod dřevěnou pochozí vrst</t>
        </is>
      </c>
      <c r="H89" s="24" t="inlineStr">
        <is>
          <t>❌ MANUAL — KROS catalog lookup</t>
        </is>
      </c>
    </row>
    <row r="90">
      <c r="B90" s="24" t="inlineStr">
        <is>
          <t>260217_sklad.HSV1.002</t>
        </is>
      </c>
      <c r="C90" s="24" t="inlineStr">
        <is>
          <t>260217_sklad</t>
        </is>
      </c>
      <c r="D90" s="24" t="inlineStr">
        <is>
          <t>HSV-1 Zemní práce</t>
        </is>
      </c>
      <c r="E90" s="24" t="inlineStr">
        <is>
          <t>131201101</t>
        </is>
      </c>
      <c r="F90" s="24" t="inlineStr"/>
      <c r="G90" s="24" t="inlineStr">
        <is>
          <t>Hloubení jam nezapažených pro objekt skladu v lichoběžníku 6,35 × 3,34</t>
        </is>
      </c>
      <c r="H90" s="24" t="inlineStr">
        <is>
          <t>? needs production lookup</t>
        </is>
      </c>
    </row>
    <row r="91">
      <c r="B91" s="24" t="inlineStr">
        <is>
          <t>260217_sklad.HSV1.003</t>
        </is>
      </c>
      <c r="C91" s="24" t="inlineStr">
        <is>
          <t>260217_sklad</t>
        </is>
      </c>
      <c r="D91" s="24" t="inlineStr">
        <is>
          <t>HSV-1 Zemní práce</t>
        </is>
      </c>
      <c r="E91" s="24" t="inlineStr">
        <is>
          <t>132201101</t>
        </is>
      </c>
      <c r="F91" s="24" t="inlineStr"/>
      <c r="G91" s="24" t="inlineStr">
        <is>
          <t>Hloubení rýh pro betonové základové pasy 500×500 mm po obvodu skladu (</t>
        </is>
      </c>
      <c r="H91" s="24" t="inlineStr">
        <is>
          <t>? needs production lookup</t>
        </is>
      </c>
    </row>
    <row r="92">
      <c r="B92" s="24" t="inlineStr">
        <is>
          <t>260217_sklad.HSV1.004</t>
        </is>
      </c>
      <c r="C92" s="24" t="inlineStr">
        <is>
          <t>260217_sklad</t>
        </is>
      </c>
      <c r="D92" s="24" t="inlineStr">
        <is>
          <t>HSV-1 Zemní práce</t>
        </is>
      </c>
      <c r="E92" s="24" t="inlineStr">
        <is>
          <t>132211101</t>
        </is>
      </c>
      <c r="F92" s="24" t="inlineStr"/>
      <c r="G92" s="24" t="inlineStr">
        <is>
          <t>Hloubení patek pro stojky IPE180 zastřešení parkingu, 500×500 mm × 1.0</t>
        </is>
      </c>
      <c r="H92" s="24" t="inlineStr">
        <is>
          <t>? needs production lookup</t>
        </is>
      </c>
    </row>
    <row r="93">
      <c r="B93" s="24" t="inlineStr">
        <is>
          <t>260217_sklad.HSV1.005</t>
        </is>
      </c>
      <c r="C93" s="24" t="inlineStr">
        <is>
          <t>260217_sklad</t>
        </is>
      </c>
      <c r="D93" s="24" t="inlineStr">
        <is>
          <t>HSV-1 Zemní práce</t>
        </is>
      </c>
      <c r="E93" s="24" t="inlineStr">
        <is>
          <t>174101101</t>
        </is>
      </c>
      <c r="F93" s="24" t="inlineStr"/>
      <c r="G93" s="24" t="inlineStr">
        <is>
          <t xml:space="preserve">Zhutněný štěrkopískový násyp pod podlahu skladu + štěrkopísek pro IPE </t>
        </is>
      </c>
      <c r="H93" s="24" t="inlineStr">
        <is>
          <t>? needs production lookup</t>
        </is>
      </c>
    </row>
    <row r="94">
      <c r="B94" s="24" t="inlineStr">
        <is>
          <t>260219_dum.HSV2.002</t>
        </is>
      </c>
      <c r="C94" s="24" t="inlineStr">
        <is>
          <t>260219_dum</t>
        </is>
      </c>
      <c r="D94" s="24" t="inlineStr">
        <is>
          <t>HSV-2 Základové a ŽB</t>
        </is>
      </c>
      <c r="E94" s="24" t="inlineStr">
        <is>
          <t>274321321</t>
        </is>
      </c>
      <c r="F94" s="24" t="inlineStr"/>
      <c r="G94" s="24" t="inlineStr">
        <is>
          <t>Bílá vana ČBS 02 — stěna úhlová tl. 250 mm × výška 2050 mm × L=10 m, b</t>
        </is>
      </c>
      <c r="H94" s="24" t="inlineStr">
        <is>
          <t>? needs production lookup</t>
        </is>
      </c>
    </row>
    <row r="95">
      <c r="B95" s="24" t="inlineStr">
        <is>
          <t>260219_dum.HSV2.003</t>
        </is>
      </c>
      <c r="C95" s="24" t="inlineStr">
        <is>
          <t>260219_dum</t>
        </is>
      </c>
      <c r="D95" s="24" t="inlineStr">
        <is>
          <t>HSV-2 Základové a ŽB</t>
        </is>
      </c>
      <c r="E95" s="24" t="inlineStr"/>
      <c r="F95" s="24" t="inlineStr">
        <is>
          <t>274</t>
        </is>
      </c>
      <c r="G95" s="24" t="inlineStr">
        <is>
          <t>Systémové oboustranné bednění bílé vany — DOKA Framax / PERI MAXIMO, v</t>
        </is>
      </c>
      <c r="H95" s="24" t="inlineStr">
        <is>
          <t>❌ MANUAL — KROS catalog lookup</t>
        </is>
      </c>
    </row>
    <row r="96">
      <c r="B96" s="24" t="inlineStr">
        <is>
          <t>260219_dum.HSV2.006</t>
        </is>
      </c>
      <c r="C96" s="24" t="inlineStr">
        <is>
          <t>260219_dum</t>
        </is>
      </c>
      <c r="D96" s="24" t="inlineStr">
        <is>
          <t>HSV-2 Základové a ŽB</t>
        </is>
      </c>
      <c r="E96" s="24" t="inlineStr">
        <is>
          <t>279351102</t>
        </is>
      </c>
      <c r="F96" s="24" t="inlineStr"/>
      <c r="G96" s="24" t="inlineStr">
        <is>
          <t>Mokré ošetřování betonu bílé vany min. 7 dní dle ČSN EN 13670 + ČBS 02</t>
        </is>
      </c>
      <c r="H96" s="24" t="inlineStr">
        <is>
          <t>? needs production lookup</t>
        </is>
      </c>
    </row>
    <row r="97">
      <c r="B97" s="24" t="inlineStr">
        <is>
          <t>260219_dum.HSV2.008</t>
        </is>
      </c>
      <c r="C97" s="24" t="inlineStr">
        <is>
          <t>260219_dum</t>
        </is>
      </c>
      <c r="D97" s="24" t="inlineStr">
        <is>
          <t>HSV-2 Základové a ŽB</t>
        </is>
      </c>
      <c r="E97" s="24" t="inlineStr"/>
      <c r="F97" s="24" t="inlineStr">
        <is>
          <t>274</t>
        </is>
      </c>
      <c r="G97" s="24" t="inlineStr">
        <is>
          <t>Bednění pozedního věnce systémové oboustranné</t>
        </is>
      </c>
      <c r="H97" s="24" t="inlineStr">
        <is>
          <t>❌ MANUAL — KROS catalog lookup</t>
        </is>
      </c>
    </row>
    <row r="98">
      <c r="B98" s="24" t="inlineStr">
        <is>
          <t>260219_dum.HSV2.009</t>
        </is>
      </c>
      <c r="C98" s="24" t="inlineStr">
        <is>
          <t>260219_dum</t>
        </is>
      </c>
      <c r="D98" s="24" t="inlineStr">
        <is>
          <t>HSV-2 Základové a ŽB</t>
        </is>
      </c>
      <c r="E98" s="24" t="inlineStr">
        <is>
          <t>273361821</t>
        </is>
      </c>
      <c r="F98" s="24" t="inlineStr"/>
      <c r="G98" s="24" t="inlineStr">
        <is>
          <t>Výztuž B500B věnce 100 kg/m³ (Methvin sazba pro pozední věnce)</t>
        </is>
      </c>
      <c r="H98" s="24" t="inlineStr">
        <is>
          <t>? needs production lookup</t>
        </is>
      </c>
    </row>
    <row r="99">
      <c r="B99" s="24" t="inlineStr">
        <is>
          <t>260219_dum.HSV2.011</t>
        </is>
      </c>
      <c r="C99" s="24" t="inlineStr">
        <is>
          <t>260219_dum</t>
        </is>
      </c>
      <c r="D99" s="24" t="inlineStr">
        <is>
          <t>HSV-2 Základové a ŽB</t>
        </is>
      </c>
      <c r="E99" s="24" t="inlineStr">
        <is>
          <t>273362441</t>
        </is>
      </c>
      <c r="F99" s="24" t="inlineStr"/>
      <c r="G99" s="24" t="inlineStr">
        <is>
          <t>Výztuž nabetonávky kari síť 5/100/100 (cca 4.4 kg/m²)</t>
        </is>
      </c>
      <c r="H99" s="24" t="inlineStr">
        <is>
          <t>? needs production lookup</t>
        </is>
      </c>
    </row>
    <row r="100">
      <c r="B100" s="24" t="inlineStr">
        <is>
          <t>260219_dum.HSV2.013</t>
        </is>
      </c>
      <c r="C100" s="24" t="inlineStr">
        <is>
          <t>260219_dum</t>
        </is>
      </c>
      <c r="D100" s="24" t="inlineStr">
        <is>
          <t>HSV-2 Základové a ŽB</t>
        </is>
      </c>
      <c r="E100" s="24" t="inlineStr">
        <is>
          <t>273361821</t>
        </is>
      </c>
      <c r="F100" s="24" t="inlineStr"/>
      <c r="G100" s="24" t="inlineStr">
        <is>
          <t>Výztuž ŽB desky 1.NP — kari 6/150/150 + B500B okrajové pruty (~75 kg/m</t>
        </is>
      </c>
      <c r="H100" s="24" t="inlineStr">
        <is>
          <t>? needs production lookup</t>
        </is>
      </c>
    </row>
    <row r="101">
      <c r="B101" s="24" t="inlineStr">
        <is>
          <t>260217_sklad.HSV2.003</t>
        </is>
      </c>
      <c r="C101" s="24" t="inlineStr">
        <is>
          <t>260217_sklad</t>
        </is>
      </c>
      <c r="D101" s="24" t="inlineStr">
        <is>
          <t>HSV-2 Základové a ŽB</t>
        </is>
      </c>
      <c r="E101" s="24" t="inlineStr">
        <is>
          <t>311233812</t>
        </is>
      </c>
      <c r="F101" s="24" t="inlineStr"/>
      <c r="G101" s="24" t="inlineStr">
        <is>
          <t>Dvoustupňové patky pro IPE180 — horní část z tvarovek ztraceného bedně</t>
        </is>
      </c>
      <c r="H101" s="24" t="inlineStr">
        <is>
          <t>? needs production lookup</t>
        </is>
      </c>
    </row>
    <row r="102">
      <c r="B102" s="24" t="inlineStr">
        <is>
          <t>260217_sklad.HSV2.004</t>
        </is>
      </c>
      <c r="C102" s="24" t="inlineStr">
        <is>
          <t>260217_sklad</t>
        </is>
      </c>
      <c r="D102" s="24" t="inlineStr">
        <is>
          <t>HSV-2 Základové a ŽB</t>
        </is>
      </c>
      <c r="E102" s="24" t="inlineStr">
        <is>
          <t>273321321</t>
        </is>
      </c>
      <c r="F102" s="24" t="inlineStr"/>
      <c r="G102" s="24" t="inlineStr">
        <is>
          <t>Beton C25/30 XC3 XF1 XA1 pro zalití tvarovek ZB patek + lemujících zíd</t>
        </is>
      </c>
      <c r="H102" s="24" t="inlineStr">
        <is>
          <t>? needs production lookup</t>
        </is>
      </c>
    </row>
    <row r="103">
      <c r="B103" s="24" t="inlineStr">
        <is>
          <t>260217_sklad.HSV2.006</t>
        </is>
      </c>
      <c r="C103" s="24" t="inlineStr">
        <is>
          <t>260217_sklad</t>
        </is>
      </c>
      <c r="D103" s="24" t="inlineStr">
        <is>
          <t>HSV-2 Základové a ŽB</t>
        </is>
      </c>
      <c r="E103" s="24" t="inlineStr">
        <is>
          <t>273361821</t>
        </is>
      </c>
      <c r="F103" s="24" t="inlineStr"/>
      <c r="G103" s="24" t="inlineStr">
        <is>
          <t>ŽB schodišťová deska ve sklonu + základový pas — beton C25/30 XC3 (ter</t>
        </is>
      </c>
      <c r="H103" s="24" t="inlineStr">
        <is>
          <t>? needs production lookup</t>
        </is>
      </c>
    </row>
    <row r="104">
      <c r="B104" s="24" t="inlineStr">
        <is>
          <t>260219_dum.HSV3.001</t>
        </is>
      </c>
      <c r="C104" s="24" t="inlineStr">
        <is>
          <t>260219_dum</t>
        </is>
      </c>
      <c r="D104" s="24" t="inlineStr">
        <is>
          <t>HSV-3 Svislé konstrukce</t>
        </is>
      </c>
      <c r="E104" s="24" t="inlineStr">
        <is>
          <t>311232511</t>
        </is>
      </c>
      <c r="F104" s="24" t="inlineStr"/>
      <c r="G104" s="24" t="inlineStr">
        <is>
          <t>Lokální dozdívky a přizdívky z cihel plných pálených P10 na MVC M10 (u</t>
        </is>
      </c>
      <c r="H104" s="24" t="inlineStr">
        <is>
          <t>? needs production lookup</t>
        </is>
      </c>
    </row>
    <row r="105">
      <c r="B105" s="24" t="inlineStr">
        <is>
          <t>260219_dum.HSV3.004</t>
        </is>
      </c>
      <c r="C105" s="24" t="inlineStr">
        <is>
          <t>260219_dum</t>
        </is>
      </c>
      <c r="D105" s="24" t="inlineStr">
        <is>
          <t>HSV-3 Svislé konstrukce</t>
        </is>
      </c>
      <c r="E105" s="24" t="inlineStr">
        <is>
          <t>317242421</t>
        </is>
      </c>
      <c r="F105" s="24" t="inlineStr"/>
      <c r="G105" s="24" t="inlineStr">
        <is>
          <t xml:space="preserve">Maltové uložení překladů IPN160 — MC25 tl. 50 mm + kari 5/100/100 (po </t>
        </is>
      </c>
      <c r="H105" s="24" t="inlineStr">
        <is>
          <t>? needs production lookup</t>
        </is>
      </c>
    </row>
    <row r="106">
      <c r="B106" s="24" t="inlineStr">
        <is>
          <t>260217_sklad.HSV3.001</t>
        </is>
      </c>
      <c r="C106" s="24" t="inlineStr">
        <is>
          <t>260217_sklad</t>
        </is>
      </c>
      <c r="D106" s="24" t="inlineStr">
        <is>
          <t>HSV-3 Svislé konstrukce</t>
        </is>
      </c>
      <c r="E106" s="24" t="inlineStr">
        <is>
          <t>311233815</t>
        </is>
      </c>
      <c r="F106" s="24" t="inlineStr"/>
      <c r="G106" s="24" t="inlineStr">
        <is>
          <t>Zadní opěrná stěna — prefabrikované betonové bloky Herkul H-BLOK Stand</t>
        </is>
      </c>
      <c r="H106" s="24" t="inlineStr">
        <is>
          <t>? needs production lookup</t>
        </is>
      </c>
    </row>
    <row r="107">
      <c r="B107" s="24" t="inlineStr">
        <is>
          <t>260217_sklad.HSV3.002</t>
        </is>
      </c>
      <c r="C107" s="24" t="inlineStr">
        <is>
          <t>260217_sklad</t>
        </is>
      </c>
      <c r="D107" s="24" t="inlineStr">
        <is>
          <t>HSV-3 Svislé konstrukce</t>
        </is>
      </c>
      <c r="E107" s="24" t="inlineStr">
        <is>
          <t>311233811</t>
        </is>
      </c>
      <c r="F107" s="24" t="inlineStr"/>
      <c r="G107" s="24" t="inlineStr">
        <is>
          <t>Obvodové stěny skladu — tvarovky ztraceného bednění tl. 250 mm × výška</t>
        </is>
      </c>
      <c r="H107" s="24" t="inlineStr">
        <is>
          <t>? needs production lookup</t>
        </is>
      </c>
    </row>
    <row r="108">
      <c r="B108" s="24" t="inlineStr">
        <is>
          <t>260219_dum.HSV4.004</t>
        </is>
      </c>
      <c r="C108" s="24" t="inlineStr">
        <is>
          <t>260219_dum</t>
        </is>
      </c>
      <c r="D108" s="24" t="inlineStr">
        <is>
          <t>HSV-4 Vodorovné</t>
        </is>
      </c>
      <c r="E108" s="24" t="inlineStr">
        <is>
          <t>411321414</t>
        </is>
      </c>
      <c r="F108" s="24" t="inlineStr"/>
      <c r="G108" s="24" t="inlineStr">
        <is>
          <t>Ocelobetonový strop — výztuha HEA200 dvorní trakt, dl. ~10 m</t>
        </is>
      </c>
      <c r="H108" s="24" t="inlineStr">
        <is>
          <t>? needs production lookup</t>
        </is>
      </c>
    </row>
    <row r="109">
      <c r="B109" s="24" t="inlineStr">
        <is>
          <t>260219_dum.HSV4.008</t>
        </is>
      </c>
      <c r="C109" s="24" t="inlineStr">
        <is>
          <t>260219_dum</t>
        </is>
      </c>
      <c r="D109" s="24" t="inlineStr">
        <is>
          <t>HSV-4 Vodorovné</t>
        </is>
      </c>
      <c r="E109" s="24" t="inlineStr">
        <is>
          <t>271223111</t>
        </is>
      </c>
      <c r="F109" s="24" t="inlineStr"/>
      <c r="G109" s="24" t="inlineStr">
        <is>
          <t>Nový zásyp klenby 1.PP/1.NP — perlitbeton (lehký zásyp) tl. 100 mm</t>
        </is>
      </c>
      <c r="H109" s="24" t="inlineStr">
        <is>
          <t>? needs production lookup</t>
        </is>
      </c>
    </row>
    <row r="110">
      <c r="B110" s="24" t="inlineStr">
        <is>
          <t>260219_dum.HSV4.009</t>
        </is>
      </c>
      <c r="C110" s="24" t="inlineStr">
        <is>
          <t>260219_dum</t>
        </is>
      </c>
      <c r="D110" s="24" t="inlineStr">
        <is>
          <t>HSV-4 Vodorovné</t>
        </is>
      </c>
      <c r="E110" s="24" t="inlineStr">
        <is>
          <t>631321311</t>
        </is>
      </c>
      <c r="F110" s="24" t="inlineStr"/>
      <c r="G110" s="24" t="inlineStr">
        <is>
          <t>Plastická perlitbetonová roznášecí vrstva tl. 50 mm nad zásypem klenby</t>
        </is>
      </c>
      <c r="H110" s="24" t="inlineStr">
        <is>
          <t>? needs production lookup</t>
        </is>
      </c>
    </row>
    <row r="111">
      <c r="B111" s="24" t="inlineStr">
        <is>
          <t>260219_dum.HSV4.010</t>
        </is>
      </c>
      <c r="C111" s="24" t="inlineStr">
        <is>
          <t>260219_dum</t>
        </is>
      </c>
      <c r="D111" s="24" t="inlineStr">
        <is>
          <t>HSV-4 Vodorovné</t>
        </is>
      </c>
      <c r="E111" s="24" t="inlineStr">
        <is>
          <t>974041141</t>
        </is>
      </c>
      <c r="F111" s="24" t="inlineStr"/>
      <c r="G111" s="24" t="inlineStr">
        <is>
          <t>Strop trámový 1.NP/2.NP — sejmutí podlah, demontáž záklopu a zásypu sh</t>
        </is>
      </c>
      <c r="H111" s="24" t="inlineStr">
        <is>
          <t>? needs production lookup</t>
        </is>
      </c>
    </row>
    <row r="112">
      <c r="B112" s="24" t="inlineStr">
        <is>
          <t>260219_dum.HSV4.012</t>
        </is>
      </c>
      <c r="C112" s="24" t="inlineStr">
        <is>
          <t>260219_dum</t>
        </is>
      </c>
      <c r="D112" s="24" t="inlineStr">
        <is>
          <t>HSV-4 Vodorovné</t>
        </is>
      </c>
      <c r="E112" s="24" t="inlineStr">
        <is>
          <t>342213131</t>
        </is>
      </c>
      <c r="F112" s="24" t="inlineStr"/>
      <c r="G112" s="24" t="inlineStr">
        <is>
          <t>Protipožární SDK podhled zespodu trámového stropu (EI 30 dle PBŘ)</t>
        </is>
      </c>
      <c r="H112" s="24" t="inlineStr">
        <is>
          <t>? needs production lookup</t>
        </is>
      </c>
    </row>
    <row r="113">
      <c r="B113" s="24" t="inlineStr">
        <is>
          <t>260219_dum.HSV4.013</t>
        </is>
      </c>
      <c r="C113" s="24" t="inlineStr">
        <is>
          <t>260219_dum</t>
        </is>
      </c>
      <c r="D113" s="24" t="inlineStr">
        <is>
          <t>HSV-4 Vodorovné</t>
        </is>
      </c>
      <c r="E113" s="24" t="inlineStr">
        <is>
          <t>631311114</t>
        </is>
      </c>
      <c r="F113" s="24" t="inlineStr"/>
      <c r="G113" s="24" t="inlineStr">
        <is>
          <t xml:space="preserve">Suchá podlahová skladba 1.NP/2.NP — zásyp Liapor pro vyrovnání tl. 50 </t>
        </is>
      </c>
      <c r="H113" s="24" t="inlineStr">
        <is>
          <t>? needs production lookup</t>
        </is>
      </c>
    </row>
    <row r="114">
      <c r="B114" s="24" t="inlineStr">
        <is>
          <t>260219_dum.HSV4.014</t>
        </is>
      </c>
      <c r="C114" s="24" t="inlineStr">
        <is>
          <t>260219_dum</t>
        </is>
      </c>
      <c r="D114" s="24" t="inlineStr">
        <is>
          <t>HSV-4 Vodorovné</t>
        </is>
      </c>
      <c r="E114" s="24" t="inlineStr">
        <is>
          <t>771421111</t>
        </is>
      </c>
      <c r="F114" s="24" t="inlineStr"/>
      <c r="G114" s="24" t="inlineStr">
        <is>
          <t>Suchá podlahová skladba — sádrovláknité dílce Fermacell tl. 25 mm (dva</t>
        </is>
      </c>
      <c r="H114" s="24" t="inlineStr">
        <is>
          <t>? needs production lookup</t>
        </is>
      </c>
    </row>
    <row r="115">
      <c r="B115" s="24" t="inlineStr">
        <is>
          <t>260217_sklad.HSV4.001</t>
        </is>
      </c>
      <c r="C115" s="24" t="inlineStr">
        <is>
          <t>260217_sklad</t>
        </is>
      </c>
      <c r="D115" s="24" t="inlineStr">
        <is>
          <t>HSV-4 Vodorovné</t>
        </is>
      </c>
      <c r="E115" s="24" t="inlineStr">
        <is>
          <t>762341110</t>
        </is>
      </c>
      <c r="F115" s="24" t="inlineStr"/>
      <c r="G115" s="24" t="inlineStr">
        <is>
          <t>Dřevěné stropnice 100/160 mm á 625 mm primární zastřešení skladu — rez</t>
        </is>
      </c>
      <c r="H115" s="24" t="inlineStr">
        <is>
          <t>? needs production lookup</t>
        </is>
      </c>
    </row>
    <row r="116">
      <c r="B116" s="24" t="inlineStr">
        <is>
          <t>260217_sklad.HSV4.002</t>
        </is>
      </c>
      <c r="C116" s="24" t="inlineStr">
        <is>
          <t>260217_sklad</t>
        </is>
      </c>
      <c r="D116" s="24" t="inlineStr">
        <is>
          <t>HSV-4 Vodorovné</t>
        </is>
      </c>
      <c r="E116" s="24" t="inlineStr">
        <is>
          <t>762331110</t>
        </is>
      </c>
      <c r="F116" s="24" t="inlineStr"/>
      <c r="G116" s="24" t="inlineStr">
        <is>
          <t>Prkenný záklop stropnic skladu tl. 20 mm + impregnace</t>
        </is>
      </c>
      <c r="H116" s="24" t="inlineStr">
        <is>
          <t>? needs production lookup</t>
        </is>
      </c>
    </row>
    <row r="117">
      <c r="B117" s="24" t="inlineStr">
        <is>
          <t>260217_sklad.HSV4.003</t>
        </is>
      </c>
      <c r="C117" s="24" t="inlineStr">
        <is>
          <t>260217_sklad</t>
        </is>
      </c>
      <c r="D117" s="24" t="inlineStr">
        <is>
          <t>HSV-4 Vodorovné</t>
        </is>
      </c>
      <c r="E117" s="24" t="inlineStr">
        <is>
          <t>712331101</t>
        </is>
      </c>
      <c r="F117" s="24" t="inlineStr"/>
      <c r="G117" s="24" t="inlineStr">
        <is>
          <t>Hydroizolační střešní souvrství skladu (modifikovaný asfaltový pás SBS</t>
        </is>
      </c>
      <c r="H117" s="24" t="inlineStr">
        <is>
          <t>? needs production lookup</t>
        </is>
      </c>
    </row>
    <row r="118">
      <c r="B118" s="24" t="inlineStr">
        <is>
          <t>260217_sklad.HSV4.004</t>
        </is>
      </c>
      <c r="C118" s="24" t="inlineStr">
        <is>
          <t>260217_sklad</t>
        </is>
      </c>
      <c r="D118" s="24" t="inlineStr">
        <is>
          <t>HSV-4 Vodorovné</t>
        </is>
      </c>
      <c r="E118" s="24" t="inlineStr">
        <is>
          <t>411321414</t>
        </is>
      </c>
      <c r="F118" s="24" t="inlineStr"/>
      <c r="G118" s="24" t="inlineStr">
        <is>
          <t xml:space="preserve">Sekundární zastřešení parkingu — IPE180 v rozteči 1000 mm × délka 7 m </t>
        </is>
      </c>
      <c r="H118" s="24" t="inlineStr">
        <is>
          <t>? needs production lookup</t>
        </is>
      </c>
    </row>
    <row r="119">
      <c r="B119" s="24" t="inlineStr">
        <is>
          <t>260217_sklad.HSV4.006</t>
        </is>
      </c>
      <c r="C119" s="24" t="inlineStr">
        <is>
          <t>260217_sklad</t>
        </is>
      </c>
      <c r="D119" s="24" t="inlineStr">
        <is>
          <t>HSV-4 Vodorovné</t>
        </is>
      </c>
      <c r="E119" s="24" t="inlineStr">
        <is>
          <t>783201001</t>
        </is>
      </c>
      <c r="F119" s="24" t="inlineStr"/>
      <c r="G119" s="24" t="inlineStr">
        <is>
          <t>Žárově zinková povrchová úprava IPE180 + pororoštů dle ČSN EN ISO 1294</t>
        </is>
      </c>
      <c r="H119" s="24" t="inlineStr">
        <is>
          <t>? needs production lookup</t>
        </is>
      </c>
    </row>
    <row r="120">
      <c r="B120" s="24" t="inlineStr">
        <is>
          <t>260219_dum.HSV5.004</t>
        </is>
      </c>
      <c r="C120" s="24" t="inlineStr">
        <is>
          <t>260219_dum</t>
        </is>
      </c>
      <c r="D120" s="24" t="inlineStr">
        <is>
          <t>HSV-5 Krov + střecha</t>
        </is>
      </c>
      <c r="E120" s="24" t="inlineStr">
        <is>
          <t>762331911</t>
        </is>
      </c>
      <c r="F120" s="24" t="inlineStr"/>
      <c r="G120" s="24" t="inlineStr">
        <is>
          <t>Tesařský krov — námětky 60/100 v dolní koncové části pro přesah střech</t>
        </is>
      </c>
      <c r="H120" s="24" t="inlineStr">
        <is>
          <t>? needs production lookup</t>
        </is>
      </c>
    </row>
    <row r="121">
      <c r="B121" s="24" t="inlineStr">
        <is>
          <t>260219_dum.HSV5.006</t>
        </is>
      </c>
      <c r="C121" s="24" t="inlineStr">
        <is>
          <t>260219_dum</t>
        </is>
      </c>
      <c r="D121" s="24" t="inlineStr">
        <is>
          <t>HSV-5 Krov + střecha</t>
        </is>
      </c>
      <c r="E121" s="24" t="inlineStr">
        <is>
          <t>411321414</t>
        </is>
      </c>
      <c r="F121" s="24" t="inlineStr"/>
      <c r="G121" s="24" t="inlineStr">
        <is>
          <t>Ocelové sloupky uzavřený profil 100×100×4 mm pod vaznice HEA160 (~6 ks</t>
        </is>
      </c>
      <c r="H121" s="24" t="inlineStr">
        <is>
          <t>? needs production lookup</t>
        </is>
      </c>
    </row>
    <row r="122">
      <c r="B122" s="24" t="inlineStr">
        <is>
          <t>260219_dum.HSV5.007</t>
        </is>
      </c>
      <c r="C122" s="24" t="inlineStr">
        <is>
          <t>260219_dum</t>
        </is>
      </c>
      <c r="D122" s="24" t="inlineStr">
        <is>
          <t>HSV-5 Krov + střecha</t>
        </is>
      </c>
      <c r="E122" s="24" t="inlineStr">
        <is>
          <t>762341711</t>
        </is>
      </c>
      <c r="F122" s="24" t="inlineStr"/>
      <c r="G122" s="24" t="inlineStr">
        <is>
          <t>Bednění z prken tl. 20 mm pod nadkrokevní PIR (biodeska/palubka)</t>
        </is>
      </c>
      <c r="H122" s="24" t="inlineStr">
        <is>
          <t>? needs production lookup</t>
        </is>
      </c>
    </row>
    <row r="123">
      <c r="B123" s="24" t="inlineStr">
        <is>
          <t>260219_dum.HSV5.008</t>
        </is>
      </c>
      <c r="C123" s="24" t="inlineStr">
        <is>
          <t>260219_dum</t>
        </is>
      </c>
      <c r="D123" s="24" t="inlineStr">
        <is>
          <t>HSV-5 Krov + střecha</t>
        </is>
      </c>
      <c r="E123" s="24" t="inlineStr">
        <is>
          <t>712311101</t>
        </is>
      </c>
      <c r="F123" s="24" t="inlineStr"/>
      <c r="G123" s="24" t="inlineStr">
        <is>
          <t>Parotěsná folie nad bedněním pod nadkrokevní PIR (např. Isover Vario n</t>
        </is>
      </c>
      <c r="H123" s="24" t="inlineStr">
        <is>
          <t>? needs production lookup</t>
        </is>
      </c>
    </row>
    <row r="124">
      <c r="B124" s="24" t="inlineStr">
        <is>
          <t>260219_dum.HSV5.010</t>
        </is>
      </c>
      <c r="C124" s="24" t="inlineStr">
        <is>
          <t>260219_dum</t>
        </is>
      </c>
      <c r="D124" s="24" t="inlineStr">
        <is>
          <t>HSV-5 Krov + střecha</t>
        </is>
      </c>
      <c r="E124" s="24" t="inlineStr">
        <is>
          <t>712311111</t>
        </is>
      </c>
      <c r="F124" s="24" t="inlineStr"/>
      <c r="G124" s="24" t="inlineStr">
        <is>
          <t>Doplňková hydroizolační difuzně otevřená folie nad PIR pod kontralatě</t>
        </is>
      </c>
      <c r="H124" s="24" t="inlineStr">
        <is>
          <t>? needs production lookup</t>
        </is>
      </c>
    </row>
    <row r="125">
      <c r="B125" s="24" t="inlineStr">
        <is>
          <t>260219_dum.HSV5.011</t>
        </is>
      </c>
      <c r="C125" s="24" t="inlineStr">
        <is>
          <t>260219_dum</t>
        </is>
      </c>
      <c r="D125" s="24" t="inlineStr">
        <is>
          <t>HSV-5 Krov + střecha</t>
        </is>
      </c>
      <c r="E125" s="24" t="inlineStr">
        <is>
          <t>762331923</t>
        </is>
      </c>
      <c r="F125" s="24" t="inlineStr"/>
      <c r="G125" s="24" t="inlineStr">
        <is>
          <t>Distanční kontralatě 40×60 mm pro vzduchovou mezeru nad PIR</t>
        </is>
      </c>
      <c r="H125" s="24" t="inlineStr">
        <is>
          <t>? needs production lookup</t>
        </is>
      </c>
    </row>
    <row r="126">
      <c r="B126" s="24" t="inlineStr">
        <is>
          <t>260219_dum.HSV5.014</t>
        </is>
      </c>
      <c r="C126" s="24" t="inlineStr">
        <is>
          <t>260219_dum</t>
        </is>
      </c>
      <c r="D126" s="24" t="inlineStr">
        <is>
          <t>HSV-5 Krov + střecha</t>
        </is>
      </c>
      <c r="E126" s="24" t="inlineStr">
        <is>
          <t>762341711</t>
        </is>
      </c>
      <c r="F126" s="24" t="inlineStr"/>
      <c r="G126" s="24" t="inlineStr">
        <is>
          <t>Patro pro přespání v krovu — biodeska / OSB desky tl. 22 mm nad klešti</t>
        </is>
      </c>
      <c r="H126" s="24" t="inlineStr">
        <is>
          <t>? needs production lookup</t>
        </is>
      </c>
    </row>
    <row r="127">
      <c r="B127" s="24" t="inlineStr">
        <is>
          <t>260219_dum.HSV5.015</t>
        </is>
      </c>
      <c r="C127" s="24" t="inlineStr">
        <is>
          <t>260219_dum</t>
        </is>
      </c>
      <c r="D127" s="24" t="inlineStr">
        <is>
          <t>HSV-5 Krov + střecha</t>
        </is>
      </c>
      <c r="E127" s="24" t="inlineStr">
        <is>
          <t>311321411</t>
        </is>
      </c>
      <c r="F127" s="24" t="inlineStr"/>
      <c r="G127" s="24" t="inlineStr">
        <is>
          <t>Vikýře — zděná čela z Porotherm 30 (odhad 4 ks × ~3 m² stěna)</t>
        </is>
      </c>
      <c r="H127" s="24" t="inlineStr">
        <is>
          <t>? needs production lookup</t>
        </is>
      </c>
    </row>
    <row r="128">
      <c r="B128" s="24" t="inlineStr">
        <is>
          <t>260219_dum.HSV5.016</t>
        </is>
      </c>
      <c r="C128" s="24" t="inlineStr">
        <is>
          <t>260219_dum</t>
        </is>
      </c>
      <c r="D128" s="24" t="inlineStr">
        <is>
          <t>HSV-5 Krov + střecha</t>
        </is>
      </c>
      <c r="E128" s="24" t="inlineStr">
        <is>
          <t>765791121</t>
        </is>
      </c>
      <c r="F128" s="24" t="inlineStr"/>
      <c r="G128" s="24" t="inlineStr">
        <is>
          <t>Vikýře — provětrávaná fasáda min. vata + plech falcovaný hliník (4 vik</t>
        </is>
      </c>
      <c r="H128" s="24" t="inlineStr">
        <is>
          <t>? needs production lookup</t>
        </is>
      </c>
    </row>
    <row r="129">
      <c r="B129" s="24" t="inlineStr">
        <is>
          <t>260219_dum.HSV6.003</t>
        </is>
      </c>
      <c r="C129" s="24" t="inlineStr">
        <is>
          <t>260219_dum</t>
        </is>
      </c>
      <c r="D129" s="24" t="inlineStr">
        <is>
          <t>HSV-6 Bourací práce</t>
        </is>
      </c>
      <c r="E129" s="24" t="inlineStr">
        <is>
          <t>962031132</t>
        </is>
      </c>
      <c r="F129" s="24" t="inlineStr"/>
      <c r="G129" s="24" t="inlineStr">
        <is>
          <t>Bourání zděných nadezdívek nad stropem 2.NP (mimo štítových stěn) — ci</t>
        </is>
      </c>
      <c r="H129" s="24" t="inlineStr">
        <is>
          <t>? needs production lookup</t>
        </is>
      </c>
    </row>
    <row r="130">
      <c r="B130" s="24" t="inlineStr">
        <is>
          <t>260219_dum.HSV6.004</t>
        </is>
      </c>
      <c r="C130" s="24" t="inlineStr">
        <is>
          <t>260219_dum</t>
        </is>
      </c>
      <c r="D130" s="24" t="inlineStr">
        <is>
          <t>HSV-6 Bourací práce</t>
        </is>
      </c>
      <c r="E130" s="24" t="inlineStr">
        <is>
          <t>962041141</t>
        </is>
      </c>
      <c r="F130" s="24" t="inlineStr"/>
      <c r="G130" s="24" t="inlineStr">
        <is>
          <t>Bourání trámového stropu 2.NP/podkroví — kompletně (vč. zajištění scho</t>
        </is>
      </c>
      <c r="H130" s="24" t="inlineStr">
        <is>
          <t>? needs production lookup</t>
        </is>
      </c>
    </row>
    <row r="131">
      <c r="B131" s="24" t="inlineStr">
        <is>
          <t>260219_dum.HSV6.005</t>
        </is>
      </c>
      <c r="C131" s="24" t="inlineStr">
        <is>
          <t>260219_dum</t>
        </is>
      </c>
      <c r="D131" s="24" t="inlineStr">
        <is>
          <t>HSV-6 Bourací práce</t>
        </is>
      </c>
      <c r="E131" s="24" t="inlineStr">
        <is>
          <t>962031132</t>
        </is>
      </c>
      <c r="F131" s="24" t="inlineStr"/>
      <c r="G131" s="24" t="inlineStr">
        <is>
          <t>Bourání stávajících lehkých příček (cihla, sádrokarton, dřevo)</t>
        </is>
      </c>
      <c r="H131" s="24" t="inlineStr">
        <is>
          <t>? needs production lookup</t>
        </is>
      </c>
    </row>
    <row r="132">
      <c r="B132" s="24" t="inlineStr">
        <is>
          <t>260219_dum.HSV6.006</t>
        </is>
      </c>
      <c r="C132" s="24" t="inlineStr">
        <is>
          <t>260219_dum</t>
        </is>
      </c>
      <c r="D132" s="24" t="inlineStr">
        <is>
          <t>HSV-6 Bourací práce</t>
        </is>
      </c>
      <c r="E132" s="24" t="inlineStr">
        <is>
          <t>962031132</t>
        </is>
      </c>
      <c r="F132" s="24" t="inlineStr"/>
      <c r="G132" s="24" t="inlineStr">
        <is>
          <t>Bourání 8 nových otvorů v nosných cihelných zdech pro dveře/okna (~1.0</t>
        </is>
      </c>
      <c r="H132" s="24" t="inlineStr">
        <is>
          <t>? needs production lookup</t>
        </is>
      </c>
    </row>
    <row r="133">
      <c r="B133" s="24" t="inlineStr">
        <is>
          <t>260219_dum.HSV6.008</t>
        </is>
      </c>
      <c r="C133" s="24" t="inlineStr">
        <is>
          <t>260219_dum</t>
        </is>
      </c>
      <c r="D133" s="24" t="inlineStr">
        <is>
          <t>HSV-6 Bourací práce</t>
        </is>
      </c>
      <c r="E133" s="24" t="inlineStr">
        <is>
          <t>974031132</t>
        </is>
      </c>
      <c r="F133" s="24" t="inlineStr"/>
      <c r="G133" s="24" t="inlineStr">
        <is>
          <t>Sejmutí podlah 1.NP a 2.NP — vč. nášlapů, podkladních vrstev</t>
        </is>
      </c>
      <c r="H133" s="24" t="inlineStr">
        <is>
          <t>? needs production lookup</t>
        </is>
      </c>
    </row>
    <row r="134">
      <c r="B134" s="24" t="inlineStr">
        <is>
          <t>260219_dum.HSV6.009</t>
        </is>
      </c>
      <c r="C134" s="24" t="inlineStr">
        <is>
          <t>260219_dum</t>
        </is>
      </c>
      <c r="D134" s="24" t="inlineStr">
        <is>
          <t>HSV-6 Bourací práce</t>
        </is>
      </c>
      <c r="E134" s="24" t="inlineStr">
        <is>
          <t>974041151</t>
        </is>
      </c>
      <c r="F134" s="24" t="inlineStr"/>
      <c r="G134" s="24" t="inlineStr">
        <is>
          <t>Demontáž záklopu a zásypů stropu 1.NP (prkenný záklop na trámech zacho</t>
        </is>
      </c>
      <c r="H134" s="24" t="inlineStr">
        <is>
          <t>? needs production lookup</t>
        </is>
      </c>
    </row>
    <row r="135">
      <c r="B135" s="24" t="inlineStr">
        <is>
          <t>260219_dum.HSV6.010</t>
        </is>
      </c>
      <c r="C135" s="24" t="inlineStr">
        <is>
          <t>260219_dum</t>
        </is>
      </c>
      <c r="D135" s="24" t="inlineStr">
        <is>
          <t>HSV-6 Bourací práce</t>
        </is>
      </c>
      <c r="E135" s="24" t="inlineStr">
        <is>
          <t>968071120</t>
        </is>
      </c>
      <c r="F135" s="24" t="inlineStr"/>
      <c r="G135" s="24" t="inlineStr">
        <is>
          <t>Demontáž všech oken a dveří stávajících (recyklace)</t>
        </is>
      </c>
      <c r="H135" s="24" t="inlineStr">
        <is>
          <t>? needs production lookup</t>
        </is>
      </c>
    </row>
    <row r="136">
      <c r="B136" s="24" t="inlineStr">
        <is>
          <t>260219_dum.HSV6.011</t>
        </is>
      </c>
      <c r="C136" s="24" t="inlineStr">
        <is>
          <t>260219_dum</t>
        </is>
      </c>
      <c r="D136" s="24" t="inlineStr">
        <is>
          <t>HSV-6 Bourací práce</t>
        </is>
      </c>
      <c r="E136" s="24" t="inlineStr">
        <is>
          <t>725900001</t>
        </is>
      </c>
      <c r="F136" s="24" t="inlineStr"/>
      <c r="G136" s="24" t="inlineStr">
        <is>
          <t>Demontáž všech sanitárních zařizovacích předmětů (WC, umyvadla, bateri</t>
        </is>
      </c>
      <c r="H136" s="24" t="inlineStr">
        <is>
          <t>? needs production lookup</t>
        </is>
      </c>
    </row>
    <row r="137">
      <c r="B137" s="24" t="inlineStr">
        <is>
          <t>260219_dum.HSV6.012</t>
        </is>
      </c>
      <c r="C137" s="24" t="inlineStr">
        <is>
          <t>260219_dum</t>
        </is>
      </c>
      <c r="D137" s="24" t="inlineStr">
        <is>
          <t>HSV-6 Bourací práce</t>
        </is>
      </c>
      <c r="E137" s="24" t="inlineStr">
        <is>
          <t>997013501</t>
        </is>
      </c>
      <c r="F137" s="24" t="inlineStr"/>
      <c r="G137" s="24" t="inlineStr">
        <is>
          <t>Odvoz a likvidace stavební suti dle vyhl. 8/2021 Sb. — celková tonáž o</t>
        </is>
      </c>
      <c r="H137" s="24" t="inlineStr">
        <is>
          <t>? needs production lookup</t>
        </is>
      </c>
    </row>
    <row r="138">
      <c r="B138" s="24" t="inlineStr">
        <is>
          <t>260219_dum.HSV7.001</t>
        </is>
      </c>
      <c r="C138" s="24" t="inlineStr">
        <is>
          <t>260219_dum</t>
        </is>
      </c>
      <c r="D138" s="24" t="inlineStr">
        <is>
          <t>HSV-7 Fasáda ETICS</t>
        </is>
      </c>
      <c r="E138" s="24" t="inlineStr">
        <is>
          <t>622401110</t>
        </is>
      </c>
      <c r="F138" s="24" t="inlineStr"/>
      <c r="G138" s="24" t="inlineStr">
        <is>
          <t>Příprava fasádního podkladu — očištění tlakovou vodou, vyspravení omít</t>
        </is>
      </c>
      <c r="H138" s="24" t="inlineStr">
        <is>
          <t>? needs production lookup</t>
        </is>
      </c>
    </row>
    <row r="139">
      <c r="B139" s="24" t="inlineStr">
        <is>
          <t>260219_dum.HSV7.004</t>
        </is>
      </c>
      <c r="C139" s="24" t="inlineStr">
        <is>
          <t>260219_dum</t>
        </is>
      </c>
      <c r="D139" s="24" t="inlineStr">
        <is>
          <t>HSV-7 Fasáda ETICS</t>
        </is>
      </c>
      <c r="E139" s="24" t="inlineStr">
        <is>
          <t>622221221</t>
        </is>
      </c>
      <c r="F139" s="24" t="inlineStr"/>
      <c r="G139" s="24" t="inlineStr">
        <is>
          <t>Špalety oken — EPS přesah 35-40 mm + síťka + omítka</t>
        </is>
      </c>
      <c r="H139" s="24" t="inlineStr">
        <is>
          <t>? needs production lookup</t>
        </is>
      </c>
    </row>
    <row r="140">
      <c r="B140" s="24" t="inlineStr">
        <is>
          <t>260219_dum.HSV7.005</t>
        </is>
      </c>
      <c r="C140" s="24" t="inlineStr">
        <is>
          <t>260219_dum</t>
        </is>
      </c>
      <c r="D140" s="24" t="inlineStr">
        <is>
          <t>HSV-7 Fasáda ETICS</t>
        </is>
      </c>
      <c r="E140" s="24" t="inlineStr">
        <is>
          <t>622221221</t>
        </is>
      </c>
      <c r="F140" s="24" t="inlineStr"/>
      <c r="G140" s="24" t="inlineStr">
        <is>
          <t>Profilace fasády — různé tloušťky EPS (kordony, šambrány, rámování oke</t>
        </is>
      </c>
      <c r="H140" s="24" t="inlineStr">
        <is>
          <t>? needs production lookup</t>
        </is>
      </c>
    </row>
    <row r="141">
      <c r="B141" s="24" t="inlineStr">
        <is>
          <t>260219_dum.PSV76.002</t>
        </is>
      </c>
      <c r="C141" s="24" t="inlineStr">
        <is>
          <t>260219_dum</t>
        </is>
      </c>
      <c r="D141" s="24" t="inlineStr">
        <is>
          <t>PSV-76 Výplně otvorů</t>
        </is>
      </c>
      <c r="E141" s="24" t="inlineStr">
        <is>
          <t>766621011</t>
        </is>
      </c>
      <c r="F141" s="24" t="inlineStr"/>
      <c r="G141" s="24" t="inlineStr">
        <is>
          <t>Plastové okno izolačním trojsklem Uw=0.85 W/m²K — typ 'okno 1.NP vzadu</t>
        </is>
      </c>
      <c r="H141" s="24" t="inlineStr">
        <is>
          <t>? needs production lookup</t>
        </is>
      </c>
    </row>
    <row r="142">
      <c r="B142" s="24" t="inlineStr">
        <is>
          <t>260219_dum.PSV76.003</t>
        </is>
      </c>
      <c r="C142" s="24" t="inlineStr">
        <is>
          <t>260219_dum</t>
        </is>
      </c>
      <c r="D142" s="24" t="inlineStr">
        <is>
          <t>PSV-76 Výplně otvorů</t>
        </is>
      </c>
      <c r="E142" s="24" t="inlineStr">
        <is>
          <t>766621011</t>
        </is>
      </c>
      <c r="F142" s="24" t="inlineStr"/>
      <c r="G142" s="24" t="inlineStr">
        <is>
          <t>Plastové okno izolačním trojsklem Uw=0.85 W/m²K — typ 'okno 2.NP' veli</t>
        </is>
      </c>
      <c r="H142" s="24" t="inlineStr">
        <is>
          <t>? needs production lookup</t>
        </is>
      </c>
    </row>
    <row r="143">
      <c r="B143" s="24" t="inlineStr">
        <is>
          <t>260219_dum.PSV76.004</t>
        </is>
      </c>
      <c r="C143" s="24" t="inlineStr">
        <is>
          <t>260219_dum</t>
        </is>
      </c>
      <c r="D143" s="24" t="inlineStr">
        <is>
          <t>PSV-76 Výplně otvorů</t>
        </is>
      </c>
      <c r="E143" s="24" t="inlineStr">
        <is>
          <t>766621011</t>
        </is>
      </c>
      <c r="F143" s="24" t="inlineStr"/>
      <c r="G143" s="24" t="inlineStr">
        <is>
          <t>Plastové okno izolačním trojsklem Uw=0.85 W/m²K — typ 'okno 3.NP' veli</t>
        </is>
      </c>
      <c r="H143" s="24" t="inlineStr">
        <is>
          <t>? needs production lookup</t>
        </is>
      </c>
    </row>
    <row r="144">
      <c r="B144" s="24" t="inlineStr">
        <is>
          <t>260219_dum.PSV76.005</t>
        </is>
      </c>
      <c r="C144" s="24" t="inlineStr">
        <is>
          <t>260219_dum</t>
        </is>
      </c>
      <c r="D144" s="24" t="inlineStr">
        <is>
          <t>PSV-76 Výplně otvorů</t>
        </is>
      </c>
      <c r="E144" s="24" t="inlineStr">
        <is>
          <t>766621011</t>
        </is>
      </c>
      <c r="F144" s="24" t="inlineStr"/>
      <c r="G144" s="24" t="inlineStr">
        <is>
          <t>Plastové okno izolačním trojsklem Uw=0.85 W/m²K — typ 'okno 3.NP vzadu</t>
        </is>
      </c>
      <c r="H144" s="24" t="inlineStr">
        <is>
          <t>? needs production lookup</t>
        </is>
      </c>
    </row>
    <row r="145">
      <c r="B145" s="24" t="inlineStr">
        <is>
          <t>260219_dum.PSV76.006</t>
        </is>
      </c>
      <c r="C145" s="24" t="inlineStr">
        <is>
          <t>260219_dum</t>
        </is>
      </c>
      <c r="D145" s="24" t="inlineStr">
        <is>
          <t>PSV-76 Výplně otvorů</t>
        </is>
      </c>
      <c r="E145" s="24" t="inlineStr">
        <is>
          <t>766621011</t>
        </is>
      </c>
      <c r="F145" s="24" t="inlineStr"/>
      <c r="G145" s="24" t="inlineStr">
        <is>
          <t xml:space="preserve">Plastové okno izolačním trojsklem Uw=0.85 W/m²K — typ 'okno male 3.NP </t>
        </is>
      </c>
      <c r="H145" s="24" t="inlineStr">
        <is>
          <t>? needs production lookup</t>
        </is>
      </c>
    </row>
    <row r="146">
      <c r="B146" s="24" t="inlineStr">
        <is>
          <t>260219_dum.PSV76.007</t>
        </is>
      </c>
      <c r="C146" s="24" t="inlineStr">
        <is>
          <t>260219_dum</t>
        </is>
      </c>
      <c r="D146" s="24" t="inlineStr">
        <is>
          <t>PSV-76 Výplně otvorů</t>
        </is>
      </c>
      <c r="E146" s="24" t="inlineStr">
        <is>
          <t>766621011</t>
        </is>
      </c>
      <c r="F146" s="24" t="inlineStr"/>
      <c r="G146" s="24" t="inlineStr">
        <is>
          <t>Plastové okno izolačním trojsklem Uw=0.85 W/m²K — typ 'okno malé vzadu</t>
        </is>
      </c>
      <c r="H146" s="24" t="inlineStr">
        <is>
          <t>? needs production lookup</t>
        </is>
      </c>
    </row>
    <row r="147">
      <c r="B147" s="24" t="inlineStr">
        <is>
          <t>260219_dum.PSV76.008</t>
        </is>
      </c>
      <c r="C147" s="24" t="inlineStr">
        <is>
          <t>260219_dum</t>
        </is>
      </c>
      <c r="D147" s="24" t="inlineStr">
        <is>
          <t>PSV-76 Výplně otvorů</t>
        </is>
      </c>
      <c r="E147" s="24" t="inlineStr">
        <is>
          <t>766631211</t>
        </is>
      </c>
      <c r="F147" s="24" t="inlineStr"/>
      <c r="G147" s="24" t="inlineStr">
        <is>
          <t>Integrované stínící venkovní žaluzie v kastlíku pod omítkou s purenito</t>
        </is>
      </c>
      <c r="H147" s="24" t="inlineStr">
        <is>
          <t>? needs production lookup</t>
        </is>
      </c>
    </row>
    <row r="148">
      <c r="B148" s="24" t="inlineStr">
        <is>
          <t>260219_dum.PSV76.009</t>
        </is>
      </c>
      <c r="C148" s="24" t="inlineStr">
        <is>
          <t>260219_dum</t>
        </is>
      </c>
      <c r="D148" s="24" t="inlineStr">
        <is>
          <t>PSV-76 Výplně otvorů</t>
        </is>
      </c>
      <c r="E148" s="24" t="inlineStr">
        <is>
          <t>766682111</t>
        </is>
      </c>
      <c r="F148" s="24" t="inlineStr"/>
      <c r="G148" s="24" t="inlineStr">
        <is>
          <t>Plastové vstupní dveře (ulice + zahrada) — 2 ks</t>
        </is>
      </c>
      <c r="H148" s="24" t="inlineStr">
        <is>
          <t>? needs production lookup</t>
        </is>
      </c>
    </row>
    <row r="149">
      <c r="B149" s="24" t="inlineStr">
        <is>
          <t>260219_dum.PSV76.010</t>
        </is>
      </c>
      <c r="C149" s="24" t="inlineStr">
        <is>
          <t>260219_dum</t>
        </is>
      </c>
      <c r="D149" s="24" t="inlineStr">
        <is>
          <t>PSV-76 Výplně otvorů</t>
        </is>
      </c>
      <c r="E149" s="24" t="inlineStr">
        <is>
          <t>766660035</t>
        </is>
      </c>
      <c r="F149" s="24" t="inlineStr"/>
      <c r="G149" s="24" t="inlineStr">
        <is>
          <t>Vnitřní dveře DTD laminované s obložkovou zárubní — odhad 15 ks</t>
        </is>
      </c>
      <c r="H149" s="24" t="inlineStr">
        <is>
          <t>? needs production lookup</t>
        </is>
      </c>
    </row>
    <row r="150">
      <c r="B150" s="24" t="inlineStr">
        <is>
          <t>260219_dum.PSV76.003</t>
        </is>
      </c>
      <c r="C150" s="24" t="inlineStr">
        <is>
          <t>260219_dum</t>
        </is>
      </c>
      <c r="D150" s="24" t="inlineStr">
        <is>
          <t>PSV-76 Zámečnictví</t>
        </is>
      </c>
      <c r="E150" s="24" t="inlineStr">
        <is>
          <t>767532111</t>
        </is>
      </c>
      <c r="F150" s="24" t="inlineStr"/>
      <c r="G150" s="24" t="inlineStr">
        <is>
          <t>Stříšky nad vstupy z ocelové konstrukce + Cetris desky + falcovaná kry</t>
        </is>
      </c>
      <c r="H150" s="24" t="inlineStr">
        <is>
          <t>? needs production lookup</t>
        </is>
      </c>
    </row>
    <row r="151">
      <c r="B151" s="24" t="inlineStr">
        <is>
          <t>260219_dum.PSV76.004</t>
        </is>
      </c>
      <c r="C151" s="24" t="inlineStr">
        <is>
          <t>260219_dum</t>
        </is>
      </c>
      <c r="D151" s="24" t="inlineStr">
        <is>
          <t>PSV-76 Zámečnictví</t>
        </is>
      </c>
      <c r="E151" s="24" t="inlineStr">
        <is>
          <t>767163115</t>
        </is>
      </c>
      <c r="F151" s="24" t="inlineStr"/>
      <c r="G151" s="24" t="inlineStr">
        <is>
          <t>Ocelové zábradlí svařované z jeklů + nerez výplň pZn antracit — schodi</t>
        </is>
      </c>
      <c r="H151" s="24" t="inlineStr">
        <is>
          <t>? needs production lookup</t>
        </is>
      </c>
    </row>
    <row r="152">
      <c r="B152" s="24" t="inlineStr">
        <is>
          <t>260219_dum.PSV76.001</t>
        </is>
      </c>
      <c r="C152" s="24" t="inlineStr">
        <is>
          <t>260219_dum</t>
        </is>
      </c>
      <c r="D152" s="24" t="inlineStr">
        <is>
          <t>PSV-76 Truhlář</t>
        </is>
      </c>
      <c r="E152" s="24" t="inlineStr">
        <is>
          <t>766811111</t>
        </is>
      </c>
      <c r="F152" s="24" t="inlineStr"/>
      <c r="G152" s="24" t="inlineStr">
        <is>
          <t>Dřevěné stupně ocelových schodišť (truhlářské, dub masiv tl. 40 mm)</t>
        </is>
      </c>
      <c r="H152" s="24" t="inlineStr">
        <is>
          <t>? needs production lookup</t>
        </is>
      </c>
    </row>
    <row r="153">
      <c r="B153" s="24" t="inlineStr">
        <is>
          <t>260219_dum.PSV76.002</t>
        </is>
      </c>
      <c r="C153" s="24" t="inlineStr">
        <is>
          <t>260219_dum</t>
        </is>
      </c>
      <c r="D153" s="24" t="inlineStr">
        <is>
          <t>PSV-76 Truhlář</t>
        </is>
      </c>
      <c r="E153" s="24" t="inlineStr"/>
      <c r="F153" s="24" t="inlineStr">
        <is>
          <t>762</t>
        </is>
      </c>
      <c r="G153" s="24" t="inlineStr">
        <is>
          <t xml:space="preserve">Dřevěná terasa za opěrnou stěnou — prkna garapa 145×25 mm na dřevěném </t>
        </is>
      </c>
      <c r="H153" s="24" t="inlineStr">
        <is>
          <t>❌ MANUAL — KROS catalog lookup</t>
        </is>
      </c>
    </row>
    <row r="154">
      <c r="B154" s="24" t="inlineStr">
        <is>
          <t>260219_dum.PSV77.002</t>
        </is>
      </c>
      <c r="C154" s="24" t="inlineStr">
        <is>
          <t>260219_dum</t>
        </is>
      </c>
      <c r="D154" s="24" t="inlineStr">
        <is>
          <t>PSV-77 Podlahy</t>
        </is>
      </c>
      <c r="E154" s="24" t="inlineStr">
        <is>
          <t>771274102</t>
        </is>
      </c>
      <c r="F154" s="24" t="inlineStr"/>
      <c r="G154" s="24" t="inlineStr">
        <is>
          <t>Nášlapná vrstva keramická dlažba lepená — koupelny + WC + spíž + komor</t>
        </is>
      </c>
      <c r="H154" s="24" t="inlineStr">
        <is>
          <t>? needs production lookup</t>
        </is>
      </c>
    </row>
    <row r="155">
      <c r="B155" s="24" t="inlineStr">
        <is>
          <t>260219_dum.PSV77.003</t>
        </is>
      </c>
      <c r="C155" s="24" t="inlineStr">
        <is>
          <t>260219_dum</t>
        </is>
      </c>
      <c r="D155" s="24" t="inlineStr">
        <is>
          <t>PSV-77 Podlahy</t>
        </is>
      </c>
      <c r="E155" s="24" t="inlineStr">
        <is>
          <t>771274102</t>
        </is>
      </c>
      <c r="F155" s="24" t="inlineStr"/>
      <c r="G155" s="24" t="inlineStr">
        <is>
          <t>Nášlapná vrstva keramická dlažba — 1.PP technické místnosti (sušárna +</t>
        </is>
      </c>
      <c r="H155" s="24" t="inlineStr">
        <is>
          <t>? needs production lookup</t>
        </is>
      </c>
    </row>
    <row r="156">
      <c r="B156" s="24" t="inlineStr">
        <is>
          <t>260219_dum.PSV77.004</t>
        </is>
      </c>
      <c r="C156" s="24" t="inlineStr">
        <is>
          <t>260219_dum</t>
        </is>
      </c>
      <c r="D156" s="24" t="inlineStr">
        <is>
          <t>PSV-77 Podlahy</t>
        </is>
      </c>
      <c r="E156" s="24" t="inlineStr">
        <is>
          <t>766411111</t>
        </is>
      </c>
      <c r="F156" s="24" t="inlineStr"/>
      <c r="G156" s="24" t="inlineStr">
        <is>
          <t xml:space="preserve">Nášlapná vrstva biodeska (smrk masiv) nebo OSB v 3.NP spací části nad </t>
        </is>
      </c>
      <c r="H156" s="24" t="inlineStr">
        <is>
          <t>? needs production lookup</t>
        </is>
      </c>
    </row>
    <row r="157">
      <c r="B157" s="24" t="inlineStr">
        <is>
          <t>260219_dum.PSV77.005</t>
        </is>
      </c>
      <c r="C157" s="24" t="inlineStr">
        <is>
          <t>260219_dum</t>
        </is>
      </c>
      <c r="D157" s="24" t="inlineStr">
        <is>
          <t>PSV-77 Podlahy</t>
        </is>
      </c>
      <c r="E157" s="24" t="inlineStr">
        <is>
          <t>631321311</t>
        </is>
      </c>
      <c r="F157" s="24" t="inlineStr"/>
      <c r="G157" s="24" t="inlineStr">
        <is>
          <t>Mokrá podlahová skladba — betonový potěr s kari síťkou 4/100/100 tl. 5</t>
        </is>
      </c>
      <c r="H157" s="24" t="inlineStr">
        <is>
          <t>? needs production lookup</t>
        </is>
      </c>
    </row>
    <row r="158">
      <c r="B158" s="24" t="inlineStr">
        <is>
          <t>260219_dum.PSV77.006</t>
        </is>
      </c>
      <c r="C158" s="24" t="inlineStr">
        <is>
          <t>260219_dum</t>
        </is>
      </c>
      <c r="D158" s="24" t="inlineStr">
        <is>
          <t>PSV-77 Podlahy</t>
        </is>
      </c>
      <c r="E158" s="24" t="inlineStr">
        <is>
          <t>776511831</t>
        </is>
      </c>
      <c r="F158" s="24" t="inlineStr"/>
      <c r="G158" s="24" t="inlineStr">
        <is>
          <t>Soklíky podlahové laminátové (dub) v obytných místnostech s vinyl podl</t>
        </is>
      </c>
      <c r="H158" s="24" t="inlineStr">
        <is>
          <t>? needs production lookup</t>
        </is>
      </c>
    </row>
    <row r="159">
      <c r="B159" s="24" t="inlineStr">
        <is>
          <t>260219_dum.PSV77.007</t>
        </is>
      </c>
      <c r="C159" s="24" t="inlineStr">
        <is>
          <t>260219_dum</t>
        </is>
      </c>
      <c r="D159" s="24" t="inlineStr">
        <is>
          <t>PSV-77 Podlahy</t>
        </is>
      </c>
      <c r="E159" s="24" t="inlineStr">
        <is>
          <t>771274107</t>
        </is>
      </c>
      <c r="F159" s="24" t="inlineStr"/>
      <c r="G159" s="24" t="inlineStr">
        <is>
          <t>Soklíky keramické v místnostech s dlažbou (koupelny + WC + spíž + 1.PP</t>
        </is>
      </c>
      <c r="H159" s="24" t="inlineStr">
        <is>
          <t>? needs production lookup</t>
        </is>
      </c>
    </row>
    <row r="160">
      <c r="B160" s="24" t="inlineStr">
        <is>
          <t>260219_dum.PSV78.001</t>
        </is>
      </c>
      <c r="C160" s="24" t="inlineStr">
        <is>
          <t>260219_dum</t>
        </is>
      </c>
      <c r="D160" s="24" t="inlineStr">
        <is>
          <t>PSV-78 Povrchové úpravy</t>
        </is>
      </c>
      <c r="E160" s="24" t="inlineStr">
        <is>
          <t>612311311</t>
        </is>
      </c>
      <c r="F160" s="24" t="inlineStr"/>
      <c r="G160" s="24" t="inlineStr">
        <is>
          <t>Omítka jádrová vápenocementová tl. 15 mm + štuková povrchová úprava na</t>
        </is>
      </c>
      <c r="H160" s="24" t="inlineStr">
        <is>
          <t>? needs production lookup</t>
        </is>
      </c>
    </row>
    <row r="161">
      <c r="B161" s="24" t="inlineStr">
        <is>
          <t>260219_dum.PSV78.002</t>
        </is>
      </c>
      <c r="C161" s="24" t="inlineStr">
        <is>
          <t>260219_dum</t>
        </is>
      </c>
      <c r="D161" s="24" t="inlineStr">
        <is>
          <t>PSV-78 Povrchové úpravy</t>
        </is>
      </c>
      <c r="E161" s="24" t="inlineStr">
        <is>
          <t>612311311</t>
        </is>
      </c>
      <c r="F161" s="24" t="inlineStr"/>
      <c r="G161" s="24" t="inlineStr">
        <is>
          <t>Omítka jádrová vápenocementová tl. 15 mm + štuková povrchová úprava na</t>
        </is>
      </c>
      <c r="H161" s="24" t="inlineStr">
        <is>
          <t>? needs production lookup</t>
        </is>
      </c>
    </row>
    <row r="162">
      <c r="B162" s="24" t="inlineStr">
        <is>
          <t>260219_dum.PSV78.003</t>
        </is>
      </c>
      <c r="C162" s="24" t="inlineStr">
        <is>
          <t>260219_dum</t>
        </is>
      </c>
      <c r="D162" s="24" t="inlineStr">
        <is>
          <t>PSV-78 Povrchové úpravy</t>
        </is>
      </c>
      <c r="E162" s="24" t="inlineStr">
        <is>
          <t>612311311</t>
        </is>
      </c>
      <c r="F162" s="24" t="inlineStr"/>
      <c r="G162" s="24" t="inlineStr">
        <is>
          <t>Omítka jádrová vápenocementová tl. 15 mm + štuková povrchová úprava na</t>
        </is>
      </c>
      <c r="H162" s="24" t="inlineStr">
        <is>
          <t>? needs production lookup</t>
        </is>
      </c>
    </row>
    <row r="163">
      <c r="B163" s="24" t="inlineStr">
        <is>
          <t>260219_dum.PSV78.004</t>
        </is>
      </c>
      <c r="C163" s="24" t="inlineStr">
        <is>
          <t>260219_dum</t>
        </is>
      </c>
      <c r="D163" s="24" t="inlineStr">
        <is>
          <t>PSV-78 Povrchové úpravy</t>
        </is>
      </c>
      <c r="E163" s="24" t="inlineStr">
        <is>
          <t>612311311</t>
        </is>
      </c>
      <c r="F163" s="24" t="inlineStr"/>
      <c r="G163" s="24" t="inlineStr">
        <is>
          <t>Omítka jádrová vápenocementová tl. 15 mm + štuková povrchová úprava na</t>
        </is>
      </c>
      <c r="H163" s="24" t="inlineStr">
        <is>
          <t>? needs production lookup</t>
        </is>
      </c>
    </row>
    <row r="164">
      <c r="B164" s="24" t="inlineStr">
        <is>
          <t>260219_dum.PSV78.005</t>
        </is>
      </c>
      <c r="C164" s="24" t="inlineStr">
        <is>
          <t>260219_dum</t>
        </is>
      </c>
      <c r="D164" s="24" t="inlineStr">
        <is>
          <t>PSV-78 Povrchové úpravy</t>
        </is>
      </c>
      <c r="E164" s="24" t="inlineStr">
        <is>
          <t>612471141</t>
        </is>
      </c>
      <c r="F164" s="24" t="inlineStr"/>
      <c r="G164" s="24" t="inlineStr">
        <is>
          <t>SDK podhled + případné předstěny — tmelení spojů Q3 + povrchová úprava</t>
        </is>
      </c>
      <c r="H164" s="24" t="inlineStr">
        <is>
          <t>? needs production lookup</t>
        </is>
      </c>
    </row>
    <row r="165">
      <c r="B165" s="24" t="inlineStr">
        <is>
          <t>260219_dum.PSV78.006</t>
        </is>
      </c>
      <c r="C165" s="24" t="inlineStr">
        <is>
          <t>260219_dum</t>
        </is>
      </c>
      <c r="D165" s="24" t="inlineStr">
        <is>
          <t>PSV-78 Povrchové úpravy</t>
        </is>
      </c>
      <c r="E165" s="24" t="inlineStr">
        <is>
          <t>612471141</t>
        </is>
      </c>
      <c r="F165" s="24" t="inlineStr"/>
      <c r="G165" s="24" t="inlineStr">
        <is>
          <t>SDK podhled + případné předstěny — tmelení spojů Q3 + povrchová úprava</t>
        </is>
      </c>
      <c r="H165" s="24" t="inlineStr">
        <is>
          <t>? needs production lookup</t>
        </is>
      </c>
    </row>
    <row r="166">
      <c r="B166" s="24" t="inlineStr">
        <is>
          <t>260219_dum.PSV78.007</t>
        </is>
      </c>
      <c r="C166" s="24" t="inlineStr">
        <is>
          <t>260219_dum</t>
        </is>
      </c>
      <c r="D166" s="24" t="inlineStr">
        <is>
          <t>PSV-78 Povrchové úpravy</t>
        </is>
      </c>
      <c r="E166" s="24" t="inlineStr">
        <is>
          <t>612471141</t>
        </is>
      </c>
      <c r="F166" s="24" t="inlineStr"/>
      <c r="G166" s="24" t="inlineStr">
        <is>
          <t>SDK podhled + případné předstěny — tmelení spojů Q3 + povrchová úprava</t>
        </is>
      </c>
      <c r="H166" s="24" t="inlineStr">
        <is>
          <t>? needs production lookup</t>
        </is>
      </c>
    </row>
    <row r="167">
      <c r="B167" s="24" t="inlineStr">
        <is>
          <t>260219_dum.PSV78.008</t>
        </is>
      </c>
      <c r="C167" s="24" t="inlineStr">
        <is>
          <t>260219_dum</t>
        </is>
      </c>
      <c r="D167" s="24" t="inlineStr">
        <is>
          <t>PSV-78 Povrchové úpravy</t>
        </is>
      </c>
      <c r="E167" s="24" t="inlineStr">
        <is>
          <t>781447001</t>
        </is>
      </c>
      <c r="F167" s="24" t="inlineStr"/>
      <c r="G167" s="24" t="inlineStr">
        <is>
          <t xml:space="preserve">Keramický obklad stěn koupelny 1.05 1.NP — výška obkladu 1.6 m (z DXF </t>
        </is>
      </c>
      <c r="H167" s="24" t="inlineStr">
        <is>
          <t>? needs production lookup</t>
        </is>
      </c>
    </row>
    <row r="168">
      <c r="B168" s="24" t="inlineStr">
        <is>
          <t>260219_dum.PSV78.009</t>
        </is>
      </c>
      <c r="C168" s="24" t="inlineStr">
        <is>
          <t>260219_dum</t>
        </is>
      </c>
      <c r="D168" s="24" t="inlineStr">
        <is>
          <t>PSV-78 Povrchové úpravy</t>
        </is>
      </c>
      <c r="E168" s="24" t="inlineStr">
        <is>
          <t>781447001</t>
        </is>
      </c>
      <c r="F168" s="24" t="inlineStr"/>
      <c r="G168" s="24" t="inlineStr">
        <is>
          <t>Keramický obklad stěn koupelny 2.03 2.NP — výška obkladu 2.45 m (z DXF</t>
        </is>
      </c>
      <c r="H168" s="24" t="inlineStr">
        <is>
          <t>? needs production lookup</t>
        </is>
      </c>
    </row>
    <row r="169">
      <c r="B169" s="24" t="inlineStr">
        <is>
          <t>260219_dum.PSV78.010</t>
        </is>
      </c>
      <c r="C169" s="24" t="inlineStr">
        <is>
          <t>260219_dum</t>
        </is>
      </c>
      <c r="D169" s="24" t="inlineStr">
        <is>
          <t>PSV-78 Povrchové úpravy</t>
        </is>
      </c>
      <c r="E169" s="24" t="inlineStr">
        <is>
          <t>781447001</t>
        </is>
      </c>
      <c r="F169" s="24" t="inlineStr"/>
      <c r="G169" s="24" t="inlineStr">
        <is>
          <t xml:space="preserve">Keramický obklad stěn koupelny 3.04 3.NP — výška obkladu 2.7 m (z DXF </t>
        </is>
      </c>
      <c r="H169" s="24" t="inlineStr">
        <is>
          <t>? needs production lookup</t>
        </is>
      </c>
    </row>
    <row r="170">
      <c r="B170" s="24" t="inlineStr">
        <is>
          <t>260219_dum.PSV78.011</t>
        </is>
      </c>
      <c r="C170" s="24" t="inlineStr">
        <is>
          <t>260219_dum</t>
        </is>
      </c>
      <c r="D170" s="24" t="inlineStr">
        <is>
          <t>PSV-78 Povrchové úpravy</t>
        </is>
      </c>
      <c r="E170" s="24" t="inlineStr">
        <is>
          <t>781447001</t>
        </is>
      </c>
      <c r="F170" s="24" t="inlineStr"/>
      <c r="G170" s="24" t="inlineStr">
        <is>
          <t xml:space="preserve">Keramický obklad za kuchyňskou linkou nad pracovní deskou — 2 kuchyně </t>
        </is>
      </c>
      <c r="H170" s="24" t="inlineStr">
        <is>
          <t>? needs production lookup</t>
        </is>
      </c>
    </row>
    <row r="171">
      <c r="B171" s="24" t="inlineStr">
        <is>
          <t>260219_dum.PSV95.002</t>
        </is>
      </c>
      <c r="C171" s="24" t="inlineStr">
        <is>
          <t>260219_dum</t>
        </is>
      </c>
      <c r="D171" s="24" t="inlineStr">
        <is>
          <t>PSV-95 Detekce požární</t>
        </is>
      </c>
      <c r="E171" s="24" t="inlineStr">
        <is>
          <t>966067121</t>
        </is>
      </c>
      <c r="F171" s="24" t="inlineStr"/>
      <c r="G171" s="24" t="inlineStr">
        <is>
          <t>Přenosný hasicí přístroj 34A dle PBŘ — min. 1 ks na společné chodbě</t>
        </is>
      </c>
      <c r="H171" s="24" t="inlineStr">
        <is>
          <t>? needs production lookup</t>
        </is>
      </c>
    </row>
    <row r="172">
      <c r="B172" s="24" t="inlineStr">
        <is>
          <t>260217_sklad.PSV76.001</t>
        </is>
      </c>
      <c r="C172" s="24" t="inlineStr">
        <is>
          <t>260217_sklad</t>
        </is>
      </c>
      <c r="D172" s="24" t="inlineStr">
        <is>
          <t>PSV-76 Výplně otvorů</t>
        </is>
      </c>
      <c r="E172" s="24" t="inlineStr">
        <is>
          <t>766682111</t>
        </is>
      </c>
      <c r="F172" s="24" t="inlineStr"/>
      <c r="G172" s="24" t="inlineStr">
        <is>
          <t>Bezpečnostní dveře RC3 v ocelové zárubni — vrata skladu (TZ statika §1</t>
        </is>
      </c>
      <c r="H172" s="24" t="inlineStr">
        <is>
          <t>? needs production lookup</t>
        </is>
      </c>
    </row>
    <row r="173">
      <c r="B173" s="24" t="inlineStr">
        <is>
          <t>260219_dum.PSV72.003</t>
        </is>
      </c>
      <c r="C173" s="24" t="inlineStr">
        <is>
          <t>260219_dum</t>
        </is>
      </c>
      <c r="D173" s="24" t="inlineStr">
        <is>
          <t>PSV-72 ZTI</t>
        </is>
      </c>
      <c r="E173" s="24" t="inlineStr">
        <is>
          <t>721174021</t>
        </is>
      </c>
      <c r="F173" s="24" t="inlineStr"/>
      <c r="G173" s="24" t="inlineStr">
        <is>
          <t>Nové odpadní rozvody PVC-HT DN40-DN110 ke koupelnám 1.NP, 2.NP, 3.NP a</t>
        </is>
      </c>
      <c r="H173" s="24" t="inlineStr">
        <is>
          <t>? needs production lookup</t>
        </is>
      </c>
    </row>
    <row r="174">
      <c r="B174" s="24" t="inlineStr">
        <is>
          <t>260219_dum.PSV72.007</t>
        </is>
      </c>
      <c r="C174" s="24" t="inlineStr">
        <is>
          <t>260219_dum</t>
        </is>
      </c>
      <c r="D174" s="24" t="inlineStr">
        <is>
          <t>PSV-72 ZTI</t>
        </is>
      </c>
      <c r="E174" s="24" t="inlineStr">
        <is>
          <t>725840111</t>
        </is>
      </c>
      <c r="F174" s="24" t="inlineStr"/>
      <c r="G174" s="24" t="inlineStr">
        <is>
          <t>Kuchyňský dřez nerez + montáž — 2 ks (kuchyně 1.06 byt rodičů + kuchyn</t>
        </is>
      </c>
      <c r="H174" s="24" t="inlineStr">
        <is>
          <t>? needs production lookup</t>
        </is>
      </c>
    </row>
    <row r="175">
      <c r="B175" s="24" t="inlineStr">
        <is>
          <t>260219_dum.PSV72.008</t>
        </is>
      </c>
      <c r="C175" s="24" t="inlineStr">
        <is>
          <t>260219_dum</t>
        </is>
      </c>
      <c r="D175" s="24" t="inlineStr">
        <is>
          <t>PSV-72 ZTI</t>
        </is>
      </c>
      <c r="E175" s="24" t="inlineStr">
        <is>
          <t>725822611</t>
        </is>
      </c>
      <c r="F175" s="24" t="inlineStr"/>
      <c r="G175" s="24" t="inlineStr">
        <is>
          <t xml:space="preserve">Vodovodní baterie (WC ventil + páková umyvadlová + sprchové + dřezové </t>
        </is>
      </c>
      <c r="H175" s="24" t="inlineStr">
        <is>
          <t>? needs production lookup</t>
        </is>
      </c>
    </row>
    <row r="176">
      <c r="B176" s="24" t="inlineStr">
        <is>
          <t>260219_dum.PSV72.009</t>
        </is>
      </c>
      <c r="C176" s="24" t="inlineStr">
        <is>
          <t>260219_dum</t>
        </is>
      </c>
      <c r="D176" s="24" t="inlineStr">
        <is>
          <t>PSV-72 ZTI</t>
        </is>
      </c>
      <c r="E176" s="24" t="inlineStr">
        <is>
          <t>732419411</t>
        </is>
      </c>
      <c r="F176" s="24" t="inlineStr"/>
      <c r="G176" s="24" t="inlineStr">
        <is>
          <t>Akumulační zásobník TUV ~300 l v 1.PP napojený na topný systém (sporák</t>
        </is>
      </c>
      <c r="H176" s="24" t="inlineStr">
        <is>
          <t>? needs production lookup</t>
        </is>
      </c>
    </row>
    <row r="177">
      <c r="B177" s="24" t="inlineStr">
        <is>
          <t>260219_dum.PSV72.010</t>
        </is>
      </c>
      <c r="C177" s="24" t="inlineStr">
        <is>
          <t>260219_dum</t>
        </is>
      </c>
      <c r="D177" s="24" t="inlineStr">
        <is>
          <t>PSV-72 ZTI</t>
        </is>
      </c>
      <c r="E177" s="24" t="inlineStr">
        <is>
          <t>732429211</t>
        </is>
      </c>
      <c r="F177" s="24" t="inlineStr"/>
      <c r="G177" s="24" t="inlineStr">
        <is>
          <t>Elektrický bojler ~80 l v koupelně 3.NP (nezávislý zdroj pro samostatn</t>
        </is>
      </c>
      <c r="H177" s="24" t="inlineStr">
        <is>
          <t>? needs production lookup</t>
        </is>
      </c>
    </row>
    <row r="178">
      <c r="B178" s="24" t="inlineStr">
        <is>
          <t>260219_dum.PSV73.001</t>
        </is>
      </c>
      <c r="C178" s="24" t="inlineStr">
        <is>
          <t>260219_dum</t>
        </is>
      </c>
      <c r="D178" s="24" t="inlineStr">
        <is>
          <t>PSV-73 Vytápění</t>
        </is>
      </c>
      <c r="E178" s="24" t="inlineStr">
        <is>
          <t>733241011</t>
        </is>
      </c>
      <c r="F178" s="24" t="inlineStr"/>
      <c r="G178" s="24" t="inlineStr">
        <is>
          <t>Sporáková kamna na tuhá paliva ~10 kW s akumulačním zásobníkem TUV — d</t>
        </is>
      </c>
      <c r="H178" s="24" t="inlineStr">
        <is>
          <t>? needs production lookup</t>
        </is>
      </c>
    </row>
    <row r="179">
      <c r="B179" s="24" t="inlineStr">
        <is>
          <t>260219_dum.PSV73.002</t>
        </is>
      </c>
      <c r="C179" s="24" t="inlineStr">
        <is>
          <t>260219_dum</t>
        </is>
      </c>
      <c r="D179" s="24" t="inlineStr">
        <is>
          <t>PSV-73 Vytápění</t>
        </is>
      </c>
      <c r="E179" s="24" t="inlineStr">
        <is>
          <t>733281011</t>
        </is>
      </c>
      <c r="F179" s="24" t="inlineStr"/>
      <c r="G179" s="24" t="inlineStr">
        <is>
          <t>Sporáková kamna — montáž vč. napojení na komín + akumulační zásobník (</t>
        </is>
      </c>
      <c r="H179" s="24" t="inlineStr">
        <is>
          <t>? needs production lookup</t>
        </is>
      </c>
    </row>
    <row r="180">
      <c r="B180" s="24" t="inlineStr">
        <is>
          <t>260219_dum.PSV73.003</t>
        </is>
      </c>
      <c r="C180" s="24" t="inlineStr">
        <is>
          <t>260219_dum</t>
        </is>
      </c>
      <c r="D180" s="24" t="inlineStr">
        <is>
          <t>PSV-73 Vytápění</t>
        </is>
      </c>
      <c r="E180" s="24" t="inlineStr">
        <is>
          <t>733131221</t>
        </is>
      </c>
      <c r="F180" s="24" t="inlineStr"/>
      <c r="G180" s="24" t="inlineStr">
        <is>
          <t>Elektrokotel ~8 kW pro 3.NP samostatný byt — dodávka + montáž + napoje</t>
        </is>
      </c>
      <c r="H180" s="24" t="inlineStr">
        <is>
          <t>? needs production lookup</t>
        </is>
      </c>
    </row>
    <row r="181">
      <c r="B181" s="24" t="inlineStr">
        <is>
          <t>260219_dum.PSV73.004</t>
        </is>
      </c>
      <c r="C181" s="24" t="inlineStr">
        <is>
          <t>260219_dum</t>
        </is>
      </c>
      <c r="D181" s="24" t="inlineStr">
        <is>
          <t>PSV-73 Vytápění</t>
        </is>
      </c>
      <c r="E181" s="24" t="inlineStr">
        <is>
          <t>733241011</t>
        </is>
      </c>
      <c r="F181" s="24" t="inlineStr"/>
      <c r="G181" s="24" t="inlineStr">
        <is>
          <t>Krb na tuhá paliva v 3.NP ~6 kW — dodávka + montáž s napojením na samo</t>
        </is>
      </c>
      <c r="H181" s="24" t="inlineStr">
        <is>
          <t>? needs production lookup</t>
        </is>
      </c>
    </row>
    <row r="182">
      <c r="B182" s="24" t="inlineStr">
        <is>
          <t>260219_dum.PSV73.005</t>
        </is>
      </c>
      <c r="C182" s="24" t="inlineStr">
        <is>
          <t>260219_dum</t>
        </is>
      </c>
      <c r="D182" s="24" t="inlineStr">
        <is>
          <t>PSV-73 Vytápění</t>
        </is>
      </c>
      <c r="E182" s="24" t="inlineStr">
        <is>
          <t>733425211</t>
        </is>
      </c>
      <c r="F182" s="24" t="inlineStr"/>
      <c r="G182" s="24" t="inlineStr">
        <is>
          <t>Multisplit tepelné čerpadlo vzduch-vzduch — 1× venkovní jednotka ~10 k</t>
        </is>
      </c>
      <c r="H182" s="24" t="inlineStr">
        <is>
          <t>? needs production lookup</t>
        </is>
      </c>
    </row>
    <row r="183">
      <c r="B183" s="24" t="inlineStr">
        <is>
          <t>260219_dum.PSV73.006</t>
        </is>
      </c>
      <c r="C183" s="24" t="inlineStr">
        <is>
          <t>260219_dum</t>
        </is>
      </c>
      <c r="D183" s="24" t="inlineStr">
        <is>
          <t>PSV-73 Vytápění</t>
        </is>
      </c>
      <c r="E183" s="24" t="inlineStr">
        <is>
          <t>733425221</t>
        </is>
      </c>
      <c r="F183" s="24" t="inlineStr"/>
      <c r="G183" s="24" t="inlineStr">
        <is>
          <t>Multisplit TČ — 5× vnitřní jednotka v obytných místnostech (1.NP, 2.NP</t>
        </is>
      </c>
      <c r="H183" s="24" t="inlineStr">
        <is>
          <t>? needs production lookup</t>
        </is>
      </c>
    </row>
    <row r="184">
      <c r="B184" s="24" t="inlineStr">
        <is>
          <t>260219_dum.PSV73.007</t>
        </is>
      </c>
      <c r="C184" s="24" t="inlineStr">
        <is>
          <t>260219_dum</t>
        </is>
      </c>
      <c r="D184" s="24" t="inlineStr">
        <is>
          <t>PSV-73 Vytápění</t>
        </is>
      </c>
      <c r="E184" s="24" t="inlineStr">
        <is>
          <t>734262122</t>
        </is>
      </c>
      <c r="F184" s="24" t="inlineStr"/>
      <c r="G184" s="24" t="inlineStr">
        <is>
          <t>Revize stávajícího komínu — kontrola, čištění, vystrojení vložkou nere</t>
        </is>
      </c>
      <c r="H184" s="24" t="inlineStr">
        <is>
          <t>? needs production lookup</t>
        </is>
      </c>
    </row>
    <row r="185">
      <c r="B185" s="24" t="inlineStr">
        <is>
          <t>260219_dum.PSV73.008</t>
        </is>
      </c>
      <c r="C185" s="24" t="inlineStr">
        <is>
          <t>260219_dum</t>
        </is>
      </c>
      <c r="D185" s="24" t="inlineStr">
        <is>
          <t>PSV-73 Vytápění</t>
        </is>
      </c>
      <c r="E185" s="24" t="inlineStr">
        <is>
          <t>733111021</t>
        </is>
      </c>
      <c r="F185" s="24" t="inlineStr"/>
      <c r="G185" s="24" t="inlineStr">
        <is>
          <t>Rozvody otopné soustavy Cu/PEX k vnitřním jednotkám TČ + radiátorům pr</t>
        </is>
      </c>
      <c r="H185" s="24" t="inlineStr">
        <is>
          <t>? needs production lookup</t>
        </is>
      </c>
    </row>
    <row r="186">
      <c r="B186" s="24" t="inlineStr">
        <is>
          <t>260219_dum.M21.001</t>
        </is>
      </c>
      <c r="C186" s="24" t="inlineStr">
        <is>
          <t>260219_dum</t>
        </is>
      </c>
      <c r="D186" s="24" t="inlineStr">
        <is>
          <t>M-21 ELI silnoproud</t>
        </is>
      </c>
      <c r="E186" s="24" t="inlineStr">
        <is>
          <t>210010011</t>
        </is>
      </c>
      <c r="F186" s="24" t="inlineStr"/>
      <c r="G186" s="24" t="inlineStr">
        <is>
          <t>Demontáž stávající elektroinstalace v celém domě (vodiče, rozvaděč, zá</t>
        </is>
      </c>
      <c r="H186" s="24" t="inlineStr">
        <is>
          <t>? needs production lookup</t>
        </is>
      </c>
    </row>
    <row r="187">
      <c r="B187" s="24" t="inlineStr">
        <is>
          <t>260219_dum.M21.002</t>
        </is>
      </c>
      <c r="C187" s="24" t="inlineStr">
        <is>
          <t>260219_dum</t>
        </is>
      </c>
      <c r="D187" s="24" t="inlineStr">
        <is>
          <t>M-21 ELI silnoproud</t>
        </is>
      </c>
      <c r="E187" s="24" t="inlineStr">
        <is>
          <t>210110023</t>
        </is>
      </c>
      <c r="F187" s="24" t="inlineStr"/>
      <c r="G187" s="24" t="inlineStr">
        <is>
          <t>Nová pojistková skříň + 3× podružný rozvaděč pro každé patro (1.NP, 2.</t>
        </is>
      </c>
      <c r="H187" s="24" t="inlineStr">
        <is>
          <t>? needs production lookup</t>
        </is>
      </c>
    </row>
    <row r="188">
      <c r="B188" s="24" t="inlineStr">
        <is>
          <t>260219_dum.M21.003</t>
        </is>
      </c>
      <c r="C188" s="24" t="inlineStr">
        <is>
          <t>260219_dum</t>
        </is>
      </c>
      <c r="D188" s="24" t="inlineStr">
        <is>
          <t>M-21 ELI silnoproud</t>
        </is>
      </c>
      <c r="E188" s="24" t="inlineStr">
        <is>
          <t>210800012</t>
        </is>
      </c>
      <c r="F188" s="24" t="inlineStr"/>
      <c r="G188" s="24" t="inlineStr">
        <is>
          <t>Nové silnoproudé rozvody — vodiče CYKY 3×1.5 / 3×2.5 / 5×2.5 / 5×6 + k</t>
        </is>
      </c>
      <c r="H188" s="24" t="inlineStr">
        <is>
          <t>? needs production lookup</t>
        </is>
      </c>
    </row>
    <row r="189">
      <c r="B189" s="24" t="inlineStr">
        <is>
          <t>260219_dum.M21.004</t>
        </is>
      </c>
      <c r="C189" s="24" t="inlineStr">
        <is>
          <t>260219_dum</t>
        </is>
      </c>
      <c r="D189" s="24" t="inlineStr">
        <is>
          <t>M-21 ELI silnoproud</t>
        </is>
      </c>
      <c r="E189" s="24" t="inlineStr">
        <is>
          <t>210810050</t>
        </is>
      </c>
      <c r="F189" s="24" t="inlineStr"/>
      <c r="G189" s="24" t="inlineStr">
        <is>
          <t>Zásuvky a vypínače dodávka + montáž — ~70 ks (60-80 dle vyjasnění #7)</t>
        </is>
      </c>
      <c r="H189" s="24" t="inlineStr">
        <is>
          <t>? needs production lookup</t>
        </is>
      </c>
    </row>
    <row r="190">
      <c r="B190" s="24" t="inlineStr">
        <is>
          <t>260219_dum.M21.005</t>
        </is>
      </c>
      <c r="C190" s="24" t="inlineStr">
        <is>
          <t>260219_dum</t>
        </is>
      </c>
      <c r="D190" s="24" t="inlineStr">
        <is>
          <t>M-21 ELI silnoproud</t>
        </is>
      </c>
      <c r="E190" s="24" t="inlineStr">
        <is>
          <t>210820002</t>
        </is>
      </c>
      <c r="F190" s="24" t="inlineStr"/>
      <c r="G190" s="24" t="inlineStr">
        <is>
          <t>Svítidla dodávka + montáž — ~35 ks (30-40 dle vyjasnění #7) interiér +</t>
        </is>
      </c>
      <c r="H190" s="24" t="inlineStr">
        <is>
          <t>? needs production lookup</t>
        </is>
      </c>
    </row>
    <row r="191">
      <c r="B191" s="24" t="inlineStr">
        <is>
          <t>260219_dum.M21.006</t>
        </is>
      </c>
      <c r="C191" s="24" t="inlineStr">
        <is>
          <t>260219_dum</t>
        </is>
      </c>
      <c r="D191" s="24" t="inlineStr">
        <is>
          <t>M-21 ELI silnoproud</t>
        </is>
      </c>
      <c r="E191" s="24" t="inlineStr">
        <is>
          <t>210800099</t>
        </is>
      </c>
      <c r="F191" s="24" t="inlineStr"/>
      <c r="G191" s="24" t="inlineStr">
        <is>
          <t>Příprava na osazení FVE — rezerva v rozvaděči (jistič + zásuvka pro st</t>
        </is>
      </c>
      <c r="H191" s="24" t="inlineStr">
        <is>
          <t>? needs production lookup</t>
        </is>
      </c>
    </row>
    <row r="192">
      <c r="B192" s="24" t="inlineStr">
        <is>
          <t>260219_dum.M21.007</t>
        </is>
      </c>
      <c r="C192" s="24" t="inlineStr">
        <is>
          <t>260219_dum</t>
        </is>
      </c>
      <c r="D192" s="24" t="inlineStr">
        <is>
          <t>M-21 ELI silnoproud</t>
        </is>
      </c>
      <c r="E192" s="24" t="inlineStr">
        <is>
          <t>996019011</t>
        </is>
      </c>
      <c r="F192" s="24" t="inlineStr"/>
      <c r="G192" s="24" t="inlineStr">
        <is>
          <t>Výchozí revize elektrické instalace dle ČSN 33 2000-6 + revizní zpráva</t>
        </is>
      </c>
      <c r="H192" s="24" t="inlineStr">
        <is>
          <t>? needs production lookup</t>
        </is>
      </c>
    </row>
    <row r="193">
      <c r="B193" s="24" t="inlineStr">
        <is>
          <t>260219_dum.VRN.001</t>
        </is>
      </c>
      <c r="C193" s="24" t="inlineStr">
        <is>
          <t>260219_dum</t>
        </is>
      </c>
      <c r="D193" s="24" t="inlineStr">
        <is>
          <t>VRN — Zařízení staveniště</t>
        </is>
      </c>
      <c r="E193" s="24" t="inlineStr">
        <is>
          <t>030011000</t>
        </is>
      </c>
      <c r="F193" s="24" t="inlineStr"/>
      <c r="G193" s="24" t="inlineStr">
        <is>
          <t>Zařízení staveniště — buňka kancelář + sociální buňka (WC + šatna), pr</t>
        </is>
      </c>
      <c r="H193" s="24" t="inlineStr">
        <is>
          <t>? needs production lookup</t>
        </is>
      </c>
    </row>
    <row r="194">
      <c r="B194" s="24" t="inlineStr">
        <is>
          <t>260219_dum.VRN.002</t>
        </is>
      </c>
      <c r="C194" s="24" t="inlineStr">
        <is>
          <t>260219_dum</t>
        </is>
      </c>
      <c r="D194" s="24" t="inlineStr">
        <is>
          <t>VRN — Zařízení staveniště</t>
        </is>
      </c>
      <c r="E194" s="24" t="inlineStr">
        <is>
          <t>030013000</t>
        </is>
      </c>
      <c r="F194" s="24" t="inlineStr"/>
      <c r="G194" s="24" t="inlineStr">
        <is>
          <t>Mobilní chemické WC TOI TOI pro pracovníky — pronájem ~8 měsíců</t>
        </is>
      </c>
      <c r="H194" s="24" t="inlineStr">
        <is>
          <t>? needs production lookup</t>
        </is>
      </c>
    </row>
    <row r="195">
      <c r="B195" s="24" t="inlineStr">
        <is>
          <t>260219_dum.VRN.003</t>
        </is>
      </c>
      <c r="C195" s="24" t="inlineStr">
        <is>
          <t>260219_dum</t>
        </is>
      </c>
      <c r="D195" s="24" t="inlineStr">
        <is>
          <t>VRN — Zařízení staveniště</t>
        </is>
      </c>
      <c r="E195" s="24" t="inlineStr">
        <is>
          <t>031011000</t>
        </is>
      </c>
      <c r="F195" s="24" t="inlineStr"/>
      <c r="G195" s="24" t="inlineStr">
        <is>
          <t>El. odběr stavby (zřízení staveništního rozvaděče + měřič) + vodovodní</t>
        </is>
      </c>
      <c r="H195" s="24" t="inlineStr">
        <is>
          <t>? needs production lookup</t>
        </is>
      </c>
    </row>
    <row r="196">
      <c r="B196" s="24" t="inlineStr">
        <is>
          <t>260219_dum.VRN.001</t>
        </is>
      </c>
      <c r="C196" s="24" t="inlineStr">
        <is>
          <t>260219_dum</t>
        </is>
      </c>
      <c r="D196" s="24" t="inlineStr">
        <is>
          <t>VRN — Doprava + odpad</t>
        </is>
      </c>
      <c r="E196" s="24" t="inlineStr">
        <is>
          <t>997013211</t>
        </is>
      </c>
      <c r="F196" s="24" t="inlineStr"/>
      <c r="G196" s="24" t="inlineStr">
        <is>
          <t>Kontejnery na suť tříděnou velkoobjemové (beton/cihly, dřevo, kovy, EP</t>
        </is>
      </c>
      <c r="H196" s="24" t="inlineStr">
        <is>
          <t>? needs production lookup</t>
        </is>
      </c>
    </row>
    <row r="197">
      <c r="B197" s="24" t="inlineStr">
        <is>
          <t>260219_dum.VRN.001</t>
        </is>
      </c>
      <c r="C197" s="24" t="inlineStr">
        <is>
          <t>260219_dum</t>
        </is>
      </c>
      <c r="D197" s="24" t="inlineStr">
        <is>
          <t>VRN — BOZP</t>
        </is>
      </c>
      <c r="E197" s="24" t="inlineStr">
        <is>
          <t>030091000</t>
        </is>
      </c>
      <c r="F197" s="24" t="inlineStr"/>
      <c r="G197" s="24" t="inlineStr">
        <is>
          <t xml:space="preserve">Koordinátor BOZP na staveništi dle zákona 309/2006 Sb. — pro stavbu s </t>
        </is>
      </c>
      <c r="H197" s="24" t="inlineStr">
        <is>
          <t>? needs production lookup</t>
        </is>
      </c>
    </row>
    <row r="198">
      <c r="B198" s="24" t="inlineStr">
        <is>
          <t>260219_dum.VRN.001</t>
        </is>
      </c>
      <c r="C198" s="24" t="inlineStr">
        <is>
          <t>260219_dum</t>
        </is>
      </c>
      <c r="D198" s="24" t="inlineStr">
        <is>
          <t>VRN — Pojištění + zábory</t>
        </is>
      </c>
      <c r="E198" s="24" t="inlineStr">
        <is>
          <t>030081000</t>
        </is>
      </c>
      <c r="F198" s="24" t="inlineStr"/>
      <c r="G198" s="24" t="inlineStr">
        <is>
          <t>Montážní pojištění stavby (CAR) + pojištění odpovědnosti za škodu (zho</t>
        </is>
      </c>
      <c r="H198" s="24" t="inlineStr">
        <is>
          <t>? needs production lookup</t>
        </is>
      </c>
    </row>
    <row r="199">
      <c r="B199" s="24" t="inlineStr">
        <is>
          <t>260219_dum.VRN.002</t>
        </is>
      </c>
      <c r="C199" s="24" t="inlineStr">
        <is>
          <t>260219_dum</t>
        </is>
      </c>
      <c r="D199" s="24" t="inlineStr">
        <is>
          <t>VRN — Pojištění + zábory</t>
        </is>
      </c>
      <c r="E199" s="24" t="inlineStr">
        <is>
          <t>030083000</t>
        </is>
      </c>
      <c r="F199" s="24" t="inlineStr"/>
      <c r="G199" s="24" t="inlineStr">
        <is>
          <t xml:space="preserve">Krátkodobé zábory ulice Fibichova pro materiál a kontejnery (povolení </t>
        </is>
      </c>
      <c r="H199" s="24" t="inlineStr">
        <is>
          <t>? needs production lookup</t>
        </is>
      </c>
    </row>
    <row r="200">
      <c r="B200" s="24" t="inlineStr">
        <is>
          <t>260219_dum.VRN.001</t>
        </is>
      </c>
      <c r="C200" s="24" t="inlineStr">
        <is>
          <t>260219_dum</t>
        </is>
      </c>
      <c r="D200" s="24" t="inlineStr">
        <is>
          <t>VRN — Průzkumy</t>
        </is>
      </c>
      <c r="E200" s="24" t="inlineStr">
        <is>
          <t>030131000</t>
        </is>
      </c>
      <c r="F200" s="24" t="inlineStr"/>
      <c r="G200" s="24" t="inlineStr">
        <is>
          <t>Mykologický průzkum + průzkum výskytu dřevokazného hmyzu stávajícího k</t>
        </is>
      </c>
      <c r="H200" s="24" t="inlineStr">
        <is>
          <t>? needs production lookup</t>
        </is>
      </c>
    </row>
    <row r="201">
      <c r="B201" s="24" t="inlineStr">
        <is>
          <t>260219_dum.VRN.002</t>
        </is>
      </c>
      <c r="C201" s="24" t="inlineStr">
        <is>
          <t>260219_dum</t>
        </is>
      </c>
      <c r="D201" s="24" t="inlineStr">
        <is>
          <t>VRN — Průzkumy</t>
        </is>
      </c>
      <c r="E201" s="24" t="inlineStr">
        <is>
          <t>030133000</t>
        </is>
      </c>
      <c r="F201" s="24" t="inlineStr"/>
      <c r="G201" s="24" t="inlineStr">
        <is>
          <t>Azbestový průzkum podrobný před demolicí — laboratorní vzorky a posude</t>
        </is>
      </c>
      <c r="H201" s="24" t="inlineStr">
        <is>
          <t>? needs production lookup</t>
        </is>
      </c>
    </row>
    <row r="202">
      <c r="B202" s="24" t="inlineStr">
        <is>
          <t>260219_dum.VRN.001</t>
        </is>
      </c>
      <c r="C202" s="24" t="inlineStr">
        <is>
          <t>260219_dum</t>
        </is>
      </c>
      <c r="D202" s="24" t="inlineStr">
        <is>
          <t>VRN — Geodet</t>
        </is>
      </c>
      <c r="E202" s="24" t="inlineStr">
        <is>
          <t>030141000</t>
        </is>
      </c>
      <c r="F202" s="24" t="inlineStr"/>
      <c r="G202" s="24" t="inlineStr">
        <is>
          <t>Geodetické zaměření před realizací (verifikace polohopis + výškopis) +</t>
        </is>
      </c>
      <c r="H202" s="24" t="inlineStr">
        <is>
          <t>? needs production lookup</t>
        </is>
      </c>
    </row>
    <row r="203">
      <c r="B203" s="24" t="inlineStr">
        <is>
          <t>260219_dum.VRN.001</t>
        </is>
      </c>
      <c r="C203" s="24" t="inlineStr">
        <is>
          <t>260219_dum</t>
        </is>
      </c>
      <c r="D203" s="24" t="inlineStr">
        <is>
          <t>VRN — Dokumentace</t>
        </is>
      </c>
      <c r="E203" s="24" t="inlineStr">
        <is>
          <t>030151000</t>
        </is>
      </c>
      <c r="F203" s="24" t="inlineStr"/>
      <c r="G203" s="24" t="inlineStr">
        <is>
          <t>Předávací protokoly + Dokumentace skutečného provedení (DSP) — sestave</t>
        </is>
      </c>
      <c r="H203" s="24" t="inlineStr">
        <is>
          <t>? needs production lookup</t>
        </is>
      </c>
    </row>
    <row r="204">
      <c r="B204" s="24" t="inlineStr">
        <is>
          <t>260219_dum.VRN.001</t>
        </is>
      </c>
      <c r="C204" s="24" t="inlineStr">
        <is>
          <t>260219_dum</t>
        </is>
      </c>
      <c r="D204" s="24" t="inlineStr">
        <is>
          <t>VRN — Revize</t>
        </is>
      </c>
      <c r="E204" s="24" t="inlineStr">
        <is>
          <t>030161000</t>
        </is>
      </c>
      <c r="F204" s="24" t="inlineStr"/>
      <c r="G204" s="24" t="inlineStr">
        <is>
          <t>Revize vnějšího hydrantu pro požární zabezpečení (DN min. 80, vzdáleno</t>
        </is>
      </c>
      <c r="H204" s="24" t="inlineStr">
        <is>
          <t>? needs production lookup</t>
        </is>
      </c>
    </row>
    <row r="205">
      <c r="B205" s="24" t="inlineStr">
        <is>
          <t>260219_dum.VRN.001</t>
        </is>
      </c>
      <c r="C205" s="24" t="inlineStr">
        <is>
          <t>260219_dum</t>
        </is>
      </c>
      <c r="D205" s="24" t="inlineStr">
        <is>
          <t>VRN — Kolaudace</t>
        </is>
      </c>
      <c r="E205" s="24" t="inlineStr">
        <is>
          <t>030171000</t>
        </is>
      </c>
      <c r="F205" s="24" t="inlineStr"/>
      <c r="G205" s="24" t="inlineStr">
        <is>
          <t xml:space="preserve">Kolaudační řízení — paušál (správní poplatky + součinnost) dle zákona </t>
        </is>
      </c>
      <c r="H205" s="24" t="inlineStr">
        <is>
          <t>? needs production lookup</t>
        </is>
      </c>
    </row>
    <row r="206">
      <c r="B206" s="24" t="inlineStr">
        <is>
          <t>260219_dum.VRN.002</t>
        </is>
      </c>
      <c r="C206" s="24" t="inlineStr">
        <is>
          <t>260219_dum</t>
        </is>
      </c>
      <c r="D206" s="24" t="inlineStr">
        <is>
          <t>VRN — Doprava + odpad</t>
        </is>
      </c>
      <c r="E206" s="24" t="inlineStr">
        <is>
          <t>031031000</t>
        </is>
      </c>
      <c r="F206" s="24" t="inlineStr"/>
      <c r="G206" s="24" t="inlineStr">
        <is>
          <t>Doprava materiálu na stavbu (centrální koordinace) — paušál ~2-3 % z P</t>
        </is>
      </c>
      <c r="H206" s="24" t="inlineStr">
        <is>
          <t>? needs production lookup</t>
        </is>
      </c>
    </row>
    <row r="207">
      <c r="B207" s="24" t="inlineStr">
        <is>
          <t>260219_dum.VRN.003</t>
        </is>
      </c>
      <c r="C207" s="24" t="inlineStr">
        <is>
          <t>260219_dum</t>
        </is>
      </c>
      <c r="D207" s="24" t="inlineStr">
        <is>
          <t>VRN — Doprava + odpad</t>
        </is>
      </c>
      <c r="E207" s="24" t="inlineStr">
        <is>
          <t>997013211</t>
        </is>
      </c>
      <c r="F207" s="24" t="inlineStr"/>
      <c r="G207" s="24" t="inlineStr">
        <is>
          <t xml:space="preserve">Likvidace stavební suti dle vyhl. 8/2021 Sb. — skládkovné + recyklace </t>
        </is>
      </c>
      <c r="H207" s="24" t="inlineStr">
        <is>
          <t>? needs production lookup</t>
        </is>
      </c>
    </row>
    <row r="208">
      <c r="B208" s="24" t="inlineStr">
        <is>
          <t>260217_sklad.VRN.001</t>
        </is>
      </c>
      <c r="C208" s="24" t="inlineStr">
        <is>
          <t>260217_sklad</t>
        </is>
      </c>
      <c r="D208" s="24" t="inlineStr">
        <is>
          <t>VRN — Doprava + odpad</t>
        </is>
      </c>
      <c r="E208" s="24" t="inlineStr">
        <is>
          <t>031032000</t>
        </is>
      </c>
      <c r="F208" s="24" t="inlineStr"/>
      <c r="G208" s="24" t="inlineStr">
        <is>
          <t>Doprava prefa H-BLOK Standard z výrobny Herkul (Obrnice) auto s hydrau</t>
        </is>
      </c>
      <c r="H208" s="24" t="inlineStr">
        <is>
          <t>? needs production lookup</t>
        </is>
      </c>
    </row>
    <row r="209">
      <c r="B209" s="24" t="inlineStr">
        <is>
          <t>260217_sklad.VRN.002</t>
        </is>
      </c>
      <c r="C209" s="24" t="inlineStr">
        <is>
          <t>260217_sklad</t>
        </is>
      </c>
      <c r="D209" s="24" t="inlineStr">
        <is>
          <t>VRN — Doprava + odpad</t>
        </is>
      </c>
      <c r="E209" s="24" t="inlineStr">
        <is>
          <t>997013211</t>
        </is>
      </c>
      <c r="F209" s="24" t="inlineStr"/>
      <c r="G209" s="24" t="inlineStr">
        <is>
          <t>Likvidace odpadu sklad — kameny ze zídek + výkop + dřevo (drobné množs</t>
        </is>
      </c>
      <c r="H209" s="24" t="inlineStr">
        <is>
          <t>? needs production lookup</t>
        </is>
      </c>
    </row>
    <row r="210">
      <c r="B210" s="24" t="inlineStr">
        <is>
          <t>260217_sklad.VRN.001</t>
        </is>
      </c>
      <c r="C210" s="24" t="inlineStr">
        <is>
          <t>260217_sklad</t>
        </is>
      </c>
      <c r="D210" s="24" t="inlineStr">
        <is>
          <t>VRN — Geodet</t>
        </is>
      </c>
      <c r="E210" s="24" t="inlineStr">
        <is>
          <t>030141000</t>
        </is>
      </c>
      <c r="F210" s="24" t="inlineStr"/>
      <c r="G210" s="24" t="inlineStr">
        <is>
          <t>Geodetické vytýčení sklad+parking+schodiště ze situace (před realizací</t>
        </is>
      </c>
      <c r="H210" s="24" t="inlineStr">
        <is>
          <t>? needs production lookup</t>
        </is>
      </c>
    </row>
    <row r="211">
      <c r="B211" s="24" t="inlineStr">
        <is>
          <t>260217_sklad.VRN.001</t>
        </is>
      </c>
      <c r="C211" s="24" t="inlineStr">
        <is>
          <t>260217_sklad</t>
        </is>
      </c>
      <c r="D211" s="24" t="inlineStr">
        <is>
          <t>VRN — Společné</t>
        </is>
      </c>
      <c r="E211" s="24" t="inlineStr">
        <is>
          <t>030001000</t>
        </is>
      </c>
      <c r="F211" s="24" t="inlineStr"/>
      <c r="G211" s="24" t="inlineStr">
        <is>
          <t>Podíl na obecných VRN domu (buňky, BOZP, pojištění, kolaudace) — paušá</t>
        </is>
      </c>
      <c r="H211" s="24" t="inlineStr">
        <is>
          <t>? needs production lookup</t>
        </is>
      </c>
    </row>
    <row r="212">
      <c r="B212" s="24" t="inlineStr">
        <is>
          <t>260219_dum.HSV6.013</t>
        </is>
      </c>
      <c r="C212" s="24" t="inlineStr">
        <is>
          <t>260219_dum</t>
        </is>
      </c>
      <c r="D212" s="24" t="inlineStr">
        <is>
          <t>HSV-6 Bourací práce</t>
        </is>
      </c>
      <c r="E212" s="24" t="inlineStr">
        <is>
          <t>978013181</t>
        </is>
      </c>
      <c r="F212" s="24" t="inlineStr"/>
      <c r="G212" s="24" t="inlineStr">
        <is>
          <t>Demontáž stávajících dřevěných oken vč. rámů a parapetů — 16 ks (návrh</t>
        </is>
      </c>
      <c r="H212" s="24" t="inlineStr">
        <is>
          <t>? needs production lookup</t>
        </is>
      </c>
    </row>
    <row r="213">
      <c r="B213" s="24" t="inlineStr">
        <is>
          <t>260219_dum.HSV6.014</t>
        </is>
      </c>
      <c r="C213" s="24" t="inlineStr">
        <is>
          <t>260219_dum</t>
        </is>
      </c>
      <c r="D213" s="24" t="inlineStr">
        <is>
          <t>HSV-6 Bourací práce</t>
        </is>
      </c>
      <c r="E213" s="24" t="inlineStr">
        <is>
          <t>978013181</t>
        </is>
      </c>
      <c r="F213" s="24" t="inlineStr"/>
      <c r="G213" s="24" t="inlineStr">
        <is>
          <t>Demontáž stávajících vstupních dveří + rámů — 2 ks (1× ulice Fibichova</t>
        </is>
      </c>
      <c r="H213" s="24" t="inlineStr">
        <is>
          <t>? needs production lookup</t>
        </is>
      </c>
    </row>
    <row r="214">
      <c r="B214" s="24" t="inlineStr">
        <is>
          <t>260219_dum.HSV6.015</t>
        </is>
      </c>
      <c r="C214" s="24" t="inlineStr">
        <is>
          <t>260219_dum</t>
        </is>
      </c>
      <c r="D214" s="24" t="inlineStr">
        <is>
          <t>HSV-6 Bourací práce</t>
        </is>
      </c>
      <c r="E214" s="24" t="inlineStr">
        <is>
          <t>968072456</t>
        </is>
      </c>
      <c r="F214" s="24" t="inlineStr"/>
      <c r="G214" s="24" t="inlineStr">
        <is>
          <t>Demontáž stávajících vnitřních dveří vč. ocelových/dřevěných zárubní —</t>
        </is>
      </c>
      <c r="H214" s="24" t="inlineStr">
        <is>
          <t>? needs production lookup</t>
        </is>
      </c>
    </row>
    <row r="215">
      <c r="B215" s="24" t="inlineStr">
        <is>
          <t>260219_dum.PSV76.013</t>
        </is>
      </c>
      <c r="C215" s="24" t="inlineStr">
        <is>
          <t>260219_dum</t>
        </is>
      </c>
      <c r="D215" s="24" t="inlineStr">
        <is>
          <t>PSV-76 Výplně otvorů</t>
        </is>
      </c>
      <c r="E215" s="24" t="inlineStr">
        <is>
          <t>766694112</t>
        </is>
      </c>
      <c r="F215" s="24" t="inlineStr"/>
      <c r="G215" s="24" t="inlineStr">
        <is>
          <t>Požárně odolné jednokřídlové dveře EI 30 DP3 na vrcholu schodiště mezi</t>
        </is>
      </c>
      <c r="H215" s="24" t="inlineStr">
        <is>
          <t>? needs production lookup</t>
        </is>
      </c>
    </row>
    <row r="216">
      <c r="B216" s="24" t="inlineStr">
        <is>
          <t>260219_dum.VRN.020</t>
        </is>
      </c>
      <c r="C216" s="24" t="inlineStr">
        <is>
          <t>260219_dum</t>
        </is>
      </c>
      <c r="D216" s="24" t="inlineStr">
        <is>
          <t>VRN — Zařízení staveniště</t>
        </is>
      </c>
      <c r="E216" s="24" t="inlineStr">
        <is>
          <t>012103101</t>
        </is>
      </c>
      <c r="F216" s="24" t="inlineStr"/>
      <c r="G216" s="24" t="inlineStr">
        <is>
          <t>Voda staveniště — napojení na stávající vodovodní přípojku, dočasné ro</t>
        </is>
      </c>
      <c r="H216" s="24" t="inlineStr">
        <is>
          <t>? needs production lookup</t>
        </is>
      </c>
    </row>
    <row r="217">
      <c r="B217" s="24" t="inlineStr">
        <is>
          <t>260219_dum.PSV76.014</t>
        </is>
      </c>
      <c r="C217" s="24" t="inlineStr">
        <is>
          <t>260219_dum</t>
        </is>
      </c>
      <c r="D217" s="24" t="inlineStr">
        <is>
          <t>PSV-76 Výplně otvorů</t>
        </is>
      </c>
      <c r="E217" s="24" t="inlineStr">
        <is>
          <t>764811112</t>
        </is>
      </c>
      <c r="F217" s="24" t="inlineStr"/>
      <c r="G217" s="24" t="inlineStr">
        <is>
          <t>Oplechování venkovních parapetů Pzn plech lakovaný 250 mm × tl. 0.55 m</t>
        </is>
      </c>
      <c r="H217" s="24" t="inlineStr">
        <is>
          <t>? needs production lookup</t>
        </is>
      </c>
    </row>
    <row r="218">
      <c r="B218" s="24" t="inlineStr">
        <is>
          <t>260219_dum.PSV72.004.A</t>
        </is>
      </c>
      <c r="C218" s="24" t="inlineStr">
        <is>
          <t>260219_dum</t>
        </is>
      </c>
      <c r="D218" s="24" t="inlineStr">
        <is>
          <t>PSV-72 ZTI</t>
        </is>
      </c>
      <c r="E218" s="24" t="inlineStr">
        <is>
          <t>725211101</t>
        </is>
      </c>
      <c r="F218" s="24" t="inlineStr"/>
      <c r="G218" s="24" t="inlineStr">
        <is>
          <t>Vana koupelnová obdélníková 170×70 cm — koupelna 1.05 1.NP</t>
        </is>
      </c>
      <c r="H218" s="24" t="inlineStr">
        <is>
          <t>? needs production lookup</t>
        </is>
      </c>
    </row>
    <row r="219">
      <c r="B219" s="24" t="inlineStr">
        <is>
          <t>260219_dum.PSV72.004.B</t>
        </is>
      </c>
      <c r="C219" s="24" t="inlineStr">
        <is>
          <t>260219_dum</t>
        </is>
      </c>
      <c r="D219" s="24" t="inlineStr">
        <is>
          <t>PSV-72 ZTI</t>
        </is>
      </c>
      <c r="E219" s="24" t="inlineStr">
        <is>
          <t>725311111</t>
        </is>
      </c>
      <c r="F219" s="24" t="inlineStr"/>
      <c r="G219" s="24" t="inlineStr">
        <is>
          <t>Umyvadlo bílé keramické se sloupcem 60 cm — koupelna 1.05 1.NP</t>
        </is>
      </c>
      <c r="H219" s="24" t="inlineStr">
        <is>
          <t>? needs production lookup</t>
        </is>
      </c>
    </row>
    <row r="220">
      <c r="B220" s="24" t="inlineStr">
        <is>
          <t>260219_dum.PSV72.004.C</t>
        </is>
      </c>
      <c r="C220" s="24" t="inlineStr">
        <is>
          <t>260219_dum</t>
        </is>
      </c>
      <c r="D220" s="24" t="inlineStr">
        <is>
          <t>PSV-72 ZTI</t>
        </is>
      </c>
      <c r="E220" s="24" t="inlineStr">
        <is>
          <t>725111101</t>
        </is>
      </c>
      <c r="F220" s="24" t="inlineStr"/>
      <c r="G220" s="24" t="inlineStr">
        <is>
          <t>WC kombi keramické bílé — koupelna 1.05 1.NP</t>
        </is>
      </c>
      <c r="H220" s="24" t="inlineStr">
        <is>
          <t>? needs production lookup</t>
        </is>
      </c>
    </row>
    <row r="221">
      <c r="B221" s="24" t="inlineStr">
        <is>
          <t>260219_dum.PSV72.005.A</t>
        </is>
      </c>
      <c r="C221" s="24" t="inlineStr">
        <is>
          <t>260219_dum</t>
        </is>
      </c>
      <c r="D221" s="24" t="inlineStr">
        <is>
          <t>PSV-72 ZTI</t>
        </is>
      </c>
      <c r="E221" s="24" t="inlineStr">
        <is>
          <t>725311111</t>
        </is>
      </c>
      <c r="F221" s="24" t="inlineStr"/>
      <c r="G221" s="24" t="inlineStr">
        <is>
          <t>Umyvadlo bílé keramické se sloupcem 60 cm — koupelna 2.03 2.NP</t>
        </is>
      </c>
      <c r="H221" s="24" t="inlineStr">
        <is>
          <t>? needs production lookup</t>
        </is>
      </c>
    </row>
    <row r="222">
      <c r="B222" s="24" t="inlineStr">
        <is>
          <t>260219_dum.PSV72.005.B</t>
        </is>
      </c>
      <c r="C222" s="24" t="inlineStr">
        <is>
          <t>260219_dum</t>
        </is>
      </c>
      <c r="D222" s="24" t="inlineStr">
        <is>
          <t>PSV-72 ZTI</t>
        </is>
      </c>
      <c r="E222" s="24" t="inlineStr">
        <is>
          <t>725221201</t>
        </is>
      </c>
      <c r="F222" s="24" t="inlineStr"/>
      <c r="G222" s="24" t="inlineStr">
        <is>
          <t xml:space="preserve">Sprchový kout 90×90 cm vč. vaničky + skleněných dveří — koupelna 2.03 </t>
        </is>
      </c>
      <c r="H222" s="24" t="inlineStr">
        <is>
          <t>? needs production lookup</t>
        </is>
      </c>
    </row>
    <row r="223">
      <c r="B223" s="24" t="inlineStr">
        <is>
          <t>260219_dum.PSV72.005.C</t>
        </is>
      </c>
      <c r="C223" s="24" t="inlineStr">
        <is>
          <t>260219_dum</t>
        </is>
      </c>
      <c r="D223" s="24" t="inlineStr">
        <is>
          <t>PSV-72 ZTI</t>
        </is>
      </c>
      <c r="E223" s="24" t="inlineStr">
        <is>
          <t>725111101</t>
        </is>
      </c>
      <c r="F223" s="24" t="inlineStr"/>
      <c r="G223" s="24" t="inlineStr">
        <is>
          <t>WC kombi keramické bílé — koupelna 2.03 2.NP</t>
        </is>
      </c>
      <c r="H223" s="24" t="inlineStr">
        <is>
          <t>? needs production lookup</t>
        </is>
      </c>
    </row>
    <row r="224">
      <c r="B224" s="24" t="inlineStr">
        <is>
          <t>260219_dum.PSV72.006.A</t>
        </is>
      </c>
      <c r="C224" s="24" t="inlineStr">
        <is>
          <t>260219_dum</t>
        </is>
      </c>
      <c r="D224" s="24" t="inlineStr">
        <is>
          <t>PSV-72 ZTI</t>
        </is>
      </c>
      <c r="E224" s="24" t="inlineStr">
        <is>
          <t>725111101</t>
        </is>
      </c>
      <c r="F224" s="24" t="inlineStr"/>
      <c r="G224" s="24" t="inlineStr">
        <is>
          <t>WC kombi keramické bílé — koupelna 3.04 3.NP</t>
        </is>
      </c>
      <c r="H224" s="24" t="inlineStr">
        <is>
          <t>? needs production lookup</t>
        </is>
      </c>
    </row>
    <row r="225">
      <c r="B225" s="24" t="inlineStr">
        <is>
          <t>260219_dum.PSV72.006.B</t>
        </is>
      </c>
      <c r="C225" s="24" t="inlineStr">
        <is>
          <t>260219_dum</t>
        </is>
      </c>
      <c r="D225" s="24" t="inlineStr">
        <is>
          <t>PSV-72 ZTI</t>
        </is>
      </c>
      <c r="E225" s="24" t="inlineStr">
        <is>
          <t>725311111</t>
        </is>
      </c>
      <c r="F225" s="24" t="inlineStr"/>
      <c r="G225" s="24" t="inlineStr">
        <is>
          <t>Umyvadlo bílé keramické se sloupcem 60 cm — koupelna 3.04 3.NP</t>
        </is>
      </c>
      <c r="H225" s="24" t="inlineStr">
        <is>
          <t>? needs production lookup</t>
        </is>
      </c>
    </row>
    <row r="226">
      <c r="B226" s="24" t="inlineStr">
        <is>
          <t>260219_dum.PSV72.006.C</t>
        </is>
      </c>
      <c r="C226" s="24" t="inlineStr">
        <is>
          <t>260219_dum</t>
        </is>
      </c>
      <c r="D226" s="24" t="inlineStr">
        <is>
          <t>PSV-72 ZTI</t>
        </is>
      </c>
      <c r="E226" s="24" t="inlineStr">
        <is>
          <t>725221201</t>
        </is>
      </c>
      <c r="F226" s="24" t="inlineStr"/>
      <c r="G226" s="24" t="inlineStr">
        <is>
          <t xml:space="preserve">Sprchový kout 90×90 cm vč. vaničky + skleněných dveří — koupelna 3.04 </t>
        </is>
      </c>
      <c r="H226" s="24" t="inlineStr">
        <is>
          <t>? needs production lookup</t>
        </is>
      </c>
    </row>
    <row r="227">
      <c r="B227" s="24" t="inlineStr">
        <is>
          <t>260219_dum.PSV78.012.1_PP</t>
        </is>
      </c>
      <c r="C227" s="24" t="inlineStr">
        <is>
          <t>260219_dum</t>
        </is>
      </c>
      <c r="D227" s="24" t="inlineStr">
        <is>
          <t>PSV-78 Povrchové úpravy</t>
        </is>
      </c>
      <c r="E227" s="24" t="inlineStr">
        <is>
          <t>784121011</t>
        </is>
      </c>
      <c r="F227" s="24" t="inlineStr"/>
      <c r="G227" s="24" t="inlineStr">
        <is>
          <t>Interiérová výmalba 1.PP — sklep stěny + klenba bílá vápenná 2×</t>
        </is>
      </c>
      <c r="H227" s="24" t="inlineStr">
        <is>
          <t>? needs production lookup</t>
        </is>
      </c>
    </row>
    <row r="228">
      <c r="B228" s="24" t="inlineStr">
        <is>
          <t>260219_dum.PSV78.012.1_NP</t>
        </is>
      </c>
      <c r="C228" s="24" t="inlineStr">
        <is>
          <t>260219_dum</t>
        </is>
      </c>
      <c r="D228" s="24" t="inlineStr">
        <is>
          <t>PSV-78 Povrchové úpravy</t>
        </is>
      </c>
      <c r="E228" s="24" t="inlineStr">
        <is>
          <t>784121011</t>
        </is>
      </c>
      <c r="F228" s="24" t="inlineStr"/>
      <c r="G228" s="24" t="inlineStr">
        <is>
          <t xml:space="preserve">Interiérová výmalba 1.NP — stěny + SDK podhled − obklad koupelny 1.05 </t>
        </is>
      </c>
      <c r="H228" s="24" t="inlineStr">
        <is>
          <t>? needs production lookup</t>
        </is>
      </c>
    </row>
    <row r="229">
      <c r="B229" s="24" t="inlineStr">
        <is>
          <t>260219_dum.PSV78.012.2_NP</t>
        </is>
      </c>
      <c r="C229" s="24" t="inlineStr">
        <is>
          <t>260219_dum</t>
        </is>
      </c>
      <c r="D229" s="24" t="inlineStr">
        <is>
          <t>PSV-78 Povrchové úpravy</t>
        </is>
      </c>
      <c r="E229" s="24" t="inlineStr">
        <is>
          <t>784121011</t>
        </is>
      </c>
      <c r="F229" s="24" t="inlineStr"/>
      <c r="G229" s="24" t="inlineStr">
        <is>
          <t xml:space="preserve">Interiérová výmalba 2.NP — stěny + SDK podhled − obklad koupelny 2.03 </t>
        </is>
      </c>
      <c r="H229" s="24" t="inlineStr">
        <is>
          <t>? needs production lookup</t>
        </is>
      </c>
    </row>
    <row r="230">
      <c r="B230" s="24" t="inlineStr">
        <is>
          <t>260219_dum.PSV78.012.3_NP</t>
        </is>
      </c>
      <c r="C230" s="24" t="inlineStr">
        <is>
          <t>260219_dum</t>
        </is>
      </c>
      <c r="D230" s="24" t="inlineStr">
        <is>
          <t>PSV-78 Povrchové úpravy</t>
        </is>
      </c>
      <c r="E230" s="24" t="inlineStr">
        <is>
          <t>784121011</t>
        </is>
      </c>
      <c r="F230" s="24" t="inlineStr"/>
      <c r="G230" s="24" t="inlineStr">
        <is>
          <t xml:space="preserve">Interiérová výmalba 3.NP — stěny + SDK podhled − obklad koupelny 3.04 </t>
        </is>
      </c>
      <c r="H230" s="24" t="inlineStr">
        <is>
          <t>? needs production lookup</t>
        </is>
      </c>
    </row>
    <row r="231">
      <c r="B231" s="24" t="inlineStr">
        <is>
          <t>260217_sklad.HSV5.001</t>
        </is>
      </c>
      <c r="C231" s="24" t="inlineStr">
        <is>
          <t>260217_sklad</t>
        </is>
      </c>
      <c r="D231" s="24" t="inlineStr">
        <is>
          <t>HSV-5 Komunikace + schodiště</t>
        </is>
      </c>
      <c r="E231" s="24" t="inlineStr">
        <is>
          <t>121301101</t>
        </is>
      </c>
      <c r="F231" s="24" t="inlineStr"/>
      <c r="G231" s="24" t="inlineStr">
        <is>
          <t xml:space="preserve">Sklad mezipodesta schodiště — prefa betonové stupně (9 ks × 179.5×250 </t>
        </is>
      </c>
      <c r="H231" s="24" t="inlineStr">
        <is>
          <t>? needs production lookup</t>
        </is>
      </c>
    </row>
    <row r="232">
      <c r="B232" s="24" t="inlineStr">
        <is>
          <t>260219_dum.VRN.PM01</t>
        </is>
      </c>
      <c r="C232" s="24" t="inlineStr">
        <is>
          <t>260219_dum</t>
        </is>
      </c>
      <c r="D232" s="24" t="inlineStr">
        <is>
          <t>VRN — Přesun hmot</t>
        </is>
      </c>
      <c r="E232" s="24" t="inlineStr"/>
      <c r="F232" s="24" t="inlineStr"/>
      <c r="G232" s="24" t="inlineStr">
        <is>
          <t>Přesun hmot pro budovu — vnitrostaveništní vertikální + horizontální d</t>
        </is>
      </c>
      <c r="H232" s="24" t="inlineStr">
        <is>
          <t>❌ MANUAL — KROS catalog lookup</t>
        </is>
      </c>
    </row>
    <row r="233">
      <c r="B233" s="24" t="inlineStr">
        <is>
          <t>260219_dum.VRN.PM02</t>
        </is>
      </c>
      <c r="C233" s="24" t="inlineStr">
        <is>
          <t>260219_dum</t>
        </is>
      </c>
      <c r="D233" s="24" t="inlineStr">
        <is>
          <t>VRN — Lešení</t>
        </is>
      </c>
      <c r="E233" s="24" t="inlineStr"/>
      <c r="F233" s="24" t="inlineStr"/>
      <c r="G233" s="24" t="inlineStr">
        <is>
          <t>Fasádní lešení trubkové/rámové vč. montáže + pronájmu + demontáže — pr</t>
        </is>
      </c>
      <c r="H233" s="24" t="inlineStr">
        <is>
          <t>❌ MANUAL — KROS catalog lookup</t>
        </is>
      </c>
    </row>
  </sheetData>
  <mergeCells count="9">
    <mergeCell ref="B8"/>
    <mergeCell ref="B9"/>
    <mergeCell ref="B13:H13"/>
    <mergeCell ref="B7"/>
    <mergeCell ref="B6"/>
    <mergeCell ref="B24:H24"/>
    <mergeCell ref="B86:H86"/>
    <mergeCell ref="B78:H78"/>
    <mergeCell ref="B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8" customWidth="1" min="3" max="3"/>
    <col width="50" customWidth="1" min="4" max="4"/>
    <col width="12" customWidth="1" min="5" max="5"/>
    <col width="20" customWidth="1" min="6" max="6"/>
    <col width="10" customWidth="1" min="7" max="7"/>
    <col width="32" customWidth="1" min="8" max="8"/>
    <col width="10" customWidth="1" min="9" max="9"/>
    <col width="22" customWidth="1" min="10" max="10"/>
    <col width="40" customWidth="1" min="11" max="11"/>
    <col width="16" customWidth="1" min="12" max="12"/>
    <col width="50" customWidth="1" min="13" max="13"/>
    <col width="50" customWidth="1" min="14" max="14"/>
  </cols>
  <sheetData>
    <row r="2">
      <c r="B2" s="1" t="inlineStr">
        <is>
          <t>URS VÝBĚR — AUDIT PRO TRANSPARENTNOST (Pattern 25)</t>
        </is>
      </c>
    </row>
    <row r="4">
      <c r="B4" s="4" t="inlineStr">
        <is>
          <t>ID</t>
        </is>
      </c>
      <c r="C4" s="4" t="inlineStr">
        <is>
          <t>Kapitola</t>
        </is>
      </c>
      <c r="D4" s="4" t="inlineStr">
        <is>
          <t>Popis</t>
        </is>
      </c>
      <c r="E4" s="4" t="inlineStr">
        <is>
          <t>Kód proposed</t>
        </is>
      </c>
      <c r="F4" s="4" t="inlineStr">
        <is>
          <t>Alternativy</t>
        </is>
      </c>
      <c r="G4" s="4" t="inlineStr">
        <is>
          <t>Family 6digit</t>
        </is>
      </c>
      <c r="H4" s="4" t="inlineStr">
        <is>
          <t>urs_status</t>
        </is>
      </c>
      <c r="I4" s="4" t="inlineStr">
        <is>
          <t>urs_confidence</t>
        </is>
      </c>
      <c r="J4" s="4" t="inlineStr">
        <is>
          <t>cross_verification_status</t>
        </is>
      </c>
      <c r="K4" s="4" t="inlineStr">
        <is>
          <t>cross_verification_evidence_url</t>
        </is>
      </c>
      <c r="L4" s="4" t="inlineStr">
        <is>
          <t>urs_code_proposed_was</t>
        </is>
      </c>
      <c r="M4" s="4" t="inlineStr">
        <is>
          <t>correct_code_hint</t>
        </is>
      </c>
      <c r="N4" s="4" t="inlineStr">
        <is>
          <t>urs_verification_note</t>
        </is>
      </c>
    </row>
    <row r="5">
      <c r="B5" s="24" t="inlineStr">
        <is>
          <t>260219_dum.HSV1.001</t>
        </is>
      </c>
      <c r="C5" s="24" t="inlineStr">
        <is>
          <t>HSV-1 Zemní práce</t>
        </is>
      </c>
      <c r="D5" s="24" t="inlineStr">
        <is>
          <t>Sejmutí ornice tl. 100 mm na ploše budoucí opěrné stěny a anglického dvorku</t>
        </is>
      </c>
      <c r="E5" s="24" t="inlineStr">
        <is>
          <t>121101101</t>
        </is>
      </c>
      <c r="F5" s="24" t="inlineStr">
        <is>
          <t>121101102, 121301101</t>
        </is>
      </c>
      <c r="G5" s="24" t="inlineStr"/>
      <c r="H5" s="24" t="inlineStr">
        <is>
          <t>matched_websearch_verified</t>
        </is>
      </c>
      <c r="I5" s="35" t="n">
        <v>0.95</v>
      </c>
      <c r="J5" s="27" t="inlineStr">
        <is>
          <t>VERIFIED</t>
        </is>
      </c>
      <c r="K5" s="24" t="inlineStr">
        <is>
          <t>https://www.cs-urs.cz/podminky/cu201/823-2-Rekultivace-(2020-I)/5/</t>
        </is>
      </c>
      <c r="L5" s="24" t="inlineStr"/>
      <c r="M5" s="24" t="inlineStr"/>
      <c r="N5" s="24" t="inlineStr">
        <is>
          <t>WebSearch: 'Sejmutí ornice ... do 50 m' m³ — leaf valid; distance ≤ 50 m for staging-close work matches RD Jáchymov dvorek scope</t>
        </is>
      </c>
    </row>
    <row r="6">
      <c r="B6" s="24" t="inlineStr">
        <is>
          <t>260219_dum.HSV1.002</t>
        </is>
      </c>
      <c r="C6" s="24" t="inlineStr">
        <is>
          <t>HSV-1 Zemní práce</t>
        </is>
      </c>
      <c r="D6" s="24" t="inlineStr">
        <is>
          <t>Hloubení rýh š. do 60 cm pro pas opěrné stěny bílé vany v zemině třídy 3 (F4-CS)</t>
        </is>
      </c>
      <c r="E6" s="24" t="inlineStr">
        <is>
          <t>132201101</t>
        </is>
      </c>
      <c r="F6" s="24" t="inlineStr">
        <is>
          <t>132211101, 131201101</t>
        </is>
      </c>
      <c r="G6" s="24" t="inlineStr"/>
      <c r="H6" s="24" t="inlineStr">
        <is>
          <t>family_verified_leaf_needs_production_lookup</t>
        </is>
      </c>
      <c r="I6" s="35" t="n">
        <v>0.8</v>
      </c>
      <c r="J6" s="31" t="inlineStr">
        <is>
          <t>FAMILY_VERIFIED</t>
        </is>
      </c>
      <c r="K6" s="24" t="inlineStr">
        <is>
          <t>https://www.cs-urs.cz/podminky/cu201/800-1-Zemni-prace-(2020-I)/17/</t>
        </is>
      </c>
      <c r="L6" s="24" t="inlineStr"/>
      <c r="M6" s="24" t="inlineStr"/>
      <c r="N6" s="24" t="inlineStr">
        <is>
          <t>WebSearch: 'Hloubení rýh š do 600 mm v hornině tř. 3 objemu do 100 m3' — exact match to item</t>
        </is>
      </c>
    </row>
    <row r="7">
      <c r="B7" s="24" t="inlineStr">
        <is>
          <t>260219_dum.HSV1.003</t>
        </is>
      </c>
      <c r="C7" s="24" t="inlineStr">
        <is>
          <t>HSV-1 Zemní práce</t>
        </is>
      </c>
      <c r="D7" s="24" t="inlineStr">
        <is>
          <t>Hloubení jam nezapažených pro anglický dvorek a nový vstup do 1.PP ze zahrady, h</t>
        </is>
      </c>
      <c r="E7" s="24" t="inlineStr">
        <is>
          <t>131201101</t>
        </is>
      </c>
      <c r="F7" s="24" t="inlineStr">
        <is>
          <t>131211101, 131301101, 132201101</t>
        </is>
      </c>
      <c r="G7" s="24" t="inlineStr"/>
      <c r="H7" s="24" t="inlineStr">
        <is>
          <t>family_verified_leaf_needs_production_lookup</t>
        </is>
      </c>
      <c r="I7" s="35" t="n">
        <v>0.8</v>
      </c>
      <c r="J7" s="31" t="inlineStr">
        <is>
          <t>FAMILY_VERIFIED</t>
        </is>
      </c>
      <c r="K7" s="24" t="inlineStr">
        <is>
          <t>https://www.cs-urs.cz/podminky/cu201/800-1-Zemni-prace-(2020-I)/17/</t>
        </is>
      </c>
      <c r="L7" s="24" t="inlineStr">
        <is>
          <t>132211101</t>
        </is>
      </c>
      <c r="M7" s="24" t="inlineStr"/>
      <c r="N7" s="24" t="inlineStr">
        <is>
          <t>Korekce 2026-05-19: 'figura' RU loanword odstraněn → správný URS term 'Hloubení jam nezapažených' (TKP 131). Verified leaf 131201101 = 'Hloubení jam nezapažených v hornině tř. 3 objemu do 100 m3' m³ (</t>
        </is>
      </c>
    </row>
    <row r="8">
      <c r="B8" s="24" t="inlineStr">
        <is>
          <t>260219_dum.HSV1.004</t>
        </is>
      </c>
      <c r="C8" s="24" t="inlineStr">
        <is>
          <t>HSV-1 Zemní práce</t>
        </is>
      </c>
      <c r="D8" s="24" t="inlineStr">
        <is>
          <t>Anglický dvorek: betonová dlažba 50 mm + kladecí vrstva kamenná drť 4-8 mm tl. 4</t>
        </is>
      </c>
      <c r="E8" s="24" t="inlineStr">
        <is>
          <t>596811220</t>
        </is>
      </c>
      <c r="F8" s="24" t="inlineStr">
        <is>
          <t>564851111</t>
        </is>
      </c>
      <c r="G8" s="24" t="inlineStr">
        <is>
          <t>596</t>
        </is>
      </c>
      <c r="H8" s="24" t="inlineStr">
        <is>
          <t>family_verified_leaf_candidate_verify_stage3</t>
        </is>
      </c>
      <c r="I8" s="35" t="n">
        <v>0.55</v>
      </c>
      <c r="J8" s="32" t="inlineStr">
        <is>
          <t>RECONCILED_596_CONSENSUS</t>
        </is>
      </c>
      <c r="K8" s="24" t="inlineStr">
        <is>
          <t>https://www.cs-urs.cz/podminky/cu201/800-1-Zemni-prace-(2020-I)/17/</t>
        </is>
      </c>
      <c r="L8" s="24" t="inlineStr"/>
      <c r="M8" s="24" t="inlineStr">
        <is>
          <t>596 família — kladení betonové dlažby na loži (anglický dvorek). Consensus: busy atomic família 596 == happy A2 596811220. Leaf 596811220 candidate — VERIFY via MCP find_urs_code Stage 3.</t>
        </is>
      </c>
      <c r="N8" s="24" t="inlineStr"/>
    </row>
    <row r="9">
      <c r="B9" s="24" t="inlineStr">
        <is>
          <t>260219_dum.HSV1.005</t>
        </is>
      </c>
      <c r="C9" s="24" t="inlineStr">
        <is>
          <t>HSV-1 Zemní práce</t>
        </is>
      </c>
      <c r="D9" s="24" t="inlineStr">
        <is>
          <t>Terasa za opěrnou stěnou — PODKLADNÍ SKLADBA pod dřevěnou pochozí vrstvou (PSV76</t>
        </is>
      </c>
      <c r="E9" s="24" t="inlineStr"/>
      <c r="F9" s="24" t="inlineStr">
        <is>
          <t>596811220, 564851111</t>
        </is>
      </c>
      <c r="G9" s="24" t="inlineStr">
        <is>
          <t>564</t>
        </is>
      </c>
      <c r="H9" s="24" t="inlineStr">
        <is>
          <t>family_564_leaf_lookup_required</t>
        </is>
      </c>
      <c r="I9" s="35" t="n">
        <v>0.55</v>
      </c>
      <c r="J9" s="33" t="inlineStr">
        <is>
          <t>REZ_CC_CORRECTED_substructure_dlazdice_roznaseci_pod_terce</t>
        </is>
      </c>
      <c r="K9" s="24" t="inlineStr">
        <is>
          <t>https://www.cs-urs.cz/podminky/cu201/800-1-Zemni-prace-(2020-I)/17/</t>
        </is>
      </c>
      <c r="L9" s="24" t="inlineStr"/>
      <c r="M9" s="24" t="inlineStr">
        <is>
          <t>ŘEZ C-C OPRAVA 2026-05-29: betonové dlaždice = ROZNÁŠECÍ vrstva POD rektifikovatelné terče (NE '636311 dlaždice na terče' — to byla chyba reconciliation). Dřevěná pochozí vrstva (prkna + dřevěný rošt,</t>
        </is>
      </c>
      <c r="N9" s="24" t="inlineStr"/>
    </row>
    <row r="10">
      <c r="B10" s="24" t="inlineStr">
        <is>
          <t>260219_dum.HSV1.006</t>
        </is>
      </c>
      <c r="C10" s="24" t="inlineStr">
        <is>
          <t>HSV-1 Zemní práce</t>
        </is>
      </c>
      <c r="D10" s="24" t="inlineStr">
        <is>
          <t>Pažení a rozepření dočasných výkopů příložné, hl. do 2 m, v zemině třídy 3</t>
        </is>
      </c>
      <c r="E10" s="24" t="inlineStr">
        <is>
          <t>151101101</t>
        </is>
      </c>
      <c r="F10" s="24" t="inlineStr">
        <is>
          <t>151101102, 151201101</t>
        </is>
      </c>
      <c r="G10" s="24" t="inlineStr"/>
      <c r="H10" s="24" t="inlineStr">
        <is>
          <t>matched_websearch_verified</t>
        </is>
      </c>
      <c r="I10" s="35" t="n">
        <v>0.95</v>
      </c>
      <c r="J10" s="27" t="inlineStr">
        <is>
          <t>VERIFIED</t>
        </is>
      </c>
      <c r="K10" s="24" t="inlineStr">
        <is>
          <t>https://www.cs-urs.cz/podminky/cu201/800-1-Zemni-prace-(2020-I)/20/</t>
        </is>
      </c>
      <c r="L10" s="24" t="inlineStr"/>
      <c r="M10" s="24" t="inlineStr"/>
      <c r="N10" s="24" t="inlineStr"/>
    </row>
    <row r="11">
      <c r="B11" s="24" t="inlineStr">
        <is>
          <t>260219_dum.HSV1.007</t>
        </is>
      </c>
      <c r="C11" s="24" t="inlineStr">
        <is>
          <t>HSV-1 Zemní práce</t>
        </is>
      </c>
      <c r="D11" s="24" t="inlineStr">
        <is>
          <t>Vodorovné přemístění výkopku — odvoz na deponii do 8 km vč. skládkovného (zemina</t>
        </is>
      </c>
      <c r="E11" s="24" t="inlineStr"/>
      <c r="F11" s="24" t="inlineStr">
        <is>
          <t>162701104, 162701103, 162701102</t>
        </is>
      </c>
      <c r="G11" s="24" t="inlineStr">
        <is>
          <t>162701</t>
        </is>
      </c>
      <c r="H11" s="24" t="inlineStr">
        <is>
          <t>family_verified_leaf_needs_production_lookup</t>
        </is>
      </c>
      <c r="I11" s="35" t="n">
        <v>0.8</v>
      </c>
      <c r="J11" s="31" t="inlineStr">
        <is>
          <t>FAMILY_VERIFIED</t>
        </is>
      </c>
      <c r="K11" s="24" t="inlineStr">
        <is>
          <t>https://www.cs-urs.cz/podminky/cu201/800-1-Zemni-prace-(2020-I)/23/</t>
        </is>
      </c>
      <c r="L11" s="24" t="inlineStr">
        <is>
          <t>162701105</t>
        </is>
      </c>
      <c r="M11" s="24" t="inlineStr"/>
      <c r="N11" s="24" t="inlineStr">
        <is>
          <t>WebSearch verified WRONG LEAF: URS leaf 162701105 = 9-10 km, item says 'do 8 km'. Hint: Wahrscheinlich 162701104 (8-9 km) podle WebSearch popis ladder</t>
        </is>
      </c>
    </row>
    <row r="12">
      <c r="B12" s="24" t="inlineStr">
        <is>
          <t>260219_dum.HSV1.008</t>
        </is>
      </c>
      <c r="C12" s="24" t="inlineStr">
        <is>
          <t>HSV-1 Zemní práce</t>
        </is>
      </c>
      <c r="D12" s="24" t="inlineStr">
        <is>
          <t xml:space="preserve">Zhutněný štěrkopískový zásyp + lože pod ŽB deskou 1.NP, Edef2 ≥ 30 MPa na pláni </t>
        </is>
      </c>
      <c r="E12" s="24" t="inlineStr">
        <is>
          <t>174101101</t>
        </is>
      </c>
      <c r="F12" s="24" t="inlineStr">
        <is>
          <t>174201101, 171101101</t>
        </is>
      </c>
      <c r="G12" s="24" t="inlineStr"/>
      <c r="H12" s="24" t="inlineStr">
        <is>
          <t>family_verified_leaf_needs_production_lookup</t>
        </is>
      </c>
      <c r="I12" s="35" t="n">
        <v>0.8</v>
      </c>
      <c r="J12" s="31" t="inlineStr">
        <is>
          <t>FAMILY_VERIFIED</t>
        </is>
      </c>
      <c r="K12" s="24" t="inlineStr">
        <is>
          <t>https://www.cs-urs.cz/cenova-soustava-urs/</t>
        </is>
      </c>
      <c r="L12" s="24" t="inlineStr"/>
      <c r="M12" s="24" t="inlineStr"/>
      <c r="N12" s="24" t="inlineStr"/>
    </row>
    <row r="13">
      <c r="B13" s="24" t="inlineStr">
        <is>
          <t>260217_sklad.HSV1.001</t>
        </is>
      </c>
      <c r="C13" s="24" t="inlineStr">
        <is>
          <t>HSV-1 Zemní práce</t>
        </is>
      </c>
      <c r="D13" s="24" t="inlineStr">
        <is>
          <t>Sejmutí ornice a demolice stávajících kamenných zídek a schodiště v místě nového</t>
        </is>
      </c>
      <c r="E13" s="24" t="inlineStr">
        <is>
          <t>962031132</t>
        </is>
      </c>
      <c r="F13" s="24" t="inlineStr">
        <is>
          <t>962081141, 121101101</t>
        </is>
      </c>
      <c r="G13" s="24" t="inlineStr"/>
      <c r="H13" s="24" t="inlineStr">
        <is>
          <t>matched_websearch_cross_discipline_legitimate</t>
        </is>
      </c>
      <c r="I13" s="35" t="n">
        <v>0.85</v>
      </c>
      <c r="J13" s="27" t="inlineStr">
        <is>
          <t>CROSS_DISCIPLINE_OK</t>
        </is>
      </c>
      <c r="K13" s="24" t="inlineStr">
        <is>
          <t>https://www.cs-urs.cz/podminky/cu202/801-3-Budovy-a-haly---bourani-konstrukci-(2020-II)/19/</t>
        </is>
      </c>
      <c r="L13" s="24" t="inlineStr"/>
      <c r="M13" s="24" t="inlineStr"/>
      <c r="N13" s="24" t="inlineStr"/>
    </row>
    <row r="14">
      <c r="B14" s="24" t="inlineStr">
        <is>
          <t>260217_sklad.HSV1.002</t>
        </is>
      </c>
      <c r="C14" s="24" t="inlineStr">
        <is>
          <t>HSV-1 Zemní práce</t>
        </is>
      </c>
      <c r="D14" s="24" t="inlineStr">
        <is>
          <t>Hloubení jam nezapažených pro objekt skladu v lichoběžníku 6,35 × 3,34 m, hl. do</t>
        </is>
      </c>
      <c r="E14" s="24" t="inlineStr">
        <is>
          <t>131201101</t>
        </is>
      </c>
      <c r="F14" s="24" t="inlineStr">
        <is>
          <t>131211101, 131301101, 132201101</t>
        </is>
      </c>
      <c r="G14" s="24" t="inlineStr"/>
      <c r="H14" s="24" t="inlineStr">
        <is>
          <t>matched_websearch_verified</t>
        </is>
      </c>
      <c r="I14" s="35" t="n">
        <v>0.95</v>
      </c>
      <c r="J14" s="32" t="inlineStr"/>
      <c r="K14" s="24" t="inlineStr"/>
      <c r="L14" s="24" t="inlineStr">
        <is>
          <t>132211101</t>
        </is>
      </c>
      <c r="M14" s="24" t="inlineStr"/>
      <c r="N14" s="24" t="inlineStr">
        <is>
          <t>Korekce 2026-05-19: stejná oprava jako HSV1.003 — 'figura' → 'jám nezapažených'.</t>
        </is>
      </c>
    </row>
    <row r="15">
      <c r="B15" s="24" t="inlineStr">
        <is>
          <t>260217_sklad.HSV1.003</t>
        </is>
      </c>
      <c r="C15" s="24" t="inlineStr">
        <is>
          <t>HSV-1 Zemní práce</t>
        </is>
      </c>
      <c r="D15" s="24" t="inlineStr">
        <is>
          <t xml:space="preserve">Hloubení rýh pro betonové základové pasy 500×500 mm po obvodu skladu (nezámrzná </t>
        </is>
      </c>
      <c r="E15" s="24" t="inlineStr">
        <is>
          <t>132201101</t>
        </is>
      </c>
      <c r="F15" s="24" t="inlineStr">
        <is>
          <t>132211101, 131201101</t>
        </is>
      </c>
      <c r="G15" s="24" t="inlineStr"/>
      <c r="H15" s="24" t="inlineStr">
        <is>
          <t>matched_websearch_verified</t>
        </is>
      </c>
      <c r="I15" s="35" t="n">
        <v>0.95</v>
      </c>
      <c r="J15" s="32" t="inlineStr"/>
      <c r="K15" s="24" t="inlineStr"/>
      <c r="L15" s="24" t="inlineStr"/>
      <c r="M15" s="24" t="inlineStr"/>
      <c r="N15" s="24" t="inlineStr">
        <is>
          <t>WebSearch: same URS leaf as HSV1.002 — exact match</t>
        </is>
      </c>
    </row>
    <row r="16">
      <c r="B16" s="24" t="inlineStr">
        <is>
          <t>260217_sklad.HSV1.004</t>
        </is>
      </c>
      <c r="C16" s="24" t="inlineStr">
        <is>
          <t>HSV-1 Zemní práce</t>
        </is>
      </c>
      <c r="D16" s="24" t="inlineStr">
        <is>
          <t>Hloubení patek pro stojky IPE180 zastřešení parkingu, 500×500 mm × 1.0 m hl. × 7</t>
        </is>
      </c>
      <c r="E16" s="24" t="inlineStr">
        <is>
          <t>132211101</t>
        </is>
      </c>
      <c r="F16" s="24" t="inlineStr">
        <is>
          <t>132201101, 131211101</t>
        </is>
      </c>
      <c r="G16" s="24" t="inlineStr"/>
      <c r="H16" s="24" t="inlineStr">
        <is>
          <t>needs_production_lookup</t>
        </is>
      </c>
      <c r="I16" s="35" t="n">
        <v>0.65</v>
      </c>
      <c r="J16" s="32" t="inlineStr"/>
      <c r="K16" s="24" t="inlineStr"/>
      <c r="L16" s="24" t="inlineStr"/>
      <c r="M16" s="24" t="inlineStr"/>
      <c r="N16" s="24" t="inlineStr"/>
    </row>
    <row r="17">
      <c r="B17" s="24" t="inlineStr">
        <is>
          <t>260217_sklad.HSV1.005</t>
        </is>
      </c>
      <c r="C17" s="24" t="inlineStr">
        <is>
          <t>HSV-1 Zemní práce</t>
        </is>
      </c>
      <c r="D17" s="24" t="inlineStr">
        <is>
          <t>Zhutněný štěrkopískový násyp pod podlahu skladu + štěrkopísek pro IPE patky</t>
        </is>
      </c>
      <c r="E17" s="24" t="inlineStr">
        <is>
          <t>174101101</t>
        </is>
      </c>
      <c r="F17" s="24" t="inlineStr">
        <is>
          <t>174201101, 171101101</t>
        </is>
      </c>
      <c r="G17" s="24" t="inlineStr"/>
      <c r="H17" s="24" t="inlineStr">
        <is>
          <t>needs_production_lookup</t>
        </is>
      </c>
      <c r="I17" s="35" t="n">
        <v>0.65</v>
      </c>
      <c r="J17" s="32" t="inlineStr"/>
      <c r="K17" s="24" t="inlineStr"/>
      <c r="L17" s="24" t="inlineStr"/>
      <c r="M17" s="24" t="inlineStr"/>
      <c r="N17" s="24" t="inlineStr"/>
    </row>
    <row r="18">
      <c r="B18" s="24" t="inlineStr">
        <is>
          <t>260217_sklad.HSV1.006</t>
        </is>
      </c>
      <c r="C18" s="24" t="inlineStr">
        <is>
          <t>HSV-1 Zemní práce</t>
        </is>
      </c>
      <c r="D18" s="24" t="inlineStr">
        <is>
          <t>Odvoz výkopku z hloubení skladu + figur + patek na deponii do 8 km</t>
        </is>
      </c>
      <c r="E18" s="24" t="inlineStr"/>
      <c r="F18" s="24" t="inlineStr">
        <is>
          <t>162701104, 162701103, 162701102</t>
        </is>
      </c>
      <c r="G18" s="24" t="inlineStr">
        <is>
          <t>162701</t>
        </is>
      </c>
      <c r="H18" s="24" t="inlineStr">
        <is>
          <t>wrong_leaf_disambiguation_needed</t>
        </is>
      </c>
      <c r="I18" s="35" t="n">
        <v>0.5</v>
      </c>
      <c r="J18" s="33" t="inlineStr"/>
      <c r="K18" s="24" t="inlineStr"/>
      <c r="L18" s="24" t="inlineStr">
        <is>
          <t>162701105</t>
        </is>
      </c>
      <c r="M18" s="24" t="inlineStr"/>
      <c r="N18" s="24" t="inlineStr">
        <is>
          <t>WebSearch verified WRONG LEAF: Same wrong-leaf as HSV1.007 — 9-10 km vs 'do 8 km'. Hint: Wahrscheinlich 162701104 (8-9 km)</t>
        </is>
      </c>
    </row>
    <row r="19">
      <c r="B19" s="24" t="inlineStr">
        <is>
          <t>260219_dum.HSV2.001</t>
        </is>
      </c>
      <c r="C19" s="24" t="inlineStr">
        <is>
          <t>HSV-2 Základové a ŽB</t>
        </is>
      </c>
      <c r="D19" s="24" t="inlineStr">
        <is>
          <t>Bílá vana ČBS 02 — pata úhlové opěrné stěny 250×1200 mm × L=10 m, C25/30 XC3 XF1</t>
        </is>
      </c>
      <c r="E19" s="24" t="inlineStr">
        <is>
          <t>274321321</t>
        </is>
      </c>
      <c r="F19" s="24" t="inlineStr">
        <is>
          <t>274321111, 273321321</t>
        </is>
      </c>
      <c r="G19" s="24" t="inlineStr"/>
      <c r="H19" s="24" t="inlineStr">
        <is>
          <t>family_verified_leaf_needs_production_lookup</t>
        </is>
      </c>
      <c r="I19" s="35" t="n">
        <v>0.8</v>
      </c>
      <c r="J19" s="31" t="inlineStr">
        <is>
          <t>FAMILY_VERIFIED</t>
        </is>
      </c>
      <c r="K19" s="24" t="inlineStr">
        <is>
          <t>https://www.cs-urs.cz/podminky/cu202/801-1-Budovy-a-haly---zdene-a-monoliticke-(2020-II)/20/</t>
        </is>
      </c>
      <c r="L19" s="24" t="inlineStr"/>
      <c r="M19" s="24" t="inlineStr"/>
      <c r="N19" s="24" t="inlineStr"/>
    </row>
    <row r="20">
      <c r="B20" s="24" t="inlineStr">
        <is>
          <t>260219_dum.HSV2.002</t>
        </is>
      </c>
      <c r="C20" s="24" t="inlineStr">
        <is>
          <t>HSV-2 Základové a ŽB</t>
        </is>
      </c>
      <c r="D20" s="24" t="inlineStr">
        <is>
          <t>Bílá vana ČBS 02 — stěna úhlová tl. 250 mm × výška 2050 mm × L=10 m, beton C25/3</t>
        </is>
      </c>
      <c r="E20" s="24" t="inlineStr">
        <is>
          <t>274321321</t>
        </is>
      </c>
      <c r="F20" s="24" t="inlineStr">
        <is>
          <t>273321321, 274311111</t>
        </is>
      </c>
      <c r="G20" s="24" t="inlineStr"/>
      <c r="H20" s="24" t="inlineStr">
        <is>
          <t>needs_production_lookup</t>
        </is>
      </c>
      <c r="I20" s="35" t="n">
        <v>0.65</v>
      </c>
      <c r="J20" s="32" t="inlineStr"/>
      <c r="K20" s="24" t="inlineStr"/>
      <c r="L20" s="24" t="inlineStr"/>
      <c r="M20" s="24" t="inlineStr"/>
      <c r="N20" s="24" t="inlineStr"/>
    </row>
    <row r="21">
      <c r="B21" s="24" t="inlineStr">
        <is>
          <t>260219_dum.HSV2.003</t>
        </is>
      </c>
      <c r="C21" s="24" t="inlineStr">
        <is>
          <t>HSV-2 Základové a ŽB</t>
        </is>
      </c>
      <c r="D21" s="24" t="inlineStr">
        <is>
          <t>Systémové oboustranné bednění bílé vany — DOKA Framax / PERI MAXIMO, vč. těsnění</t>
        </is>
      </c>
      <c r="E21" s="24" t="inlineStr"/>
      <c r="F21" s="24" t="inlineStr">
        <is>
          <t>631311111, 634111111</t>
        </is>
      </c>
      <c r="G21" s="24" t="inlineStr">
        <is>
          <t>274</t>
        </is>
      </c>
      <c r="H21" s="24" t="inlineStr">
        <is>
          <t>wrong_leaf_274_family_lookup_required</t>
        </is>
      </c>
      <c r="I21" s="35" t="n">
        <v>0.55</v>
      </c>
      <c r="J21" s="33" t="inlineStr">
        <is>
          <t>RECONCILED_274_CONSENSUS</t>
        </is>
      </c>
      <c r="K21" s="24" t="inlineStr">
        <is>
          <t>https://www.cs-urs.cz/cenova-soustava-urs/</t>
        </is>
      </c>
      <c r="L21" s="24" t="inlineStr"/>
      <c r="M21" s="24" t="inlineStr">
        <is>
          <t>274XXX systémové bednění monolitických konstrukcí (bílá vana opěrná stěna). Consensus: busy-einstein hint == happy-hamilton A1. Leaf binding Stage 3.</t>
        </is>
      </c>
      <c r="N21" s="24" t="inlineStr"/>
    </row>
    <row r="22">
      <c r="B22" s="24" t="inlineStr">
        <is>
          <t>260219_dum.HSV2.004</t>
        </is>
      </c>
      <c r="C22" s="24" t="inlineStr">
        <is>
          <t>HSV-2 Základové a ŽB</t>
        </is>
      </c>
      <c r="D22" s="24" t="inlineStr">
        <is>
          <t>Výztuž bílé vany B500B 120 kg/m³ (empirická sazba Methvin pro úhlové opěrné stěn</t>
        </is>
      </c>
      <c r="E22" s="24" t="inlineStr">
        <is>
          <t>273361821</t>
        </is>
      </c>
      <c r="F22" s="24" t="inlineStr">
        <is>
          <t>272361821, 273361801</t>
        </is>
      </c>
      <c r="G22" s="24" t="inlineStr"/>
      <c r="H22" s="24" t="inlineStr">
        <is>
          <t>family_verified_leaf_needs_production_lookup</t>
        </is>
      </c>
      <c r="I22" s="35" t="n">
        <v>0.8</v>
      </c>
      <c r="J22" s="31" t="inlineStr">
        <is>
          <t>FAMILY_VERIFIED</t>
        </is>
      </c>
      <c r="K22" s="24" t="inlineStr">
        <is>
          <t>https://cs.wikipedia.org/wiki/Beton%C3%A1%C5%99sk%C3%A1_v%C3%BDztu%C5%BE</t>
        </is>
      </c>
      <c r="L22" s="24" t="inlineStr"/>
      <c r="M22" s="24" t="inlineStr"/>
      <c r="N22" s="24" t="inlineStr"/>
    </row>
    <row r="23">
      <c r="B23" s="24" t="inlineStr">
        <is>
          <t>260219_dum.HSV2.005</t>
        </is>
      </c>
      <c r="C23" s="24" t="inlineStr">
        <is>
          <t>HSV-2 Základové a ŽB</t>
        </is>
      </c>
      <c r="D23" s="24" t="inlineStr">
        <is>
          <t>Separační PE fólie pod základovou patou bílé vany (povinná dle ČBS 02)</t>
        </is>
      </c>
      <c r="E23" s="24" t="inlineStr"/>
      <c r="F23" s="24" t="inlineStr">
        <is>
          <t>711141xxx_PE_folie</t>
        </is>
      </c>
      <c r="G23" s="24" t="inlineStr">
        <is>
          <t>711141</t>
        </is>
      </c>
      <c r="H23" s="24" t="inlineStr">
        <is>
          <t>wrong_leaf_disambiguation_needed</t>
        </is>
      </c>
      <c r="I23" s="35" t="n">
        <v>0.5</v>
      </c>
      <c r="J23" s="33" t="inlineStr"/>
      <c r="K23" s="24" t="inlineStr"/>
      <c r="L23" s="24" t="inlineStr">
        <is>
          <t>711132101</t>
        </is>
      </c>
      <c r="M23" s="24" t="inlineStr"/>
      <c r="N23" s="24" t="inlineStr">
        <is>
          <t>WebSearch verified WRONG LEAF: URS leaf = AIP bituminous rolls, item = PE separation foil. Hint: Family 711 (Izolace proti vodě) correct, leaf should be 711141 PE-folie family</t>
        </is>
      </c>
    </row>
    <row r="24">
      <c r="B24" s="24" t="inlineStr">
        <is>
          <t>260219_dum.HSV2.006</t>
        </is>
      </c>
      <c r="C24" s="24" t="inlineStr">
        <is>
          <t>HSV-2 Základové a ŽB</t>
        </is>
      </c>
      <c r="D24" s="24" t="inlineStr">
        <is>
          <t>Mokré ošetřování betonu bílé vany min. 7 dní dle ČSN EN 13670 + ČBS 02 (kontrola</t>
        </is>
      </c>
      <c r="E24" s="24" t="inlineStr">
        <is>
          <t>279351102</t>
        </is>
      </c>
      <c r="F24" s="24" t="inlineStr">
        <is>
          <t>279351101, 999999001</t>
        </is>
      </c>
      <c r="G24" s="24" t="inlineStr"/>
      <c r="H24" s="24" t="inlineStr">
        <is>
          <t>needs_production_lookup</t>
        </is>
      </c>
      <c r="I24" s="35" t="n">
        <v>0.65</v>
      </c>
      <c r="J24" s="32" t="inlineStr"/>
      <c r="K24" s="24" t="inlineStr"/>
      <c r="L24" s="24" t="inlineStr"/>
      <c r="M24" s="24" t="inlineStr"/>
      <c r="N24" s="24" t="inlineStr"/>
    </row>
    <row r="25">
      <c r="B25" s="24" t="inlineStr">
        <is>
          <t>260219_dum.HSV2.007</t>
        </is>
      </c>
      <c r="C25" s="24" t="inlineStr">
        <is>
          <t>HSV-2 Základové a ŽB</t>
        </is>
      </c>
      <c r="D25" s="24" t="inlineStr">
        <is>
          <t>ŽB pozední věnec 300×250 mm po obvodu nadezdívky 3.NP, beton C25/30 XC1 + výztuž</t>
        </is>
      </c>
      <c r="E25" s="24" t="inlineStr">
        <is>
          <t>274321311</t>
        </is>
      </c>
      <c r="F25" s="24" t="inlineStr">
        <is>
          <t>274321111, 273321311</t>
        </is>
      </c>
      <c r="G25" s="24" t="inlineStr"/>
      <c r="H25" s="24" t="inlineStr">
        <is>
          <t>family_verified_leaf_needs_production_lookup</t>
        </is>
      </c>
      <c r="I25" s="35" t="n">
        <v>0.8</v>
      </c>
      <c r="J25" s="31" t="inlineStr">
        <is>
          <t>FAMILY_VERIFIED</t>
        </is>
      </c>
      <c r="K25" s="24" t="inlineStr">
        <is>
          <t>https://www.estav.cz/cz/10863.pozedni-zelezobetonovy-venec-k-cemu-slouzi-a-jaky-mel-vyvoj-na-co-si-dat-pozor</t>
        </is>
      </c>
      <c r="L25" s="24" t="inlineStr"/>
      <c r="M25" s="24" t="inlineStr"/>
      <c r="N25" s="24" t="inlineStr"/>
    </row>
    <row r="26">
      <c r="B26" s="24" t="inlineStr">
        <is>
          <t>260219_dum.HSV2.008</t>
        </is>
      </c>
      <c r="C26" s="24" t="inlineStr">
        <is>
          <t>HSV-2 Základové a ŽB</t>
        </is>
      </c>
      <c r="D26" s="24" t="inlineStr">
        <is>
          <t>Bednění pozedního věnce systémové oboustranné</t>
        </is>
      </c>
      <c r="E26" s="24" t="inlineStr"/>
      <c r="F26" s="24" t="inlineStr">
        <is>
          <t>631311111</t>
        </is>
      </c>
      <c r="G26" s="24" t="inlineStr">
        <is>
          <t>274</t>
        </is>
      </c>
      <c r="H26" s="24" t="inlineStr">
        <is>
          <t>wrong_leaf_274_family_lookup_required</t>
        </is>
      </c>
      <c r="I26" s="35" t="n">
        <v>0.55</v>
      </c>
      <c r="J26" s="33" t="inlineStr">
        <is>
          <t>RECONCILED_274_CONSENSUS</t>
        </is>
      </c>
      <c r="K26" s="24" t="inlineStr">
        <is>
          <t>https://www.cs-urs.cz/podminky/cu202/801-1-Budovy-a-haly---zdene-a-monoliticke-(2020-II)/20/</t>
        </is>
      </c>
      <c r="L26" s="24" t="inlineStr"/>
      <c r="M26" s="24" t="inlineStr">
        <is>
          <t>274XXX systémové bednění věnců. Consensus: busy-einstein hint == happy-hamilton A1. Leaf binding Stage 3.</t>
        </is>
      </c>
      <c r="N26" s="24" t="inlineStr"/>
    </row>
    <row r="27">
      <c r="B27" s="24" t="inlineStr">
        <is>
          <t>260219_dum.HSV2.009</t>
        </is>
      </c>
      <c r="C27" s="24" t="inlineStr">
        <is>
          <t>HSV-2 Základové a ŽB</t>
        </is>
      </c>
      <c r="D27" s="24" t="inlineStr">
        <is>
          <t>Výztuž B500B věnce 100 kg/m³ (Methvin sazba pro pozední věnce)</t>
        </is>
      </c>
      <c r="E27" s="24" t="inlineStr">
        <is>
          <t>273361821</t>
        </is>
      </c>
      <c r="F27" s="24" t="inlineStr">
        <is>
          <t>272361821</t>
        </is>
      </c>
      <c r="G27" s="24" t="inlineStr"/>
      <c r="H27" s="24" t="inlineStr">
        <is>
          <t>needs_production_lookup</t>
        </is>
      </c>
      <c r="I27" s="35" t="n">
        <v>0.65</v>
      </c>
      <c r="J27" s="32" t="inlineStr"/>
      <c r="K27" s="24" t="inlineStr"/>
      <c r="L27" s="24" t="inlineStr"/>
      <c r="M27" s="24" t="inlineStr"/>
      <c r="N27" s="24" t="inlineStr"/>
    </row>
    <row r="28">
      <c r="B28" s="24" t="inlineStr">
        <is>
          <t>260219_dum.HSV2.010</t>
        </is>
      </c>
      <c r="C28" s="24" t="inlineStr">
        <is>
          <t>HSV-2 Základové a ŽB</t>
        </is>
      </c>
      <c r="D28" s="24" t="inlineStr">
        <is>
          <t>Nabetonávka stropu 2.NP/3.NP — beton C25/30 XC1 tl. 60 mm nad vlnu trapézového p</t>
        </is>
      </c>
      <c r="E28" s="24" t="inlineStr">
        <is>
          <t>274321111</t>
        </is>
      </c>
      <c r="F28" s="24" t="inlineStr">
        <is>
          <t>411321414</t>
        </is>
      </c>
      <c r="G28" s="24" t="inlineStr"/>
      <c r="H28" s="24" t="inlineStr">
        <is>
          <t>family_verified_leaf_needs_production_lookup</t>
        </is>
      </c>
      <c r="I28" s="35" t="n">
        <v>0.8</v>
      </c>
      <c r="J28" s="31" t="inlineStr">
        <is>
          <t>FAMILY_VERIFIED</t>
        </is>
      </c>
      <c r="K28" s="24" t="inlineStr">
        <is>
          <t>https://www.cs-urs.cz/podminky/cu202/801-1-Budovy-a-haly---zdene-a-monoliticke-(2020-II)/20/</t>
        </is>
      </c>
      <c r="L28" s="24" t="inlineStr"/>
      <c r="M28" s="24" t="inlineStr"/>
      <c r="N28" s="24" t="inlineStr"/>
    </row>
    <row r="29">
      <c r="B29" s="24" t="inlineStr">
        <is>
          <t>260219_dum.HSV2.011</t>
        </is>
      </c>
      <c r="C29" s="24" t="inlineStr">
        <is>
          <t>HSV-2 Základové a ŽB</t>
        </is>
      </c>
      <c r="D29" s="24" t="inlineStr">
        <is>
          <t>Výztuž nabetonávky kari síť 5/100/100 (cca 4.4 kg/m²)</t>
        </is>
      </c>
      <c r="E29" s="24" t="inlineStr">
        <is>
          <t>273362441</t>
        </is>
      </c>
      <c r="F29" s="24" t="inlineStr">
        <is>
          <t>273362442</t>
        </is>
      </c>
      <c r="G29" s="24" t="inlineStr"/>
      <c r="H29" s="24" t="inlineStr">
        <is>
          <t>needs_production_lookup</t>
        </is>
      </c>
      <c r="I29" s="35" t="n">
        <v>0.65</v>
      </c>
      <c r="J29" s="32" t="inlineStr"/>
      <c r="K29" s="24" t="inlineStr"/>
      <c r="L29" s="24" t="inlineStr"/>
      <c r="M29" s="24" t="inlineStr"/>
      <c r="N29" s="24" t="inlineStr"/>
    </row>
    <row r="30">
      <c r="B30" s="24" t="inlineStr">
        <is>
          <t>260219_dum.HSV2.012</t>
        </is>
      </c>
      <c r="C30" s="24" t="inlineStr">
        <is>
          <t>HSV-2 Základové a ŽB</t>
        </is>
      </c>
      <c r="D30" s="24" t="inlineStr">
        <is>
          <t>ŽB deska podlahy 1.NP na terénu tl. 150 mm, C25/30 XC2 + vyztužení kari 6/150/15</t>
        </is>
      </c>
      <c r="E30" s="24" t="inlineStr">
        <is>
          <t>273321311</t>
        </is>
      </c>
      <c r="F30" s="24" t="inlineStr">
        <is>
          <t>273321321, 274321311</t>
        </is>
      </c>
      <c r="G30" s="24" t="inlineStr"/>
      <c r="H30" s="24" t="inlineStr">
        <is>
          <t>family_verified_leaf_needs_production_lookup</t>
        </is>
      </c>
      <c r="I30" s="35" t="n">
        <v>0.8</v>
      </c>
      <c r="J30" s="31" t="inlineStr">
        <is>
          <t>FAMILY_VERIFIED</t>
        </is>
      </c>
      <c r="K30" s="24" t="inlineStr">
        <is>
          <t>https://styrotrade.cz/cs/nas-obchod/odborne-rady/skladby-podlah/</t>
        </is>
      </c>
      <c r="L30" s="24" t="inlineStr"/>
      <c r="M30" s="24" t="inlineStr"/>
      <c r="N30" s="24" t="inlineStr"/>
    </row>
    <row r="31">
      <c r="B31" s="24" t="inlineStr">
        <is>
          <t>260219_dum.HSV2.013</t>
        </is>
      </c>
      <c r="C31" s="24" t="inlineStr">
        <is>
          <t>HSV-2 Základové a ŽB</t>
        </is>
      </c>
      <c r="D31" s="24" t="inlineStr">
        <is>
          <t>Výztuž ŽB desky 1.NP — kari 6/150/150 + B500B okrajové pruty (~75 kg/m³ Methvin)</t>
        </is>
      </c>
      <c r="E31" s="24" t="inlineStr">
        <is>
          <t>273361821</t>
        </is>
      </c>
      <c r="F31" s="24" t="inlineStr">
        <is>
          <t>273362441</t>
        </is>
      </c>
      <c r="G31" s="24" t="inlineStr"/>
      <c r="H31" s="24" t="inlineStr">
        <is>
          <t>needs_production_lookup</t>
        </is>
      </c>
      <c r="I31" s="35" t="n">
        <v>0.65</v>
      </c>
      <c r="J31" s="32" t="inlineStr"/>
      <c r="K31" s="24" t="inlineStr"/>
      <c r="L31" s="24" t="inlineStr"/>
      <c r="M31" s="24" t="inlineStr"/>
      <c r="N31" s="24" t="inlineStr"/>
    </row>
    <row r="32">
      <c r="B32" s="24" t="inlineStr">
        <is>
          <t>260217_sklad.HSV2.001</t>
        </is>
      </c>
      <c r="C32" s="24" t="inlineStr">
        <is>
          <t>HSV-2 Základové a ŽB</t>
        </is>
      </c>
      <c r="D32" s="24" t="inlineStr">
        <is>
          <t>Základové pasy z prostého betonu C16/20 XC0, 500×500 mm po obvodu skladu (nezámr</t>
        </is>
      </c>
      <c r="E32" s="24" t="inlineStr"/>
      <c r="F32" s="24" t="inlineStr">
        <is>
          <t>271313611_pasy_C16_20, 271313811, 274313811</t>
        </is>
      </c>
      <c r="G32" s="24" t="inlineStr">
        <is>
          <t>271313</t>
        </is>
      </c>
      <c r="H32" s="24" t="inlineStr">
        <is>
          <t>wrong_leaf_disambiguation_needed</t>
        </is>
      </c>
      <c r="I32" s="35" t="n">
        <v>0.5</v>
      </c>
      <c r="J32" s="33" t="inlineStr"/>
      <c r="K32" s="24" t="inlineStr"/>
      <c r="L32" s="24" t="inlineStr">
        <is>
          <t>273313811</t>
        </is>
      </c>
      <c r="M32" s="24" t="inlineStr"/>
      <c r="N32" s="24" t="inlineStr">
        <is>
          <t>WebSearch verified WRONG LEAF: URS leaf = ZÁKLADY DESKY C 25/30, item = ZÁKLADOVÉ PASY C16/20 XC0. Hint: Základové pasy = TKP 271 (pasy), NOT 273 (desky); class C16/20 leaf needed.</t>
        </is>
      </c>
    </row>
    <row r="33">
      <c r="B33" s="24" t="inlineStr">
        <is>
          <t>260217_sklad.HSV2.002</t>
        </is>
      </c>
      <c r="C33" s="24" t="inlineStr">
        <is>
          <t>HSV-2 Základové a ŽB</t>
        </is>
      </c>
      <c r="D33" s="24" t="inlineStr">
        <is>
          <t>Dvoustupňové patky pro IPE180 zastřešení parkingu — spodní část prostý beton C16</t>
        </is>
      </c>
      <c r="E33" s="24" t="inlineStr">
        <is>
          <t>273313811</t>
        </is>
      </c>
      <c r="F33" s="24" t="inlineStr">
        <is>
          <t>273313611</t>
        </is>
      </c>
      <c r="G33" s="24" t="inlineStr"/>
      <c r="H33" s="24" t="inlineStr">
        <is>
          <t>family_verified_leaf_needs_production_lookup</t>
        </is>
      </c>
      <c r="I33" s="35" t="n">
        <v>0.8</v>
      </c>
      <c r="J33" s="31" t="inlineStr">
        <is>
          <t>FAMILY_VERIFIED</t>
        </is>
      </c>
      <c r="K33" s="24" t="inlineStr">
        <is>
          <t>https://www.cs-urs.cz/podminky/cu202/801-1-Budovy-a-haly---zdene-a-monoliticke-(2020-II)/20/</t>
        </is>
      </c>
      <c r="L33" s="24" t="inlineStr"/>
      <c r="M33" s="24" t="inlineStr"/>
      <c r="N33" s="24" t="inlineStr"/>
    </row>
    <row r="34">
      <c r="B34" s="24" t="inlineStr">
        <is>
          <t>260217_sklad.HSV2.003</t>
        </is>
      </c>
      <c r="C34" s="24" t="inlineStr">
        <is>
          <t>HSV-2 Základové a ŽB</t>
        </is>
      </c>
      <c r="D34" s="24" t="inlineStr">
        <is>
          <t>Dvoustupňové patky pro IPE180 — horní část z tvarovek ztraceného bednění 300×300</t>
        </is>
      </c>
      <c r="E34" s="24" t="inlineStr">
        <is>
          <t>311233812</t>
        </is>
      </c>
      <c r="F34" s="24" t="inlineStr">
        <is>
          <t>311233811</t>
        </is>
      </c>
      <c r="G34" s="24" t="inlineStr"/>
      <c r="H34" s="24" t="inlineStr">
        <is>
          <t>needs_production_lookup</t>
        </is>
      </c>
      <c r="I34" s="35" t="n">
        <v>0.65</v>
      </c>
      <c r="J34" s="32" t="inlineStr"/>
      <c r="K34" s="24" t="inlineStr"/>
      <c r="L34" s="24" t="inlineStr"/>
      <c r="M34" s="24" t="inlineStr"/>
      <c r="N34" s="24" t="inlineStr"/>
    </row>
    <row r="35">
      <c r="B35" s="24" t="inlineStr">
        <is>
          <t>260217_sklad.HSV2.004</t>
        </is>
      </c>
      <c r="C35" s="24" t="inlineStr">
        <is>
          <t>HSV-2 Základové a ŽB</t>
        </is>
      </c>
      <c r="D35" s="24" t="inlineStr">
        <is>
          <t>Beton C25/30 XC3 XF1 XA1 pro zalití tvarovek ZB patek + lemujících zídek parking</t>
        </is>
      </c>
      <c r="E35" s="24" t="inlineStr">
        <is>
          <t>273321321</t>
        </is>
      </c>
      <c r="F35" s="24" t="inlineStr">
        <is>
          <t>274321321</t>
        </is>
      </c>
      <c r="G35" s="24" t="inlineStr"/>
      <c r="H35" s="24" t="inlineStr">
        <is>
          <t>needs_production_lookup</t>
        </is>
      </c>
      <c r="I35" s="35" t="n">
        <v>0.65</v>
      </c>
      <c r="J35" s="32" t="inlineStr"/>
      <c r="K35" s="24" t="inlineStr"/>
      <c r="L35" s="24" t="inlineStr"/>
      <c r="M35" s="24" t="inlineStr"/>
      <c r="N35" s="24" t="inlineStr"/>
    </row>
    <row r="36">
      <c r="B36" s="24" t="inlineStr">
        <is>
          <t>260217_sklad.HSV2.005</t>
        </is>
      </c>
      <c r="C36" s="24" t="inlineStr">
        <is>
          <t>HSV-2 Základové a ŽB</t>
        </is>
      </c>
      <c r="D36" s="24" t="inlineStr">
        <is>
          <t>Štěrkopískové lože pod podlahu skladu + pod schodišťovou desku</t>
        </is>
      </c>
      <c r="E36" s="24" t="inlineStr">
        <is>
          <t>174101101</t>
        </is>
      </c>
      <c r="F36" s="24" t="inlineStr">
        <is>
          <t>174201101</t>
        </is>
      </c>
      <c r="G36" s="24" t="inlineStr"/>
      <c r="H36" s="24" t="inlineStr">
        <is>
          <t>matched_websearch_cross_discipline_legitimate</t>
        </is>
      </c>
      <c r="I36" s="35" t="n">
        <v>0.85</v>
      </c>
      <c r="J36" s="27" t="inlineStr">
        <is>
          <t>CROSS_DISCIPLINE_OK</t>
        </is>
      </c>
      <c r="K36" s="24" t="inlineStr">
        <is>
          <t>https://www.cs-urs.cz/podminky/cu201/800-1-Zemni-prace-(2020-I)/17/</t>
        </is>
      </c>
      <c r="L36" s="24" t="inlineStr"/>
      <c r="M36" s="24" t="inlineStr"/>
      <c r="N36" s="24" t="inlineStr"/>
    </row>
    <row r="37">
      <c r="B37" s="24" t="inlineStr">
        <is>
          <t>260217_sklad.HSV2.006</t>
        </is>
      </c>
      <c r="C37" s="24" t="inlineStr">
        <is>
          <t>HSV-2 Základové a ŽB</t>
        </is>
      </c>
      <c r="D37" s="24" t="inlineStr">
        <is>
          <t>ŽB schodišťová deska ve sklonu + základový pas — beton C25/30 XC3 (terén ke skla</t>
        </is>
      </c>
      <c r="E37" s="24" t="inlineStr">
        <is>
          <t>273361821</t>
        </is>
      </c>
      <c r="F37" s="24" t="inlineStr">
        <is>
          <t>273321321</t>
        </is>
      </c>
      <c r="G37" s="24" t="inlineStr"/>
      <c r="H37" s="24" t="inlineStr">
        <is>
          <t>needs_production_lookup</t>
        </is>
      </c>
      <c r="I37" s="35" t="n">
        <v>0.65</v>
      </c>
      <c r="J37" s="32" t="inlineStr"/>
      <c r="K37" s="24" t="inlineStr"/>
      <c r="L37" s="24" t="inlineStr"/>
      <c r="M37" s="24" t="inlineStr"/>
      <c r="N37" s="24" t="inlineStr"/>
    </row>
    <row r="38">
      <c r="B38" s="24" t="inlineStr">
        <is>
          <t>260219_dum.HSV3.001</t>
        </is>
      </c>
      <c r="C38" s="24" t="inlineStr">
        <is>
          <t>HSV-3 Svislé konstrukce</t>
        </is>
      </c>
      <c r="D38" s="24" t="inlineStr">
        <is>
          <t>Lokální dozdívky a přizdívky z cihel plných pálených P10 na MVC M10 (uvedeno v T</t>
        </is>
      </c>
      <c r="E38" s="24" t="inlineStr">
        <is>
          <t>311232511</t>
        </is>
      </c>
      <c r="F38" s="24" t="inlineStr">
        <is>
          <t>311232411</t>
        </is>
      </c>
      <c r="G38" s="24" t="inlineStr"/>
      <c r="H38" s="24" t="inlineStr">
        <is>
          <t>needs_production_lookup</t>
        </is>
      </c>
      <c r="I38" s="35" t="n">
        <v>0.65</v>
      </c>
      <c r="J38" s="32" t="inlineStr"/>
      <c r="K38" s="24" t="inlineStr"/>
      <c r="L38" s="24" t="inlineStr"/>
      <c r="M38" s="24" t="inlineStr"/>
      <c r="N38" s="24" t="inlineStr"/>
    </row>
    <row r="39">
      <c r="B39" s="24" t="inlineStr">
        <is>
          <t>260219_dum.HSV3.002</t>
        </is>
      </c>
      <c r="C39" s="24" t="inlineStr">
        <is>
          <t>HSV-3 Svislé konstrukce</t>
        </is>
      </c>
      <c r="D39" s="24" t="inlineStr">
        <is>
          <t>Nadezdívka 3.NP a čela vikýřů — Porotherm 30 Profi P10 na maltu pro tenké spáry,</t>
        </is>
      </c>
      <c r="E39" s="24" t="inlineStr">
        <is>
          <t>311321411</t>
        </is>
      </c>
      <c r="F39" s="24" t="inlineStr">
        <is>
          <t>311321321</t>
        </is>
      </c>
      <c r="G39" s="24" t="inlineStr"/>
      <c r="H39" s="24" t="inlineStr">
        <is>
          <t>matched_websearch_verified</t>
        </is>
      </c>
      <c r="I39" s="35" t="n">
        <v>0.95</v>
      </c>
      <c r="J39" s="27" t="inlineStr">
        <is>
          <t>VERIFIED</t>
        </is>
      </c>
      <c r="K39" s="24" t="inlineStr">
        <is>
          <t>https://www.wienerberger.cz/zdivo-porotherm/produkty/cihly/porotherm-30-profi.html</t>
        </is>
      </c>
      <c r="L39" s="24" t="inlineStr"/>
      <c r="M39" s="24" t="inlineStr"/>
      <c r="N39" s="24" t="inlineStr"/>
    </row>
    <row r="40">
      <c r="B40" s="24" t="inlineStr">
        <is>
          <t>260219_dum.HSV3.003</t>
        </is>
      </c>
      <c r="C40" s="24" t="inlineStr">
        <is>
          <t>HSV-3 Svislé konstrukce</t>
        </is>
      </c>
      <c r="D40" s="24" t="inlineStr">
        <is>
          <t xml:space="preserve">Ocelové překlady IPN160 ve dvojici nad otvory pro nové dveře/okna v 1.NP a 2.NP </t>
        </is>
      </c>
      <c r="E40" s="24" t="inlineStr">
        <is>
          <t>317143112</t>
        </is>
      </c>
      <c r="F40" s="24" t="inlineStr">
        <is>
          <t>317131111</t>
        </is>
      </c>
      <c r="G40" s="24" t="inlineStr"/>
      <c r="H40" s="24" t="inlineStr">
        <is>
          <t>family_verified_leaf_needs_production_lookup</t>
        </is>
      </c>
      <c r="I40" s="35" t="n">
        <v>0.8</v>
      </c>
      <c r="J40" s="31" t="inlineStr">
        <is>
          <t>FAMILY_VERIFIED</t>
        </is>
      </c>
      <c r="K40" s="24" t="inlineStr">
        <is>
          <t>https://www.heluz.cz/cs/vyrobek/preklad-heluz-23-8-a-200-1</t>
        </is>
      </c>
      <c r="L40" s="24" t="inlineStr"/>
      <c r="M40" s="24" t="inlineStr"/>
      <c r="N40" s="24" t="inlineStr"/>
    </row>
    <row r="41">
      <c r="B41" s="24" t="inlineStr">
        <is>
          <t>260219_dum.HSV3.004</t>
        </is>
      </c>
      <c r="C41" s="24" t="inlineStr">
        <is>
          <t>HSV-3 Svislé konstrukce</t>
        </is>
      </c>
      <c r="D41" s="24" t="inlineStr">
        <is>
          <t>Maltové uložení překladů IPN160 — MC25 tl. 50 mm + kari 5/100/100 (po obou stran</t>
        </is>
      </c>
      <c r="E41" s="24" t="inlineStr">
        <is>
          <t>317242421</t>
        </is>
      </c>
      <c r="F41" s="24" t="inlineStr">
        <is>
          <t>317141111</t>
        </is>
      </c>
      <c r="G41" s="24" t="inlineStr"/>
      <c r="H41" s="24" t="inlineStr">
        <is>
          <t>needs_production_lookup</t>
        </is>
      </c>
      <c r="I41" s="35" t="n">
        <v>0.65</v>
      </c>
      <c r="J41" s="32" t="inlineStr"/>
      <c r="K41" s="24" t="inlineStr"/>
      <c r="L41" s="24" t="inlineStr"/>
      <c r="M41" s="24" t="inlineStr"/>
      <c r="N41" s="24" t="inlineStr"/>
    </row>
    <row r="42">
      <c r="B42" s="24" t="inlineStr">
        <is>
          <t>260219_dum.HSV3.005</t>
        </is>
      </c>
      <c r="C42" s="24" t="inlineStr">
        <is>
          <t>HSV-3 Svislé konstrukce</t>
        </is>
      </c>
      <c r="D42" s="24" t="inlineStr">
        <is>
          <t xml:space="preserve">Zesílení ostění úhelníky L100/10 dvojicí u otvoru u komínového tělesa (statická </t>
        </is>
      </c>
      <c r="E42" s="24" t="inlineStr">
        <is>
          <t>767131120</t>
        </is>
      </c>
      <c r="F42" s="24" t="inlineStr">
        <is>
          <t>767141111</t>
        </is>
      </c>
      <c r="G42" s="24" t="inlineStr"/>
      <c r="H42" s="24" t="inlineStr">
        <is>
          <t>matched_websearch_cross_discipline_legitimate</t>
        </is>
      </c>
      <c r="I42" s="35" t="n">
        <v>0.85</v>
      </c>
      <c r="J42" s="27" t="inlineStr">
        <is>
          <t>CROSS_DISCIPLINE_OK</t>
        </is>
      </c>
      <c r="K42" s="24" t="inlineStr">
        <is>
          <t>https://online.ferona.cz/detail/28401/profil-rovnoramenny-l-z-konstrukcni-oceli-valcovane-za-tepla-en-10056-l-100x100x8</t>
        </is>
      </c>
      <c r="L42" s="24" t="inlineStr"/>
      <c r="M42" s="24" t="inlineStr"/>
      <c r="N42" s="24" t="inlineStr"/>
    </row>
    <row r="43">
      <c r="B43" s="24" t="inlineStr">
        <is>
          <t>260219_dum.HSV3.006</t>
        </is>
      </c>
      <c r="C43" s="24" t="inlineStr">
        <is>
          <t>HSV-3 Svislé konstrukce</t>
        </is>
      </c>
      <c r="D43" s="24" t="inlineStr">
        <is>
          <t>Dočasné podstojkování stávajících přiléhajících stropů při osazování IPN překlad</t>
        </is>
      </c>
      <c r="E43" s="24" t="inlineStr">
        <is>
          <t>962081120</t>
        </is>
      </c>
      <c r="F43" s="24" t="inlineStr">
        <is>
          <t>962031132</t>
        </is>
      </c>
      <c r="G43" s="24" t="inlineStr"/>
      <c r="H43" s="24" t="inlineStr">
        <is>
          <t>family_verified_leaf_needs_production_lookup</t>
        </is>
      </c>
      <c r="I43" s="35" t="n">
        <v>0.8</v>
      </c>
      <c r="J43" s="31" t="inlineStr">
        <is>
          <t>FAMILY_VERIFIED</t>
        </is>
      </c>
      <c r="K43" s="24" t="inlineStr">
        <is>
          <t>https://www.cs-urs.cz/podminky/cu202/801-3-Budovy-a-haly---bourani-konstrukci-(2020-II)/19/</t>
        </is>
      </c>
      <c r="L43" s="24" t="inlineStr"/>
      <c r="M43" s="24" t="inlineStr"/>
      <c r="N43" s="24" t="inlineStr"/>
    </row>
    <row r="44">
      <c r="B44" s="24" t="inlineStr">
        <is>
          <t>260219_dum.HSV3.007</t>
        </is>
      </c>
      <c r="C44" s="24" t="inlineStr">
        <is>
          <t>HSV-3 Svislé konstrukce</t>
        </is>
      </c>
      <c r="D44" s="24" t="inlineStr">
        <is>
          <t>Nové příčky z pórobetonových tvárnic 150 mm na lepidlo + dilatovány od stropu</t>
        </is>
      </c>
      <c r="E44" s="24" t="inlineStr">
        <is>
          <t>342241211</t>
        </is>
      </c>
      <c r="F44" s="24" t="inlineStr">
        <is>
          <t>342341111</t>
        </is>
      </c>
      <c r="G44" s="24" t="inlineStr"/>
      <c r="H44" s="24" t="inlineStr">
        <is>
          <t>family_verified_leaf_needs_production_lookup</t>
        </is>
      </c>
      <c r="I44" s="35" t="n">
        <v>0.8</v>
      </c>
      <c r="J44" s="31" t="inlineStr">
        <is>
          <t>FAMILY_VERIFIED</t>
        </is>
      </c>
      <c r="K44" s="24" t="inlineStr">
        <is>
          <t>https://www.stavago.cz/prickovka-ytong-klasik-tl-150-mm/</t>
        </is>
      </c>
      <c r="L44" s="24" t="inlineStr"/>
      <c r="M44" s="24" t="inlineStr"/>
      <c r="N44" s="24" t="inlineStr"/>
    </row>
    <row r="45">
      <c r="B45" s="24" t="inlineStr">
        <is>
          <t>260217_sklad.HSV3.001</t>
        </is>
      </c>
      <c r="C45" s="24" t="inlineStr">
        <is>
          <t>HSV-3 Svislé konstrukce</t>
        </is>
      </c>
      <c r="D45" s="24" t="inlineStr">
        <is>
          <t>Zadní opěrná stěna — prefabrikované betonové bloky Herkul H-BLOK Standard, vazba</t>
        </is>
      </c>
      <c r="E45" s="24" t="inlineStr">
        <is>
          <t>311233815</t>
        </is>
      </c>
      <c r="F45" s="24" t="inlineStr">
        <is>
          <t>317143811</t>
        </is>
      </c>
      <c r="G45" s="24" t="inlineStr"/>
      <c r="H45" s="24" t="inlineStr">
        <is>
          <t>needs_production_lookup</t>
        </is>
      </c>
      <c r="I45" s="35" t="n">
        <v>0.65</v>
      </c>
      <c r="J45" s="32" t="inlineStr"/>
      <c r="K45" s="24" t="inlineStr"/>
      <c r="L45" s="24" t="inlineStr"/>
      <c r="M45" s="24" t="inlineStr"/>
      <c r="N45" s="24" t="inlineStr"/>
    </row>
    <row r="46">
      <c r="B46" s="24" t="inlineStr">
        <is>
          <t>260217_sklad.HSV3.002</t>
        </is>
      </c>
      <c r="C46" s="24" t="inlineStr">
        <is>
          <t>HSV-3 Svislé konstrukce</t>
        </is>
      </c>
      <c r="D46" s="24" t="inlineStr">
        <is>
          <t>Obvodové stěny skladu — tvarovky ztraceného bednění tl. 250 mm × výška 2.4 m + z</t>
        </is>
      </c>
      <c r="E46" s="24" t="inlineStr">
        <is>
          <t>311233811</t>
        </is>
      </c>
      <c r="F46" s="24" t="inlineStr">
        <is>
          <t>311233821</t>
        </is>
      </c>
      <c r="G46" s="24" t="inlineStr"/>
      <c r="H46" s="24" t="inlineStr">
        <is>
          <t>needs_production_lookup</t>
        </is>
      </c>
      <c r="I46" s="35" t="n">
        <v>0.65</v>
      </c>
      <c r="J46" s="32" t="inlineStr"/>
      <c r="K46" s="24" t="inlineStr"/>
      <c r="L46" s="24" t="inlineStr"/>
      <c r="M46" s="24" t="inlineStr"/>
      <c r="N46" s="24" t="inlineStr"/>
    </row>
    <row r="47">
      <c r="B47" s="24" t="inlineStr">
        <is>
          <t>260217_sklad.HSV3.003</t>
        </is>
      </c>
      <c r="C47" s="24" t="inlineStr">
        <is>
          <t>HSV-3 Svislé konstrukce</t>
        </is>
      </c>
      <c r="D47" s="24" t="inlineStr">
        <is>
          <t>Výztuž B500B do tvarovek ztraceného bednění (~30 kg/m² stěny při zalití C25/30)</t>
        </is>
      </c>
      <c r="E47" s="24" t="inlineStr">
        <is>
          <t>273361821</t>
        </is>
      </c>
      <c r="F47" s="24" t="inlineStr">
        <is>
          <t>272361821</t>
        </is>
      </c>
      <c r="G47" s="24" t="inlineStr"/>
      <c r="H47" s="24" t="inlineStr">
        <is>
          <t>family_verified_leaf_needs_production_lookup</t>
        </is>
      </c>
      <c r="I47" s="35" t="n">
        <v>0.8</v>
      </c>
      <c r="J47" s="31" t="inlineStr">
        <is>
          <t>FAMILY_VERIFIED</t>
        </is>
      </c>
      <c r="K47" s="24" t="inlineStr">
        <is>
          <t>https://www.cs-urs.cz/cenova-soustava-urs/</t>
        </is>
      </c>
      <c r="L47" s="24" t="inlineStr"/>
      <c r="M47" s="24" t="inlineStr"/>
      <c r="N47" s="24" t="inlineStr"/>
    </row>
    <row r="48">
      <c r="B48" s="24" t="inlineStr">
        <is>
          <t>260219_dum.HSV4.001</t>
        </is>
      </c>
      <c r="C48" s="24" t="inlineStr">
        <is>
          <t>HSV-4 Vodorovné</t>
        </is>
      </c>
      <c r="D48" s="24" t="inlineStr">
        <is>
          <t>Ocelová stropnice IPE180 1.NP v pozici nové příčky 2.NP — dodávka + montáž (1 ks</t>
        </is>
      </c>
      <c r="E48" s="24" t="inlineStr">
        <is>
          <t>411321414</t>
        </is>
      </c>
      <c r="F48" s="24" t="inlineStr">
        <is>
          <t>767131120</t>
        </is>
      </c>
      <c r="G48" s="24" t="inlineStr"/>
      <c r="H48" s="24" t="inlineStr">
        <is>
          <t>family_verified_leaf_needs_production_lookup</t>
        </is>
      </c>
      <c r="I48" s="35" t="n">
        <v>0.8</v>
      </c>
      <c r="J48" s="31" t="inlineStr">
        <is>
          <t>FAMILY_VERIFIED</t>
        </is>
      </c>
      <c r="K48" s="24" t="inlineStr">
        <is>
          <t>https://podminky.urs.cz/</t>
        </is>
      </c>
      <c r="L48" s="24" t="inlineStr"/>
      <c r="M48" s="24" t="inlineStr"/>
      <c r="N48" s="24" t="inlineStr"/>
    </row>
    <row r="49">
      <c r="B49" s="24" t="inlineStr">
        <is>
          <t>260219_dum.HSV4.002</t>
        </is>
      </c>
      <c r="C49" s="24" t="inlineStr">
        <is>
          <t>HSV-4 Vodorovné</t>
        </is>
      </c>
      <c r="D49" s="24" t="inlineStr">
        <is>
          <t>Ocelobetonový strop 2.NP/3.NP — stropnice IPE180 á 1000 mm × rozpon ~8 m × ~8 ks</t>
        </is>
      </c>
      <c r="E49" s="24" t="inlineStr">
        <is>
          <t>411321414</t>
        </is>
      </c>
      <c r="F49" s="24" t="inlineStr">
        <is>
          <t>767131120</t>
        </is>
      </c>
      <c r="G49" s="24" t="inlineStr"/>
      <c r="H49" s="24" t="inlineStr">
        <is>
          <t>family_verified_leaf_needs_production_lookup</t>
        </is>
      </c>
      <c r="I49" s="35" t="n">
        <v>0.8</v>
      </c>
      <c r="J49" s="31" t="inlineStr">
        <is>
          <t>FAMILY_VERIFIED</t>
        </is>
      </c>
      <c r="K49" s="24" t="inlineStr">
        <is>
          <t>https://www.urs.cz/data/download/seznam-katalogu-cs-urs-v-kros.pdf</t>
        </is>
      </c>
      <c r="L49" s="24" t="inlineStr"/>
      <c r="M49" s="24" t="inlineStr"/>
      <c r="N49" s="24" t="inlineStr"/>
    </row>
    <row r="50">
      <c r="B50" s="24" t="inlineStr">
        <is>
          <t>260219_dum.HSV4.003</t>
        </is>
      </c>
      <c r="C50" s="24" t="inlineStr">
        <is>
          <t>HSV-4 Vodorovné</t>
        </is>
      </c>
      <c r="D50" s="24" t="inlineStr">
        <is>
          <t>Ocelobetonový strop — výztuha 2×HEA180 trakt do ulice (Fibichova), dl. ~10 m</t>
        </is>
      </c>
      <c r="E50" s="24" t="inlineStr">
        <is>
          <t>411321414</t>
        </is>
      </c>
      <c r="F50" s="24" t="inlineStr">
        <is>
          <t>767131120</t>
        </is>
      </c>
      <c r="G50" s="24" t="inlineStr"/>
      <c r="H50" s="24" t="inlineStr">
        <is>
          <t>family_verified_leaf_needs_production_lookup</t>
        </is>
      </c>
      <c r="I50" s="35" t="n">
        <v>0.8</v>
      </c>
      <c r="J50" s="31" t="inlineStr">
        <is>
          <t>FAMILY_VERIFIED</t>
        </is>
      </c>
      <c r="K50" s="24" t="inlineStr">
        <is>
          <t>https://podminky.urs.cz/</t>
        </is>
      </c>
      <c r="L50" s="24" t="inlineStr"/>
      <c r="M50" s="24" t="inlineStr"/>
      <c r="N50" s="24" t="inlineStr"/>
    </row>
    <row r="51">
      <c r="B51" s="24" t="inlineStr">
        <is>
          <t>260219_dum.HSV4.004</t>
        </is>
      </c>
      <c r="C51" s="24" t="inlineStr">
        <is>
          <t>HSV-4 Vodorovné</t>
        </is>
      </c>
      <c r="D51" s="24" t="inlineStr">
        <is>
          <t>Ocelobetonový strop — výztuha HEA200 dvorní trakt, dl. ~10 m</t>
        </is>
      </c>
      <c r="E51" s="24" t="inlineStr">
        <is>
          <t>411321414</t>
        </is>
      </c>
      <c r="F51" s="24" t="inlineStr">
        <is>
          <t>767131120</t>
        </is>
      </c>
      <c r="G51" s="24" t="inlineStr"/>
      <c r="H51" s="24" t="inlineStr">
        <is>
          <t>needs_production_lookup</t>
        </is>
      </c>
      <c r="I51" s="35" t="n">
        <v>0.65</v>
      </c>
      <c r="J51" s="32" t="inlineStr"/>
      <c r="K51" s="24" t="inlineStr"/>
      <c r="L51" s="24" t="inlineStr"/>
      <c r="M51" s="24" t="inlineStr"/>
      <c r="N51" s="24" t="inlineStr"/>
    </row>
    <row r="52">
      <c r="B52" s="24" t="inlineStr">
        <is>
          <t>260219_dum.HSV4.005</t>
        </is>
      </c>
      <c r="C52" s="24" t="inlineStr">
        <is>
          <t>HSV-4 Vodorovné</t>
        </is>
      </c>
      <c r="D52" s="24" t="inlineStr">
        <is>
          <t>Trapézový plech 40S/160 tl. 0.75 mm — dodávka + montáž na stropnice IPE180</t>
        </is>
      </c>
      <c r="E52" s="24" t="inlineStr">
        <is>
          <t>411321414</t>
        </is>
      </c>
      <c r="F52" s="24" t="inlineStr">
        <is>
          <t>764121511</t>
        </is>
      </c>
      <c r="G52" s="24" t="inlineStr"/>
      <c r="H52" s="24" t="inlineStr">
        <is>
          <t>family_verified_leaf_needs_production_lookup</t>
        </is>
      </c>
      <c r="I52" s="35" t="n">
        <v>0.8</v>
      </c>
      <c r="J52" s="31" t="inlineStr">
        <is>
          <t>FAMILY_VERIFIED</t>
        </is>
      </c>
      <c r="K52" s="24" t="inlineStr">
        <is>
          <t>https://www.cs-urs.cz/podminky/cu202/801-1-Budovy-a-haly---zdene-a-monoliticke-(2020-II)/20/</t>
        </is>
      </c>
      <c r="L52" s="24" t="inlineStr"/>
      <c r="M52" s="24" t="inlineStr"/>
      <c r="N52" s="24" t="inlineStr"/>
    </row>
    <row r="53">
      <c r="B53" s="24" t="inlineStr">
        <is>
          <t>260219_dum.HSV4.006</t>
        </is>
      </c>
      <c r="C53" s="24" t="inlineStr">
        <is>
          <t>HSV-4 Vodorovné</t>
        </is>
      </c>
      <c r="D53" s="24" t="inlineStr">
        <is>
          <t>Protipožární SDK podhled pod trapézovým plechem (EI 30 dle PBŘ — ocelobeton + SD</t>
        </is>
      </c>
      <c r="E53" s="24" t="inlineStr">
        <is>
          <t>342213131</t>
        </is>
      </c>
      <c r="F53" s="24" t="inlineStr">
        <is>
          <t>763121521</t>
        </is>
      </c>
      <c r="G53" s="24" t="inlineStr"/>
      <c r="H53" s="24" t="inlineStr">
        <is>
          <t>family_verified_leaf_needs_production_lookup</t>
        </is>
      </c>
      <c r="I53" s="35" t="n">
        <v>0.8</v>
      </c>
      <c r="J53" s="31" t="inlineStr">
        <is>
          <t>FAMILY_VERIFIED</t>
        </is>
      </c>
      <c r="K53" s="24" t="inlineStr">
        <is>
          <t>https://www.cs-urs.cz/podminky/cu202/801-1-Budovy-a-haly---zdene-a-monoliticke-(2020-II)/20/</t>
        </is>
      </c>
      <c r="L53" s="24" t="inlineStr"/>
      <c r="M53" s="24" t="inlineStr"/>
      <c r="N53" s="24" t="inlineStr"/>
    </row>
    <row r="54">
      <c r="B54" s="24" t="inlineStr">
        <is>
          <t>260219_dum.HSV4.007</t>
        </is>
      </c>
      <c r="C54" s="24" t="inlineStr">
        <is>
          <t>HSV-4 Vodorovné</t>
        </is>
      </c>
      <c r="D54" s="24" t="inlineStr">
        <is>
          <t>Vyvezení původního zásypu z cihelné klenby 1.PP/1.NP — manuálně + odvoz</t>
        </is>
      </c>
      <c r="E54" s="24" t="inlineStr">
        <is>
          <t>974031150</t>
        </is>
      </c>
      <c r="F54" s="24" t="inlineStr">
        <is>
          <t>974031132</t>
        </is>
      </c>
      <c r="G54" s="24" t="inlineStr"/>
      <c r="H54" s="24" t="inlineStr">
        <is>
          <t>matched_websearch_cross_discipline_legitimate</t>
        </is>
      </c>
      <c r="I54" s="35" t="n">
        <v>0.85</v>
      </c>
      <c r="J54" s="27" t="inlineStr">
        <is>
          <t>CROSS_DISCIPLINE_OK</t>
        </is>
      </c>
      <c r="K54" s="24" t="inlineStr">
        <is>
          <t>https://www.cs-urs.cz/podminky/cu202/801-3-Budovy-a-haly---bourani-konstrukci-(2020-II)/19/</t>
        </is>
      </c>
      <c r="L54" s="24" t="inlineStr"/>
      <c r="M54" s="24" t="inlineStr"/>
      <c r="N54" s="24" t="inlineStr"/>
    </row>
    <row r="55">
      <c r="B55" s="24" t="inlineStr">
        <is>
          <t>260219_dum.HSV4.008</t>
        </is>
      </c>
      <c r="C55" s="24" t="inlineStr">
        <is>
          <t>HSV-4 Vodorovné</t>
        </is>
      </c>
      <c r="D55" s="24" t="inlineStr">
        <is>
          <t>Nový zásyp klenby 1.PP/1.NP — perlitbeton (lehký zásyp) tl. 100 mm</t>
        </is>
      </c>
      <c r="E55" s="24" t="inlineStr">
        <is>
          <t>271223111</t>
        </is>
      </c>
      <c r="F55" s="24" t="inlineStr">
        <is>
          <t>272223111</t>
        </is>
      </c>
      <c r="G55" s="24" t="inlineStr"/>
      <c r="H55" s="24" t="inlineStr">
        <is>
          <t>needs_production_lookup</t>
        </is>
      </c>
      <c r="I55" s="35" t="n">
        <v>0.65</v>
      </c>
      <c r="J55" s="32" t="inlineStr"/>
      <c r="K55" s="24" t="inlineStr"/>
      <c r="L55" s="24" t="inlineStr"/>
      <c r="M55" s="24" t="inlineStr"/>
      <c r="N55" s="24" t="inlineStr"/>
    </row>
    <row r="56">
      <c r="B56" s="24" t="inlineStr">
        <is>
          <t>260219_dum.HSV4.009</t>
        </is>
      </c>
      <c r="C56" s="24" t="inlineStr">
        <is>
          <t>HSV-4 Vodorovné</t>
        </is>
      </c>
      <c r="D56" s="24" t="inlineStr">
        <is>
          <t>Plastická perlitbetonová roznášecí vrstva tl. 50 mm nad zásypem klenby</t>
        </is>
      </c>
      <c r="E56" s="24" t="inlineStr">
        <is>
          <t>631321311</t>
        </is>
      </c>
      <c r="F56" s="24" t="inlineStr">
        <is>
          <t>631321411</t>
        </is>
      </c>
      <c r="G56" s="24" t="inlineStr"/>
      <c r="H56" s="24" t="inlineStr">
        <is>
          <t>needs_production_lookup</t>
        </is>
      </c>
      <c r="I56" s="35" t="n">
        <v>0.65</v>
      </c>
      <c r="J56" s="32" t="inlineStr"/>
      <c r="K56" s="24" t="inlineStr"/>
      <c r="L56" s="24" t="inlineStr"/>
      <c r="M56" s="24" t="inlineStr"/>
      <c r="N56" s="24" t="inlineStr"/>
    </row>
    <row r="57">
      <c r="B57" s="24" t="inlineStr">
        <is>
          <t>260219_dum.HSV4.010</t>
        </is>
      </c>
      <c r="C57" s="24" t="inlineStr">
        <is>
          <t>HSV-4 Vodorovné</t>
        </is>
      </c>
      <c r="D57" s="24" t="inlineStr">
        <is>
          <t>Strop trámový 1.NP/2.NP — sejmutí podlah, demontáž záklopu a zásypu shora (zacho</t>
        </is>
      </c>
      <c r="E57" s="24" t="inlineStr">
        <is>
          <t>974041141</t>
        </is>
      </c>
      <c r="F57" s="24" t="inlineStr">
        <is>
          <t>974041151</t>
        </is>
      </c>
      <c r="G57" s="24" t="inlineStr"/>
      <c r="H57" s="24" t="inlineStr">
        <is>
          <t>needs_production_lookup</t>
        </is>
      </c>
      <c r="I57" s="35" t="n">
        <v>0.65</v>
      </c>
      <c r="J57" s="32" t="inlineStr"/>
      <c r="K57" s="24" t="inlineStr"/>
      <c r="L57" s="24" t="inlineStr"/>
      <c r="M57" s="24" t="inlineStr"/>
      <c r="N57" s="24" t="inlineStr"/>
    </row>
    <row r="58">
      <c r="B58" s="24" t="inlineStr">
        <is>
          <t>260219_dum.HSV4.011</t>
        </is>
      </c>
      <c r="C58" s="24" t="inlineStr">
        <is>
          <t>HSV-4 Vodorovné</t>
        </is>
      </c>
      <c r="D58" s="24" t="inlineStr">
        <is>
          <t>Tepelná izolace minerální vata mezi trámy stropu 1.NP/2.NP, tl. 180 mm (= trám 6</t>
        </is>
      </c>
      <c r="E58" s="24" t="inlineStr">
        <is>
          <t>713121121</t>
        </is>
      </c>
      <c r="F58" s="24" t="inlineStr">
        <is>
          <t>713141121</t>
        </is>
      </c>
      <c r="G58" s="24" t="inlineStr"/>
      <c r="H58" s="24" t="inlineStr">
        <is>
          <t>family_verified_leaf_needs_production_lookup</t>
        </is>
      </c>
      <c r="I58" s="35" t="n">
        <v>0.8</v>
      </c>
      <c r="J58" s="31" t="inlineStr">
        <is>
          <t>FAMILY_VERIFIED</t>
        </is>
      </c>
      <c r="K58" s="24" t="inlineStr">
        <is>
          <t>https://www.centrum-zatepleni.cz/mineralni-vata-isover-uni-tl--180-mm/</t>
        </is>
      </c>
      <c r="L58" s="24" t="inlineStr"/>
      <c r="M58" s="24" t="inlineStr"/>
      <c r="N58" s="24" t="inlineStr"/>
    </row>
    <row r="59">
      <c r="B59" s="24" t="inlineStr">
        <is>
          <t>260219_dum.HSV4.012</t>
        </is>
      </c>
      <c r="C59" s="24" t="inlineStr">
        <is>
          <t>HSV-4 Vodorovné</t>
        </is>
      </c>
      <c r="D59" s="24" t="inlineStr">
        <is>
          <t>Protipožární SDK podhled zespodu trámového stropu (EI 30 dle PBŘ)</t>
        </is>
      </c>
      <c r="E59" s="24" t="inlineStr">
        <is>
          <t>342213131</t>
        </is>
      </c>
      <c r="F59" s="24" t="inlineStr">
        <is>
          <t>763121521</t>
        </is>
      </c>
      <c r="G59" s="24" t="inlineStr"/>
      <c r="H59" s="24" t="inlineStr">
        <is>
          <t>needs_production_lookup</t>
        </is>
      </c>
      <c r="I59" s="35" t="n">
        <v>0.65</v>
      </c>
      <c r="J59" s="32" t="inlineStr"/>
      <c r="K59" s="24" t="inlineStr"/>
      <c r="L59" s="24" t="inlineStr"/>
      <c r="M59" s="24" t="inlineStr"/>
      <c r="N59" s="24" t="inlineStr"/>
    </row>
    <row r="60">
      <c r="B60" s="24" t="inlineStr">
        <is>
          <t>260219_dum.HSV4.013</t>
        </is>
      </c>
      <c r="C60" s="24" t="inlineStr">
        <is>
          <t>HSV-4 Vodorovné</t>
        </is>
      </c>
      <c r="D60" s="24" t="inlineStr">
        <is>
          <t>Suchá podlahová skladba 1.NP/2.NP — zásyp Liapor pro vyrovnání tl. 50 mm</t>
        </is>
      </c>
      <c r="E60" s="24" t="inlineStr">
        <is>
          <t>631311114</t>
        </is>
      </c>
      <c r="F60" s="24" t="inlineStr">
        <is>
          <t>631311115</t>
        </is>
      </c>
      <c r="G60" s="24" t="inlineStr"/>
      <c r="H60" s="24" t="inlineStr">
        <is>
          <t>needs_production_lookup</t>
        </is>
      </c>
      <c r="I60" s="35" t="n">
        <v>0.65</v>
      </c>
      <c r="J60" s="32" t="inlineStr"/>
      <c r="K60" s="24" t="inlineStr"/>
      <c r="L60" s="24" t="inlineStr"/>
      <c r="M60" s="24" t="inlineStr"/>
      <c r="N60" s="24" t="inlineStr"/>
    </row>
    <row r="61">
      <c r="B61" s="24" t="inlineStr">
        <is>
          <t>260219_dum.HSV4.014</t>
        </is>
      </c>
      <c r="C61" s="24" t="inlineStr">
        <is>
          <t>HSV-4 Vodorovné</t>
        </is>
      </c>
      <c r="D61" s="24" t="inlineStr">
        <is>
          <t>Suchá podlahová skladba — sádrovláknité dílce Fermacell tl. 25 mm (dva 12.5 mm v</t>
        </is>
      </c>
      <c r="E61" s="24" t="inlineStr">
        <is>
          <t>771421111</t>
        </is>
      </c>
      <c r="F61" s="24" t="inlineStr">
        <is>
          <t>771474111</t>
        </is>
      </c>
      <c r="G61" s="24" t="inlineStr"/>
      <c r="H61" s="24" t="inlineStr">
        <is>
          <t>needs_production_lookup</t>
        </is>
      </c>
      <c r="I61" s="35" t="n">
        <v>0.65</v>
      </c>
      <c r="J61" s="32" t="inlineStr"/>
      <c r="K61" s="24" t="inlineStr"/>
      <c r="L61" s="24" t="inlineStr"/>
      <c r="M61" s="24" t="inlineStr"/>
      <c r="N61" s="24" t="inlineStr"/>
    </row>
    <row r="62">
      <c r="B62" s="24" t="inlineStr">
        <is>
          <t>260217_sklad.HSV4.001</t>
        </is>
      </c>
      <c r="C62" s="24" t="inlineStr">
        <is>
          <t>HSV-4 Vodorovné</t>
        </is>
      </c>
      <c r="D62" s="24" t="inlineStr">
        <is>
          <t>Dřevěné stropnice 100/160 mm á 625 mm primární zastřešení skladu — rezivo C24 fu</t>
        </is>
      </c>
      <c r="E62" s="24" t="inlineStr">
        <is>
          <t>762341110</t>
        </is>
      </c>
      <c r="F62" s="24" t="inlineStr">
        <is>
          <t>762341210</t>
        </is>
      </c>
      <c r="G62" s="24" t="inlineStr"/>
      <c r="H62" s="24" t="inlineStr">
        <is>
          <t>needs_production_lookup</t>
        </is>
      </c>
      <c r="I62" s="35" t="n">
        <v>0.65</v>
      </c>
      <c r="J62" s="32" t="inlineStr"/>
      <c r="K62" s="24" t="inlineStr"/>
      <c r="L62" s="24" t="inlineStr"/>
      <c r="M62" s="24" t="inlineStr"/>
      <c r="N62" s="24" t="inlineStr"/>
    </row>
    <row r="63">
      <c r="B63" s="24" t="inlineStr">
        <is>
          <t>260217_sklad.HSV4.002</t>
        </is>
      </c>
      <c r="C63" s="24" t="inlineStr">
        <is>
          <t>HSV-4 Vodorovné</t>
        </is>
      </c>
      <c r="D63" s="24" t="inlineStr">
        <is>
          <t>Prkenný záklop stropnic skladu tl. 20 mm + impregnace</t>
        </is>
      </c>
      <c r="E63" s="24" t="inlineStr">
        <is>
          <t>762331110</t>
        </is>
      </c>
      <c r="F63" s="24" t="inlineStr">
        <is>
          <t>762341711</t>
        </is>
      </c>
      <c r="G63" s="24" t="inlineStr"/>
      <c r="H63" s="24" t="inlineStr">
        <is>
          <t>needs_production_lookup</t>
        </is>
      </c>
      <c r="I63" s="35" t="n">
        <v>0.65</v>
      </c>
      <c r="J63" s="32" t="inlineStr"/>
      <c r="K63" s="24" t="inlineStr"/>
      <c r="L63" s="24" t="inlineStr"/>
      <c r="M63" s="24" t="inlineStr"/>
      <c r="N63" s="24" t="inlineStr"/>
    </row>
    <row r="64">
      <c r="B64" s="24" t="inlineStr">
        <is>
          <t>260217_sklad.HSV4.003</t>
        </is>
      </c>
      <c r="C64" s="24" t="inlineStr">
        <is>
          <t>HSV-4 Vodorovné</t>
        </is>
      </c>
      <c r="D64" s="24" t="inlineStr">
        <is>
          <t>Hydroizolační střešní souvrství skladu (modifikovaný asfaltový pás SBS + ochrann</t>
        </is>
      </c>
      <c r="E64" s="24" t="inlineStr">
        <is>
          <t>712331101</t>
        </is>
      </c>
      <c r="F64" s="24" t="inlineStr">
        <is>
          <t>712311101</t>
        </is>
      </c>
      <c r="G64" s="24" t="inlineStr"/>
      <c r="H64" s="24" t="inlineStr">
        <is>
          <t>needs_production_lookup</t>
        </is>
      </c>
      <c r="I64" s="35" t="n">
        <v>0.65</v>
      </c>
      <c r="J64" s="32" t="inlineStr"/>
      <c r="K64" s="24" t="inlineStr"/>
      <c r="L64" s="24" t="inlineStr"/>
      <c r="M64" s="24" t="inlineStr"/>
      <c r="N64" s="24" t="inlineStr"/>
    </row>
    <row r="65">
      <c r="B65" s="24" t="inlineStr">
        <is>
          <t>260217_sklad.HSV4.004</t>
        </is>
      </c>
      <c r="C65" s="24" t="inlineStr">
        <is>
          <t>HSV-4 Vodorovné</t>
        </is>
      </c>
      <c r="D65" s="24" t="inlineStr">
        <is>
          <t>Sekundární zastřešení parkingu — IPE180 v rozteči 1000 mm × délka 7 m × 7 ks</t>
        </is>
      </c>
      <c r="E65" s="24" t="inlineStr">
        <is>
          <t>411321414</t>
        </is>
      </c>
      <c r="F65" s="24" t="inlineStr">
        <is>
          <t>767131120</t>
        </is>
      </c>
      <c r="G65" s="24" t="inlineStr"/>
      <c r="H65" s="24" t="inlineStr">
        <is>
          <t>needs_production_lookup</t>
        </is>
      </c>
      <c r="I65" s="35" t="n">
        <v>0.65</v>
      </c>
      <c r="J65" s="32" t="inlineStr"/>
      <c r="K65" s="24" t="inlineStr"/>
      <c r="L65" s="24" t="inlineStr"/>
      <c r="M65" s="24" t="inlineStr"/>
      <c r="N65" s="24" t="inlineStr"/>
    </row>
    <row r="66">
      <c r="B66" s="24" t="inlineStr">
        <is>
          <t>260217_sklad.HSV4.005</t>
        </is>
      </c>
      <c r="C66" s="24" t="inlineStr">
        <is>
          <t>HSV-4 Vodorovné</t>
        </is>
      </c>
      <c r="D66" s="24" t="inlineStr">
        <is>
          <t>Pojezdové ocelové pororošty demontovatelné — povrch parkingu (žárově zinkováno)</t>
        </is>
      </c>
      <c r="E66" s="24" t="inlineStr">
        <is>
          <t>411321515</t>
        </is>
      </c>
      <c r="F66" s="24" t="inlineStr">
        <is>
          <t>767131120</t>
        </is>
      </c>
      <c r="G66" s="24" t="inlineStr"/>
      <c r="H66" s="24" t="inlineStr">
        <is>
          <t>family_verified_leaf_needs_production_lookup</t>
        </is>
      </c>
      <c r="I66" s="35" t="n">
        <v>0.8</v>
      </c>
      <c r="J66" s="31" t="inlineStr">
        <is>
          <t>FAMILY_VERIFIED</t>
        </is>
      </c>
      <c r="K66" s="24" t="inlineStr">
        <is>
          <t>https://www.cs-urs.cz/cenova-soustava-urs/</t>
        </is>
      </c>
      <c r="L66" s="24" t="inlineStr"/>
      <c r="M66" s="24" t="inlineStr"/>
      <c r="N66" s="24" t="inlineStr"/>
    </row>
    <row r="67">
      <c r="B67" s="24" t="inlineStr">
        <is>
          <t>260217_sklad.HSV4.006</t>
        </is>
      </c>
      <c r="C67" s="24" t="inlineStr">
        <is>
          <t>HSV-4 Vodorovné</t>
        </is>
      </c>
      <c r="D67" s="24" t="inlineStr">
        <is>
          <t>Žárově zinková povrchová úprava IPE180 + pororoštů dle ČSN EN ISO 12944 (C3 pros</t>
        </is>
      </c>
      <c r="E67" s="24" t="inlineStr">
        <is>
          <t>783201001</t>
        </is>
      </c>
      <c r="F67" s="24" t="inlineStr">
        <is>
          <t>767131120</t>
        </is>
      </c>
      <c r="G67" s="24" t="inlineStr"/>
      <c r="H67" s="24" t="inlineStr">
        <is>
          <t>needs_production_lookup</t>
        </is>
      </c>
      <c r="I67" s="35" t="n">
        <v>0.65</v>
      </c>
      <c r="J67" s="32" t="inlineStr"/>
      <c r="K67" s="24" t="inlineStr"/>
      <c r="L67" s="24" t="inlineStr"/>
      <c r="M67" s="24" t="inlineStr"/>
      <c r="N67" s="24" t="inlineStr"/>
    </row>
    <row r="68">
      <c r="B68" s="24" t="inlineStr">
        <is>
          <t>260219_dum.HSV5.001</t>
        </is>
      </c>
      <c r="C68" s="24" t="inlineStr">
        <is>
          <t>HSV-5 Krov + střecha</t>
        </is>
      </c>
      <c r="D68" s="24" t="inlineStr">
        <is>
          <t>Tesařský krov — krokve 100/180 mm á 800 mm, rezivo C24 fungicidní + protihmyzí (</t>
        </is>
      </c>
      <c r="E68" s="24" t="inlineStr">
        <is>
          <t>762331911</t>
        </is>
      </c>
      <c r="F68" s="24" t="inlineStr">
        <is>
          <t>762341110</t>
        </is>
      </c>
      <c r="G68" s="24" t="inlineStr"/>
      <c r="H68" s="24" t="inlineStr">
        <is>
          <t>family_verified_leaf_needs_production_lookup</t>
        </is>
      </c>
      <c r="I68" s="35" t="n">
        <v>0.8</v>
      </c>
      <c r="J68" s="31" t="inlineStr">
        <is>
          <t>FAMILY_VERIFIED</t>
        </is>
      </c>
      <c r="K68" s="24" t="inlineStr">
        <is>
          <t>https://www.gala-drevo.cz/clanky/proc-na-krovy-pouzivat-kvh-hranoly--jsou-opravdu-drazsi/</t>
        </is>
      </c>
      <c r="L68" s="24" t="inlineStr"/>
      <c r="M68" s="24" t="inlineStr"/>
      <c r="N68" s="24" t="inlineStr"/>
    </row>
    <row r="69">
      <c r="B69" s="24" t="inlineStr">
        <is>
          <t>260219_dum.HSV5.002</t>
        </is>
      </c>
      <c r="C69" s="24" t="inlineStr">
        <is>
          <t>HSV-5 Krov + střecha</t>
        </is>
      </c>
      <c r="D69" s="24" t="inlineStr">
        <is>
          <t>Tesařský krov — kleštiny dvojfošny 60/180 mm probíhající v oblasti spací části</t>
        </is>
      </c>
      <c r="E69" s="24" t="inlineStr">
        <is>
          <t>762331912</t>
        </is>
      </c>
      <c r="F69" s="24" t="inlineStr">
        <is>
          <t>762341110</t>
        </is>
      </c>
      <c r="G69" s="24" t="inlineStr"/>
      <c r="H69" s="24" t="inlineStr">
        <is>
          <t>family_verified_leaf_needs_production_lookup</t>
        </is>
      </c>
      <c r="I69" s="35" t="n">
        <v>0.8</v>
      </c>
      <c r="J69" s="31" t="inlineStr">
        <is>
          <t>FAMILY_VERIFIED</t>
        </is>
      </c>
      <c r="K69" s="24" t="inlineStr">
        <is>
          <t>https://www.gala-drevo.cz/clanky/proc-na-krovy-pouzivat-kvh-hranoly--jsou-opravdu-drazsi/</t>
        </is>
      </c>
      <c r="L69" s="24" t="inlineStr"/>
      <c r="M69" s="24" t="inlineStr"/>
      <c r="N69" s="24" t="inlineStr"/>
    </row>
    <row r="70">
      <c r="B70" s="24" t="inlineStr">
        <is>
          <t>260219_dum.HSV5.003</t>
        </is>
      </c>
      <c r="C70" s="24" t="inlineStr">
        <is>
          <t>HSV-5 Krov + střecha</t>
        </is>
      </c>
      <c r="D70" s="24" t="inlineStr">
        <is>
          <t>Tesařský krov — pozednice 140/160 mm kotvená do ŽB věnce 3.NP</t>
        </is>
      </c>
      <c r="E70" s="24" t="inlineStr">
        <is>
          <t>762331923</t>
        </is>
      </c>
      <c r="F70" s="24" t="inlineStr">
        <is>
          <t>762341110</t>
        </is>
      </c>
      <c r="G70" s="24" t="inlineStr"/>
      <c r="H70" s="24" t="inlineStr">
        <is>
          <t>family_verified_leaf_needs_production_lookup</t>
        </is>
      </c>
      <c r="I70" s="35" t="n">
        <v>0.8</v>
      </c>
      <c r="J70" s="31" t="inlineStr">
        <is>
          <t>FAMILY_VERIFIED</t>
        </is>
      </c>
      <c r="K70" s="24" t="inlineStr">
        <is>
          <t>https://forum.tzb-info.cz/119036-kotveni-pozednice</t>
        </is>
      </c>
      <c r="L70" s="24" t="inlineStr"/>
      <c r="M70" s="24" t="inlineStr"/>
      <c r="N70" s="24" t="inlineStr"/>
    </row>
    <row r="71">
      <c r="B71" s="24" t="inlineStr">
        <is>
          <t>260219_dum.HSV5.004</t>
        </is>
      </c>
      <c r="C71" s="24" t="inlineStr">
        <is>
          <t>HSV-5 Krov + střecha</t>
        </is>
      </c>
      <c r="D71" s="24" t="inlineStr">
        <is>
          <t>Tesařský krov — námětky 60/100 v dolní koncové části pro přesah střechy ~500 mm</t>
        </is>
      </c>
      <c r="E71" s="24" t="inlineStr">
        <is>
          <t>762331911</t>
        </is>
      </c>
      <c r="F71" s="24" t="inlineStr">
        <is>
          <t>762341110</t>
        </is>
      </c>
      <c r="G71" s="24" t="inlineStr"/>
      <c r="H71" s="24" t="inlineStr">
        <is>
          <t>needs_production_lookup</t>
        </is>
      </c>
      <c r="I71" s="35" t="n">
        <v>0.65</v>
      </c>
      <c r="J71" s="32" t="inlineStr"/>
      <c r="K71" s="24" t="inlineStr"/>
      <c r="L71" s="24" t="inlineStr"/>
      <c r="M71" s="24" t="inlineStr"/>
      <c r="N71" s="24" t="inlineStr"/>
    </row>
    <row r="72">
      <c r="B72" s="24" t="inlineStr">
        <is>
          <t>260219_dum.HSV5.005</t>
        </is>
      </c>
      <c r="C72" s="24" t="inlineStr">
        <is>
          <t>HSV-5 Krov + střecha</t>
        </is>
      </c>
      <c r="D72" s="24" t="inlineStr">
        <is>
          <t>Ocelová středová vaznice HEA160 — 2 ks × cca 10 m délka</t>
        </is>
      </c>
      <c r="E72" s="24" t="inlineStr">
        <is>
          <t>411321414</t>
        </is>
      </c>
      <c r="F72" s="24" t="inlineStr">
        <is>
          <t>767131120</t>
        </is>
      </c>
      <c r="G72" s="24" t="inlineStr"/>
      <c r="H72" s="24" t="inlineStr">
        <is>
          <t>family_verified_leaf_needs_production_lookup</t>
        </is>
      </c>
      <c r="I72" s="35" t="n">
        <v>0.8</v>
      </c>
      <c r="J72" s="31" t="inlineStr">
        <is>
          <t>FAMILY_VERIFIED</t>
        </is>
      </c>
      <c r="K72" s="24" t="inlineStr">
        <is>
          <t>https://online.ferona.cz/detail/26080/profil-hea-valcovany-za-tepla-en-10365-hea-160</t>
        </is>
      </c>
      <c r="L72" s="24" t="inlineStr"/>
      <c r="M72" s="24" t="inlineStr"/>
      <c r="N72" s="24" t="inlineStr"/>
    </row>
    <row r="73">
      <c r="B73" s="24" t="inlineStr">
        <is>
          <t>260219_dum.HSV5.006</t>
        </is>
      </c>
      <c r="C73" s="24" t="inlineStr">
        <is>
          <t>HSV-5 Krov + střecha</t>
        </is>
      </c>
      <c r="D73" s="24" t="inlineStr">
        <is>
          <t xml:space="preserve">Ocelové sloupky uzavřený profil 100×100×4 mm pod vaznice HEA160 (~6 ks × ~2.5 m </t>
        </is>
      </c>
      <c r="E73" s="24" t="inlineStr">
        <is>
          <t>411321414</t>
        </is>
      </c>
      <c r="F73" s="24" t="inlineStr">
        <is>
          <t>767131120</t>
        </is>
      </c>
      <c r="G73" s="24" t="inlineStr"/>
      <c r="H73" s="24" t="inlineStr">
        <is>
          <t>needs_production_lookup</t>
        </is>
      </c>
      <c r="I73" s="35" t="n">
        <v>0.65</v>
      </c>
      <c r="J73" s="32" t="inlineStr"/>
      <c r="K73" s="24" t="inlineStr"/>
      <c r="L73" s="24" t="inlineStr"/>
      <c r="M73" s="24" t="inlineStr"/>
      <c r="N73" s="24" t="inlineStr"/>
    </row>
    <row r="74">
      <c r="B74" s="24" t="inlineStr">
        <is>
          <t>260219_dum.HSV5.007</t>
        </is>
      </c>
      <c r="C74" s="24" t="inlineStr">
        <is>
          <t>HSV-5 Krov + střecha</t>
        </is>
      </c>
      <c r="D74" s="24" t="inlineStr">
        <is>
          <t>Bednění z prken tl. 20 mm pod nadkrokevní PIR (biodeska/palubka)</t>
        </is>
      </c>
      <c r="E74" s="24" t="inlineStr">
        <is>
          <t>762341711</t>
        </is>
      </c>
      <c r="F74" s="24" t="inlineStr">
        <is>
          <t>762331911</t>
        </is>
      </c>
      <c r="G74" s="24" t="inlineStr"/>
      <c r="H74" s="24" t="inlineStr">
        <is>
          <t>needs_production_lookup</t>
        </is>
      </c>
      <c r="I74" s="35" t="n">
        <v>0.65</v>
      </c>
      <c r="J74" s="32" t="inlineStr"/>
      <c r="K74" s="24" t="inlineStr"/>
      <c r="L74" s="24" t="inlineStr"/>
      <c r="M74" s="24" t="inlineStr"/>
      <c r="N74" s="24" t="inlineStr"/>
    </row>
    <row r="75">
      <c r="B75" s="24" t="inlineStr">
        <is>
          <t>260219_dum.HSV5.008</t>
        </is>
      </c>
      <c r="C75" s="24" t="inlineStr">
        <is>
          <t>HSV-5 Krov + střecha</t>
        </is>
      </c>
      <c r="D75" s="24" t="inlineStr">
        <is>
          <t xml:space="preserve">Parotěsná folie nad bedněním pod nadkrokevní PIR (např. Isover Vario nebo Tyvek </t>
        </is>
      </c>
      <c r="E75" s="24" t="inlineStr">
        <is>
          <t>712311101</t>
        </is>
      </c>
      <c r="F75" s="24" t="inlineStr">
        <is>
          <t>711132101</t>
        </is>
      </c>
      <c r="G75" s="24" t="inlineStr"/>
      <c r="H75" s="24" t="inlineStr">
        <is>
          <t>needs_production_lookup</t>
        </is>
      </c>
      <c r="I75" s="35" t="n">
        <v>0.65</v>
      </c>
      <c r="J75" s="32" t="inlineStr"/>
      <c r="K75" s="24" t="inlineStr"/>
      <c r="L75" s="24" t="inlineStr"/>
      <c r="M75" s="24" t="inlineStr"/>
      <c r="N75" s="24" t="inlineStr"/>
    </row>
    <row r="76">
      <c r="B76" s="24" t="inlineStr">
        <is>
          <t>260219_dum.HSV5.009</t>
        </is>
      </c>
      <c r="C76" s="24" t="inlineStr">
        <is>
          <t>HSV-5 Krov + střecha</t>
        </is>
      </c>
      <c r="D76" s="24" t="inlineStr">
        <is>
          <t>Nadkrokevní tepelná izolace PIR (polyisokyanurát) tl. 160 mm (λ=0,022 W/mK) — ře</t>
        </is>
      </c>
      <c r="E76" s="24" t="inlineStr">
        <is>
          <t>713131811</t>
        </is>
      </c>
      <c r="F76" s="24" t="inlineStr">
        <is>
          <t>713141121</t>
        </is>
      </c>
      <c r="G76" s="24" t="inlineStr"/>
      <c r="H76" s="24" t="inlineStr">
        <is>
          <t>matched_websearch_verified</t>
        </is>
      </c>
      <c r="I76" s="35" t="n">
        <v>0.95</v>
      </c>
      <c r="J76" s="27" t="inlineStr">
        <is>
          <t>VERIFIED</t>
        </is>
      </c>
      <c r="K76" s="24" t="inlineStr">
        <is>
          <t>https://www.pamazastreseni.cz/katalog/228-pamatherm-alukraft-022-160x1200x2400mm-pero-drazka</t>
        </is>
      </c>
      <c r="L76" s="24" t="inlineStr"/>
      <c r="M76" s="24" t="inlineStr"/>
      <c r="N76" s="24" t="inlineStr"/>
    </row>
    <row r="77">
      <c r="B77" s="24" t="inlineStr">
        <is>
          <t>260219_dum.HSV5.010</t>
        </is>
      </c>
      <c r="C77" s="24" t="inlineStr">
        <is>
          <t>HSV-5 Krov + střecha</t>
        </is>
      </c>
      <c r="D77" s="24" t="inlineStr">
        <is>
          <t>Doplňková hydroizolační difuzně otevřená folie nad PIR pod kontralatě</t>
        </is>
      </c>
      <c r="E77" s="24" t="inlineStr">
        <is>
          <t>712311111</t>
        </is>
      </c>
      <c r="F77" s="24" t="inlineStr">
        <is>
          <t>712311101</t>
        </is>
      </c>
      <c r="G77" s="24" t="inlineStr"/>
      <c r="H77" s="24" t="inlineStr">
        <is>
          <t>needs_production_lookup</t>
        </is>
      </c>
      <c r="I77" s="35" t="n">
        <v>0.65</v>
      </c>
      <c r="J77" s="32" t="inlineStr"/>
      <c r="K77" s="24" t="inlineStr"/>
      <c r="L77" s="24" t="inlineStr"/>
      <c r="M77" s="24" t="inlineStr"/>
      <c r="N77" s="24" t="inlineStr"/>
    </row>
    <row r="78">
      <c r="B78" s="24" t="inlineStr">
        <is>
          <t>260219_dum.HSV5.011</t>
        </is>
      </c>
      <c r="C78" s="24" t="inlineStr">
        <is>
          <t>HSV-5 Krov + střecha</t>
        </is>
      </c>
      <c r="D78" s="24" t="inlineStr">
        <is>
          <t>Distanční kontralatě 40×60 mm pro vzduchovou mezeru nad PIR</t>
        </is>
      </c>
      <c r="E78" s="24" t="inlineStr">
        <is>
          <t>762331923</t>
        </is>
      </c>
      <c r="F78" s="24" t="inlineStr">
        <is>
          <t>762341110</t>
        </is>
      </c>
      <c r="G78" s="24" t="inlineStr"/>
      <c r="H78" s="24" t="inlineStr">
        <is>
          <t>needs_production_lookup</t>
        </is>
      </c>
      <c r="I78" s="35" t="n">
        <v>0.65</v>
      </c>
      <c r="J78" s="32" t="inlineStr"/>
      <c r="K78" s="24" t="inlineStr"/>
      <c r="L78" s="24" t="inlineStr"/>
      <c r="M78" s="24" t="inlineStr"/>
      <c r="N78" s="24" t="inlineStr"/>
    </row>
    <row r="79">
      <c r="B79" s="24" t="inlineStr">
        <is>
          <t>260219_dum.HSV5.012</t>
        </is>
      </c>
      <c r="C79" s="24" t="inlineStr">
        <is>
          <t>HSV-5 Krov + střecha</t>
        </is>
      </c>
      <c r="D79" s="24" t="inlineStr">
        <is>
          <t>Bednění z prken tl. 25 mm pod plechovou hliníkovou krytinu (rozsah dle technolog</t>
        </is>
      </c>
      <c r="E79" s="24" t="inlineStr">
        <is>
          <t>762341711</t>
        </is>
      </c>
      <c r="F79" s="24" t="inlineStr">
        <is>
          <t>762331911</t>
        </is>
      </c>
      <c r="G79" s="24" t="inlineStr"/>
      <c r="H79" s="24" t="inlineStr">
        <is>
          <t>family_verified_leaf_needs_production_lookup</t>
        </is>
      </c>
      <c r="I79" s="35" t="n">
        <v>0.8</v>
      </c>
      <c r="J79" s="31" t="inlineStr">
        <is>
          <t>FAMILY_VERIFIED</t>
        </is>
      </c>
      <c r="K79" s="24" t="inlineStr">
        <is>
          <t>https://www.krytiny-strechy.cz/katalog/plechove-falcovane-krytiny/</t>
        </is>
      </c>
      <c r="L79" s="24" t="inlineStr"/>
      <c r="M79" s="24" t="inlineStr"/>
      <c r="N79" s="24" t="inlineStr"/>
    </row>
    <row r="80">
      <c r="B80" s="24" t="inlineStr">
        <is>
          <t>260219_dum.HSV5.013</t>
        </is>
      </c>
      <c r="C80" s="24" t="inlineStr">
        <is>
          <t>HSV-5 Krov + střecha</t>
        </is>
      </c>
      <c r="D80" s="24" t="inlineStr">
        <is>
          <t xml:space="preserve">Plechová falcovaná HLINÍKOVÁ krytina (např. PREFA, Rheinzink, Lindab) + tlumící </t>
        </is>
      </c>
      <c r="E80" s="24" t="inlineStr">
        <is>
          <t>765791121</t>
        </is>
      </c>
      <c r="F80" s="24" t="inlineStr">
        <is>
          <t>765761121</t>
        </is>
      </c>
      <c r="G80" s="24" t="inlineStr"/>
      <c r="H80" s="24" t="inlineStr">
        <is>
          <t>family_verified_leaf_needs_production_lookup</t>
        </is>
      </c>
      <c r="I80" s="35" t="n">
        <v>0.8</v>
      </c>
      <c r="J80" s="31" t="inlineStr">
        <is>
          <t>FAMILY_VERIFIED</t>
        </is>
      </c>
      <c r="K80" s="24" t="inlineStr">
        <is>
          <t>https://us.prefa.com/product-catalogue/roof-systems/</t>
        </is>
      </c>
      <c r="L80" s="24" t="inlineStr"/>
      <c r="M80" s="24" t="inlineStr"/>
      <c r="N80" s="24" t="inlineStr"/>
    </row>
    <row r="81">
      <c r="B81" s="24" t="inlineStr">
        <is>
          <t>260219_dum.HSV5.014</t>
        </is>
      </c>
      <c r="C81" s="24" t="inlineStr">
        <is>
          <t>HSV-5 Krov + střecha</t>
        </is>
      </c>
      <c r="D81" s="24" t="inlineStr">
        <is>
          <t>Patro pro přespání v krovu — biodeska / OSB desky tl. 22 mm nad kleštinami</t>
        </is>
      </c>
      <c r="E81" s="24" t="inlineStr">
        <is>
          <t>762341711</t>
        </is>
      </c>
      <c r="F81" s="24" t="inlineStr">
        <is>
          <t>766691111</t>
        </is>
      </c>
      <c r="G81" s="24" t="inlineStr"/>
      <c r="H81" s="24" t="inlineStr">
        <is>
          <t>needs_production_lookup</t>
        </is>
      </c>
      <c r="I81" s="35" t="n">
        <v>0.65</v>
      </c>
      <c r="J81" s="32" t="inlineStr"/>
      <c r="K81" s="24" t="inlineStr"/>
      <c r="L81" s="24" t="inlineStr"/>
      <c r="M81" s="24" t="inlineStr"/>
      <c r="N81" s="24" t="inlineStr"/>
    </row>
    <row r="82">
      <c r="B82" s="24" t="inlineStr">
        <is>
          <t>260219_dum.HSV5.015</t>
        </is>
      </c>
      <c r="C82" s="24" t="inlineStr">
        <is>
          <t>HSV-5 Krov + střecha</t>
        </is>
      </c>
      <c r="D82" s="24" t="inlineStr">
        <is>
          <t>Vikýře — zděná čela z Porotherm 30 (odhad 4 ks × ~3 m² stěna)</t>
        </is>
      </c>
      <c r="E82" s="24" t="inlineStr">
        <is>
          <t>311321411</t>
        </is>
      </c>
      <c r="F82" s="24" t="inlineStr">
        <is>
          <t>311321321</t>
        </is>
      </c>
      <c r="G82" s="24" t="inlineStr"/>
      <c r="H82" s="24" t="inlineStr">
        <is>
          <t>needs_production_lookup</t>
        </is>
      </c>
      <c r="I82" s="35" t="n">
        <v>0.65</v>
      </c>
      <c r="J82" s="32" t="inlineStr"/>
      <c r="K82" s="24" t="inlineStr"/>
      <c r="L82" s="24" t="inlineStr"/>
      <c r="M82" s="24" t="inlineStr"/>
      <c r="N82" s="24" t="inlineStr"/>
    </row>
    <row r="83">
      <c r="B83" s="24" t="inlineStr">
        <is>
          <t>260219_dum.HSV5.016</t>
        </is>
      </c>
      <c r="C83" s="24" t="inlineStr">
        <is>
          <t>HSV-5 Krov + střecha</t>
        </is>
      </c>
      <c r="D83" s="24" t="inlineStr">
        <is>
          <t>Vikýře — provětrávaná fasáda min. vata + plech falcovaný hliník (4 vikýře × ~6 m</t>
        </is>
      </c>
      <c r="E83" s="24" t="inlineStr">
        <is>
          <t>765791121</t>
        </is>
      </c>
      <c r="F83" s="24" t="inlineStr">
        <is>
          <t>765761121</t>
        </is>
      </c>
      <c r="G83" s="24" t="inlineStr"/>
      <c r="H83" s="24" t="inlineStr">
        <is>
          <t>needs_production_lookup</t>
        </is>
      </c>
      <c r="I83" s="35" t="n">
        <v>0.65</v>
      </c>
      <c r="J83" s="32" t="inlineStr"/>
      <c r="K83" s="24" t="inlineStr"/>
      <c r="L83" s="24" t="inlineStr"/>
      <c r="M83" s="24" t="inlineStr"/>
      <c r="N83" s="24" t="inlineStr"/>
    </row>
    <row r="84">
      <c r="B84" s="24" t="inlineStr">
        <is>
          <t>260219_dum.HSV6.001</t>
        </is>
      </c>
      <c r="C84" s="24" t="inlineStr">
        <is>
          <t>HSV-6 Bourací práce</t>
        </is>
      </c>
      <c r="D84" s="24" t="inlineStr">
        <is>
          <t>Bourání kompletního stávajícího krovu vč. vikýřů — vaznicový s ležatou stolicí —</t>
        </is>
      </c>
      <c r="E84" s="24" t="inlineStr">
        <is>
          <t>962041141</t>
        </is>
      </c>
      <c r="F84" s="24" t="inlineStr">
        <is>
          <t>962041151</t>
        </is>
      </c>
      <c r="G84" s="24" t="inlineStr"/>
      <c r="H84" s="24" t="inlineStr">
        <is>
          <t>family_verified_leaf_needs_production_lookup</t>
        </is>
      </c>
      <c r="I84" s="35" t="n">
        <v>0.8</v>
      </c>
      <c r="J84" s="31" t="inlineStr">
        <is>
          <t>FAMILY_VERIFIED</t>
        </is>
      </c>
      <c r="K84" s="24" t="inlineStr">
        <is>
          <t>https://www.cs-urs.cz/podminky/cu202/801-3-Budovy-a-haly---bourani-konstrukci-(2020-II)/19/</t>
        </is>
      </c>
      <c r="L84" s="24" t="inlineStr"/>
      <c r="M84" s="24" t="inlineStr"/>
      <c r="N84" s="24" t="inlineStr"/>
    </row>
    <row r="85">
      <c r="B85" s="24" t="inlineStr">
        <is>
          <t>260219_dum.HSV6.002</t>
        </is>
      </c>
      <c r="C85" s="24" t="inlineStr">
        <is>
          <t>HSV-6 Bourací práce</t>
        </is>
      </c>
      <c r="D85" s="24" t="inlineStr">
        <is>
          <t>Bourání stávající plechové krytiny (manuálně, recyklace plechu)</t>
        </is>
      </c>
      <c r="E85" s="24" t="inlineStr"/>
      <c r="F85" s="24" t="inlineStr">
        <is>
          <t>762341xxx, 765191xxx, 764xxx_demontaz_plech</t>
        </is>
      </c>
      <c r="G85" s="24" t="inlineStr">
        <is>
          <t>762</t>
        </is>
      </c>
      <c r="H85" s="24" t="inlineStr">
        <is>
          <t>wrong_leaf_disambiguation_needed</t>
        </is>
      </c>
      <c r="I85" s="35" t="n">
        <v>0.5</v>
      </c>
      <c r="J85" s="33" t="inlineStr"/>
      <c r="K85" s="24" t="inlineStr"/>
      <c r="L85" s="24" t="inlineStr">
        <is>
          <t>962081141</t>
        </is>
      </c>
      <c r="M85" s="24" t="inlineStr"/>
      <c r="N85" s="24" t="inlineStr">
        <is>
          <t>WebSearch verified WRONG LEAF: URS leaf = bourání skleněných tvárnic, item = bourání plechové krytiny. Hint: Plech krytina demolice = TKP 762 (tesařské konstrukce) or 764/765 (klempířina); NOT 962 (zd</t>
        </is>
      </c>
    </row>
    <row r="86">
      <c r="B86" s="24" t="inlineStr">
        <is>
          <t>260219_dum.HSV6.003</t>
        </is>
      </c>
      <c r="C86" s="24" t="inlineStr">
        <is>
          <t>HSV-6 Bourací práce</t>
        </is>
      </c>
      <c r="D86" s="24" t="inlineStr">
        <is>
          <t>Bourání zděných nadezdívek nad stropem 2.NP (mimo štítových stěn) — cihla pálená</t>
        </is>
      </c>
      <c r="E86" s="24" t="inlineStr">
        <is>
          <t>962031132</t>
        </is>
      </c>
      <c r="F86" s="24" t="inlineStr">
        <is>
          <t>962081141</t>
        </is>
      </c>
      <c r="G86" s="24" t="inlineStr"/>
      <c r="H86" s="24" t="inlineStr">
        <is>
          <t>needs_production_lookup</t>
        </is>
      </c>
      <c r="I86" s="35" t="n">
        <v>0.65</v>
      </c>
      <c r="J86" s="32" t="inlineStr"/>
      <c r="K86" s="24" t="inlineStr"/>
      <c r="L86" s="24" t="inlineStr"/>
      <c r="M86" s="24" t="inlineStr"/>
      <c r="N86" s="24" t="inlineStr"/>
    </row>
    <row r="87">
      <c r="B87" s="24" t="inlineStr">
        <is>
          <t>260219_dum.HSV6.004</t>
        </is>
      </c>
      <c r="C87" s="24" t="inlineStr">
        <is>
          <t>HSV-6 Bourací práce</t>
        </is>
      </c>
      <c r="D87" s="24" t="inlineStr">
        <is>
          <t>Bourání trámového stropu 2.NP/podkroví — kompletně (vč. zajištění schodiště)</t>
        </is>
      </c>
      <c r="E87" s="24" t="inlineStr">
        <is>
          <t>962041141</t>
        </is>
      </c>
      <c r="F87" s="24" t="inlineStr">
        <is>
          <t>962041151</t>
        </is>
      </c>
      <c r="G87" s="24" t="inlineStr"/>
      <c r="H87" s="24" t="inlineStr">
        <is>
          <t>needs_production_lookup</t>
        </is>
      </c>
      <c r="I87" s="35" t="n">
        <v>0.65</v>
      </c>
      <c r="J87" s="32" t="inlineStr"/>
      <c r="K87" s="24" t="inlineStr"/>
      <c r="L87" s="24" t="inlineStr"/>
      <c r="M87" s="24" t="inlineStr"/>
      <c r="N87" s="24" t="inlineStr"/>
    </row>
    <row r="88">
      <c r="B88" s="24" t="inlineStr">
        <is>
          <t>260219_dum.HSV6.005</t>
        </is>
      </c>
      <c r="C88" s="24" t="inlineStr">
        <is>
          <t>HSV-6 Bourací práce</t>
        </is>
      </c>
      <c r="D88" s="24" t="inlineStr">
        <is>
          <t>Bourání stávajících lehkých příček (cihla, sádrokarton, dřevo)</t>
        </is>
      </c>
      <c r="E88" s="24" t="inlineStr">
        <is>
          <t>962031132</t>
        </is>
      </c>
      <c r="F88" s="24" t="inlineStr">
        <is>
          <t>962081141</t>
        </is>
      </c>
      <c r="G88" s="24" t="inlineStr"/>
      <c r="H88" s="24" t="inlineStr">
        <is>
          <t>needs_production_lookup</t>
        </is>
      </c>
      <c r="I88" s="35" t="n">
        <v>0.65</v>
      </c>
      <c r="J88" s="32" t="inlineStr"/>
      <c r="K88" s="24" t="inlineStr"/>
      <c r="L88" s="24" t="inlineStr"/>
      <c r="M88" s="24" t="inlineStr"/>
      <c r="N88" s="24" t="inlineStr"/>
    </row>
    <row r="89">
      <c r="B89" s="24" t="inlineStr">
        <is>
          <t>260219_dum.HSV6.006</t>
        </is>
      </c>
      <c r="C89" s="24" t="inlineStr">
        <is>
          <t>HSV-6 Bourací práce</t>
        </is>
      </c>
      <c r="D89" s="24" t="inlineStr">
        <is>
          <t>Bourání 8 nových otvorů v nosných cihelných zdech pro dveře/okna (~1.0 × 2.1 m)</t>
        </is>
      </c>
      <c r="E89" s="24" t="inlineStr">
        <is>
          <t>962031132</t>
        </is>
      </c>
      <c r="F89" s="24" t="inlineStr">
        <is>
          <t>962081141</t>
        </is>
      </c>
      <c r="G89" s="24" t="inlineStr"/>
      <c r="H89" s="24" t="inlineStr">
        <is>
          <t>needs_production_lookup</t>
        </is>
      </c>
      <c r="I89" s="35" t="n">
        <v>0.65</v>
      </c>
      <c r="J89" s="32" t="inlineStr"/>
      <c r="K89" s="24" t="inlineStr"/>
      <c r="L89" s="24" t="inlineStr"/>
      <c r="M89" s="24" t="inlineStr"/>
      <c r="N89" s="24" t="inlineStr"/>
    </row>
    <row r="90">
      <c r="B90" s="24" t="inlineStr">
        <is>
          <t>260219_dum.HSV6.007</t>
        </is>
      </c>
      <c r="C90" s="24" t="inlineStr">
        <is>
          <t>HSV-6 Bourací práce</t>
        </is>
      </c>
      <c r="D90" s="24" t="inlineStr">
        <is>
          <t>Bourání keramických obkladů a zařizovacích předmětů v koupelnách 1.NP + 2.NP</t>
        </is>
      </c>
      <c r="E90" s="24" t="inlineStr">
        <is>
          <t>781473810</t>
        </is>
      </c>
      <c r="F90" s="24" t="inlineStr">
        <is>
          <t>781471810, 978059541, 978059511</t>
        </is>
      </c>
      <c r="G90" s="24" t="inlineStr"/>
      <c r="H90" s="24" t="inlineStr">
        <is>
          <t>family_verified_leaf_needs_production_lookup</t>
        </is>
      </c>
      <c r="I90" s="35" t="n">
        <v>0.8</v>
      </c>
      <c r="J90" s="31" t="inlineStr">
        <is>
          <t>FAMILY_VERIFIED</t>
        </is>
      </c>
      <c r="K90" s="24" t="inlineStr">
        <is>
          <t>https://www.cs-urs.cz/podminky/cu202/801-3-Budovy-a-haly---bourani-konstrukci-(2020-II)/19/</t>
        </is>
      </c>
      <c r="L90" s="24" t="inlineStr">
        <is>
          <t>781473810</t>
        </is>
      </c>
      <c r="M90" s="24" t="inlineStr"/>
      <c r="N90" s="24" t="inlineStr">
        <is>
          <t>WebSearch found exact match — 'Demontáž obkladů z dlaždic keramických lepených' (modern bonded tiles, fits post-1990 koupelna). 781471810 = malta-laid (older). 978059541/511 = odsekání (chip-off, no r</t>
        </is>
      </c>
    </row>
    <row r="91">
      <c r="B91" s="24" t="inlineStr">
        <is>
          <t>260219_dum.HSV6.008</t>
        </is>
      </c>
      <c r="C91" s="24" t="inlineStr">
        <is>
          <t>HSV-6 Bourací práce</t>
        </is>
      </c>
      <c r="D91" s="24" t="inlineStr">
        <is>
          <t>Sejmutí podlah 1.NP a 2.NP — vč. nášlapů, podkladních vrstev</t>
        </is>
      </c>
      <c r="E91" s="24" t="inlineStr">
        <is>
          <t>974031132</t>
        </is>
      </c>
      <c r="F91" s="24" t="inlineStr">
        <is>
          <t>974031141</t>
        </is>
      </c>
      <c r="G91" s="24" t="inlineStr"/>
      <c r="H91" s="24" t="inlineStr">
        <is>
          <t>needs_production_lookup</t>
        </is>
      </c>
      <c r="I91" s="35" t="n">
        <v>0.65</v>
      </c>
      <c r="J91" s="32" t="inlineStr"/>
      <c r="K91" s="24" t="inlineStr"/>
      <c r="L91" s="24" t="inlineStr"/>
      <c r="M91" s="24" t="inlineStr"/>
      <c r="N91" s="24" t="inlineStr"/>
    </row>
    <row r="92">
      <c r="B92" s="24" t="inlineStr">
        <is>
          <t>260219_dum.HSV6.009</t>
        </is>
      </c>
      <c r="C92" s="24" t="inlineStr">
        <is>
          <t>HSV-6 Bourací práce</t>
        </is>
      </c>
      <c r="D92" s="24" t="inlineStr">
        <is>
          <t>Demontáž záklopu a zásypů stropu 1.NP (prkenný záklop na trámech zachován)</t>
        </is>
      </c>
      <c r="E92" s="24" t="inlineStr">
        <is>
          <t>974041151</t>
        </is>
      </c>
      <c r="F92" s="24" t="inlineStr">
        <is>
          <t>974031150</t>
        </is>
      </c>
      <c r="G92" s="24" t="inlineStr"/>
      <c r="H92" s="24" t="inlineStr">
        <is>
          <t>needs_production_lookup</t>
        </is>
      </c>
      <c r="I92" s="35" t="n">
        <v>0.65</v>
      </c>
      <c r="J92" s="32" t="inlineStr"/>
      <c r="K92" s="24" t="inlineStr"/>
      <c r="L92" s="24" t="inlineStr"/>
      <c r="M92" s="24" t="inlineStr"/>
      <c r="N92" s="24" t="inlineStr"/>
    </row>
    <row r="93">
      <c r="B93" s="24" t="inlineStr">
        <is>
          <t>260219_dum.HSV6.010</t>
        </is>
      </c>
      <c r="C93" s="24" t="inlineStr">
        <is>
          <t>HSV-6 Bourací práce</t>
        </is>
      </c>
      <c r="D93" s="24" t="inlineStr">
        <is>
          <t>Demontáž všech oken a dveří stávajících (recyklace)</t>
        </is>
      </c>
      <c r="E93" s="24" t="inlineStr">
        <is>
          <t>968071120</t>
        </is>
      </c>
      <c r="F93" s="24" t="inlineStr">
        <is>
          <t>968061120</t>
        </is>
      </c>
      <c r="G93" s="24" t="inlineStr"/>
      <c r="H93" s="24" t="inlineStr">
        <is>
          <t>needs_production_lookup</t>
        </is>
      </c>
      <c r="I93" s="35" t="n">
        <v>0.65</v>
      </c>
      <c r="J93" s="32" t="inlineStr"/>
      <c r="K93" s="24" t="inlineStr"/>
      <c r="L93" s="24" t="inlineStr"/>
      <c r="M93" s="24" t="inlineStr"/>
      <c r="N93" s="24" t="inlineStr"/>
    </row>
    <row r="94">
      <c r="B94" s="24" t="inlineStr">
        <is>
          <t>260219_dum.HSV6.011</t>
        </is>
      </c>
      <c r="C94" s="24" t="inlineStr">
        <is>
          <t>HSV-6 Bourací práce</t>
        </is>
      </c>
      <c r="D94" s="24" t="inlineStr">
        <is>
          <t>Demontáž všech sanitárních zařizovacích předmětů (WC, umyvadla, baterie, sprcha)</t>
        </is>
      </c>
      <c r="E94" s="24" t="inlineStr">
        <is>
          <t>725900001</t>
        </is>
      </c>
      <c r="F94" s="24" t="inlineStr">
        <is>
          <t>971033211</t>
        </is>
      </c>
      <c r="G94" s="24" t="inlineStr"/>
      <c r="H94" s="24" t="inlineStr">
        <is>
          <t>needs_production_lookup</t>
        </is>
      </c>
      <c r="I94" s="35" t="n">
        <v>0.65</v>
      </c>
      <c r="J94" s="32" t="inlineStr"/>
      <c r="K94" s="24" t="inlineStr"/>
      <c r="L94" s="24" t="inlineStr"/>
      <c r="M94" s="24" t="inlineStr"/>
      <c r="N94" s="24" t="inlineStr"/>
    </row>
    <row r="95">
      <c r="B95" s="24" t="inlineStr">
        <is>
          <t>260219_dum.HSV6.012</t>
        </is>
      </c>
      <c r="C95" s="24" t="inlineStr">
        <is>
          <t>HSV-6 Bourací práce</t>
        </is>
      </c>
      <c r="D95" s="24" t="inlineStr">
        <is>
          <t>Odvoz a likvidace stavební suti dle vyhl. 8/2021 Sb. — celková tonáž odpadů</t>
        </is>
      </c>
      <c r="E95" s="24" t="inlineStr">
        <is>
          <t>997013501</t>
        </is>
      </c>
      <c r="F95" s="24" t="inlineStr">
        <is>
          <t>997013211</t>
        </is>
      </c>
      <c r="G95" s="24" t="inlineStr"/>
      <c r="H95" s="24" t="inlineStr">
        <is>
          <t>needs_production_lookup</t>
        </is>
      </c>
      <c r="I95" s="35" t="n">
        <v>0.65</v>
      </c>
      <c r="J95" s="32" t="inlineStr"/>
      <c r="K95" s="24" t="inlineStr"/>
      <c r="L95" s="24" t="inlineStr"/>
      <c r="M95" s="24" t="inlineStr"/>
      <c r="N95" s="24" t="inlineStr"/>
    </row>
    <row r="96">
      <c r="B96" s="24" t="inlineStr">
        <is>
          <t>260219_dum.HSV7.001</t>
        </is>
      </c>
      <c r="C96" s="24" t="inlineStr">
        <is>
          <t>HSV-7 Fasáda ETICS</t>
        </is>
      </c>
      <c r="D96" s="24" t="inlineStr">
        <is>
          <t>Příprava fasádního podkladu — očištění tlakovou vodou, vyspravení omítek, fungic</t>
        </is>
      </c>
      <c r="E96" s="24" t="inlineStr">
        <is>
          <t>622401110</t>
        </is>
      </c>
      <c r="F96" s="24" t="inlineStr">
        <is>
          <t>622201001</t>
        </is>
      </c>
      <c r="G96" s="24" t="inlineStr"/>
      <c r="H96" s="24" t="inlineStr">
        <is>
          <t>needs_production_lookup</t>
        </is>
      </c>
      <c r="I96" s="35" t="n">
        <v>0.65</v>
      </c>
      <c r="J96" s="32" t="inlineStr"/>
      <c r="K96" s="24" t="inlineStr"/>
      <c r="L96" s="24" t="inlineStr"/>
      <c r="M96" s="24" t="inlineStr"/>
      <c r="N96" s="24" t="inlineStr"/>
    </row>
    <row r="97">
      <c r="B97" s="24" t="inlineStr">
        <is>
          <t>260219_dum.HSV7.002</t>
        </is>
      </c>
      <c r="C97" s="24" t="inlineStr">
        <is>
          <t>HSV-7 Fasáda ETICS</t>
        </is>
      </c>
      <c r="D97" s="24" t="inlineStr">
        <is>
          <t xml:space="preserve">ETICS kontaktní zateplení — EPS 70F grey λ=0.032 tl. 160 mm + síťka + lepidlo + </t>
        </is>
      </c>
      <c r="E97" s="24" t="inlineStr">
        <is>
          <t>622221121</t>
        </is>
      </c>
      <c r="F97" s="24" t="inlineStr">
        <is>
          <t>622221001</t>
        </is>
      </c>
      <c r="G97" s="24" t="inlineStr"/>
      <c r="H97" s="24" t="inlineStr">
        <is>
          <t>family_verified_leaf_needs_production_lookup</t>
        </is>
      </c>
      <c r="I97" s="35" t="n">
        <v>0.8</v>
      </c>
      <c r="J97" s="31" t="inlineStr">
        <is>
          <t>FAMILY_VERIFIED</t>
        </is>
      </c>
      <c r="K97" s="24" t="inlineStr">
        <is>
          <t>https://www.isover.cz/produkty/eps/isover-eps-70f</t>
        </is>
      </c>
      <c r="L97" s="24" t="inlineStr"/>
      <c r="M97" s="24" t="inlineStr"/>
      <c r="N97" s="24" t="inlineStr"/>
    </row>
    <row r="98">
      <c r="B98" s="24" t="inlineStr">
        <is>
          <t>260219_dum.HSV7.003</t>
        </is>
      </c>
      <c r="C98" s="24" t="inlineStr">
        <is>
          <t>HSV-7 Fasáda ETICS</t>
        </is>
      </c>
      <c r="D98" s="24" t="inlineStr">
        <is>
          <t>ETICS sokl — XPS λ=0.034 tl. 120 mm + soklový profil + cihelný obklad spárovaný</t>
        </is>
      </c>
      <c r="E98" s="24" t="inlineStr">
        <is>
          <t>622223111</t>
        </is>
      </c>
      <c r="F98" s="24" t="inlineStr">
        <is>
          <t>622223121</t>
        </is>
      </c>
      <c r="G98" s="24" t="inlineStr"/>
      <c r="H98" s="24" t="inlineStr">
        <is>
          <t>family_verified_leaf_needs_production_lookup</t>
        </is>
      </c>
      <c r="I98" s="35" t="n">
        <v>0.8</v>
      </c>
      <c r="J98" s="31" t="inlineStr">
        <is>
          <t>FAMILY_VERIFIED</t>
        </is>
      </c>
      <c r="K98" s="24" t="inlineStr">
        <is>
          <t>https://baumit.cz/produkty/komponenty-pro-zateplovani/zakladaci-profily/soklovy-profil-etics</t>
        </is>
      </c>
      <c r="L98" s="24" t="inlineStr"/>
      <c r="M98" s="24" t="inlineStr"/>
      <c r="N98" s="24" t="inlineStr"/>
    </row>
    <row r="99">
      <c r="B99" s="24" t="inlineStr">
        <is>
          <t>260219_dum.HSV7.004</t>
        </is>
      </c>
      <c r="C99" s="24" t="inlineStr">
        <is>
          <t>HSV-7 Fasáda ETICS</t>
        </is>
      </c>
      <c r="D99" s="24" t="inlineStr">
        <is>
          <t>Špalety oken — EPS přesah 35-40 mm + síťka + omítka</t>
        </is>
      </c>
      <c r="E99" s="24" t="inlineStr">
        <is>
          <t>622221221</t>
        </is>
      </c>
      <c r="F99" s="24" t="inlineStr">
        <is>
          <t>622221111</t>
        </is>
      </c>
      <c r="G99" s="24" t="inlineStr"/>
      <c r="H99" s="24" t="inlineStr">
        <is>
          <t>needs_production_lookup</t>
        </is>
      </c>
      <c r="I99" s="35" t="n">
        <v>0.65</v>
      </c>
      <c r="J99" s="32" t="inlineStr"/>
      <c r="K99" s="24" t="inlineStr"/>
      <c r="L99" s="24" t="inlineStr"/>
      <c r="M99" s="24" t="inlineStr"/>
      <c r="N99" s="24" t="inlineStr"/>
    </row>
    <row r="100">
      <c r="B100" s="24" t="inlineStr">
        <is>
          <t>260219_dum.HSV7.005</t>
        </is>
      </c>
      <c r="C100" s="24" t="inlineStr">
        <is>
          <t>HSV-7 Fasáda ETICS</t>
        </is>
      </c>
      <c r="D100" s="24" t="inlineStr">
        <is>
          <t>Profilace fasády — různé tloušťky EPS (kordony, šambrány, rámování oken) — paušá</t>
        </is>
      </c>
      <c r="E100" s="24" t="inlineStr">
        <is>
          <t>622221221</t>
        </is>
      </c>
      <c r="F100" s="24" t="inlineStr">
        <is>
          <t>622221121</t>
        </is>
      </c>
      <c r="G100" s="24" t="inlineStr"/>
      <c r="H100" s="24" t="inlineStr">
        <is>
          <t>needs_production_lookup</t>
        </is>
      </c>
      <c r="I100" s="35" t="n">
        <v>0.65</v>
      </c>
      <c r="J100" s="32" t="inlineStr"/>
      <c r="K100" s="24" t="inlineStr"/>
      <c r="L100" s="24" t="inlineStr"/>
      <c r="M100" s="24" t="inlineStr"/>
      <c r="N100" s="24" t="inlineStr"/>
    </row>
    <row r="101">
      <c r="B101" s="24" t="inlineStr">
        <is>
          <t>260219_dum.HSV7.006</t>
        </is>
      </c>
      <c r="C101" s="24" t="inlineStr">
        <is>
          <t>HSV-7 Fasáda ETICS</t>
        </is>
      </c>
      <c r="D101" s="24" t="inlineStr">
        <is>
          <t>Tenkovrstvá pastovitá probarvená omítka, lomená bílá NCS NZÚ — finální vrstva ET</t>
        </is>
      </c>
      <c r="E101" s="24" t="inlineStr">
        <is>
          <t>622521111</t>
        </is>
      </c>
      <c r="F101" s="24" t="inlineStr">
        <is>
          <t>622511111</t>
        </is>
      </c>
      <c r="G101" s="24" t="inlineStr"/>
      <c r="H101" s="24" t="inlineStr">
        <is>
          <t>family_verified_leaf_needs_production_lookup</t>
        </is>
      </c>
      <c r="I101" s="35" t="n">
        <v>0.8</v>
      </c>
      <c r="J101" s="31" t="inlineStr">
        <is>
          <t>FAMILY_VERIFIED</t>
        </is>
      </c>
      <c r="K101" s="24" t="inlineStr">
        <is>
          <t>https://www.cz.weber/ncs-odstiny-dle-nzu-2023</t>
        </is>
      </c>
      <c r="L101" s="24" t="inlineStr"/>
      <c r="M101" s="24" t="inlineStr"/>
      <c r="N101" s="24" t="inlineStr"/>
    </row>
    <row r="102">
      <c r="B102" s="24" t="inlineStr">
        <is>
          <t>260219_dum.PSV71.001</t>
        </is>
      </c>
      <c r="C102" s="24" t="inlineStr">
        <is>
          <t>PSV-71 Izolace HI</t>
        </is>
      </c>
      <c r="D102" s="24" t="inlineStr">
        <is>
          <t>Hydroizolace pod ŽB deskou 1.NP — modifikované asfaltové pásy SBS 2× (zároveň pr</t>
        </is>
      </c>
      <c r="E102" s="24" t="inlineStr">
        <is>
          <t>712311101</t>
        </is>
      </c>
      <c r="F102" s="24" t="inlineStr">
        <is>
          <t>712331101, 711332101</t>
        </is>
      </c>
      <c r="G102" s="24" t="inlineStr"/>
      <c r="H102" s="24" t="inlineStr">
        <is>
          <t>family_verified_leaf_needs_production_lookup</t>
        </is>
      </c>
      <c r="I102" s="35" t="n">
        <v>0.8</v>
      </c>
      <c r="J102" s="31" t="inlineStr">
        <is>
          <t>FAMILY_VERIFIED</t>
        </is>
      </c>
      <c r="K102" s="24" t="inlineStr">
        <is>
          <t>https://stavimbydlim.cz/postup-hydroizolace-zakladove-desky-v-6-krocich/</t>
        </is>
      </c>
      <c r="L102" s="24" t="inlineStr"/>
      <c r="M102" s="24" t="inlineStr"/>
      <c r="N102" s="24" t="inlineStr"/>
    </row>
    <row r="103">
      <c r="B103" s="24" t="inlineStr">
        <is>
          <t>260219_dum.PSV71.002</t>
        </is>
      </c>
      <c r="C103" s="24" t="inlineStr">
        <is>
          <t>PSV-71 Izolace HI</t>
        </is>
      </c>
      <c r="D103" s="24" t="inlineStr">
        <is>
          <t>Odvětrání radonu z podloží — perforované DN50 trubky v štěrkovém loži + výdech n</t>
        </is>
      </c>
      <c r="E103" s="24" t="inlineStr">
        <is>
          <t>712381111</t>
        </is>
      </c>
      <c r="F103" s="24" t="inlineStr">
        <is>
          <t>713381111</t>
        </is>
      </c>
      <c r="G103" s="24" t="inlineStr"/>
      <c r="H103" s="24" t="inlineStr">
        <is>
          <t>family_verified_leaf_needs_production_lookup</t>
        </is>
      </c>
      <c r="I103" s="35" t="n">
        <v>0.8</v>
      </c>
      <c r="J103" s="31" t="inlineStr">
        <is>
          <t>FAMILY_VERIFIED</t>
        </is>
      </c>
      <c r="K103" s="24" t="inlineStr">
        <is>
          <t>https://cze.sika.com/cs/produkty-pro-stavebnictvi/hydroizolaci.html</t>
        </is>
      </c>
      <c r="L103" s="24" t="inlineStr"/>
      <c r="M103" s="24" t="inlineStr"/>
      <c r="N103" s="24" t="inlineStr"/>
    </row>
    <row r="104">
      <c r="B104" s="24" t="inlineStr">
        <is>
          <t>260219_dum.PSV71.003</t>
        </is>
      </c>
      <c r="C104" s="24" t="inlineStr">
        <is>
          <t>PSV-71 Izolace HI</t>
        </is>
      </c>
      <c r="D104" s="24" t="inlineStr">
        <is>
          <t>Hydroizolační stěrka koupelen 3 ks — podlaha + sokl 200 mm + sprchový kout výška</t>
        </is>
      </c>
      <c r="E104" s="24" t="inlineStr"/>
      <c r="F104" s="24" t="inlineStr">
        <is>
          <t>771274102, 711161xxx_sterka</t>
        </is>
      </c>
      <c r="G104" s="24" t="inlineStr">
        <is>
          <t>711</t>
        </is>
      </c>
      <c r="H104" s="24" t="inlineStr">
        <is>
          <t>family_verified_leaf_needs_production_lookup</t>
        </is>
      </c>
      <c r="I104" s="35" t="n">
        <v>0.8</v>
      </c>
      <c r="J104" s="31" t="inlineStr">
        <is>
          <t>FAMILY_VERIFIED</t>
        </is>
      </c>
      <c r="K104" s="24" t="inlineStr">
        <is>
          <t>https://cze.sika.com/cs/produkty-pro-stavebnictvi/hydroizolaci.html</t>
        </is>
      </c>
      <c r="L104" s="24" t="inlineStr">
        <is>
          <t>711132101</t>
        </is>
      </c>
      <c r="M104" s="24" t="inlineStr"/>
      <c r="N104" s="24" t="inlineStr">
        <is>
          <t>WebSearch verified WRONG LEAF: URS leaf = AIP bituminous rolls, item = liquid stěrka coating for koupelna. Hint: Hydroizolační stěrka koupelen — TKP 771-27 family or 711-16 stěrka family</t>
        </is>
      </c>
    </row>
    <row r="105">
      <c r="B105" s="24" t="inlineStr">
        <is>
          <t>260219_dum.PSV71.001</t>
        </is>
      </c>
      <c r="C105" s="24" t="inlineStr">
        <is>
          <t>PSV-71 Izolace TI</t>
        </is>
      </c>
      <c r="D105" s="24" t="inlineStr">
        <is>
          <t>Podlahový EPS 150 λ=0.035 tl. 120 mm — pod betonový potěr 1.NP a 3.NP</t>
        </is>
      </c>
      <c r="E105" s="24" t="inlineStr"/>
      <c r="F105" s="24" t="inlineStr">
        <is>
          <t>713121121, 713121122</t>
        </is>
      </c>
      <c r="G105" s="24" t="inlineStr">
        <is>
          <t>713121</t>
        </is>
      </c>
      <c r="H105" s="24" t="inlineStr">
        <is>
          <t>family_verified_leaf_needs_production_lookup</t>
        </is>
      </c>
      <c r="I105" s="35" t="n">
        <v>0.8</v>
      </c>
      <c r="J105" s="31" t="inlineStr">
        <is>
          <t>FAMILY_VERIFIED</t>
        </is>
      </c>
      <c r="K105" s="24" t="inlineStr">
        <is>
          <t>https://styrotrade.cz/cs/produkty/strechy/izolace-bezne-zatizenych-plochych-strech/styro-eps-150/</t>
        </is>
      </c>
      <c r="L105" s="24" t="inlineStr">
        <is>
          <t>713141121</t>
        </is>
      </c>
      <c r="M105" s="24" t="inlineStr"/>
      <c r="N105" s="24" t="inlineStr">
        <is>
          <t>WebSearch verified WRONG LEAF: URS leaf = izolace STŘECH plochých, item = PODLAHA EPS. Hint: Podlahy = TKP 713-12 (vrstvy podlah), NOT 713-14 (střechy).</t>
        </is>
      </c>
    </row>
    <row r="106">
      <c r="B106" s="24" t="inlineStr">
        <is>
          <t>260219_dum.PSV71.002</t>
        </is>
      </c>
      <c r="C106" s="24" t="inlineStr">
        <is>
          <t>PSV-71 Izolace TI</t>
        </is>
      </c>
      <c r="D106" s="24" t="inlineStr">
        <is>
          <t>Kročejová EPS 150 / 30 dB tl. 30 mm nad ocelobetonovým stropem 2.NP/3.NP</t>
        </is>
      </c>
      <c r="E106" s="24" t="inlineStr"/>
      <c r="F106" s="24" t="inlineStr">
        <is>
          <t>713121121, 713121111</t>
        </is>
      </c>
      <c r="G106" s="24" t="inlineStr">
        <is>
          <t>713121</t>
        </is>
      </c>
      <c r="H106" s="24" t="inlineStr">
        <is>
          <t>family_verified_leaf_needs_production_lookup</t>
        </is>
      </c>
      <c r="I106" s="35" t="n">
        <v>0.8</v>
      </c>
      <c r="J106" s="31" t="inlineStr">
        <is>
          <t>FAMILY_VERIFIED</t>
        </is>
      </c>
      <c r="K106" s="24" t="inlineStr">
        <is>
          <t>https://styrotrade.cz/cs/produkty/strechy/izolace-bezne-zatizenych-plochych-strech/styro-eps-150/</t>
        </is>
      </c>
      <c r="L106" s="24" t="inlineStr">
        <is>
          <t>713141111</t>
        </is>
      </c>
      <c r="M106" s="24" t="inlineStr"/>
      <c r="N106" s="24" t="inlineStr">
        <is>
          <t>WebSearch verified WRONG LEAF: Same wrong-family — kročejová EPS podlaha, not střecha. Hint: Kročejová izolace mezi vrstvy podlahy = TKP 713-12.</t>
        </is>
      </c>
    </row>
    <row r="107">
      <c r="B107" s="24" t="inlineStr">
        <is>
          <t>260219_dum.PSV76.001</t>
        </is>
      </c>
      <c r="C107" s="24" t="inlineStr">
        <is>
          <t>PSV-76 Výplně otvorů</t>
        </is>
      </c>
      <c r="D107" s="24" t="inlineStr">
        <is>
          <t>Plastové okno izolačním trojsklem Uw=0.85 W/m²K — typ 'okno 1.NP' velikost 1185×</t>
        </is>
      </c>
      <c r="E107" s="24" t="inlineStr">
        <is>
          <t>766621011</t>
        </is>
      </c>
      <c r="F107" s="24" t="inlineStr">
        <is>
          <t>766629011, 766629111</t>
        </is>
      </c>
      <c r="G107" s="24" t="inlineStr"/>
      <c r="H107" s="24" t="inlineStr">
        <is>
          <t>family_verified_leaf_needs_production_lookup</t>
        </is>
      </c>
      <c r="I107" s="35" t="n">
        <v>0.8</v>
      </c>
      <c r="J107" s="31" t="inlineStr">
        <is>
          <t>FAMILY_VERIFIED</t>
        </is>
      </c>
      <c r="K107" s="24" t="inlineStr">
        <is>
          <t>https://www.vekra.cz/radce/plastova-okna-s-trojsklem/</t>
        </is>
      </c>
      <c r="L107" s="24" t="inlineStr"/>
      <c r="M107" s="24" t="inlineStr"/>
      <c r="N107" s="24" t="inlineStr"/>
    </row>
    <row r="108">
      <c r="B108" s="24" t="inlineStr">
        <is>
          <t>260219_dum.PSV76.002</t>
        </is>
      </c>
      <c r="C108" s="24" t="inlineStr">
        <is>
          <t>PSV-76 Výplně otvorů</t>
        </is>
      </c>
      <c r="D108" s="24" t="inlineStr">
        <is>
          <t>Plastové okno izolačním trojsklem Uw=0.85 W/m²K — typ 'okno 1.NP vzadu' velikost</t>
        </is>
      </c>
      <c r="E108" s="24" t="inlineStr">
        <is>
          <t>766621011</t>
        </is>
      </c>
      <c r="F108" s="24" t="inlineStr">
        <is>
          <t>766629011, 766629111</t>
        </is>
      </c>
      <c r="G108" s="24" t="inlineStr"/>
      <c r="H108" s="24" t="inlineStr">
        <is>
          <t>needs_production_lookup</t>
        </is>
      </c>
      <c r="I108" s="35" t="n">
        <v>0.65</v>
      </c>
      <c r="J108" s="32" t="inlineStr"/>
      <c r="K108" s="24" t="inlineStr"/>
      <c r="L108" s="24" t="inlineStr"/>
      <c r="M108" s="24" t="inlineStr"/>
      <c r="N108" s="24" t="inlineStr"/>
    </row>
    <row r="109">
      <c r="B109" s="24" t="inlineStr">
        <is>
          <t>260219_dum.PSV76.003</t>
        </is>
      </c>
      <c r="C109" s="24" t="inlineStr">
        <is>
          <t>PSV-76 Výplně otvorů</t>
        </is>
      </c>
      <c r="D109" s="24" t="inlineStr">
        <is>
          <t>Plastové okno izolačním trojsklem Uw=0.85 W/m²K — typ 'okno 2.NP' velikost 1160×</t>
        </is>
      </c>
      <c r="E109" s="24" t="inlineStr">
        <is>
          <t>766621011</t>
        </is>
      </c>
      <c r="F109" s="24" t="inlineStr">
        <is>
          <t>766629011, 766629111</t>
        </is>
      </c>
      <c r="G109" s="24" t="inlineStr"/>
      <c r="H109" s="24" t="inlineStr">
        <is>
          <t>needs_production_lookup</t>
        </is>
      </c>
      <c r="I109" s="35" t="n">
        <v>0.65</v>
      </c>
      <c r="J109" s="32" t="inlineStr"/>
      <c r="K109" s="24" t="inlineStr"/>
      <c r="L109" s="24" t="inlineStr"/>
      <c r="M109" s="24" t="inlineStr"/>
      <c r="N109" s="24" t="inlineStr"/>
    </row>
    <row r="110">
      <c r="B110" s="24" t="inlineStr">
        <is>
          <t>260219_dum.PSV76.004</t>
        </is>
      </c>
      <c r="C110" s="24" t="inlineStr">
        <is>
          <t>PSV-76 Výplně otvorů</t>
        </is>
      </c>
      <c r="D110" s="24" t="inlineStr">
        <is>
          <t>Plastové okno izolačním trojsklem Uw=0.85 W/m²K — typ 'okno 3.NP' velikost 1785×</t>
        </is>
      </c>
      <c r="E110" s="24" t="inlineStr">
        <is>
          <t>766621011</t>
        </is>
      </c>
      <c r="F110" s="24" t="inlineStr">
        <is>
          <t>766629011, 766629111</t>
        </is>
      </c>
      <c r="G110" s="24" t="inlineStr"/>
      <c r="H110" s="24" t="inlineStr">
        <is>
          <t>needs_production_lookup</t>
        </is>
      </c>
      <c r="I110" s="35" t="n">
        <v>0.65</v>
      </c>
      <c r="J110" s="32" t="inlineStr"/>
      <c r="K110" s="24" t="inlineStr"/>
      <c r="L110" s="24" t="inlineStr"/>
      <c r="M110" s="24" t="inlineStr"/>
      <c r="N110" s="24" t="inlineStr"/>
    </row>
    <row r="111">
      <c r="B111" s="24" t="inlineStr">
        <is>
          <t>260219_dum.PSV76.005</t>
        </is>
      </c>
      <c r="C111" s="24" t="inlineStr">
        <is>
          <t>PSV-76 Výplně otvorů</t>
        </is>
      </c>
      <c r="D111" s="24" t="inlineStr">
        <is>
          <t>Plastové okno izolačním trojsklem Uw=0.85 W/m²K — typ 'okno 3.NP vzadu' velikost</t>
        </is>
      </c>
      <c r="E111" s="24" t="inlineStr">
        <is>
          <t>766621011</t>
        </is>
      </c>
      <c r="F111" s="24" t="inlineStr">
        <is>
          <t>766629011, 766629111</t>
        </is>
      </c>
      <c r="G111" s="24" t="inlineStr"/>
      <c r="H111" s="24" t="inlineStr">
        <is>
          <t>needs_production_lookup</t>
        </is>
      </c>
      <c r="I111" s="35" t="n">
        <v>0.65</v>
      </c>
      <c r="J111" s="32" t="inlineStr"/>
      <c r="K111" s="24" t="inlineStr"/>
      <c r="L111" s="24" t="inlineStr"/>
      <c r="M111" s="24" t="inlineStr"/>
      <c r="N111" s="24" t="inlineStr"/>
    </row>
    <row r="112">
      <c r="B112" s="24" t="inlineStr">
        <is>
          <t>260219_dum.PSV76.006</t>
        </is>
      </c>
      <c r="C112" s="24" t="inlineStr">
        <is>
          <t>PSV-76 Výplně otvorů</t>
        </is>
      </c>
      <c r="D112" s="24" t="inlineStr">
        <is>
          <t>Plastové okno izolačním trojsklem Uw=0.85 W/m²K — typ 'okno male 3.NP vzadu' vel</t>
        </is>
      </c>
      <c r="E112" s="24" t="inlineStr">
        <is>
          <t>766621011</t>
        </is>
      </c>
      <c r="F112" s="24" t="inlineStr">
        <is>
          <t>766629011, 766629111</t>
        </is>
      </c>
      <c r="G112" s="24" t="inlineStr"/>
      <c r="H112" s="24" t="inlineStr">
        <is>
          <t>needs_production_lookup</t>
        </is>
      </c>
      <c r="I112" s="35" t="n">
        <v>0.65</v>
      </c>
      <c r="J112" s="32" t="inlineStr"/>
      <c r="K112" s="24" t="inlineStr"/>
      <c r="L112" s="24" t="inlineStr"/>
      <c r="M112" s="24" t="inlineStr"/>
      <c r="N112" s="24" t="inlineStr"/>
    </row>
    <row r="113">
      <c r="B113" s="24" t="inlineStr">
        <is>
          <t>260219_dum.PSV76.007</t>
        </is>
      </c>
      <c r="C113" s="24" t="inlineStr">
        <is>
          <t>PSV-76 Výplně otvorů</t>
        </is>
      </c>
      <c r="D113" s="24" t="inlineStr">
        <is>
          <t>Plastové okno izolačním trojsklem Uw=0.85 W/m²K — typ 'okno malé vzadu' velikost</t>
        </is>
      </c>
      <c r="E113" s="24" t="inlineStr">
        <is>
          <t>766621011</t>
        </is>
      </c>
      <c r="F113" s="24" t="inlineStr">
        <is>
          <t>766629011, 766629111</t>
        </is>
      </c>
      <c r="G113" s="24" t="inlineStr"/>
      <c r="H113" s="24" t="inlineStr">
        <is>
          <t>needs_production_lookup</t>
        </is>
      </c>
      <c r="I113" s="35" t="n">
        <v>0.65</v>
      </c>
      <c r="J113" s="32" t="inlineStr"/>
      <c r="K113" s="24" t="inlineStr"/>
      <c r="L113" s="24" t="inlineStr"/>
      <c r="M113" s="24" t="inlineStr"/>
      <c r="N113" s="24" t="inlineStr"/>
    </row>
    <row r="114">
      <c r="B114" s="24" t="inlineStr">
        <is>
          <t>260219_dum.PSV76.008</t>
        </is>
      </c>
      <c r="C114" s="24" t="inlineStr">
        <is>
          <t>PSV-76 Výplně otvorů</t>
        </is>
      </c>
      <c r="D114" s="24" t="inlineStr">
        <is>
          <t>Integrované stínící venkovní žaluzie v kastlíku pod omítkou s purenitovou izolac</t>
        </is>
      </c>
      <c r="E114" s="24" t="inlineStr">
        <is>
          <t>766631211</t>
        </is>
      </c>
      <c r="F114" s="24" t="inlineStr">
        <is>
          <t>766632111, 767531111</t>
        </is>
      </c>
      <c r="G114" s="24" t="inlineStr"/>
      <c r="H114" s="24" t="inlineStr">
        <is>
          <t>needs_production_lookup</t>
        </is>
      </c>
      <c r="I114" s="35" t="n">
        <v>0.65</v>
      </c>
      <c r="J114" s="32" t="inlineStr"/>
      <c r="K114" s="24" t="inlineStr"/>
      <c r="L114" s="24" t="inlineStr"/>
      <c r="M114" s="24" t="inlineStr"/>
      <c r="N114" s="24" t="inlineStr"/>
    </row>
    <row r="115">
      <c r="B115" s="24" t="inlineStr">
        <is>
          <t>260219_dum.PSV76.009</t>
        </is>
      </c>
      <c r="C115" s="24" t="inlineStr">
        <is>
          <t>PSV-76 Výplně otvorů</t>
        </is>
      </c>
      <c r="D115" s="24" t="inlineStr">
        <is>
          <t>Plastové vstupní dveře (ulice + zahrada) — 2 ks</t>
        </is>
      </c>
      <c r="E115" s="24" t="inlineStr">
        <is>
          <t>766682111</t>
        </is>
      </c>
      <c r="F115" s="24" t="inlineStr">
        <is>
          <t>766682112, 766681111</t>
        </is>
      </c>
      <c r="G115" s="24" t="inlineStr"/>
      <c r="H115" s="24" t="inlineStr">
        <is>
          <t>needs_production_lookup</t>
        </is>
      </c>
      <c r="I115" s="35" t="n">
        <v>0.65</v>
      </c>
      <c r="J115" s="32" t="inlineStr"/>
      <c r="K115" s="24" t="inlineStr"/>
      <c r="L115" s="24" t="inlineStr"/>
      <c r="M115" s="24" t="inlineStr"/>
      <c r="N115" s="24" t="inlineStr"/>
    </row>
    <row r="116">
      <c r="B116" s="24" t="inlineStr">
        <is>
          <t>260219_dum.PSV76.010</t>
        </is>
      </c>
      <c r="C116" s="24" t="inlineStr">
        <is>
          <t>PSV-76 Výplně otvorů</t>
        </is>
      </c>
      <c r="D116" s="24" t="inlineStr">
        <is>
          <t>Vnitřní dveře DTD laminované s obložkovou zárubní — odhad 15 ks</t>
        </is>
      </c>
      <c r="E116" s="24" t="inlineStr">
        <is>
          <t>766660035</t>
        </is>
      </c>
      <c r="F116" s="24" t="inlineStr">
        <is>
          <t>766660036, 766660031</t>
        </is>
      </c>
      <c r="G116" s="24" t="inlineStr"/>
      <c r="H116" s="24" t="inlineStr">
        <is>
          <t>needs_production_lookup</t>
        </is>
      </c>
      <c r="I116" s="35" t="n">
        <v>0.65</v>
      </c>
      <c r="J116" s="32" t="inlineStr"/>
      <c r="K116" s="24" t="inlineStr"/>
      <c r="L116" s="24" t="inlineStr"/>
      <c r="M116" s="24" t="inlineStr"/>
      <c r="N116" s="24" t="inlineStr"/>
    </row>
    <row r="117">
      <c r="B117" s="24" t="inlineStr">
        <is>
          <t>260219_dum.PSV76.001</t>
        </is>
      </c>
      <c r="C117" s="24" t="inlineStr">
        <is>
          <t>PSV-76 Klempíř</t>
        </is>
      </c>
      <c r="D117" s="24" t="inlineStr">
        <is>
          <t>Klempířské oplechování krytiny — úžlabí, hřeben, štítové lemy (Al / Pzn lakovaný</t>
        </is>
      </c>
      <c r="E117" s="24" t="inlineStr">
        <is>
          <t>764312235</t>
        </is>
      </c>
      <c r="F117" s="24" t="inlineStr">
        <is>
          <t>764315235, 764312245</t>
        </is>
      </c>
      <c r="G117" s="24" t="inlineStr"/>
      <c r="H117" s="24" t="inlineStr">
        <is>
          <t>family_verified_leaf_needs_production_lookup</t>
        </is>
      </c>
      <c r="I117" s="35" t="n">
        <v>0.75</v>
      </c>
      <c r="J117" s="31" t="inlineStr">
        <is>
          <t>FAMILY_VERIFIED_CHAPTER_MATCH</t>
        </is>
      </c>
      <c r="K117" s="24" t="inlineStr">
        <is>
          <t>https://www.cs-urs.cz/podminky/cu201/800-764-Konstrukce-klempirske-(2020-I)/16/</t>
        </is>
      </c>
      <c r="L117" s="24" t="inlineStr"/>
      <c r="M117" s="24" t="inlineStr"/>
      <c r="N117" s="24" t="inlineStr"/>
    </row>
    <row r="118">
      <c r="B118" s="24" t="inlineStr">
        <is>
          <t>260219_dum.PSV76.002</t>
        </is>
      </c>
      <c r="C118" s="24" t="inlineStr">
        <is>
          <t>PSV-76 Klempíř</t>
        </is>
      </c>
      <c r="D118" s="24" t="inlineStr">
        <is>
          <t>Venkovní parapety oken — Pzn plech lakovaný 250 mm × tl. 0.55 mm × 16 ks oken</t>
        </is>
      </c>
      <c r="E118" s="24" t="inlineStr">
        <is>
          <t>764218201</t>
        </is>
      </c>
      <c r="F118" s="24" t="inlineStr">
        <is>
          <t>764218205, 764218210</t>
        </is>
      </c>
      <c r="G118" s="24" t="inlineStr"/>
      <c r="H118" s="24" t="inlineStr">
        <is>
          <t>family_verified_leaf_needs_production_lookup</t>
        </is>
      </c>
      <c r="I118" s="35" t="n">
        <v>0.75</v>
      </c>
      <c r="J118" s="31" t="inlineStr">
        <is>
          <t>FAMILY_VERIFIED_CHAPTER_MATCH</t>
        </is>
      </c>
      <c r="K118" s="24" t="inlineStr">
        <is>
          <t>https://www.cs-urs.cz/podminky/cu201/800-764-Konstrukce-klempirske-(2020-I)/16/</t>
        </is>
      </c>
      <c r="L118" s="24" t="inlineStr"/>
      <c r="M118" s="24" t="inlineStr"/>
      <c r="N118" s="24" t="inlineStr"/>
    </row>
    <row r="119">
      <c r="B119" s="24" t="inlineStr">
        <is>
          <t>260219_dum.PSV76.003</t>
        </is>
      </c>
      <c r="C119" s="24" t="inlineStr">
        <is>
          <t>PSV-76 Klempíř</t>
        </is>
      </c>
      <c r="D119" s="24" t="inlineStr">
        <is>
          <t>Dešťové svody Pzn 100 mm + žlaby — 4 svody × ~14 m + žlaby per obvod střechy</t>
        </is>
      </c>
      <c r="E119" s="24" t="inlineStr">
        <is>
          <t>764454802</t>
        </is>
      </c>
      <c r="F119" s="24" t="inlineStr">
        <is>
          <t>764451802, 764454805</t>
        </is>
      </c>
      <c r="G119" s="24" t="inlineStr"/>
      <c r="H119" s="24" t="inlineStr">
        <is>
          <t>family_verified_leaf_needs_production_lookup</t>
        </is>
      </c>
      <c r="I119" s="35" t="n">
        <v>0.75</v>
      </c>
      <c r="J119" s="31" t="inlineStr">
        <is>
          <t>FAMILY_VERIFIED_CHAPTER_MATCH</t>
        </is>
      </c>
      <c r="K119" s="24" t="inlineStr">
        <is>
          <t>https://www.cs-urs.cz/podminky/cu201/800-764-Konstrukce-klempirske-(2020-I)/16/</t>
        </is>
      </c>
      <c r="L119" s="24" t="inlineStr"/>
      <c r="M119" s="24" t="inlineStr"/>
      <c r="N119" s="24" t="inlineStr"/>
    </row>
    <row r="120">
      <c r="B120" s="24" t="inlineStr">
        <is>
          <t>260219_dum.PSV76.004</t>
        </is>
      </c>
      <c r="C120" s="24" t="inlineStr">
        <is>
          <t>PSV-76 Klempíř</t>
        </is>
      </c>
      <c r="D120" s="24" t="inlineStr">
        <is>
          <t>Klempířské doplňky vikýřů + atika + závětrné lemy (4 vikýře komplexní detail)</t>
        </is>
      </c>
      <c r="E120" s="24" t="inlineStr">
        <is>
          <t>764315235</t>
        </is>
      </c>
      <c r="F120" s="24" t="inlineStr">
        <is>
          <t>764312235</t>
        </is>
      </c>
      <c r="G120" s="24" t="inlineStr"/>
      <c r="H120" s="24" t="inlineStr">
        <is>
          <t>family_verified_leaf_needs_production_lookup</t>
        </is>
      </c>
      <c r="I120" s="35" t="n">
        <v>0.75</v>
      </c>
      <c r="J120" s="31" t="inlineStr">
        <is>
          <t>FAMILY_VERIFIED_CHAPTER_MATCH</t>
        </is>
      </c>
      <c r="K120" s="24" t="inlineStr">
        <is>
          <t>https://www.cs-urs.cz/podminky/cu201/800-764-Konstrukce-klempirske-(2020-I)/16/</t>
        </is>
      </c>
      <c r="L120" s="24" t="inlineStr"/>
      <c r="M120" s="24" t="inlineStr"/>
      <c r="N120" s="24" t="inlineStr"/>
    </row>
    <row r="121">
      <c r="B121" s="24" t="inlineStr">
        <is>
          <t>260219_dum.PSV76.001</t>
        </is>
      </c>
      <c r="C121" s="24" t="inlineStr">
        <is>
          <t>PSV-76 Zámečnictví</t>
        </is>
      </c>
      <c r="D121" s="24" t="inlineStr">
        <is>
          <t>Ocelové schodiště ze zahrady na mezipodestu — UPE200 schodnice + dřevěné nášlapy</t>
        </is>
      </c>
      <c r="E121" s="24" t="inlineStr">
        <is>
          <t>767531111</t>
        </is>
      </c>
      <c r="F121" s="24" t="inlineStr">
        <is>
          <t>767542111</t>
        </is>
      </c>
      <c r="G121" s="24" t="inlineStr"/>
      <c r="H121" s="24" t="inlineStr">
        <is>
          <t>family_verified_leaf_needs_production_lookup</t>
        </is>
      </c>
      <c r="I121" s="35" t="n">
        <v>0.8</v>
      </c>
      <c r="J121" s="31" t="inlineStr">
        <is>
          <t>FAMILY_VERIFIED</t>
        </is>
      </c>
      <c r="K121" s="24" t="inlineStr">
        <is>
          <t>https://www.obchodprodilnu.cz/produkty/stavebni-prvky-a-materialy/rosty-schodnice/schodnice-ocelove.html</t>
        </is>
      </c>
      <c r="L121" s="24" t="inlineStr"/>
      <c r="M121" s="24" t="inlineStr"/>
      <c r="N121" s="24" t="inlineStr"/>
    </row>
    <row r="122">
      <c r="B122" s="24" t="inlineStr">
        <is>
          <t>260219_dum.PSV76.002</t>
        </is>
      </c>
      <c r="C122" s="24" t="inlineStr">
        <is>
          <t>PSV-76 Zámečnictví</t>
        </is>
      </c>
      <c r="D122" s="24" t="inlineStr">
        <is>
          <t>Interní ocelové schodiště do spacího patra v 3.NP s dřevěnými stupni (truhlářské</t>
        </is>
      </c>
      <c r="E122" s="24" t="inlineStr">
        <is>
          <t>767531111</t>
        </is>
      </c>
      <c r="F122" s="24" t="inlineStr">
        <is>
          <t>767542111</t>
        </is>
      </c>
      <c r="G122" s="24" t="inlineStr"/>
      <c r="H122" s="24" t="inlineStr">
        <is>
          <t>family_verified_leaf_needs_production_lookup</t>
        </is>
      </c>
      <c r="I122" s="35" t="n">
        <v>0.8</v>
      </c>
      <c r="J122" s="31" t="inlineStr">
        <is>
          <t>FAMILY_VERIFIED</t>
        </is>
      </c>
      <c r="K122" s="24" t="inlineStr">
        <is>
          <t>https://www.obchodprodilnu.cz/produkty/stavebni-prvky-a-materialy/rosty-schodnice/schodnice-ocelove.html</t>
        </is>
      </c>
      <c r="L122" s="24" t="inlineStr"/>
      <c r="M122" s="24" t="inlineStr"/>
      <c r="N122" s="24" t="inlineStr"/>
    </row>
    <row r="123">
      <c r="B123" s="24" t="inlineStr">
        <is>
          <t>260219_dum.PSV76.003</t>
        </is>
      </c>
      <c r="C123" s="24" t="inlineStr">
        <is>
          <t>PSV-76 Zámečnictví</t>
        </is>
      </c>
      <c r="D123" s="24" t="inlineStr">
        <is>
          <t>Stříšky nad vstupy z ocelové konstrukce + Cetris desky + falcovaná krytina — 2 k</t>
        </is>
      </c>
      <c r="E123" s="24" t="inlineStr">
        <is>
          <t>767532111</t>
        </is>
      </c>
      <c r="F123" s="24" t="inlineStr">
        <is>
          <t>767531111</t>
        </is>
      </c>
      <c r="G123" s="24" t="inlineStr"/>
      <c r="H123" s="24" t="inlineStr">
        <is>
          <t>needs_production_lookup</t>
        </is>
      </c>
      <c r="I123" s="35" t="n">
        <v>0.65</v>
      </c>
      <c r="J123" s="32" t="inlineStr"/>
      <c r="K123" s="24" t="inlineStr"/>
      <c r="L123" s="24" t="inlineStr"/>
      <c r="M123" s="24" t="inlineStr"/>
      <c r="N123" s="24" t="inlineStr"/>
    </row>
    <row r="124">
      <c r="B124" s="24" t="inlineStr">
        <is>
          <t>260219_dum.PSV76.004</t>
        </is>
      </c>
      <c r="C124" s="24" t="inlineStr">
        <is>
          <t>PSV-76 Zámečnictví</t>
        </is>
      </c>
      <c r="D124" s="24" t="inlineStr">
        <is>
          <t>Ocelové zábradlí svařované z jeklů + nerez výplň pZn antracit — schodiště interi</t>
        </is>
      </c>
      <c r="E124" s="24" t="inlineStr">
        <is>
          <t>767163115</t>
        </is>
      </c>
      <c r="F124" s="24" t="inlineStr">
        <is>
          <t>767161115</t>
        </is>
      </c>
      <c r="G124" s="24" t="inlineStr"/>
      <c r="H124" s="24" t="inlineStr">
        <is>
          <t>needs_production_lookup</t>
        </is>
      </c>
      <c r="I124" s="35" t="n">
        <v>0.65</v>
      </c>
      <c r="J124" s="32" t="inlineStr"/>
      <c r="K124" s="24" t="inlineStr"/>
      <c r="L124" s="24" t="inlineStr"/>
      <c r="M124" s="24" t="inlineStr"/>
      <c r="N124" s="24" t="inlineStr"/>
    </row>
    <row r="125">
      <c r="B125" s="24" t="inlineStr">
        <is>
          <t>260219_dum.PSV76.001</t>
        </is>
      </c>
      <c r="C125" s="24" t="inlineStr">
        <is>
          <t>PSV-76 Truhlář</t>
        </is>
      </c>
      <c r="D125" s="24" t="inlineStr">
        <is>
          <t>Dřevěné stupně ocelových schodišť (truhlářské, dub masiv tl. 40 mm)</t>
        </is>
      </c>
      <c r="E125" s="24" t="inlineStr">
        <is>
          <t>766811111</t>
        </is>
      </c>
      <c r="F125" s="24" t="inlineStr">
        <is>
          <t>766812111</t>
        </is>
      </c>
      <c r="G125" s="24" t="inlineStr"/>
      <c r="H125" s="24" t="inlineStr">
        <is>
          <t>needs_production_lookup</t>
        </is>
      </c>
      <c r="I125" s="35" t="n">
        <v>0.65</v>
      </c>
      <c r="J125" s="32" t="inlineStr"/>
      <c r="K125" s="24" t="inlineStr"/>
      <c r="L125" s="24" t="inlineStr"/>
      <c r="M125" s="24" t="inlineStr"/>
      <c r="N125" s="24" t="inlineStr"/>
    </row>
    <row r="126">
      <c r="B126" s="24" t="inlineStr">
        <is>
          <t>260219_dum.PSV76.002</t>
        </is>
      </c>
      <c r="C126" s="24" t="inlineStr">
        <is>
          <t>PSV-76 Truhlář</t>
        </is>
      </c>
      <c r="D126" s="24" t="inlineStr">
        <is>
          <t>Dřevěná terasa za opěrnou stěnou — prkna garapa 145×25 mm na dřevěném roštu z hr</t>
        </is>
      </c>
      <c r="E126" s="24" t="inlineStr"/>
      <c r="F126" s="24" t="inlineStr">
        <is>
          <t>766811111</t>
        </is>
      </c>
      <c r="G126" s="24" t="inlineStr">
        <is>
          <t>762</t>
        </is>
      </c>
      <c r="H126" s="24" t="inlineStr">
        <is>
          <t>family_762_leaf_lookup_required</t>
        </is>
      </c>
      <c r="I126" s="35" t="n">
        <v>0.65</v>
      </c>
      <c r="J126" s="33" t="inlineStr">
        <is>
          <t>REZ_CC_CORRECTED_wood_deck_762_split_by_trade</t>
        </is>
      </c>
      <c r="K126" s="24" t="inlineStr"/>
      <c r="L126" s="24" t="inlineStr">
        <is>
          <t>771474112</t>
        </is>
      </c>
      <c r="M126" s="24" t="inlineStr">
        <is>
          <t>ŘEZ C-C 2026-05-29: dřevěná pochozí terasa (prkna garapa + dřevěný rošt z hranolů) → família 762 (tesařské/truhlářské konstrukce). Kód 771474112 (dlaždice domain) BYL WRONG — odstraněn (Pattern 26, ne</t>
        </is>
      </c>
      <c r="N126" s="24" t="inlineStr"/>
    </row>
    <row r="127">
      <c r="B127" s="24" t="inlineStr">
        <is>
          <t>260219_dum.PSV77.001</t>
        </is>
      </c>
      <c r="C127" s="24" t="inlineStr">
        <is>
          <t>PSV-77 Podlahy</t>
        </is>
      </c>
      <c r="D127" s="24" t="inlineStr">
        <is>
          <t>Nášlapná vrstva vinyl tl. 4 mm na suchou skladbu — obytné místnosti (ložnice, ob</t>
        </is>
      </c>
      <c r="E127" s="24" t="inlineStr">
        <is>
          <t>776511820</t>
        </is>
      </c>
      <c r="F127" s="24" t="inlineStr">
        <is>
          <t>776521820, 776521810</t>
        </is>
      </c>
      <c r="G127" s="24" t="inlineStr"/>
      <c r="H127" s="24" t="inlineStr">
        <is>
          <t>family_verified_leaf_needs_production_lookup</t>
        </is>
      </c>
      <c r="I127" s="35" t="n">
        <v>0.8</v>
      </c>
      <c r="J127" s="31" t="inlineStr">
        <is>
          <t>FAMILY_VERIFIED</t>
        </is>
      </c>
      <c r="K127" s="24" t="inlineStr">
        <is>
          <t>https://podminky.urs.cz/item/CS_URS_2021_02/776321212</t>
        </is>
      </c>
      <c r="L127" s="24" t="inlineStr"/>
      <c r="M127" s="24" t="inlineStr"/>
      <c r="N127" s="24" t="inlineStr"/>
    </row>
    <row r="128">
      <c r="B128" s="24" t="inlineStr">
        <is>
          <t>260219_dum.PSV77.002</t>
        </is>
      </c>
      <c r="C128" s="24" t="inlineStr">
        <is>
          <t>PSV-77 Podlahy</t>
        </is>
      </c>
      <c r="D128" s="24" t="inlineStr">
        <is>
          <t>Nášlapná vrstva keramická dlažba lepená — koupelny + WC + spíž + komora (NÁDRŽ N</t>
        </is>
      </c>
      <c r="E128" s="24" t="inlineStr">
        <is>
          <t>771274102</t>
        </is>
      </c>
      <c r="F128" s="24" t="inlineStr">
        <is>
          <t>771274107, 771271101</t>
        </is>
      </c>
      <c r="G128" s="24" t="inlineStr"/>
      <c r="H128" s="24" t="inlineStr">
        <is>
          <t>needs_production_lookup</t>
        </is>
      </c>
      <c r="I128" s="35" t="n">
        <v>0.65</v>
      </c>
      <c r="J128" s="32" t="inlineStr"/>
      <c r="K128" s="24" t="inlineStr"/>
      <c r="L128" s="24" t="inlineStr"/>
      <c r="M128" s="24" t="inlineStr"/>
      <c r="N128" s="24" t="inlineStr"/>
    </row>
    <row r="129">
      <c r="B129" s="24" t="inlineStr">
        <is>
          <t>260219_dum.PSV77.003</t>
        </is>
      </c>
      <c r="C129" s="24" t="inlineStr">
        <is>
          <t>PSV-77 Podlahy</t>
        </is>
      </c>
      <c r="D129" s="24" t="inlineStr">
        <is>
          <t xml:space="preserve">Nášlapná vrstva keramická dlažba — 1.PP technické místnosti (sušárna + sklepy + </t>
        </is>
      </c>
      <c r="E129" s="24" t="inlineStr">
        <is>
          <t>771274102</t>
        </is>
      </c>
      <c r="F129" s="24" t="inlineStr">
        <is>
          <t>771274107, 771271101</t>
        </is>
      </c>
      <c r="G129" s="24" t="inlineStr"/>
      <c r="H129" s="24" t="inlineStr">
        <is>
          <t>needs_production_lookup</t>
        </is>
      </c>
      <c r="I129" s="35" t="n">
        <v>0.65</v>
      </c>
      <c r="J129" s="32" t="inlineStr"/>
      <c r="K129" s="24" t="inlineStr"/>
      <c r="L129" s="24" t="inlineStr"/>
      <c r="M129" s="24" t="inlineStr"/>
      <c r="N129" s="24" t="inlineStr"/>
    </row>
    <row r="130">
      <c r="B130" s="24" t="inlineStr">
        <is>
          <t>260219_dum.PSV77.004</t>
        </is>
      </c>
      <c r="C130" s="24" t="inlineStr">
        <is>
          <t>PSV-77 Podlahy</t>
        </is>
      </c>
      <c r="D130" s="24" t="inlineStr">
        <is>
          <t>Nášlapná vrstva biodeska (smrk masiv) nebo OSB v 3.NP spací části nad krovem</t>
        </is>
      </c>
      <c r="E130" s="24" t="inlineStr">
        <is>
          <t>766411111</t>
        </is>
      </c>
      <c r="F130" s="24" t="inlineStr">
        <is>
          <t>766421111</t>
        </is>
      </c>
      <c r="G130" s="24" t="inlineStr"/>
      <c r="H130" s="24" t="inlineStr">
        <is>
          <t>needs_production_lookup</t>
        </is>
      </c>
      <c r="I130" s="35" t="n">
        <v>0.65</v>
      </c>
      <c r="J130" s="32" t="inlineStr"/>
      <c r="K130" s="24" t="inlineStr"/>
      <c r="L130" s="24" t="inlineStr"/>
      <c r="M130" s="24" t="inlineStr"/>
      <c r="N130" s="24" t="inlineStr"/>
    </row>
    <row r="131">
      <c r="B131" s="24" t="inlineStr">
        <is>
          <t>260219_dum.PSV77.005</t>
        </is>
      </c>
      <c r="C131" s="24" t="inlineStr">
        <is>
          <t>PSV-77 Podlahy</t>
        </is>
      </c>
      <c r="D131" s="24" t="inlineStr">
        <is>
          <t>Mokrá podlahová skladba — betonový potěr s kari síťkou 4/100/100 tl. 50 mm + sam</t>
        </is>
      </c>
      <c r="E131" s="24" t="inlineStr">
        <is>
          <t>631321311</t>
        </is>
      </c>
      <c r="F131" s="24" t="inlineStr">
        <is>
          <t>631321411</t>
        </is>
      </c>
      <c r="G131" s="24" t="inlineStr"/>
      <c r="H131" s="24" t="inlineStr">
        <is>
          <t>needs_production_lookup</t>
        </is>
      </c>
      <c r="I131" s="35" t="n">
        <v>0.65</v>
      </c>
      <c r="J131" s="32" t="inlineStr"/>
      <c r="K131" s="24" t="inlineStr"/>
      <c r="L131" s="24" t="inlineStr"/>
      <c r="M131" s="24" t="inlineStr"/>
      <c r="N131" s="24" t="inlineStr"/>
    </row>
    <row r="132">
      <c r="B132" s="24" t="inlineStr">
        <is>
          <t>260219_dum.PSV77.006</t>
        </is>
      </c>
      <c r="C132" s="24" t="inlineStr">
        <is>
          <t>PSV-77 Podlahy</t>
        </is>
      </c>
      <c r="D132" s="24" t="inlineStr">
        <is>
          <t>Soklíky podlahové laminátové (dub) v obytných místnostech s vinyl podlahou</t>
        </is>
      </c>
      <c r="E132" s="24" t="inlineStr">
        <is>
          <t>776511831</t>
        </is>
      </c>
      <c r="F132" s="24" t="inlineStr">
        <is>
          <t>776511820</t>
        </is>
      </c>
      <c r="G132" s="24" t="inlineStr"/>
      <c r="H132" s="24" t="inlineStr">
        <is>
          <t>needs_production_lookup</t>
        </is>
      </c>
      <c r="I132" s="35" t="n">
        <v>0.65</v>
      </c>
      <c r="J132" s="32" t="inlineStr"/>
      <c r="K132" s="24" t="inlineStr"/>
      <c r="L132" s="24" t="inlineStr"/>
      <c r="M132" s="24" t="inlineStr"/>
      <c r="N132" s="24" t="inlineStr"/>
    </row>
    <row r="133">
      <c r="B133" s="24" t="inlineStr">
        <is>
          <t>260219_dum.PSV77.007</t>
        </is>
      </c>
      <c r="C133" s="24" t="inlineStr">
        <is>
          <t>PSV-77 Podlahy</t>
        </is>
      </c>
      <c r="D133" s="24" t="inlineStr">
        <is>
          <t>Soklíky keramické v místnostech s dlažbou (koupelny + WC + spíž + 1.PP)</t>
        </is>
      </c>
      <c r="E133" s="24" t="inlineStr">
        <is>
          <t>771274107</t>
        </is>
      </c>
      <c r="F133" s="24" t="inlineStr">
        <is>
          <t>771274102</t>
        </is>
      </c>
      <c r="G133" s="24" t="inlineStr"/>
      <c r="H133" s="24" t="inlineStr">
        <is>
          <t>needs_production_lookup</t>
        </is>
      </c>
      <c r="I133" s="35" t="n">
        <v>0.65</v>
      </c>
      <c r="J133" s="32" t="inlineStr"/>
      <c r="K133" s="24" t="inlineStr"/>
      <c r="L133" s="24" t="inlineStr"/>
      <c r="M133" s="24" t="inlineStr"/>
      <c r="N133" s="24" t="inlineStr"/>
    </row>
    <row r="134">
      <c r="B134" s="24" t="inlineStr">
        <is>
          <t>260219_dum.PSV78.001</t>
        </is>
      </c>
      <c r="C134" s="24" t="inlineStr">
        <is>
          <t>PSV-78 Povrchové úpravy</t>
        </is>
      </c>
      <c r="D134" s="24" t="inlineStr">
        <is>
          <t>Omítka jádrová vápenocementová tl. 15 mm + štuková povrchová úprava na stěnách 1</t>
        </is>
      </c>
      <c r="E134" s="24" t="inlineStr">
        <is>
          <t>612311311</t>
        </is>
      </c>
      <c r="F134" s="24" t="inlineStr">
        <is>
          <t>612301351</t>
        </is>
      </c>
      <c r="G134" s="24" t="inlineStr"/>
      <c r="H134" s="24" t="inlineStr">
        <is>
          <t>needs_production_lookup</t>
        </is>
      </c>
      <c r="I134" s="35" t="n">
        <v>0.65</v>
      </c>
      <c r="J134" s="32" t="inlineStr"/>
      <c r="K134" s="24" t="inlineStr"/>
      <c r="L134" s="24" t="inlineStr"/>
      <c r="M134" s="24" t="inlineStr"/>
      <c r="N134" s="24" t="inlineStr"/>
    </row>
    <row r="135">
      <c r="B135" s="24" t="inlineStr">
        <is>
          <t>260219_dum.PSV78.002</t>
        </is>
      </c>
      <c r="C135" s="24" t="inlineStr">
        <is>
          <t>PSV-78 Povrchové úpravy</t>
        </is>
      </c>
      <c r="D135" s="24" t="inlineStr">
        <is>
          <t>Omítka jádrová vápenocementová tl. 15 mm + štuková povrchová úprava na stěnách 1</t>
        </is>
      </c>
      <c r="E135" s="24" t="inlineStr">
        <is>
          <t>612311311</t>
        </is>
      </c>
      <c r="F135" s="24" t="inlineStr">
        <is>
          <t>612301351</t>
        </is>
      </c>
      <c r="G135" s="24" t="inlineStr"/>
      <c r="H135" s="24" t="inlineStr">
        <is>
          <t>needs_production_lookup</t>
        </is>
      </c>
      <c r="I135" s="35" t="n">
        <v>0.65</v>
      </c>
      <c r="J135" s="32" t="inlineStr"/>
      <c r="K135" s="24" t="inlineStr"/>
      <c r="L135" s="24" t="inlineStr"/>
      <c r="M135" s="24" t="inlineStr"/>
      <c r="N135" s="24" t="inlineStr"/>
    </row>
    <row r="136">
      <c r="B136" s="24" t="inlineStr">
        <is>
          <t>260219_dum.PSV78.003</t>
        </is>
      </c>
      <c r="C136" s="24" t="inlineStr">
        <is>
          <t>PSV-78 Povrchové úpravy</t>
        </is>
      </c>
      <c r="D136" s="24" t="inlineStr">
        <is>
          <t>Omítka jádrová vápenocementová tl. 15 mm + štuková povrchová úprava na stěnách 2</t>
        </is>
      </c>
      <c r="E136" s="24" t="inlineStr">
        <is>
          <t>612311311</t>
        </is>
      </c>
      <c r="F136" s="24" t="inlineStr">
        <is>
          <t>612301351</t>
        </is>
      </c>
      <c r="G136" s="24" t="inlineStr"/>
      <c r="H136" s="24" t="inlineStr">
        <is>
          <t>needs_production_lookup</t>
        </is>
      </c>
      <c r="I136" s="35" t="n">
        <v>0.65</v>
      </c>
      <c r="J136" s="32" t="inlineStr"/>
      <c r="K136" s="24" t="inlineStr"/>
      <c r="L136" s="24" t="inlineStr"/>
      <c r="M136" s="24" t="inlineStr"/>
      <c r="N136" s="24" t="inlineStr"/>
    </row>
    <row r="137">
      <c r="B137" s="24" t="inlineStr">
        <is>
          <t>260219_dum.PSV78.004</t>
        </is>
      </c>
      <c r="C137" s="24" t="inlineStr">
        <is>
          <t>PSV-78 Povrchové úpravy</t>
        </is>
      </c>
      <c r="D137" s="24" t="inlineStr">
        <is>
          <t>Omítka jádrová vápenocementová tl. 15 mm + štuková povrchová úprava na stěnách 3</t>
        </is>
      </c>
      <c r="E137" s="24" t="inlineStr">
        <is>
          <t>612311311</t>
        </is>
      </c>
      <c r="F137" s="24" t="inlineStr">
        <is>
          <t>612301351</t>
        </is>
      </c>
      <c r="G137" s="24" t="inlineStr"/>
      <c r="H137" s="24" t="inlineStr">
        <is>
          <t>needs_production_lookup</t>
        </is>
      </c>
      <c r="I137" s="35" t="n">
        <v>0.65</v>
      </c>
      <c r="J137" s="32" t="inlineStr"/>
      <c r="K137" s="24" t="inlineStr"/>
      <c r="L137" s="24" t="inlineStr"/>
      <c r="M137" s="24" t="inlineStr"/>
      <c r="N137" s="24" t="inlineStr"/>
    </row>
    <row r="138">
      <c r="B138" s="24" t="inlineStr">
        <is>
          <t>260219_dum.PSV78.005</t>
        </is>
      </c>
      <c r="C138" s="24" t="inlineStr">
        <is>
          <t>PSV-78 Povrchové úpravy</t>
        </is>
      </c>
      <c r="D138" s="24" t="inlineStr">
        <is>
          <t>SDK podhled + případné předstěny — tmelení spojů Q3 + povrchová úprava před výma</t>
        </is>
      </c>
      <c r="E138" s="24" t="inlineStr">
        <is>
          <t>612471141</t>
        </is>
      </c>
      <c r="F138" s="24" t="inlineStr">
        <is>
          <t>763121521</t>
        </is>
      </c>
      <c r="G138" s="24" t="inlineStr"/>
      <c r="H138" s="24" t="inlineStr">
        <is>
          <t>needs_production_lookup</t>
        </is>
      </c>
      <c r="I138" s="35" t="n">
        <v>0.65</v>
      </c>
      <c r="J138" s="32" t="inlineStr"/>
      <c r="K138" s="24" t="inlineStr"/>
      <c r="L138" s="24" t="inlineStr"/>
      <c r="M138" s="24" t="inlineStr"/>
      <c r="N138" s="24" t="inlineStr"/>
    </row>
    <row r="139">
      <c r="B139" s="24" t="inlineStr">
        <is>
          <t>260219_dum.PSV78.006</t>
        </is>
      </c>
      <c r="C139" s="24" t="inlineStr">
        <is>
          <t>PSV-78 Povrchové úpravy</t>
        </is>
      </c>
      <c r="D139" s="24" t="inlineStr">
        <is>
          <t>SDK podhled + případné předstěny — tmelení spojů Q3 + povrchová úprava před výma</t>
        </is>
      </c>
      <c r="E139" s="24" t="inlineStr">
        <is>
          <t>612471141</t>
        </is>
      </c>
      <c r="F139" s="24" t="inlineStr">
        <is>
          <t>763121521</t>
        </is>
      </c>
      <c r="G139" s="24" t="inlineStr"/>
      <c r="H139" s="24" t="inlineStr">
        <is>
          <t>needs_production_lookup</t>
        </is>
      </c>
      <c r="I139" s="35" t="n">
        <v>0.65</v>
      </c>
      <c r="J139" s="32" t="inlineStr"/>
      <c r="K139" s="24" t="inlineStr"/>
      <c r="L139" s="24" t="inlineStr"/>
      <c r="M139" s="24" t="inlineStr"/>
      <c r="N139" s="24" t="inlineStr"/>
    </row>
    <row r="140">
      <c r="B140" s="24" t="inlineStr">
        <is>
          <t>260219_dum.PSV78.007</t>
        </is>
      </c>
      <c r="C140" s="24" t="inlineStr">
        <is>
          <t>PSV-78 Povrchové úpravy</t>
        </is>
      </c>
      <c r="D140" s="24" t="inlineStr">
        <is>
          <t>SDK podhled + případné předstěny — tmelení spojů Q3 + povrchová úprava před výma</t>
        </is>
      </c>
      <c r="E140" s="24" t="inlineStr">
        <is>
          <t>612471141</t>
        </is>
      </c>
      <c r="F140" s="24" t="inlineStr">
        <is>
          <t>763121521</t>
        </is>
      </c>
      <c r="G140" s="24" t="inlineStr"/>
      <c r="H140" s="24" t="inlineStr">
        <is>
          <t>needs_production_lookup</t>
        </is>
      </c>
      <c r="I140" s="35" t="n">
        <v>0.65</v>
      </c>
      <c r="J140" s="32" t="inlineStr"/>
      <c r="K140" s="24" t="inlineStr"/>
      <c r="L140" s="24" t="inlineStr"/>
      <c r="M140" s="24" t="inlineStr"/>
      <c r="N140" s="24" t="inlineStr"/>
    </row>
    <row r="141">
      <c r="B141" s="24" t="inlineStr">
        <is>
          <t>260219_dum.PSV78.008</t>
        </is>
      </c>
      <c r="C141" s="24" t="inlineStr">
        <is>
          <t>PSV-78 Povrchové úpravy</t>
        </is>
      </c>
      <c r="D141" s="24" t="inlineStr">
        <is>
          <t>Keramický obklad stěn koupelny 1.05 1.NP — výška obkladu 1.6 m (z DXF km Obklady</t>
        </is>
      </c>
      <c r="E141" s="24" t="inlineStr">
        <is>
          <t>781447001</t>
        </is>
      </c>
      <c r="F141" s="24" t="inlineStr">
        <is>
          <t>781447003</t>
        </is>
      </c>
      <c r="G141" s="24" t="inlineStr"/>
      <c r="H141" s="24" t="inlineStr">
        <is>
          <t>needs_production_lookup</t>
        </is>
      </c>
      <c r="I141" s="35" t="n">
        <v>0.65</v>
      </c>
      <c r="J141" s="32" t="inlineStr"/>
      <c r="K141" s="24" t="inlineStr"/>
      <c r="L141" s="24" t="inlineStr"/>
      <c r="M141" s="24" t="inlineStr"/>
      <c r="N141" s="24" t="inlineStr"/>
    </row>
    <row r="142">
      <c r="B142" s="24" t="inlineStr">
        <is>
          <t>260219_dum.PSV78.009</t>
        </is>
      </c>
      <c r="C142" s="24" t="inlineStr">
        <is>
          <t>PSV-78 Povrchové úpravy</t>
        </is>
      </c>
      <c r="D142" s="24" t="inlineStr">
        <is>
          <t>Keramický obklad stěn koupelny 2.03 2.NP — výška obkladu 2.45 m (z DXF km Obklad</t>
        </is>
      </c>
      <c r="E142" s="24" t="inlineStr">
        <is>
          <t>781447001</t>
        </is>
      </c>
      <c r="F142" s="24" t="inlineStr">
        <is>
          <t>781447003</t>
        </is>
      </c>
      <c r="G142" s="24" t="inlineStr"/>
      <c r="H142" s="24" t="inlineStr">
        <is>
          <t>needs_production_lookup</t>
        </is>
      </c>
      <c r="I142" s="35" t="n">
        <v>0.65</v>
      </c>
      <c r="J142" s="32" t="inlineStr"/>
      <c r="K142" s="24" t="inlineStr"/>
      <c r="L142" s="24" t="inlineStr"/>
      <c r="M142" s="24" t="inlineStr"/>
      <c r="N142" s="24" t="inlineStr"/>
    </row>
    <row r="143">
      <c r="B143" s="24" t="inlineStr">
        <is>
          <t>260219_dum.PSV78.010</t>
        </is>
      </c>
      <c r="C143" s="24" t="inlineStr">
        <is>
          <t>PSV-78 Povrchové úpravy</t>
        </is>
      </c>
      <c r="D143" s="24" t="inlineStr">
        <is>
          <t>Keramický obklad stěn koupelny 3.04 3.NP — výška obkladu 2.7 m (z DXF km Obklady</t>
        </is>
      </c>
      <c r="E143" s="24" t="inlineStr">
        <is>
          <t>781447001</t>
        </is>
      </c>
      <c r="F143" s="24" t="inlineStr">
        <is>
          <t>781447003</t>
        </is>
      </c>
      <c r="G143" s="24" t="inlineStr"/>
      <c r="H143" s="24" t="inlineStr">
        <is>
          <t>needs_production_lookup</t>
        </is>
      </c>
      <c r="I143" s="35" t="n">
        <v>0.65</v>
      </c>
      <c r="J143" s="32" t="inlineStr"/>
      <c r="K143" s="24" t="inlineStr"/>
      <c r="L143" s="24" t="inlineStr"/>
      <c r="M143" s="24" t="inlineStr"/>
      <c r="N143" s="24" t="inlineStr"/>
    </row>
    <row r="144">
      <c r="B144" s="24" t="inlineStr">
        <is>
          <t>260219_dum.PSV78.011</t>
        </is>
      </c>
      <c r="C144" s="24" t="inlineStr">
        <is>
          <t>PSV-78 Povrchové úpravy</t>
        </is>
      </c>
      <c r="D144" s="24" t="inlineStr">
        <is>
          <t>Keramický obklad za kuchyňskou linkou nad pracovní deskou — 2 kuchyně × ~5 m² (1</t>
        </is>
      </c>
      <c r="E144" s="24" t="inlineStr">
        <is>
          <t>781447001</t>
        </is>
      </c>
      <c r="F144" s="24" t="inlineStr">
        <is>
          <t>781447003</t>
        </is>
      </c>
      <c r="G144" s="24" t="inlineStr"/>
      <c r="H144" s="24" t="inlineStr">
        <is>
          <t>needs_production_lookup</t>
        </is>
      </c>
      <c r="I144" s="35" t="n">
        <v>0.65</v>
      </c>
      <c r="J144" s="32" t="inlineStr"/>
      <c r="K144" s="24" t="inlineStr"/>
      <c r="L144" s="24" t="inlineStr"/>
      <c r="M144" s="24" t="inlineStr"/>
      <c r="N144" s="24" t="inlineStr"/>
    </row>
    <row r="145">
      <c r="B145" s="24" t="inlineStr">
        <is>
          <t>260219_dum.PSV95.001</t>
        </is>
      </c>
      <c r="C145" s="24" t="inlineStr">
        <is>
          <t>PSV-95 Detekce požární</t>
        </is>
      </c>
      <c r="D145" s="24" t="inlineStr">
        <is>
          <t>Autonomní hlásič kouře dle ČSN EN 14604 — 4 ks v místnostech 1.01, 1.02, 2.04, 3</t>
        </is>
      </c>
      <c r="E145" s="24" t="inlineStr">
        <is>
          <t>375211101</t>
        </is>
      </c>
      <c r="F145" s="24" t="inlineStr">
        <is>
          <t>375211102</t>
        </is>
      </c>
      <c r="G145" s="24" t="inlineStr"/>
      <c r="H145" s="24" t="inlineStr">
        <is>
          <t>family_verified_leaf_needs_production_lookup</t>
        </is>
      </c>
      <c r="I145" s="35" t="n">
        <v>0.8</v>
      </c>
      <c r="J145" s="31" t="inlineStr">
        <is>
          <t>FAMILY_VERIFIED</t>
        </is>
      </c>
      <c r="K145" s="24" t="inlineStr">
        <is>
          <t>https://www.technicke-normy-csn.cz/csn-en-14604-342711-182944.html</t>
        </is>
      </c>
      <c r="L145" s="24" t="inlineStr"/>
      <c r="M145" s="24" t="inlineStr"/>
      <c r="N145" s="24" t="inlineStr"/>
    </row>
    <row r="146">
      <c r="B146" s="24" t="inlineStr">
        <is>
          <t>260219_dum.PSV95.002</t>
        </is>
      </c>
      <c r="C146" s="24" t="inlineStr">
        <is>
          <t>PSV-95 Detekce požární</t>
        </is>
      </c>
      <c r="D146" s="24" t="inlineStr">
        <is>
          <t>Přenosný hasicí přístroj 34A dle PBŘ — min. 1 ks na společné chodbě</t>
        </is>
      </c>
      <c r="E146" s="24" t="inlineStr">
        <is>
          <t>966067121</t>
        </is>
      </c>
      <c r="F146" s="24" t="inlineStr">
        <is>
          <t>966067112</t>
        </is>
      </c>
      <c r="G146" s="24" t="inlineStr"/>
      <c r="H146" s="24" t="inlineStr">
        <is>
          <t>needs_production_lookup</t>
        </is>
      </c>
      <c r="I146" s="35" t="n">
        <v>0.65</v>
      </c>
      <c r="J146" s="32" t="inlineStr"/>
      <c r="K146" s="24" t="inlineStr"/>
      <c r="L146" s="24" t="inlineStr"/>
      <c r="M146" s="24" t="inlineStr"/>
      <c r="N146" s="24" t="inlineStr"/>
    </row>
    <row r="147">
      <c r="B147" s="24" t="inlineStr">
        <is>
          <t>260217_sklad.PSV76.001</t>
        </is>
      </c>
      <c r="C147" s="24" t="inlineStr">
        <is>
          <t>PSV-76 Výplně otvorů</t>
        </is>
      </c>
      <c r="D147" s="24" t="inlineStr">
        <is>
          <t>Bezpečnostní dveře RC3 v ocelové zárubni — vrata skladu (TZ statika §1.4 RC3 cer</t>
        </is>
      </c>
      <c r="E147" s="24" t="inlineStr">
        <is>
          <t>766682111</t>
        </is>
      </c>
      <c r="F147" s="24" t="inlineStr">
        <is>
          <t>767311111, 766682112</t>
        </is>
      </c>
      <c r="G147" s="24" t="inlineStr"/>
      <c r="H147" s="24" t="inlineStr">
        <is>
          <t>needs_production_lookup</t>
        </is>
      </c>
      <c r="I147" s="35" t="n">
        <v>0.65</v>
      </c>
      <c r="J147" s="32" t="inlineStr"/>
      <c r="K147" s="24" t="inlineStr"/>
      <c r="L147" s="24" t="inlineStr"/>
      <c r="M147" s="24" t="inlineStr"/>
      <c r="N147" s="24" t="inlineStr"/>
    </row>
    <row r="148">
      <c r="B148" s="24" t="inlineStr">
        <is>
          <t>260217_sklad.PSV77.001</t>
        </is>
      </c>
      <c r="C148" s="24" t="inlineStr">
        <is>
          <t>PSV-77 Podlahy</t>
        </is>
      </c>
      <c r="D148" s="24" t="inlineStr">
        <is>
          <t>Betonová dlažba do pískového lože — povrch podlahy skladu (~21 m²)</t>
        </is>
      </c>
      <c r="E148" s="24" t="inlineStr"/>
      <c r="F148" s="24" t="inlineStr">
        <is>
          <t>596211xxx_betonova_dlazba_piskove_loze, 771-12_pokladka_betonove</t>
        </is>
      </c>
      <c r="G148" s="24" t="inlineStr">
        <is>
          <t>596</t>
        </is>
      </c>
      <c r="H148" s="24" t="inlineStr">
        <is>
          <t>wrong_leaf_disambiguation_needed</t>
        </is>
      </c>
      <c r="I148" s="35" t="n">
        <v>0.5</v>
      </c>
      <c r="J148" s="33" t="inlineStr"/>
      <c r="K148" s="24" t="inlineStr"/>
      <c r="L148" s="24" t="inlineStr">
        <is>
          <t>771121011</t>
        </is>
      </c>
      <c r="M148" s="24" t="inlineStr"/>
      <c r="N148" s="24" t="inlineStr">
        <is>
          <t>WebSearch verified WRONG LEAF: URS leaf = nátěr penetrační (primer), item = betonová dlažba do pískového lože install. Hint: Betonová dlažba do pískového lože = TKP 596 (chodník) family, NOT 771-1 (pr</t>
        </is>
      </c>
    </row>
    <row r="149">
      <c r="B149" s="24" t="inlineStr">
        <is>
          <t>260219_dum.PSV72.001</t>
        </is>
      </c>
      <c r="C149" s="24" t="inlineStr">
        <is>
          <t>PSV-72 ZTI</t>
        </is>
      </c>
      <c r="D149" s="24" t="inlineStr">
        <is>
          <t>Revize stávajícího napojení vodovodu + kanalizace na pozemku — kontrola stavu, č</t>
        </is>
      </c>
      <c r="E149" s="24" t="inlineStr">
        <is>
          <t>722290515</t>
        </is>
      </c>
      <c r="F149" s="24" t="inlineStr">
        <is>
          <t>722290521</t>
        </is>
      </c>
      <c r="G149" s="24" t="inlineStr"/>
      <c r="H149" s="24" t="inlineStr">
        <is>
          <t>family_verified_leaf_needs_production_lookup</t>
        </is>
      </c>
      <c r="I149" s="35" t="n">
        <v>0.8</v>
      </c>
      <c r="J149" s="31" t="inlineStr">
        <is>
          <t>FAMILY_VERIFIED</t>
        </is>
      </c>
      <c r="K149" s="24" t="inlineStr">
        <is>
          <t>https://www.sanitino.cz/vodovodni-baterie</t>
        </is>
      </c>
      <c r="L149" s="24" t="inlineStr"/>
      <c r="M149" s="24" t="inlineStr"/>
      <c r="N149" s="24" t="inlineStr"/>
    </row>
    <row r="150">
      <c r="B150" s="24" t="inlineStr">
        <is>
          <t>260219_dum.PSV72.002</t>
        </is>
      </c>
      <c r="C150" s="24" t="inlineStr">
        <is>
          <t>PSV-72 ZTI</t>
        </is>
      </c>
      <c r="D150" s="24" t="inlineStr">
        <is>
          <t>Nové rozvody studené + teplé vody do koupelen 1.NP + 2.NP + 3.NP a kuchyní (PEX/</t>
        </is>
      </c>
      <c r="E150" s="24" t="inlineStr">
        <is>
          <t>722172011</t>
        </is>
      </c>
      <c r="F150" s="24" t="inlineStr">
        <is>
          <t>722172021, 722262111</t>
        </is>
      </c>
      <c r="G150" s="24" t="inlineStr"/>
      <c r="H150" s="24" t="inlineStr">
        <is>
          <t>family_verified_leaf_needs_production_lookup</t>
        </is>
      </c>
      <c r="I150" s="35" t="n">
        <v>0.8</v>
      </c>
      <c r="J150" s="31" t="inlineStr">
        <is>
          <t>FAMILY_VERIFIED</t>
        </is>
      </c>
      <c r="K150" s="24" t="inlineStr">
        <is>
          <t>https://www.ceskestavby.cz/jak-se-stavi-dum/sprchy-vany-vana-zachod-umyvadlo-sprchove-kouty-5799.html</t>
        </is>
      </c>
      <c r="L150" s="24" t="inlineStr"/>
      <c r="M150" s="24" t="inlineStr"/>
      <c r="N150" s="24" t="inlineStr"/>
    </row>
    <row r="151">
      <c r="B151" s="24" t="inlineStr">
        <is>
          <t>260219_dum.PSV72.003</t>
        </is>
      </c>
      <c r="C151" s="24" t="inlineStr">
        <is>
          <t>PSV-72 ZTI</t>
        </is>
      </c>
      <c r="D151" s="24" t="inlineStr">
        <is>
          <t xml:space="preserve">Nové odpadní rozvody PVC-HT DN40-DN110 ke koupelnám 1.NP, 2.NP, 3.NP a kuchyním </t>
        </is>
      </c>
      <c r="E151" s="24" t="inlineStr">
        <is>
          <t>721174021</t>
        </is>
      </c>
      <c r="F151" s="24" t="inlineStr">
        <is>
          <t>721174022</t>
        </is>
      </c>
      <c r="G151" s="24" t="inlineStr"/>
      <c r="H151" s="24" t="inlineStr">
        <is>
          <t>needs_production_lookup</t>
        </is>
      </c>
      <c r="I151" s="35" t="n">
        <v>0.65</v>
      </c>
      <c r="J151" s="32" t="inlineStr"/>
      <c r="K151" s="24" t="inlineStr"/>
      <c r="L151" s="24" t="inlineStr"/>
      <c r="M151" s="24" t="inlineStr"/>
      <c r="N151" s="24" t="inlineStr"/>
    </row>
    <row r="152">
      <c r="B152" s="24" t="inlineStr">
        <is>
          <t>260219_dum.PSV72.007</t>
        </is>
      </c>
      <c r="C152" s="24" t="inlineStr">
        <is>
          <t>PSV-72 ZTI</t>
        </is>
      </c>
      <c r="D152" s="24" t="inlineStr">
        <is>
          <t>Kuchyňský dřez nerez + montáž — 2 ks (kuchyně 1.06 byt rodičů + kuchyně 3.05 byt</t>
        </is>
      </c>
      <c r="E152" s="24" t="inlineStr">
        <is>
          <t>725840111</t>
        </is>
      </c>
      <c r="F152" s="24" t="inlineStr">
        <is>
          <t>725840121</t>
        </is>
      </c>
      <c r="G152" s="24" t="inlineStr"/>
      <c r="H152" s="24" t="inlineStr">
        <is>
          <t>needs_production_lookup</t>
        </is>
      </c>
      <c r="I152" s="35" t="n">
        <v>0.65</v>
      </c>
      <c r="J152" s="32" t="inlineStr"/>
      <c r="K152" s="24" t="inlineStr"/>
      <c r="L152" s="24" t="inlineStr"/>
      <c r="M152" s="24" t="inlineStr"/>
      <c r="N152" s="24" t="inlineStr"/>
    </row>
    <row r="153">
      <c r="B153" s="24" t="inlineStr">
        <is>
          <t>260219_dum.PSV72.008</t>
        </is>
      </c>
      <c r="C153" s="24" t="inlineStr">
        <is>
          <t>PSV-72 ZTI</t>
        </is>
      </c>
      <c r="D153" s="24" t="inlineStr">
        <is>
          <t>Vodovodní baterie (WC ventil + páková umyvadlová + sprchové + dřezové + termosta</t>
        </is>
      </c>
      <c r="E153" s="24" t="inlineStr">
        <is>
          <t>725822611</t>
        </is>
      </c>
      <c r="F153" s="24" t="inlineStr">
        <is>
          <t>725822612</t>
        </is>
      </c>
      <c r="G153" s="24" t="inlineStr"/>
      <c r="H153" s="24" t="inlineStr">
        <is>
          <t>needs_production_lookup</t>
        </is>
      </c>
      <c r="I153" s="35" t="n">
        <v>0.65</v>
      </c>
      <c r="J153" s="32" t="inlineStr"/>
      <c r="K153" s="24" t="inlineStr"/>
      <c r="L153" s="24" t="inlineStr"/>
      <c r="M153" s="24" t="inlineStr"/>
      <c r="N153" s="24" t="inlineStr"/>
    </row>
    <row r="154">
      <c r="B154" s="24" t="inlineStr">
        <is>
          <t>260219_dum.PSV72.009</t>
        </is>
      </c>
      <c r="C154" s="24" t="inlineStr">
        <is>
          <t>PSV-72 ZTI</t>
        </is>
      </c>
      <c r="D154" s="24" t="inlineStr">
        <is>
          <t xml:space="preserve">Akumulační zásobník TUV ~300 l v 1.PP napojený na topný systém (sporáková kamna </t>
        </is>
      </c>
      <c r="E154" s="24" t="inlineStr">
        <is>
          <t>732419411</t>
        </is>
      </c>
      <c r="F154" s="24" t="inlineStr">
        <is>
          <t>732431111</t>
        </is>
      </c>
      <c r="G154" s="24" t="inlineStr"/>
      <c r="H154" s="24" t="inlineStr">
        <is>
          <t>needs_production_lookup</t>
        </is>
      </c>
      <c r="I154" s="35" t="n">
        <v>0.65</v>
      </c>
      <c r="J154" s="32" t="inlineStr"/>
      <c r="K154" s="24" t="inlineStr"/>
      <c r="L154" s="24" t="inlineStr"/>
      <c r="M154" s="24" t="inlineStr"/>
      <c r="N154" s="24" t="inlineStr"/>
    </row>
    <row r="155">
      <c r="B155" s="24" t="inlineStr">
        <is>
          <t>260219_dum.PSV72.010</t>
        </is>
      </c>
      <c r="C155" s="24" t="inlineStr">
        <is>
          <t>PSV-72 ZTI</t>
        </is>
      </c>
      <c r="D155" s="24" t="inlineStr">
        <is>
          <t>Elektrický bojler ~80 l v koupelně 3.NP (nezávislý zdroj pro samostatný byt)</t>
        </is>
      </c>
      <c r="E155" s="24" t="inlineStr">
        <is>
          <t>732429211</t>
        </is>
      </c>
      <c r="F155" s="24" t="inlineStr">
        <is>
          <t>732431111</t>
        </is>
      </c>
      <c r="G155" s="24" t="inlineStr"/>
      <c r="H155" s="24" t="inlineStr">
        <is>
          <t>needs_production_lookup</t>
        </is>
      </c>
      <c r="I155" s="35" t="n">
        <v>0.65</v>
      </c>
      <c r="J155" s="32" t="inlineStr"/>
      <c r="K155" s="24" t="inlineStr"/>
      <c r="L155" s="24" t="inlineStr"/>
      <c r="M155" s="24" t="inlineStr"/>
      <c r="N155" s="24" t="inlineStr"/>
    </row>
    <row r="156">
      <c r="B156" s="24" t="inlineStr">
        <is>
          <t>260219_dum.PSV73.001</t>
        </is>
      </c>
      <c r="C156" s="24" t="inlineStr">
        <is>
          <t>PSV-73 Vytápění</t>
        </is>
      </c>
      <c r="D156" s="24" t="inlineStr">
        <is>
          <t>Sporáková kamna na tuhá paliva ~10 kW s akumulačním zásobníkem TUV — dodávka</t>
        </is>
      </c>
      <c r="E156" s="24" t="inlineStr">
        <is>
          <t>733241011</t>
        </is>
      </c>
      <c r="F156" s="24" t="inlineStr">
        <is>
          <t>733241012</t>
        </is>
      </c>
      <c r="G156" s="24" t="inlineStr"/>
      <c r="H156" s="24" t="inlineStr">
        <is>
          <t>needs_production_lookup</t>
        </is>
      </c>
      <c r="I156" s="35" t="n">
        <v>0.65</v>
      </c>
      <c r="J156" s="32" t="inlineStr"/>
      <c r="K156" s="24" t="inlineStr"/>
      <c r="L156" s="24" t="inlineStr"/>
      <c r="M156" s="24" t="inlineStr"/>
      <c r="N156" s="24" t="inlineStr"/>
    </row>
    <row r="157">
      <c r="B157" s="24" t="inlineStr">
        <is>
          <t>260219_dum.PSV73.002</t>
        </is>
      </c>
      <c r="C157" s="24" t="inlineStr">
        <is>
          <t>PSV-73 Vytápění</t>
        </is>
      </c>
      <c r="D157" s="24" t="inlineStr">
        <is>
          <t>Sporáková kamna — montáž vč. napojení na komín + akumulační zásobník (cca 8 Nh)</t>
        </is>
      </c>
      <c r="E157" s="24" t="inlineStr">
        <is>
          <t>733281011</t>
        </is>
      </c>
      <c r="F157" s="24" t="inlineStr">
        <is>
          <t>733281012</t>
        </is>
      </c>
      <c r="G157" s="24" t="inlineStr"/>
      <c r="H157" s="24" t="inlineStr">
        <is>
          <t>needs_production_lookup</t>
        </is>
      </c>
      <c r="I157" s="35" t="n">
        <v>0.65</v>
      </c>
      <c r="J157" s="32" t="inlineStr"/>
      <c r="K157" s="24" t="inlineStr"/>
      <c r="L157" s="24" t="inlineStr"/>
      <c r="M157" s="24" t="inlineStr"/>
      <c r="N157" s="24" t="inlineStr"/>
    </row>
    <row r="158">
      <c r="B158" s="24" t="inlineStr">
        <is>
          <t>260219_dum.PSV73.003</t>
        </is>
      </c>
      <c r="C158" s="24" t="inlineStr">
        <is>
          <t>PSV-73 Vytápění</t>
        </is>
      </c>
      <c r="D158" s="24" t="inlineStr">
        <is>
          <t>Elektrokotel ~8 kW pro 3.NP samostatný byt — dodávka + montáž + napojení</t>
        </is>
      </c>
      <c r="E158" s="24" t="inlineStr">
        <is>
          <t>733131221</t>
        </is>
      </c>
      <c r="F158" s="24" t="inlineStr">
        <is>
          <t>733131222</t>
        </is>
      </c>
      <c r="G158" s="24" t="inlineStr"/>
      <c r="H158" s="24" t="inlineStr">
        <is>
          <t>needs_production_lookup</t>
        </is>
      </c>
      <c r="I158" s="35" t="n">
        <v>0.65</v>
      </c>
      <c r="J158" s="32" t="inlineStr"/>
      <c r="K158" s="24" t="inlineStr"/>
      <c r="L158" s="24" t="inlineStr"/>
      <c r="M158" s="24" t="inlineStr"/>
      <c r="N158" s="24" t="inlineStr"/>
    </row>
    <row r="159">
      <c r="B159" s="24" t="inlineStr">
        <is>
          <t>260219_dum.PSV73.004</t>
        </is>
      </c>
      <c r="C159" s="24" t="inlineStr">
        <is>
          <t>PSV-73 Vytápění</t>
        </is>
      </c>
      <c r="D159" s="24" t="inlineStr">
        <is>
          <t>Krb na tuhá paliva v 3.NP ~6 kW — dodávka + montáž s napojením na samostatný kom</t>
        </is>
      </c>
      <c r="E159" s="24" t="inlineStr">
        <is>
          <t>733241011</t>
        </is>
      </c>
      <c r="F159" s="24" t="inlineStr">
        <is>
          <t>734221101</t>
        </is>
      </c>
      <c r="G159" s="24" t="inlineStr"/>
      <c r="H159" s="24" t="inlineStr">
        <is>
          <t>needs_production_lookup</t>
        </is>
      </c>
      <c r="I159" s="35" t="n">
        <v>0.65</v>
      </c>
      <c r="J159" s="32" t="inlineStr"/>
      <c r="K159" s="24" t="inlineStr"/>
      <c r="L159" s="24" t="inlineStr"/>
      <c r="M159" s="24" t="inlineStr"/>
      <c r="N159" s="24" t="inlineStr"/>
    </row>
    <row r="160">
      <c r="B160" s="24" t="inlineStr">
        <is>
          <t>260219_dum.PSV73.005</t>
        </is>
      </c>
      <c r="C160" s="24" t="inlineStr">
        <is>
          <t>PSV-73 Vytápění</t>
        </is>
      </c>
      <c r="D160" s="24" t="inlineStr">
        <is>
          <t xml:space="preserve">Multisplit tepelné čerpadlo vzduch-vzduch — 1× venkovní jednotka ~10 kW (silent </t>
        </is>
      </c>
      <c r="E160" s="24" t="inlineStr">
        <is>
          <t>733425211</t>
        </is>
      </c>
      <c r="F160" s="24" t="inlineStr">
        <is>
          <t>733425212</t>
        </is>
      </c>
      <c r="G160" s="24" t="inlineStr"/>
      <c r="H160" s="24" t="inlineStr">
        <is>
          <t>needs_production_lookup</t>
        </is>
      </c>
      <c r="I160" s="35" t="n">
        <v>0.65</v>
      </c>
      <c r="J160" s="32" t="inlineStr"/>
      <c r="K160" s="24" t="inlineStr"/>
      <c r="L160" s="24" t="inlineStr"/>
      <c r="M160" s="24" t="inlineStr"/>
      <c r="N160" s="24" t="inlineStr"/>
    </row>
    <row r="161">
      <c r="B161" s="24" t="inlineStr">
        <is>
          <t>260219_dum.PSV73.006</t>
        </is>
      </c>
      <c r="C161" s="24" t="inlineStr">
        <is>
          <t>PSV-73 Vytápění</t>
        </is>
      </c>
      <c r="D161" s="24" t="inlineStr">
        <is>
          <t>Multisplit TČ — 5× vnitřní jednotka v obytných místnostech (1.NP, 2.NP, 3.NP — c</t>
        </is>
      </c>
      <c r="E161" s="24" t="inlineStr">
        <is>
          <t>733425221</t>
        </is>
      </c>
      <c r="F161" s="24" t="inlineStr">
        <is>
          <t>733425222</t>
        </is>
      </c>
      <c r="G161" s="24" t="inlineStr"/>
      <c r="H161" s="24" t="inlineStr">
        <is>
          <t>needs_production_lookup</t>
        </is>
      </c>
      <c r="I161" s="35" t="n">
        <v>0.65</v>
      </c>
      <c r="J161" s="32" t="inlineStr"/>
      <c r="K161" s="24" t="inlineStr"/>
      <c r="L161" s="24" t="inlineStr"/>
      <c r="M161" s="24" t="inlineStr"/>
      <c r="N161" s="24" t="inlineStr"/>
    </row>
    <row r="162">
      <c r="B162" s="24" t="inlineStr">
        <is>
          <t>260219_dum.PSV73.007</t>
        </is>
      </c>
      <c r="C162" s="24" t="inlineStr">
        <is>
          <t>PSV-73 Vytápění</t>
        </is>
      </c>
      <c r="D162" s="24" t="inlineStr">
        <is>
          <t>Revize stávajícího komínu — kontrola, čištění, vystrojení vložkou nerez DN160 pr</t>
        </is>
      </c>
      <c r="E162" s="24" t="inlineStr">
        <is>
          <t>734262122</t>
        </is>
      </c>
      <c r="F162" s="24" t="inlineStr">
        <is>
          <t>734291111</t>
        </is>
      </c>
      <c r="G162" s="24" t="inlineStr"/>
      <c r="H162" s="24" t="inlineStr">
        <is>
          <t>needs_production_lookup</t>
        </is>
      </c>
      <c r="I162" s="35" t="n">
        <v>0.65</v>
      </c>
      <c r="J162" s="32" t="inlineStr"/>
      <c r="K162" s="24" t="inlineStr"/>
      <c r="L162" s="24" t="inlineStr"/>
      <c r="M162" s="24" t="inlineStr"/>
      <c r="N162" s="24" t="inlineStr"/>
    </row>
    <row r="163">
      <c r="B163" s="24" t="inlineStr">
        <is>
          <t>260219_dum.PSV73.008</t>
        </is>
      </c>
      <c r="C163" s="24" t="inlineStr">
        <is>
          <t>PSV-73 Vytápění</t>
        </is>
      </c>
      <c r="D163" s="24" t="inlineStr">
        <is>
          <t>Rozvody otopné soustavy Cu/PEX k vnitřním jednotkám TČ + radiátorům pro doplňkov</t>
        </is>
      </c>
      <c r="E163" s="24" t="inlineStr">
        <is>
          <t>733111021</t>
        </is>
      </c>
      <c r="F163" s="24" t="inlineStr">
        <is>
          <t>733122031</t>
        </is>
      </c>
      <c r="G163" s="24" t="inlineStr"/>
      <c r="H163" s="24" t="inlineStr">
        <is>
          <t>needs_production_lookup</t>
        </is>
      </c>
      <c r="I163" s="35" t="n">
        <v>0.65</v>
      </c>
      <c r="J163" s="32" t="inlineStr"/>
      <c r="K163" s="24" t="inlineStr"/>
      <c r="L163" s="24" t="inlineStr"/>
      <c r="M163" s="24" t="inlineStr"/>
      <c r="N163" s="24" t="inlineStr"/>
    </row>
    <row r="164">
      <c r="B164" s="24" t="inlineStr">
        <is>
          <t>260219_dum.M21.001</t>
        </is>
      </c>
      <c r="C164" s="24" t="inlineStr">
        <is>
          <t>M-21 ELI silnoproud</t>
        </is>
      </c>
      <c r="D164" s="24" t="inlineStr">
        <is>
          <t>Demontáž stávající elektroinstalace v celém domě (vodiče, rozvaděč, zásuvky, sví</t>
        </is>
      </c>
      <c r="E164" s="24" t="inlineStr">
        <is>
          <t>210010011</t>
        </is>
      </c>
      <c r="F164" s="24" t="inlineStr">
        <is>
          <t>210010021</t>
        </is>
      </c>
      <c r="G164" s="24" t="inlineStr"/>
      <c r="H164" s="24" t="inlineStr">
        <is>
          <t>needs_production_lookup</t>
        </is>
      </c>
      <c r="I164" s="35" t="n">
        <v>0.65</v>
      </c>
      <c r="J164" s="32" t="inlineStr"/>
      <c r="K164" s="24" t="inlineStr"/>
      <c r="L164" s="24" t="inlineStr"/>
      <c r="M164" s="24" t="inlineStr"/>
      <c r="N164" s="24" t="inlineStr"/>
    </row>
    <row r="165">
      <c r="B165" s="24" t="inlineStr">
        <is>
          <t>260219_dum.M21.002</t>
        </is>
      </c>
      <c r="C165" s="24" t="inlineStr">
        <is>
          <t>M-21 ELI silnoproud</t>
        </is>
      </c>
      <c r="D165" s="24" t="inlineStr">
        <is>
          <t xml:space="preserve">Nová pojistková skříň + 3× podružný rozvaděč pro každé patro (1.NP, 2.NP, 3.NP) </t>
        </is>
      </c>
      <c r="E165" s="24" t="inlineStr">
        <is>
          <t>210110023</t>
        </is>
      </c>
      <c r="F165" s="24" t="inlineStr">
        <is>
          <t>210110024</t>
        </is>
      </c>
      <c r="G165" s="24" t="inlineStr"/>
      <c r="H165" s="24" t="inlineStr">
        <is>
          <t>needs_production_lookup</t>
        </is>
      </c>
      <c r="I165" s="35" t="n">
        <v>0.65</v>
      </c>
      <c r="J165" s="32" t="inlineStr"/>
      <c r="K165" s="24" t="inlineStr"/>
      <c r="L165" s="24" t="inlineStr"/>
      <c r="M165" s="24" t="inlineStr"/>
      <c r="N165" s="24" t="inlineStr"/>
    </row>
    <row r="166">
      <c r="B166" s="24" t="inlineStr">
        <is>
          <t>260219_dum.M21.003</t>
        </is>
      </c>
      <c r="C166" s="24" t="inlineStr">
        <is>
          <t>M-21 ELI silnoproud</t>
        </is>
      </c>
      <c r="D166" s="24" t="inlineStr">
        <is>
          <t>Nové silnoproudé rozvody — vodiče CYKY 3×1.5 / 3×2.5 / 5×2.5 / 5×6 + krabice + i</t>
        </is>
      </c>
      <c r="E166" s="24" t="inlineStr">
        <is>
          <t>210800012</t>
        </is>
      </c>
      <c r="F166" s="24" t="inlineStr">
        <is>
          <t>210800013</t>
        </is>
      </c>
      <c r="G166" s="24" t="inlineStr"/>
      <c r="H166" s="24" t="inlineStr">
        <is>
          <t>needs_production_lookup</t>
        </is>
      </c>
      <c r="I166" s="35" t="n">
        <v>0.65</v>
      </c>
      <c r="J166" s="32" t="inlineStr"/>
      <c r="K166" s="24" t="inlineStr"/>
      <c r="L166" s="24" t="inlineStr"/>
      <c r="M166" s="24" t="inlineStr"/>
      <c r="N166" s="24" t="inlineStr"/>
    </row>
    <row r="167">
      <c r="B167" s="24" t="inlineStr">
        <is>
          <t>260219_dum.M21.004</t>
        </is>
      </c>
      <c r="C167" s="24" t="inlineStr">
        <is>
          <t>M-21 ELI silnoproud</t>
        </is>
      </c>
      <c r="D167" s="24" t="inlineStr">
        <is>
          <t>Zásuvky a vypínače dodávka + montáž — ~70 ks (60-80 dle vyjasnění #7)</t>
        </is>
      </c>
      <c r="E167" s="24" t="inlineStr">
        <is>
          <t>210810050</t>
        </is>
      </c>
      <c r="F167" s="24" t="inlineStr">
        <is>
          <t>210810052</t>
        </is>
      </c>
      <c r="G167" s="24" t="inlineStr"/>
      <c r="H167" s="24" t="inlineStr">
        <is>
          <t>needs_production_lookup</t>
        </is>
      </c>
      <c r="I167" s="35" t="n">
        <v>0.65</v>
      </c>
      <c r="J167" s="32" t="inlineStr"/>
      <c r="K167" s="24" t="inlineStr"/>
      <c r="L167" s="24" t="inlineStr"/>
      <c r="M167" s="24" t="inlineStr"/>
      <c r="N167" s="24" t="inlineStr"/>
    </row>
    <row r="168">
      <c r="B168" s="24" t="inlineStr">
        <is>
          <t>260219_dum.M21.005</t>
        </is>
      </c>
      <c r="C168" s="24" t="inlineStr">
        <is>
          <t>M-21 ELI silnoproud</t>
        </is>
      </c>
      <c r="D168" s="24" t="inlineStr">
        <is>
          <t xml:space="preserve">Svítidla dodávka + montáž — ~35 ks (30-40 dle vyjasnění #7) interiér + venkovní </t>
        </is>
      </c>
      <c r="E168" s="24" t="inlineStr">
        <is>
          <t>210820002</t>
        </is>
      </c>
      <c r="F168" s="24" t="inlineStr">
        <is>
          <t>210820012</t>
        </is>
      </c>
      <c r="G168" s="24" t="inlineStr"/>
      <c r="H168" s="24" t="inlineStr">
        <is>
          <t>needs_production_lookup</t>
        </is>
      </c>
      <c r="I168" s="35" t="n">
        <v>0.65</v>
      </c>
      <c r="J168" s="32" t="inlineStr"/>
      <c r="K168" s="24" t="inlineStr"/>
      <c r="L168" s="24" t="inlineStr"/>
      <c r="M168" s="24" t="inlineStr"/>
      <c r="N168" s="24" t="inlineStr"/>
    </row>
    <row r="169">
      <c r="B169" s="24" t="inlineStr">
        <is>
          <t>260219_dum.M21.006</t>
        </is>
      </c>
      <c r="C169" s="24" t="inlineStr">
        <is>
          <t>M-21 ELI silnoproud</t>
        </is>
      </c>
      <c r="D169" s="24" t="inlineStr">
        <is>
          <t>Příprava na osazení FVE — rezerva v rozvaděči (jistič + zásuvka pro střídač) + t</t>
        </is>
      </c>
      <c r="E169" s="24" t="inlineStr">
        <is>
          <t>210800099</t>
        </is>
      </c>
      <c r="F169" s="24" t="inlineStr">
        <is>
          <t>210910011</t>
        </is>
      </c>
      <c r="G169" s="24" t="inlineStr"/>
      <c r="H169" s="24" t="inlineStr">
        <is>
          <t>needs_production_lookup</t>
        </is>
      </c>
      <c r="I169" s="35" t="n">
        <v>0.65</v>
      </c>
      <c r="J169" s="32" t="inlineStr"/>
      <c r="K169" s="24" t="inlineStr"/>
      <c r="L169" s="24" t="inlineStr"/>
      <c r="M169" s="24" t="inlineStr"/>
      <c r="N169" s="24" t="inlineStr"/>
    </row>
    <row r="170">
      <c r="B170" s="24" t="inlineStr">
        <is>
          <t>260219_dum.M21.007</t>
        </is>
      </c>
      <c r="C170" s="24" t="inlineStr">
        <is>
          <t>M-21 ELI silnoproud</t>
        </is>
      </c>
      <c r="D170" s="24" t="inlineStr">
        <is>
          <t>Výchozí revize elektrické instalace dle ČSN 33 2000-6 + revizní zpráva pro kolau</t>
        </is>
      </c>
      <c r="E170" s="24" t="inlineStr">
        <is>
          <t>996019011</t>
        </is>
      </c>
      <c r="F170" s="24" t="inlineStr">
        <is>
          <t>210910021</t>
        </is>
      </c>
      <c r="G170" s="24" t="inlineStr"/>
      <c r="H170" s="24" t="inlineStr">
        <is>
          <t>needs_production_lookup</t>
        </is>
      </c>
      <c r="I170" s="35" t="n">
        <v>0.65</v>
      </c>
      <c r="J170" s="32" t="inlineStr"/>
      <c r="K170" s="24" t="inlineStr"/>
      <c r="L170" s="24" t="inlineStr"/>
      <c r="M170" s="24" t="inlineStr"/>
      <c r="N170" s="24" t="inlineStr"/>
    </row>
    <row r="171">
      <c r="B171" s="24" t="inlineStr">
        <is>
          <t>260219_dum.VRN.001</t>
        </is>
      </c>
      <c r="C171" s="24" t="inlineStr">
        <is>
          <t>VRN — Zařízení staveniště</t>
        </is>
      </c>
      <c r="D171" s="24" t="inlineStr">
        <is>
          <t xml:space="preserve">Zařízení staveniště — buňka kancelář + sociální buňka (WC + šatna), pronájem ~8 </t>
        </is>
      </c>
      <c r="E171" s="24" t="inlineStr">
        <is>
          <t>030011000</t>
        </is>
      </c>
      <c r="F171" s="24" t="inlineStr">
        <is>
          <t>030001000</t>
        </is>
      </c>
      <c r="G171" s="24" t="inlineStr"/>
      <c r="H171" s="24" t="inlineStr">
        <is>
          <t>needs_production_lookup</t>
        </is>
      </c>
      <c r="I171" s="35" t="n">
        <v>0.65</v>
      </c>
      <c r="J171" s="32" t="inlineStr"/>
      <c r="K171" s="24" t="inlineStr"/>
      <c r="L171" s="24" t="inlineStr"/>
      <c r="M171" s="24" t="inlineStr"/>
      <c r="N171" s="24" t="inlineStr"/>
    </row>
    <row r="172">
      <c r="B172" s="24" t="inlineStr">
        <is>
          <t>260219_dum.VRN.002</t>
        </is>
      </c>
      <c r="C172" s="24" t="inlineStr">
        <is>
          <t>VRN — Zařízení staveniště</t>
        </is>
      </c>
      <c r="D172" s="24" t="inlineStr">
        <is>
          <t>Mobilní chemické WC TOI TOI pro pracovníky — pronájem ~8 měsíců</t>
        </is>
      </c>
      <c r="E172" s="24" t="inlineStr">
        <is>
          <t>030013000</t>
        </is>
      </c>
      <c r="F172" s="24" t="inlineStr">
        <is>
          <t>030014000</t>
        </is>
      </c>
      <c r="G172" s="24" t="inlineStr"/>
      <c r="H172" s="24" t="inlineStr">
        <is>
          <t>needs_production_lookup</t>
        </is>
      </c>
      <c r="I172" s="35" t="n">
        <v>0.65</v>
      </c>
      <c r="J172" s="32" t="inlineStr"/>
      <c r="K172" s="24" t="inlineStr"/>
      <c r="L172" s="24" t="inlineStr"/>
      <c r="M172" s="24" t="inlineStr"/>
      <c r="N172" s="24" t="inlineStr"/>
    </row>
    <row r="173">
      <c r="B173" s="24" t="inlineStr">
        <is>
          <t>260219_dum.VRN.003</t>
        </is>
      </c>
      <c r="C173" s="24" t="inlineStr">
        <is>
          <t>VRN — Zařízení staveniště</t>
        </is>
      </c>
      <c r="D173" s="24" t="inlineStr">
        <is>
          <t>El. odběr stavby (zřízení staveništního rozvaděče + měřič) + vodovodní odběr (zř</t>
        </is>
      </c>
      <c r="E173" s="24" t="inlineStr">
        <is>
          <t>031011000</t>
        </is>
      </c>
      <c r="F173" s="24" t="inlineStr">
        <is>
          <t>031021000</t>
        </is>
      </c>
      <c r="G173" s="24" t="inlineStr"/>
      <c r="H173" s="24" t="inlineStr">
        <is>
          <t>needs_production_lookup</t>
        </is>
      </c>
      <c r="I173" s="35" t="n">
        <v>0.65</v>
      </c>
      <c r="J173" s="32" t="inlineStr"/>
      <c r="K173" s="24" t="inlineStr"/>
      <c r="L173" s="24" t="inlineStr"/>
      <c r="M173" s="24" t="inlineStr"/>
      <c r="N173" s="24" t="inlineStr"/>
    </row>
    <row r="174">
      <c r="B174" s="24" t="inlineStr">
        <is>
          <t>260219_dum.VRN.001</t>
        </is>
      </c>
      <c r="C174" s="24" t="inlineStr">
        <is>
          <t>VRN — Doprava + odpad</t>
        </is>
      </c>
      <c r="D174" s="24" t="inlineStr">
        <is>
          <t xml:space="preserve">Kontejnery na suť tříděnou velkoobjemové (beton/cihly, dřevo, kovy, EPS, sádra, </t>
        </is>
      </c>
      <c r="E174" s="24" t="inlineStr">
        <is>
          <t>997013211</t>
        </is>
      </c>
      <c r="F174" s="24" t="inlineStr">
        <is>
          <t>997013501</t>
        </is>
      </c>
      <c r="G174" s="24" t="inlineStr"/>
      <c r="H174" s="24" t="inlineStr">
        <is>
          <t>needs_production_lookup</t>
        </is>
      </c>
      <c r="I174" s="35" t="n">
        <v>0.65</v>
      </c>
      <c r="J174" s="32" t="inlineStr"/>
      <c r="K174" s="24" t="inlineStr"/>
      <c r="L174" s="24" t="inlineStr"/>
      <c r="M174" s="24" t="inlineStr"/>
      <c r="N174" s="24" t="inlineStr"/>
    </row>
    <row r="175">
      <c r="B175" s="24" t="inlineStr">
        <is>
          <t>260219_dum.VRN.001</t>
        </is>
      </c>
      <c r="C175" s="24" t="inlineStr">
        <is>
          <t>VRN — BOZP</t>
        </is>
      </c>
      <c r="D175" s="24" t="inlineStr">
        <is>
          <t>Koordinátor BOZP na staveništi dle zákona 309/2006 Sb. — pro stavbu s více než j</t>
        </is>
      </c>
      <c r="E175" s="24" t="inlineStr">
        <is>
          <t>030091000</t>
        </is>
      </c>
      <c r="F175" s="24" t="inlineStr">
        <is>
          <t>030092000</t>
        </is>
      </c>
      <c r="G175" s="24" t="inlineStr"/>
      <c r="H175" s="24" t="inlineStr">
        <is>
          <t>needs_production_lookup</t>
        </is>
      </c>
      <c r="I175" s="35" t="n">
        <v>0.65</v>
      </c>
      <c r="J175" s="32" t="inlineStr"/>
      <c r="K175" s="24" t="inlineStr"/>
      <c r="L175" s="24" t="inlineStr"/>
      <c r="M175" s="24" t="inlineStr"/>
      <c r="N175" s="24" t="inlineStr"/>
    </row>
    <row r="176">
      <c r="B176" s="24" t="inlineStr">
        <is>
          <t>260219_dum.VRN.001</t>
        </is>
      </c>
      <c r="C176" s="24" t="inlineStr">
        <is>
          <t>VRN — Pojištění + zábory</t>
        </is>
      </c>
      <c r="D176" s="24" t="inlineStr">
        <is>
          <t>Montážní pojištění stavby (CAR) + pojištění odpovědnosti za škodu (zhotovitel) —</t>
        </is>
      </c>
      <c r="E176" s="24" t="inlineStr">
        <is>
          <t>030081000</t>
        </is>
      </c>
      <c r="F176" s="24" t="inlineStr">
        <is>
          <t>030082000</t>
        </is>
      </c>
      <c r="G176" s="24" t="inlineStr"/>
      <c r="H176" s="24" t="inlineStr">
        <is>
          <t>needs_production_lookup</t>
        </is>
      </c>
      <c r="I176" s="35" t="n">
        <v>0.65</v>
      </c>
      <c r="J176" s="32" t="inlineStr"/>
      <c r="K176" s="24" t="inlineStr"/>
      <c r="L176" s="24" t="inlineStr"/>
      <c r="M176" s="24" t="inlineStr"/>
      <c r="N176" s="24" t="inlineStr"/>
    </row>
    <row r="177">
      <c r="B177" s="24" t="inlineStr">
        <is>
          <t>260219_dum.VRN.002</t>
        </is>
      </c>
      <c r="C177" s="24" t="inlineStr">
        <is>
          <t>VRN — Pojištění + zábory</t>
        </is>
      </c>
      <c r="D177" s="24" t="inlineStr">
        <is>
          <t>Krátkodobé zábory ulice Fibichova pro materiál a kontejnery (povolení MU Jáchymo</t>
        </is>
      </c>
      <c r="E177" s="24" t="inlineStr">
        <is>
          <t>030083000</t>
        </is>
      </c>
      <c r="F177" s="24" t="inlineStr">
        <is>
          <t>030084000</t>
        </is>
      </c>
      <c r="G177" s="24" t="inlineStr"/>
      <c r="H177" s="24" t="inlineStr">
        <is>
          <t>needs_production_lookup</t>
        </is>
      </c>
      <c r="I177" s="35" t="n">
        <v>0.65</v>
      </c>
      <c r="J177" s="32" t="inlineStr"/>
      <c r="K177" s="24" t="inlineStr"/>
      <c r="L177" s="24" t="inlineStr"/>
      <c r="M177" s="24" t="inlineStr"/>
      <c r="N177" s="24" t="inlineStr"/>
    </row>
    <row r="178">
      <c r="B178" s="24" t="inlineStr">
        <is>
          <t>260219_dum.VRN.001</t>
        </is>
      </c>
      <c r="C178" s="24" t="inlineStr">
        <is>
          <t>VRN — Průzkumy</t>
        </is>
      </c>
      <c r="D178" s="24" t="inlineStr">
        <is>
          <t>Mykologický průzkum + průzkum výskytu dřevokazného hmyzu stávajícího krovu a dře</t>
        </is>
      </c>
      <c r="E178" s="24" t="inlineStr">
        <is>
          <t>030131000</t>
        </is>
      </c>
      <c r="F178" s="24" t="inlineStr">
        <is>
          <t>030132000</t>
        </is>
      </c>
      <c r="G178" s="24" t="inlineStr"/>
      <c r="H178" s="24" t="inlineStr">
        <is>
          <t>needs_production_lookup</t>
        </is>
      </c>
      <c r="I178" s="35" t="n">
        <v>0.65</v>
      </c>
      <c r="J178" s="32" t="inlineStr"/>
      <c r="K178" s="24" t="inlineStr"/>
      <c r="L178" s="24" t="inlineStr"/>
      <c r="M178" s="24" t="inlineStr"/>
      <c r="N178" s="24" t="inlineStr"/>
    </row>
    <row r="179">
      <c r="B179" s="24" t="inlineStr">
        <is>
          <t>260219_dum.VRN.002</t>
        </is>
      </c>
      <c r="C179" s="24" t="inlineStr">
        <is>
          <t>VRN — Průzkumy</t>
        </is>
      </c>
      <c r="D179" s="24" t="inlineStr">
        <is>
          <t xml:space="preserve">Azbestový průzkum podrobný před demolicí — laboratorní vzorky a posudek (B kap. </t>
        </is>
      </c>
      <c r="E179" s="24" t="inlineStr">
        <is>
          <t>030133000</t>
        </is>
      </c>
      <c r="F179" s="24" t="inlineStr">
        <is>
          <t>030134000</t>
        </is>
      </c>
      <c r="G179" s="24" t="inlineStr"/>
      <c r="H179" s="24" t="inlineStr">
        <is>
          <t>needs_production_lookup</t>
        </is>
      </c>
      <c r="I179" s="35" t="n">
        <v>0.65</v>
      </c>
      <c r="J179" s="32" t="inlineStr"/>
      <c r="K179" s="24" t="inlineStr"/>
      <c r="L179" s="24" t="inlineStr"/>
      <c r="M179" s="24" t="inlineStr"/>
      <c r="N179" s="24" t="inlineStr"/>
    </row>
    <row r="180">
      <c r="B180" s="24" t="inlineStr">
        <is>
          <t>260219_dum.VRN.001</t>
        </is>
      </c>
      <c r="C180" s="24" t="inlineStr">
        <is>
          <t>VRN — Geodet</t>
        </is>
      </c>
      <c r="D180" s="24" t="inlineStr">
        <is>
          <t>Geodetické zaměření před realizací (verifikace polohopis + výškopis) + po dokonč</t>
        </is>
      </c>
      <c r="E180" s="24" t="inlineStr">
        <is>
          <t>030141000</t>
        </is>
      </c>
      <c r="F180" s="24" t="inlineStr">
        <is>
          <t>030142000</t>
        </is>
      </c>
      <c r="G180" s="24" t="inlineStr"/>
      <c r="H180" s="24" t="inlineStr">
        <is>
          <t>needs_production_lookup</t>
        </is>
      </c>
      <c r="I180" s="35" t="n">
        <v>0.65</v>
      </c>
      <c r="J180" s="32" t="inlineStr"/>
      <c r="K180" s="24" t="inlineStr"/>
      <c r="L180" s="24" t="inlineStr"/>
      <c r="M180" s="24" t="inlineStr"/>
      <c r="N180" s="24" t="inlineStr"/>
    </row>
    <row r="181">
      <c r="B181" s="24" t="inlineStr">
        <is>
          <t>260219_dum.VRN.001</t>
        </is>
      </c>
      <c r="C181" s="24" t="inlineStr">
        <is>
          <t>VRN — Dokumentace</t>
        </is>
      </c>
      <c r="D181" s="24" t="inlineStr">
        <is>
          <t>Předávací protokoly + Dokumentace skutečného provedení (DSP) — sestavení, vázání</t>
        </is>
      </c>
      <c r="E181" s="24" t="inlineStr">
        <is>
          <t>030151000</t>
        </is>
      </c>
      <c r="F181" s="24" t="inlineStr">
        <is>
          <t>030152000</t>
        </is>
      </c>
      <c r="G181" s="24" t="inlineStr"/>
      <c r="H181" s="24" t="inlineStr">
        <is>
          <t>needs_production_lookup</t>
        </is>
      </c>
      <c r="I181" s="35" t="n">
        <v>0.65</v>
      </c>
      <c r="J181" s="32" t="inlineStr"/>
      <c r="K181" s="24" t="inlineStr"/>
      <c r="L181" s="24" t="inlineStr"/>
      <c r="M181" s="24" t="inlineStr"/>
      <c r="N181" s="24" t="inlineStr"/>
    </row>
    <row r="182">
      <c r="B182" s="24" t="inlineStr">
        <is>
          <t>260219_dum.VRN.001</t>
        </is>
      </c>
      <c r="C182" s="24" t="inlineStr">
        <is>
          <t>VRN — Revize</t>
        </is>
      </c>
      <c r="D182" s="24" t="inlineStr">
        <is>
          <t>Revize vnějšího hydrantu pro požární zabezpečení (DN min. 80, vzdálenost 100 m d</t>
        </is>
      </c>
      <c r="E182" s="24" t="inlineStr">
        <is>
          <t>030161000</t>
        </is>
      </c>
      <c r="F182" s="24" t="inlineStr">
        <is>
          <t>030162000</t>
        </is>
      </c>
      <c r="G182" s="24" t="inlineStr"/>
      <c r="H182" s="24" t="inlineStr">
        <is>
          <t>needs_production_lookup</t>
        </is>
      </c>
      <c r="I182" s="35" t="n">
        <v>0.65</v>
      </c>
      <c r="J182" s="32" t="inlineStr"/>
      <c r="K182" s="24" t="inlineStr"/>
      <c r="L182" s="24" t="inlineStr"/>
      <c r="M182" s="24" t="inlineStr"/>
      <c r="N182" s="24" t="inlineStr"/>
    </row>
    <row r="183">
      <c r="B183" s="24" t="inlineStr">
        <is>
          <t>260219_dum.VRN.001</t>
        </is>
      </c>
      <c r="C183" s="24" t="inlineStr">
        <is>
          <t>VRN — Kolaudace</t>
        </is>
      </c>
      <c r="D183" s="24" t="inlineStr">
        <is>
          <t>Kolaudační řízení — paušál (správní poplatky + součinnost) dle zákona 183/2006 S</t>
        </is>
      </c>
      <c r="E183" s="24" t="inlineStr">
        <is>
          <t>030171000</t>
        </is>
      </c>
      <c r="F183" s="24" t="inlineStr">
        <is>
          <t>030172000</t>
        </is>
      </c>
      <c r="G183" s="24" t="inlineStr"/>
      <c r="H183" s="24" t="inlineStr">
        <is>
          <t>needs_production_lookup</t>
        </is>
      </c>
      <c r="I183" s="35" t="n">
        <v>0.65</v>
      </c>
      <c r="J183" s="32" t="inlineStr"/>
      <c r="K183" s="24" t="inlineStr"/>
      <c r="L183" s="24" t="inlineStr"/>
      <c r="M183" s="24" t="inlineStr"/>
      <c r="N183" s="24" t="inlineStr"/>
    </row>
    <row r="184">
      <c r="B184" s="24" t="inlineStr">
        <is>
          <t>260219_dum.VRN.002</t>
        </is>
      </c>
      <c r="C184" s="24" t="inlineStr">
        <is>
          <t>VRN — Doprava + odpad</t>
        </is>
      </c>
      <c r="D184" s="24" t="inlineStr">
        <is>
          <t>Doprava materiálu na stavbu (centrální koordinace) — paušál ~2-3 % z PN materiál</t>
        </is>
      </c>
      <c r="E184" s="24" t="inlineStr">
        <is>
          <t>031031000</t>
        </is>
      </c>
      <c r="F184" s="24" t="inlineStr">
        <is>
          <t>031032000</t>
        </is>
      </c>
      <c r="G184" s="24" t="inlineStr"/>
      <c r="H184" s="24" t="inlineStr">
        <is>
          <t>needs_production_lookup</t>
        </is>
      </c>
      <c r="I184" s="35" t="n">
        <v>0.65</v>
      </c>
      <c r="J184" s="32" t="inlineStr"/>
      <c r="K184" s="24" t="inlineStr"/>
      <c r="L184" s="24" t="inlineStr"/>
      <c r="M184" s="24" t="inlineStr"/>
      <c r="N184" s="24" t="inlineStr"/>
    </row>
    <row r="185">
      <c r="B185" s="24" t="inlineStr">
        <is>
          <t>260219_dum.VRN.003</t>
        </is>
      </c>
      <c r="C185" s="24" t="inlineStr">
        <is>
          <t>VRN — Doprava + odpad</t>
        </is>
      </c>
      <c r="D185" s="24" t="inlineStr">
        <is>
          <t xml:space="preserve">Likvidace stavební suti dle vyhl. 8/2021 Sb. — skládkovné + recyklace + třídění </t>
        </is>
      </c>
      <c r="E185" s="24" t="inlineStr">
        <is>
          <t>997013211</t>
        </is>
      </c>
      <c r="F185" s="24" t="inlineStr">
        <is>
          <t>997013501</t>
        </is>
      </c>
      <c r="G185" s="24" t="inlineStr"/>
      <c r="H185" s="24" t="inlineStr">
        <is>
          <t>needs_production_lookup</t>
        </is>
      </c>
      <c r="I185" s="35" t="n">
        <v>0.65</v>
      </c>
      <c r="J185" s="32" t="inlineStr"/>
      <c r="K185" s="24" t="inlineStr"/>
      <c r="L185" s="24" t="inlineStr"/>
      <c r="M185" s="24" t="inlineStr"/>
      <c r="N185" s="24" t="inlineStr"/>
    </row>
    <row r="186">
      <c r="B186" s="24" t="inlineStr">
        <is>
          <t>260217_sklad.VRN.001</t>
        </is>
      </c>
      <c r="C186" s="24" t="inlineStr">
        <is>
          <t>VRN — Doprava + odpad</t>
        </is>
      </c>
      <c r="D186" s="24" t="inlineStr">
        <is>
          <t>Doprava prefa H-BLOK Standard z výrobny Herkul (Obrnice) auto s hydraulickou ruk</t>
        </is>
      </c>
      <c r="E186" s="24" t="inlineStr">
        <is>
          <t>031032000</t>
        </is>
      </c>
      <c r="F186" s="24" t="inlineStr">
        <is>
          <t>031031000</t>
        </is>
      </c>
      <c r="G186" s="24" t="inlineStr"/>
      <c r="H186" s="24" t="inlineStr">
        <is>
          <t>needs_production_lookup</t>
        </is>
      </c>
      <c r="I186" s="35" t="n">
        <v>0.65</v>
      </c>
      <c r="J186" s="32" t="inlineStr"/>
      <c r="K186" s="24" t="inlineStr"/>
      <c r="L186" s="24" t="inlineStr"/>
      <c r="M186" s="24" t="inlineStr"/>
      <c r="N186" s="24" t="inlineStr"/>
    </row>
    <row r="187">
      <c r="B187" s="24" t="inlineStr">
        <is>
          <t>260217_sklad.VRN.002</t>
        </is>
      </c>
      <c r="C187" s="24" t="inlineStr">
        <is>
          <t>VRN — Doprava + odpad</t>
        </is>
      </c>
      <c r="D187" s="24" t="inlineStr">
        <is>
          <t>Likvidace odpadu sklad — kameny ze zídek + výkop + dřevo (drobné množství)</t>
        </is>
      </c>
      <c r="E187" s="24" t="inlineStr">
        <is>
          <t>997013211</t>
        </is>
      </c>
      <c r="F187" s="24" t="inlineStr">
        <is>
          <t>997013501</t>
        </is>
      </c>
      <c r="G187" s="24" t="inlineStr"/>
      <c r="H187" s="24" t="inlineStr">
        <is>
          <t>needs_production_lookup</t>
        </is>
      </c>
      <c r="I187" s="35" t="n">
        <v>0.65</v>
      </c>
      <c r="J187" s="32" t="inlineStr"/>
      <c r="K187" s="24" t="inlineStr"/>
      <c r="L187" s="24" t="inlineStr"/>
      <c r="M187" s="24" t="inlineStr"/>
      <c r="N187" s="24" t="inlineStr"/>
    </row>
    <row r="188">
      <c r="B188" s="24" t="inlineStr">
        <is>
          <t>260217_sklad.VRN.001</t>
        </is>
      </c>
      <c r="C188" s="24" t="inlineStr">
        <is>
          <t>VRN — Geodet</t>
        </is>
      </c>
      <c r="D188" s="24" t="inlineStr">
        <is>
          <t>Geodetické vytýčení sklad+parking+schodiště ze situace (před realizací)</t>
        </is>
      </c>
      <c r="E188" s="24" t="inlineStr">
        <is>
          <t>030141000</t>
        </is>
      </c>
      <c r="F188" s="24" t="inlineStr">
        <is>
          <t>030142000</t>
        </is>
      </c>
      <c r="G188" s="24" t="inlineStr"/>
      <c r="H188" s="24" t="inlineStr">
        <is>
          <t>needs_production_lookup</t>
        </is>
      </c>
      <c r="I188" s="35" t="n">
        <v>0.65</v>
      </c>
      <c r="J188" s="32" t="inlineStr"/>
      <c r="K188" s="24" t="inlineStr"/>
      <c r="L188" s="24" t="inlineStr"/>
      <c r="M188" s="24" t="inlineStr"/>
      <c r="N188" s="24" t="inlineStr"/>
    </row>
    <row r="189">
      <c r="B189" s="24" t="inlineStr">
        <is>
          <t>260217_sklad.VRN.001</t>
        </is>
      </c>
      <c r="C189" s="24" t="inlineStr">
        <is>
          <t>VRN — Společné</t>
        </is>
      </c>
      <c r="D189" s="24" t="inlineStr">
        <is>
          <t>Podíl na obecných VRN domu (buňky, BOZP, pojištění, kolaudace) — paušál ~10 % ná</t>
        </is>
      </c>
      <c r="E189" s="24" t="inlineStr">
        <is>
          <t>030001000</t>
        </is>
      </c>
      <c r="F189" s="24" t="inlineStr">
        <is>
          <t>030002000</t>
        </is>
      </c>
      <c r="G189" s="24" t="inlineStr"/>
      <c r="H189" s="24" t="inlineStr">
        <is>
          <t>needs_production_lookup</t>
        </is>
      </c>
      <c r="I189" s="35" t="n">
        <v>0.65</v>
      </c>
      <c r="J189" s="32" t="inlineStr"/>
      <c r="K189" s="24" t="inlineStr"/>
      <c r="L189" s="24" t="inlineStr"/>
      <c r="M189" s="24" t="inlineStr"/>
      <c r="N189" s="24" t="inlineStr"/>
    </row>
    <row r="190">
      <c r="B190" s="24" t="inlineStr">
        <is>
          <t>260219_dum.HSV6.013</t>
        </is>
      </c>
      <c r="C190" s="24" t="inlineStr">
        <is>
          <t>HSV-6 Bourací práce</t>
        </is>
      </c>
      <c r="D190" s="24" t="inlineStr">
        <is>
          <t>Demontáž stávajících dřevěných oken vč. rámů a parapetů — 16 ks (návrh všechna o</t>
        </is>
      </c>
      <c r="E190" s="24" t="inlineStr">
        <is>
          <t>978013181</t>
        </is>
      </c>
      <c r="F190" s="24" t="inlineStr">
        <is>
          <t>968071116, 962081131</t>
        </is>
      </c>
      <c r="G190" s="24" t="inlineStr"/>
      <c r="H190" s="24" t="inlineStr">
        <is>
          <t>matched_websearch_verified</t>
        </is>
      </c>
      <c r="I190" s="35" t="n">
        <v>0.85</v>
      </c>
      <c r="J190" s="32" t="inlineStr"/>
      <c r="K190" s="24" t="inlineStr"/>
      <c r="L190" s="24" t="inlineStr"/>
      <c r="M190" s="24" t="inlineStr"/>
      <c r="N190" s="24" t="inlineStr"/>
    </row>
    <row r="191">
      <c r="B191" s="24" t="inlineStr">
        <is>
          <t>260219_dum.HSV6.014</t>
        </is>
      </c>
      <c r="C191" s="24" t="inlineStr">
        <is>
          <t>HSV-6 Bourací práce</t>
        </is>
      </c>
      <c r="D191" s="24" t="inlineStr">
        <is>
          <t>Demontáž stávajících vstupních dveří + rámů — 2 ks (1× ulice Fibichova + 1× zahr</t>
        </is>
      </c>
      <c r="E191" s="24" t="inlineStr">
        <is>
          <t>978013181</t>
        </is>
      </c>
      <c r="F191" s="24" t="inlineStr">
        <is>
          <t>968071116</t>
        </is>
      </c>
      <c r="G191" s="24" t="inlineStr"/>
      <c r="H191" s="24" t="inlineStr">
        <is>
          <t>matched_websearch_verified</t>
        </is>
      </c>
      <c r="I191" s="35" t="n">
        <v>0.8</v>
      </c>
      <c r="J191" s="32" t="inlineStr"/>
      <c r="K191" s="24" t="inlineStr"/>
      <c r="L191" s="24" t="inlineStr"/>
      <c r="M191" s="24" t="inlineStr"/>
      <c r="N191" s="24" t="inlineStr"/>
    </row>
    <row r="192">
      <c r="B192" s="24" t="inlineStr">
        <is>
          <t>260219_dum.HSV6.015</t>
        </is>
      </c>
      <c r="C192" s="24" t="inlineStr">
        <is>
          <t>HSV-6 Bourací práce</t>
        </is>
      </c>
      <c r="D192" s="24" t="inlineStr">
        <is>
          <t xml:space="preserve">Demontáž stávajících vnitřních dveří vč. ocelových/dřevěných zárubní — odhad 15 </t>
        </is>
      </c>
      <c r="E192" s="24" t="inlineStr">
        <is>
          <t>968072456</t>
        </is>
      </c>
      <c r="F192" s="24" t="inlineStr">
        <is>
          <t>978016121, 968073111</t>
        </is>
      </c>
      <c r="G192" s="24" t="inlineStr"/>
      <c r="H192" s="24" t="inlineStr">
        <is>
          <t>needs_production_lookup</t>
        </is>
      </c>
      <c r="I192" s="35" t="n">
        <v>0.65</v>
      </c>
      <c r="J192" s="32" t="inlineStr"/>
      <c r="K192" s="24" t="inlineStr"/>
      <c r="L192" s="24" t="inlineStr"/>
      <c r="M192" s="24" t="inlineStr"/>
      <c r="N192" s="24" t="inlineStr"/>
    </row>
    <row r="193">
      <c r="B193" s="24" t="inlineStr">
        <is>
          <t>260219_dum.PSV76.013</t>
        </is>
      </c>
      <c r="C193" s="24" t="inlineStr">
        <is>
          <t>PSV-76 Výplně otvorů</t>
        </is>
      </c>
      <c r="D193" s="24" t="inlineStr">
        <is>
          <t>Požárně odolné jednokřídlové dveře EI 30 DP3 na vrcholu schodiště mezi 1.PP a 1.</t>
        </is>
      </c>
      <c r="E193" s="24" t="inlineStr">
        <is>
          <t>766694112</t>
        </is>
      </c>
      <c r="F193" s="24" t="inlineStr">
        <is>
          <t>766694111, 766694113</t>
        </is>
      </c>
      <c r="G193" s="24" t="inlineStr"/>
      <c r="H193" s="24" t="inlineStr">
        <is>
          <t>needs_production_lookup</t>
        </is>
      </c>
      <c r="I193" s="35" t="n">
        <v>0.7</v>
      </c>
      <c r="J193" s="32" t="inlineStr"/>
      <c r="K193" s="24" t="inlineStr"/>
      <c r="L193" s="24" t="inlineStr"/>
      <c r="M193" s="24" t="inlineStr"/>
      <c r="N193" s="24" t="inlineStr"/>
    </row>
    <row r="194">
      <c r="B194" s="24" t="inlineStr">
        <is>
          <t>260219_dum.VRN.020</t>
        </is>
      </c>
      <c r="C194" s="24" t="inlineStr">
        <is>
          <t>VRN — Zařízení staveniště</t>
        </is>
      </c>
      <c r="D194" s="24" t="inlineStr">
        <is>
          <t>Voda staveniště — napojení na stávající vodovodní přípojku, dočasné rozvody na s</t>
        </is>
      </c>
      <c r="E194" s="24" t="inlineStr">
        <is>
          <t>012103101</t>
        </is>
      </c>
      <c r="F194" s="24" t="inlineStr">
        <is>
          <t>012103102</t>
        </is>
      </c>
      <c r="G194" s="24" t="inlineStr"/>
      <c r="H194" s="24" t="inlineStr">
        <is>
          <t>needs_production_lookup</t>
        </is>
      </c>
      <c r="I194" s="35" t="n">
        <v>0.65</v>
      </c>
      <c r="J194" s="32" t="inlineStr"/>
      <c r="K194" s="24" t="inlineStr"/>
      <c r="L194" s="24" t="inlineStr"/>
      <c r="M194" s="24" t="inlineStr"/>
      <c r="N194" s="24" t="inlineStr"/>
    </row>
    <row r="195">
      <c r="B195" s="24" t="inlineStr">
        <is>
          <t>260219_dum.PSV76.014</t>
        </is>
      </c>
      <c r="C195" s="24" t="inlineStr">
        <is>
          <t>PSV-76 Výplně otvorů</t>
        </is>
      </c>
      <c r="D195" s="24" t="inlineStr">
        <is>
          <t>Oplechování venkovních parapetů Pzn plech lakovaný 250 mm × tl. 0.55 mm, vč. oka</t>
        </is>
      </c>
      <c r="E195" s="24" t="inlineStr">
        <is>
          <t>764811112</t>
        </is>
      </c>
      <c r="F195" s="24" t="inlineStr">
        <is>
          <t>764811111, 764812114</t>
        </is>
      </c>
      <c r="G195" s="24" t="inlineStr"/>
      <c r="H195" s="24" t="inlineStr">
        <is>
          <t>needs_production_lookup</t>
        </is>
      </c>
      <c r="I195" s="35" t="n">
        <v>0.75</v>
      </c>
      <c r="J195" s="32" t="inlineStr"/>
      <c r="K195" s="24" t="inlineStr"/>
      <c r="L195" s="24" t="inlineStr"/>
      <c r="M195" s="24" t="inlineStr"/>
      <c r="N195" s="24" t="inlineStr"/>
    </row>
    <row r="196">
      <c r="B196" s="24" t="inlineStr">
        <is>
          <t>260219_dum.PSV72.004.A</t>
        </is>
      </c>
      <c r="C196" s="24" t="inlineStr">
        <is>
          <t>PSV-72 ZTI</t>
        </is>
      </c>
      <c r="D196" s="24" t="inlineStr">
        <is>
          <t>Vana koupelnová obdélníková 170×70 cm — koupelna 1.05 1.NP</t>
        </is>
      </c>
      <c r="E196" s="24" t="inlineStr">
        <is>
          <t>725211101</t>
        </is>
      </c>
      <c r="F196" s="24" t="inlineStr"/>
      <c r="G196" s="24" t="inlineStr"/>
      <c r="H196" s="24" t="inlineStr">
        <is>
          <t>needs_production_lookup</t>
        </is>
      </c>
      <c r="I196" s="35" t="n">
        <v>0.7</v>
      </c>
      <c r="J196" s="32" t="inlineStr"/>
      <c r="K196" s="24" t="inlineStr"/>
      <c r="L196" s="24" t="inlineStr"/>
      <c r="M196" s="24" t="inlineStr"/>
      <c r="N196" s="24" t="inlineStr"/>
    </row>
    <row r="197">
      <c r="B197" s="24" t="inlineStr">
        <is>
          <t>260219_dum.PSV72.004.B</t>
        </is>
      </c>
      <c r="C197" s="24" t="inlineStr">
        <is>
          <t>PSV-72 ZTI</t>
        </is>
      </c>
      <c r="D197" s="24" t="inlineStr">
        <is>
          <t>Umyvadlo bílé keramické se sloupcem 60 cm — koupelna 1.05 1.NP</t>
        </is>
      </c>
      <c r="E197" s="24" t="inlineStr">
        <is>
          <t>725311111</t>
        </is>
      </c>
      <c r="F197" s="24" t="inlineStr"/>
      <c r="G197" s="24" t="inlineStr"/>
      <c r="H197" s="24" t="inlineStr">
        <is>
          <t>needs_production_lookup</t>
        </is>
      </c>
      <c r="I197" s="35" t="n">
        <v>0.7</v>
      </c>
      <c r="J197" s="32" t="inlineStr"/>
      <c r="K197" s="24" t="inlineStr"/>
      <c r="L197" s="24" t="inlineStr"/>
      <c r="M197" s="24" t="inlineStr"/>
      <c r="N197" s="24" t="inlineStr"/>
    </row>
    <row r="198">
      <c r="B198" s="24" t="inlineStr">
        <is>
          <t>260219_dum.PSV72.004.C</t>
        </is>
      </c>
      <c r="C198" s="24" t="inlineStr">
        <is>
          <t>PSV-72 ZTI</t>
        </is>
      </c>
      <c r="D198" s="24" t="inlineStr">
        <is>
          <t>WC kombi keramické bílé — koupelna 1.05 1.NP</t>
        </is>
      </c>
      <c r="E198" s="24" t="inlineStr">
        <is>
          <t>725111101</t>
        </is>
      </c>
      <c r="F198" s="24" t="inlineStr"/>
      <c r="G198" s="24" t="inlineStr"/>
      <c r="H198" s="24" t="inlineStr">
        <is>
          <t>needs_production_lookup</t>
        </is>
      </c>
      <c r="I198" s="35" t="n">
        <v>0.7</v>
      </c>
      <c r="J198" s="32" t="inlineStr"/>
      <c r="K198" s="24" t="inlineStr"/>
      <c r="L198" s="24" t="inlineStr"/>
      <c r="M198" s="24" t="inlineStr"/>
      <c r="N198" s="24" t="inlineStr"/>
    </row>
    <row r="199">
      <c r="B199" s="24" t="inlineStr">
        <is>
          <t>260219_dum.PSV72.005.A</t>
        </is>
      </c>
      <c r="C199" s="24" t="inlineStr">
        <is>
          <t>PSV-72 ZTI</t>
        </is>
      </c>
      <c r="D199" s="24" t="inlineStr">
        <is>
          <t>Umyvadlo bílé keramické se sloupcem 60 cm — koupelna 2.03 2.NP</t>
        </is>
      </c>
      <c r="E199" s="24" t="inlineStr">
        <is>
          <t>725311111</t>
        </is>
      </c>
      <c r="F199" s="24" t="inlineStr"/>
      <c r="G199" s="24" t="inlineStr"/>
      <c r="H199" s="24" t="inlineStr">
        <is>
          <t>needs_production_lookup</t>
        </is>
      </c>
      <c r="I199" s="35" t="n">
        <v>0.7</v>
      </c>
      <c r="J199" s="32" t="inlineStr"/>
      <c r="K199" s="24" t="inlineStr"/>
      <c r="L199" s="24" t="inlineStr"/>
      <c r="M199" s="24" t="inlineStr"/>
      <c r="N199" s="24" t="inlineStr"/>
    </row>
    <row r="200">
      <c r="B200" s="24" t="inlineStr">
        <is>
          <t>260219_dum.PSV72.005.B</t>
        </is>
      </c>
      <c r="C200" s="24" t="inlineStr">
        <is>
          <t>PSV-72 ZTI</t>
        </is>
      </c>
      <c r="D200" s="24" t="inlineStr">
        <is>
          <t>Sprchový kout 90×90 cm vč. vaničky + skleněných dveří — koupelna 2.03 2.NP</t>
        </is>
      </c>
      <c r="E200" s="24" t="inlineStr">
        <is>
          <t>725221201</t>
        </is>
      </c>
      <c r="F200" s="24" t="inlineStr"/>
      <c r="G200" s="24" t="inlineStr"/>
      <c r="H200" s="24" t="inlineStr">
        <is>
          <t>needs_production_lookup</t>
        </is>
      </c>
      <c r="I200" s="35" t="n">
        <v>0.7</v>
      </c>
      <c r="J200" s="32" t="inlineStr"/>
      <c r="K200" s="24" t="inlineStr"/>
      <c r="L200" s="24" t="inlineStr"/>
      <c r="M200" s="24" t="inlineStr"/>
      <c r="N200" s="24" t="inlineStr"/>
    </row>
    <row r="201">
      <c r="B201" s="24" t="inlineStr">
        <is>
          <t>260219_dum.PSV72.005.C</t>
        </is>
      </c>
      <c r="C201" s="24" t="inlineStr">
        <is>
          <t>PSV-72 ZTI</t>
        </is>
      </c>
      <c r="D201" s="24" t="inlineStr">
        <is>
          <t>WC kombi keramické bílé — koupelna 2.03 2.NP</t>
        </is>
      </c>
      <c r="E201" s="24" t="inlineStr">
        <is>
          <t>725111101</t>
        </is>
      </c>
      <c r="F201" s="24" t="inlineStr"/>
      <c r="G201" s="24" t="inlineStr"/>
      <c r="H201" s="24" t="inlineStr">
        <is>
          <t>needs_production_lookup</t>
        </is>
      </c>
      <c r="I201" s="35" t="n">
        <v>0.7</v>
      </c>
      <c r="J201" s="32" t="inlineStr"/>
      <c r="K201" s="24" t="inlineStr"/>
      <c r="L201" s="24" t="inlineStr"/>
      <c r="M201" s="24" t="inlineStr"/>
      <c r="N201" s="24" t="inlineStr"/>
    </row>
    <row r="202">
      <c r="B202" s="24" t="inlineStr">
        <is>
          <t>260219_dum.PSV72.006.A</t>
        </is>
      </c>
      <c r="C202" s="24" t="inlineStr">
        <is>
          <t>PSV-72 ZTI</t>
        </is>
      </c>
      <c r="D202" s="24" t="inlineStr">
        <is>
          <t>WC kombi keramické bílé — koupelna 3.04 3.NP</t>
        </is>
      </c>
      <c r="E202" s="24" t="inlineStr">
        <is>
          <t>725111101</t>
        </is>
      </c>
      <c r="F202" s="24" t="inlineStr"/>
      <c r="G202" s="24" t="inlineStr"/>
      <c r="H202" s="24" t="inlineStr">
        <is>
          <t>needs_production_lookup</t>
        </is>
      </c>
      <c r="I202" s="35" t="n">
        <v>0.7</v>
      </c>
      <c r="J202" s="32" t="inlineStr"/>
      <c r="K202" s="24" t="inlineStr"/>
      <c r="L202" s="24" t="inlineStr"/>
      <c r="M202" s="24" t="inlineStr"/>
      <c r="N202" s="24" t="inlineStr"/>
    </row>
    <row r="203">
      <c r="B203" s="24" t="inlineStr">
        <is>
          <t>260219_dum.PSV72.006.B</t>
        </is>
      </c>
      <c r="C203" s="24" t="inlineStr">
        <is>
          <t>PSV-72 ZTI</t>
        </is>
      </c>
      <c r="D203" s="24" t="inlineStr">
        <is>
          <t>Umyvadlo bílé keramické se sloupcem 60 cm — koupelna 3.04 3.NP</t>
        </is>
      </c>
      <c r="E203" s="24" t="inlineStr">
        <is>
          <t>725311111</t>
        </is>
      </c>
      <c r="F203" s="24" t="inlineStr"/>
      <c r="G203" s="24" t="inlineStr"/>
      <c r="H203" s="24" t="inlineStr">
        <is>
          <t>needs_production_lookup</t>
        </is>
      </c>
      <c r="I203" s="35" t="n">
        <v>0.7</v>
      </c>
      <c r="J203" s="32" t="inlineStr"/>
      <c r="K203" s="24" t="inlineStr"/>
      <c r="L203" s="24" t="inlineStr"/>
      <c r="M203" s="24" t="inlineStr"/>
      <c r="N203" s="24" t="inlineStr"/>
    </row>
    <row r="204">
      <c r="B204" s="24" t="inlineStr">
        <is>
          <t>260219_dum.PSV72.006.C</t>
        </is>
      </c>
      <c r="C204" s="24" t="inlineStr">
        <is>
          <t>PSV-72 ZTI</t>
        </is>
      </c>
      <c r="D204" s="24" t="inlineStr">
        <is>
          <t>Sprchový kout 90×90 cm vč. vaničky + skleněných dveří — koupelna 3.04 3.NP</t>
        </is>
      </c>
      <c r="E204" s="24" t="inlineStr">
        <is>
          <t>725221201</t>
        </is>
      </c>
      <c r="F204" s="24" t="inlineStr"/>
      <c r="G204" s="24" t="inlineStr"/>
      <c r="H204" s="24" t="inlineStr">
        <is>
          <t>needs_production_lookup</t>
        </is>
      </c>
      <c r="I204" s="35" t="n">
        <v>0.7</v>
      </c>
      <c r="J204" s="32" t="inlineStr"/>
      <c r="K204" s="24" t="inlineStr"/>
      <c r="L204" s="24" t="inlineStr"/>
      <c r="M204" s="24" t="inlineStr"/>
      <c r="N204" s="24" t="inlineStr"/>
    </row>
    <row r="205">
      <c r="B205" s="24" t="inlineStr">
        <is>
          <t>260219_dum.PSV78.012.1_PP</t>
        </is>
      </c>
      <c r="C205" s="24" t="inlineStr">
        <is>
          <t>PSV-78 Povrchové úpravy</t>
        </is>
      </c>
      <c r="D205" s="24" t="inlineStr">
        <is>
          <t>Interiérová výmalba 1.PP — sklep stěny + klenba bílá vápenná 2×</t>
        </is>
      </c>
      <c r="E205" s="24" t="inlineStr">
        <is>
          <t>784121011</t>
        </is>
      </c>
      <c r="F205" s="24" t="inlineStr">
        <is>
          <t>784181101</t>
        </is>
      </c>
      <c r="G205" s="24" t="inlineStr"/>
      <c r="H205" s="24" t="inlineStr">
        <is>
          <t>needs_production_lookup</t>
        </is>
      </c>
      <c r="I205" s="35" t="n">
        <v>0.65</v>
      </c>
      <c r="J205" s="32" t="inlineStr"/>
      <c r="K205" s="24" t="inlineStr"/>
      <c r="L205" s="24" t="inlineStr"/>
      <c r="M205" s="24" t="inlineStr"/>
      <c r="N205" s="24" t="inlineStr"/>
    </row>
    <row r="206">
      <c r="B206" s="24" t="inlineStr">
        <is>
          <t>260219_dum.PSV78.012.1_NP</t>
        </is>
      </c>
      <c r="C206" s="24" t="inlineStr">
        <is>
          <t>PSV-78 Povrchové úpravy</t>
        </is>
      </c>
      <c r="D206" s="24" t="inlineStr">
        <is>
          <t>Interiérová výmalba 1.NP — stěny + SDK podhled − obklad koupelny 1.05 (1.6 m výš</t>
        </is>
      </c>
      <c r="E206" s="24" t="inlineStr">
        <is>
          <t>784121011</t>
        </is>
      </c>
      <c r="F206" s="24" t="inlineStr">
        <is>
          <t>784181101</t>
        </is>
      </c>
      <c r="G206" s="24" t="inlineStr"/>
      <c r="H206" s="24" t="inlineStr">
        <is>
          <t>needs_production_lookup</t>
        </is>
      </c>
      <c r="I206" s="35" t="n">
        <v>0.65</v>
      </c>
      <c r="J206" s="32" t="inlineStr"/>
      <c r="K206" s="24" t="inlineStr"/>
      <c r="L206" s="24" t="inlineStr"/>
      <c r="M206" s="24" t="inlineStr"/>
      <c r="N206" s="24" t="inlineStr"/>
    </row>
    <row r="207">
      <c r="B207" s="24" t="inlineStr">
        <is>
          <t>260219_dum.PSV78.012.2_NP</t>
        </is>
      </c>
      <c r="C207" s="24" t="inlineStr">
        <is>
          <t>PSV-78 Povrchové úpravy</t>
        </is>
      </c>
      <c r="D207" s="24" t="inlineStr">
        <is>
          <t>Interiérová výmalba 2.NP — stěny + SDK podhled − obklad koupelny 2.03 (2.45 m vý</t>
        </is>
      </c>
      <c r="E207" s="24" t="inlineStr">
        <is>
          <t>784121011</t>
        </is>
      </c>
      <c r="F207" s="24" t="inlineStr">
        <is>
          <t>784181101</t>
        </is>
      </c>
      <c r="G207" s="24" t="inlineStr"/>
      <c r="H207" s="24" t="inlineStr">
        <is>
          <t>needs_production_lookup</t>
        </is>
      </c>
      <c r="I207" s="35" t="n">
        <v>0.65</v>
      </c>
      <c r="J207" s="32" t="inlineStr"/>
      <c r="K207" s="24" t="inlineStr"/>
      <c r="L207" s="24" t="inlineStr"/>
      <c r="M207" s="24" t="inlineStr"/>
      <c r="N207" s="24" t="inlineStr"/>
    </row>
    <row r="208">
      <c r="B208" s="24" t="inlineStr">
        <is>
          <t>260219_dum.PSV78.012.3_NP</t>
        </is>
      </c>
      <c r="C208" s="24" t="inlineStr">
        <is>
          <t>PSV-78 Povrchové úpravy</t>
        </is>
      </c>
      <c r="D208" s="24" t="inlineStr">
        <is>
          <t>Interiérová výmalba 3.NP — stěny + SDK podhled − obklad koupelny 3.04 (2.7 m výš</t>
        </is>
      </c>
      <c r="E208" s="24" t="inlineStr">
        <is>
          <t>784121011</t>
        </is>
      </c>
      <c r="F208" s="24" t="inlineStr">
        <is>
          <t>784181101</t>
        </is>
      </c>
      <c r="G208" s="24" t="inlineStr"/>
      <c r="H208" s="24" t="inlineStr">
        <is>
          <t>needs_production_lookup</t>
        </is>
      </c>
      <c r="I208" s="35" t="n">
        <v>0.65</v>
      </c>
      <c r="J208" s="32" t="inlineStr"/>
      <c r="K208" s="24" t="inlineStr"/>
      <c r="L208" s="24" t="inlineStr"/>
      <c r="M208" s="24" t="inlineStr"/>
      <c r="N208" s="24" t="inlineStr"/>
    </row>
    <row r="209">
      <c r="B209" s="24" t="inlineStr">
        <is>
          <t>260219_dum.HSV6.016</t>
        </is>
      </c>
      <c r="C209" s="24" t="inlineStr">
        <is>
          <t>HSV-6 Bourací práce</t>
        </is>
      </c>
      <c r="D209" s="24" t="inlineStr">
        <is>
          <t>Bourání vrchní části stávajícího komínu v posledním podlaží (cihelné zdivo, ručn</t>
        </is>
      </c>
      <c r="E209" s="24" t="inlineStr">
        <is>
          <t>962024141</t>
        </is>
      </c>
      <c r="F209" s="24" t="inlineStr">
        <is>
          <t>962024151, 965042141</t>
        </is>
      </c>
      <c r="G209" s="24" t="inlineStr"/>
      <c r="H209" s="24" t="inlineStr">
        <is>
          <t>family_verified_leaf_needs_production_lookup</t>
        </is>
      </c>
      <c r="I209" s="35" t="n">
        <v>0.8</v>
      </c>
      <c r="J209" s="31" t="inlineStr">
        <is>
          <t>FAMILY_VERIFIED</t>
        </is>
      </c>
      <c r="K209" s="24" t="inlineStr">
        <is>
          <t>https://www.cs-urs.cz/podminky/cu202/801-3-Budovy-a-haly---bourani-konstrukci-(2020-II)/19/</t>
        </is>
      </c>
      <c r="L209" s="24" t="inlineStr"/>
      <c r="M209" s="24" t="inlineStr"/>
      <c r="N209" s="24" t="inlineStr"/>
    </row>
    <row r="210">
      <c r="B210" s="24" t="inlineStr">
        <is>
          <t>260219_dum.HSV6.017</t>
        </is>
      </c>
      <c r="C210" s="24" t="inlineStr">
        <is>
          <t>HSV-6 Bourací práce</t>
        </is>
      </c>
      <c r="D210" s="24" t="inlineStr">
        <is>
          <t>Bourání stávajících opěrných zídek a venkovního schodiště v zahradě/dvoře — část</t>
        </is>
      </c>
      <c r="E210" s="24" t="inlineStr">
        <is>
          <t>961044111</t>
        </is>
      </c>
      <c r="F210" s="24" t="inlineStr">
        <is>
          <t>962031321, 965042141</t>
        </is>
      </c>
      <c r="G210" s="24" t="inlineStr"/>
      <c r="H210" s="24" t="inlineStr">
        <is>
          <t>family_verified_leaf_needs_production_lookup</t>
        </is>
      </c>
      <c r="I210" s="35" t="n">
        <v>0.8</v>
      </c>
      <c r="J210" s="31" t="inlineStr">
        <is>
          <t>FAMILY_VERIFIED</t>
        </is>
      </c>
      <c r="K210" s="24" t="inlineStr">
        <is>
          <t>https://www.cs-urs.cz/podminky/cu202/801-3-Budovy-a-haly---bourani-konstrukci-(2020-II)/19/</t>
        </is>
      </c>
      <c r="L210" s="24" t="inlineStr"/>
      <c r="M210" s="24" t="inlineStr"/>
      <c r="N210" s="24" t="inlineStr"/>
    </row>
    <row r="211">
      <c r="B211" s="24" t="inlineStr">
        <is>
          <t>260219_dum.HSV1.015</t>
        </is>
      </c>
      <c r="C211" s="24" t="inlineStr">
        <is>
          <t>HSV-1 Zemní práce</t>
        </is>
      </c>
      <c r="D211" s="24" t="inlineStr">
        <is>
          <t>Drenáž za opěrnou stěnou (bílou vanou) — drenážní trubka DN100 vlnitá perforovan</t>
        </is>
      </c>
      <c r="E211" s="24" t="inlineStr">
        <is>
          <t>877315111</t>
        </is>
      </c>
      <c r="F211" s="24" t="inlineStr">
        <is>
          <t>873311111, 899711111</t>
        </is>
      </c>
      <c r="G211" s="24" t="inlineStr"/>
      <c r="H211" s="24" t="inlineStr">
        <is>
          <t>family_verified_leaf_needs_production_lookup</t>
        </is>
      </c>
      <c r="I211" s="35" t="n">
        <v>0.8</v>
      </c>
      <c r="J211" s="31" t="inlineStr">
        <is>
          <t>FAMILY_VERIFIED</t>
        </is>
      </c>
      <c r="K211" s="24" t="inlineStr">
        <is>
          <t>https://www.cs-urs.cz/cenova-soustava-urs/</t>
        </is>
      </c>
      <c r="L211" s="24" t="inlineStr"/>
      <c r="M211" s="24" t="inlineStr"/>
      <c r="N211" s="24" t="inlineStr"/>
    </row>
    <row r="212">
      <c r="B212" s="24" t="inlineStr">
        <is>
          <t>260217_sklad.HSV5.001</t>
        </is>
      </c>
      <c r="C212" s="24" t="inlineStr">
        <is>
          <t>HSV-5 Komunikace + schodiště</t>
        </is>
      </c>
      <c r="D212" s="24" t="inlineStr">
        <is>
          <t>Sklad mezipodesta schodiště — prefa betonové stupně (9 ks × 179.5×250 mm) + klad</t>
        </is>
      </c>
      <c r="E212" s="24" t="inlineStr">
        <is>
          <t>121301101</t>
        </is>
      </c>
      <c r="F212" s="24" t="inlineStr">
        <is>
          <t>965042141, 961044111</t>
        </is>
      </c>
      <c r="G212" s="24" t="inlineStr"/>
      <c r="H212" s="24" t="inlineStr">
        <is>
          <t>needs_production_lookup</t>
        </is>
      </c>
      <c r="I212" s="35" t="n">
        <v>0.6</v>
      </c>
      <c r="J212" s="32" t="inlineStr"/>
      <c r="K212" s="24" t="inlineStr"/>
      <c r="L212" s="24" t="inlineStr"/>
      <c r="M212" s="24" t="inlineStr"/>
      <c r="N212" s="24" t="inlineStr"/>
    </row>
    <row r="213">
      <c r="B213" s="24" t="inlineStr">
        <is>
          <t>260219_dum.VRN.PM01</t>
        </is>
      </c>
      <c r="C213" s="24" t="inlineStr">
        <is>
          <t>VRN — Přesun hmot</t>
        </is>
      </c>
      <c r="D213" s="24" t="inlineStr">
        <is>
          <t>Přesun hmot pro budovu — vnitrostaveništní vertikální + horizontální doprava mat</t>
        </is>
      </c>
      <c r="E213" s="24" t="inlineStr"/>
      <c r="F213" s="24" t="inlineStr"/>
      <c r="G213" s="24" t="inlineStr"/>
      <c r="H213" s="24" t="inlineStr">
        <is>
          <t>needs_production_lookup</t>
        </is>
      </c>
      <c r="I213" s="35" t="n">
        <v>0</v>
      </c>
      <c r="J213" s="33" t="inlineStr"/>
      <c r="K213" s="24" t="inlineStr"/>
      <c r="L213" s="24" t="inlineStr"/>
      <c r="M213" s="24" t="inlineStr"/>
      <c r="N213" s="24" t="inlineStr"/>
    </row>
    <row r="214">
      <c r="B214" s="24" t="inlineStr">
        <is>
          <t>260219_dum.VRN.PM02</t>
        </is>
      </c>
      <c r="C214" s="24" t="inlineStr">
        <is>
          <t>VRN — Lešení</t>
        </is>
      </c>
      <c r="D214" s="24" t="inlineStr">
        <is>
          <t>Fasádní lešení trubkové/rámové vč. montáže + pronájmu + demontáže — pro proveden</t>
        </is>
      </c>
      <c r="E214" s="24" t="inlineStr"/>
      <c r="F214" s="24" t="inlineStr"/>
      <c r="G214" s="24" t="inlineStr"/>
      <c r="H214" s="24" t="inlineStr">
        <is>
          <t>needs_production_lookup</t>
        </is>
      </c>
      <c r="I214" s="35" t="n">
        <v>0</v>
      </c>
      <c r="J214" s="33" t="inlineStr"/>
      <c r="K214" s="24" t="inlineStr"/>
      <c r="L214" s="24" t="inlineStr"/>
      <c r="M214" s="24" t="inlineStr"/>
      <c r="N214" s="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2026-05-29T09:33:03Z</dcterms:created>
  <dcterms:modified xsi:type="dcterms:W3CDTF">2026-05-29T09:33:03Z</dcterms:modified>
</cp:coreProperties>
</file>
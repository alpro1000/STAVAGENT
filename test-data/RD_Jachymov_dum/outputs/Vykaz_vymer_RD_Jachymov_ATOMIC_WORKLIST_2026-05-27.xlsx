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247</v>
      </c>
    </row>
    <row r="9">
      <c r="A9" s="4" t="inlineStr">
        <is>
          <t>Items carried 1:1</t>
        </is>
      </c>
      <c r="B9" s="5" t="n">
        <v>113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Zámečnictví</t>
        </is>
      </c>
      <c r="B32" s="5" t="n">
        <v>8</v>
      </c>
    </row>
    <row r="33">
      <c r="A33" s="4" t="inlineStr">
        <is>
          <t>PSV-77 Podlahy</t>
        </is>
      </c>
      <c r="B33" s="5" t="n">
        <v>12</v>
      </c>
    </row>
    <row r="34">
      <c r="A34" s="4" t="inlineStr">
        <is>
          <t>PSV-78 Povrchové úpravy</t>
        </is>
      </c>
      <c r="B34" s="5" t="n">
        <v>24</v>
      </c>
    </row>
    <row r="35">
      <c r="A35" s="4" t="inlineStr">
        <is>
          <t>PSV-95 Detekce požární</t>
        </is>
      </c>
      <c r="B35" s="5" t="n">
        <v>5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121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121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6 ks</t>
        </is>
      </c>
      <c r="D6" s="10" t="inlineStr">
        <is>
          <t>m³</t>
        </is>
      </c>
      <c r="E6" s="12" t="n">
        <v>1.5</v>
      </c>
      <c r="F6" s="11" t="inlineStr">
        <is>
          <t>6 patek × 0.5 × 0.5 × 1.0 m hl. = 1.5 m³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31.85</v>
      </c>
      <c r="F8" s="18">
        <f> součet hloubení sklad + figura + patky (25.5+4.85+1.5)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8" t="inlineStr">
        <is>
          <t>━━ HSV-2 Základové a ŽB  (7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/ komplet / služba — no split)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6 ks</t>
        </is>
      </c>
      <c r="D11" s="10" t="inlineStr">
        <is>
          <t>ks</t>
        </is>
      </c>
      <c r="E11" s="12" t="n">
        <v>6</v>
      </c>
      <c r="F11" s="11" t="inlineStr">
        <is>
          <t>6 ks (výkres D.1.1.02 — 6 štvercových patek pod IPE180)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Montáž — Dvoustupňové patky pro IPE180 — horní část z tvarovek ztraceného bednění 300×300 mm × 6 ks</t>
        </is>
      </c>
      <c r="D12" s="10" t="inlineStr">
        <is>
          <t>ks</t>
        </is>
      </c>
      <c r="E12" s="12" t="n">
        <v>6</v>
      </c>
      <c r="F12" s="11" t="inlineStr">
        <is>
          <t>6 ks (= spodní, výkres D.1.1.02)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Montáž (práce).</t>
        </is>
      </c>
    </row>
    <row r="13">
      <c r="A13" s="17" t="n">
        <v>10</v>
      </c>
      <c r="B13" s="18" t="inlineStr">
        <is>
          <t>HSV-2 Základové a ŽB</t>
        </is>
      </c>
      <c r="C13" s="18" t="inlineStr">
        <is>
          <t>Dodávka — Dodávka oceli S235 (válcované profily) (Dvoustupňové patky pro IPE180 — horní část z t)</t>
        </is>
      </c>
      <c r="D13" s="17" t="inlineStr">
        <is>
          <t>ks</t>
        </is>
      </c>
      <c r="E13" s="19" t="n">
        <v>6.18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260217_sklad.HSV2.003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Beton C25/30 XC3 XF1 XA1 pro zalití tvarovek ZB patek + lemujících zídek parkingu</t>
        </is>
      </c>
      <c r="D14" s="10" t="inlineStr">
        <is>
          <t>m³</t>
        </is>
      </c>
      <c r="E14" s="12" t="n">
        <v>1.75</v>
      </c>
      <c r="F14" s="11" t="inlineStr">
        <is>
          <t>patky horní (0.3×0.3×0.5×6 = 0.27) + zídka lemující + věnec nad patkami (odhad ~1.5 m³) = ~1.75 m³</t>
        </is>
      </c>
      <c r="G14" s="11" t="inlineStr">
        <is>
          <t>273321321</t>
        </is>
      </c>
      <c r="H14" s="10" t="inlineStr">
        <is>
          <t>⚠ kandidát-verify</t>
        </is>
      </c>
      <c r="I14" s="11" t="inlineStr">
        <is>
          <t>260217_sklad.HSV2.004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Štěrkopískové lože pod podlahu skladu + pod schodišťovou desku</t>
        </is>
      </c>
      <c r="D15" s="10" t="inlineStr">
        <is>
          <t>m³</t>
        </is>
      </c>
      <c r="E15" s="12" t="n">
        <v>1.76</v>
      </c>
      <c r="F15" s="11" t="inlineStr">
        <is>
          <t>podlaha sklad 17.6 m² (legenda) × 0.10 m kladecí kamenná drť</t>
        </is>
      </c>
      <c r="G15" s="11" t="inlineStr">
        <is>
          <t>174101101</t>
        </is>
      </c>
      <c r="H15" s="10" t="inlineStr">
        <is>
          <t>✓ verified</t>
        </is>
      </c>
      <c r="I15" s="11" t="inlineStr">
        <is>
          <t>260217_sklad.HSV2.005</t>
        </is>
      </c>
      <c r="J15" s="11" t="inlineStr">
        <is>
          <t>S01_sklad, S05_sklad</t>
        </is>
      </c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ŽB schodišťová deska ve sklonu + základový pas — beton C25/30 XC3 (terén ke skladu)</t>
        </is>
      </c>
      <c r="D16" s="10" t="inlineStr">
        <is>
          <t>m³</t>
        </is>
      </c>
      <c r="E16" s="12" t="n">
        <v>0.8</v>
      </c>
      <c r="F16" s="11" t="inlineStr">
        <is>
          <t>odhad 3 m schodů × 0.8 × 0.30 = 0.72 (ručně)</t>
        </is>
      </c>
      <c r="G16" s="11" t="inlineStr">
        <is>
          <t>273361821</t>
        </is>
      </c>
      <c r="H16" s="10" t="inlineStr">
        <is>
          <t>⚠ kandidát-verify</t>
        </is>
      </c>
      <c r="I16" s="11" t="inlineStr">
        <is>
          <t>260217_sklad.HSV2.006</t>
        </is>
      </c>
      <c r="J16" s="11" t="inlineStr">
        <is>
          <t>S05_sklad</t>
        </is>
      </c>
      <c r="K16" s="11" t="inlineStr">
        <is>
          <t>Carried 1:1 (atomic / komplet / služba — no split)</t>
        </is>
      </c>
    </row>
    <row r="17">
      <c r="A17" s="8" t="inlineStr">
        <is>
          <t>━━ HSV-3 Svislé konstrukce  (8 atomic operací) ━━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>
        <v>14</v>
      </c>
      <c r="B18" s="11" t="inlineStr">
        <is>
          <t>HSV-3 Svislé konstrukce</t>
        </is>
      </c>
      <c r="C18" s="11" t="inlineStr">
        <is>
          <t>Zadní opěrná stěna — prefabrikované betonové bloky Herkul H-BLOK Standard, vazba běhounová s posunem 0.5</t>
        </is>
      </c>
      <c r="D18" s="10" t="inlineStr">
        <is>
          <t>ks</t>
        </is>
      </c>
      <c r="E18" s="12" t="n">
        <v>18</v>
      </c>
      <c r="F18" s="11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G18" s="11" t="inlineStr">
        <is>
          <t>311233815</t>
        </is>
      </c>
      <c r="H18" s="10" t="inlineStr">
        <is>
          <t>⚠ kandidát-verify</t>
        </is>
      </c>
      <c r="I18" s="11" t="inlineStr">
        <is>
          <t>260217_sklad.HSV3.001</t>
        </is>
      </c>
      <c r="J18" s="11" t="inlineStr">
        <is>
          <t>S04_sklad</t>
        </is>
      </c>
      <c r="K18" s="11" t="inlineStr">
        <is>
          <t>Carried 1:1 (atomic / komplet / služba — no split)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Montáž — Obvodové stěny skladu — tvarovky ztraceného bednění tl. 250 mm × výška 2.4 m + zalití C25/30</t>
        </is>
      </c>
      <c r="D19" s="10" t="inlineStr">
        <is>
          <t>m²</t>
        </is>
      </c>
      <c r="E19" s="12" t="n">
        <v>46.5</v>
      </c>
      <c r="F19" s="11" t="inlineStr">
        <is>
          <t>obvod 19.4 m × výška 2.4 m = 46.6</t>
        </is>
      </c>
      <c r="G19" s="11" t="inlineStr">
        <is>
          <t>311233811</t>
        </is>
      </c>
      <c r="H19" s="10" t="inlineStr">
        <is>
          <t>⚠ kandidát-verify</t>
        </is>
      </c>
      <c r="I19" s="11" t="inlineStr">
        <is>
          <t>260217_sklad.HSV3.002</t>
        </is>
      </c>
      <c r="J19" s="11" t="inlineStr">
        <is>
          <t>S03a_sklad, S03b_sklad</t>
        </is>
      </c>
      <c r="K19" s="11" t="inlineStr">
        <is>
          <t>Montáž (práce).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Dodávka — Pronájem bednění (Obvodové stěny skladu — tvarovky ztraceného be)</t>
        </is>
      </c>
      <c r="D20" s="17" t="inlineStr">
        <is>
          <t>m²</t>
        </is>
      </c>
      <c r="E20" s="19" t="n">
        <v>46.5</v>
      </c>
      <c r="F20" s="18">
        <f> montáž 1:1</f>
        <v/>
      </c>
      <c r="G20" s="18" t="inlineStr"/>
      <c r="H20" s="17" t="inlineStr">
        <is>
          <t>❌ blank — ÚRS online</t>
        </is>
      </c>
      <c r="I20" s="18" t="inlineStr">
        <is>
          <t>260217_sklad.HSV3.002</t>
        </is>
      </c>
      <c r="J20" s="18" t="inlineStr">
        <is>
          <t>S03a_sklad, S03b_sklad</t>
        </is>
      </c>
      <c r="K20" s="18" t="inlineStr">
        <is>
          <t>Materiál (dodávka). Pronájem.  Doplnit leaf z CS ÚRS online (app.urs.cz, cen. úroveň 2026 01) dle família + popis + Vzorec.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Výztuž B500B do tvarovek ztraceného bednění (~30 kg/m² stěny při zalití C25/30)</t>
        </is>
      </c>
      <c r="D21" s="10" t="inlineStr">
        <is>
          <t>kg</t>
        </is>
      </c>
      <c r="E21" s="12" t="n">
        <v>1398</v>
      </c>
      <c r="F21" s="11" t="inlineStr">
        <is>
          <t>46.6 × 30 kg/m² = 1398</t>
        </is>
      </c>
      <c r="G21" s="13" t="inlineStr">
        <is>
          <t>273361821</t>
        </is>
      </c>
      <c r="H21" s="10" t="inlineStr">
        <is>
          <t>⚠ kandidát-verify</t>
        </is>
      </c>
      <c r="I21" s="11" t="inlineStr">
        <is>
          <t>260217_sklad.HSV3.003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Dodávka betonářské oceli B500B (Výztuž B500B do tvarovek ztraceného bednění (~)</t>
        </is>
      </c>
      <c r="D22" s="17" t="inlineStr">
        <is>
          <t>kg</t>
        </is>
      </c>
      <c r="E22" s="19" t="n">
        <v>1398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260217_sklad.HSV3.003</t>
        </is>
      </c>
      <c r="J22" s="18" t="inlineStr">
        <is>
          <t>S03a_sklad, S03b_sklad</t>
        </is>
      </c>
      <c r="K22" s="18" t="inlineStr">
        <is>
          <t>Materiál (dodávka). Ztratné 0 %.  Doplnit leaf z CS ÚRS online (app.urs.cz, cen. úroveň 2026 01) dle família + popis + Vzorec.</t>
        </is>
      </c>
    </row>
    <row r="23">
      <c r="A23" s="17" t="n">
        <v>19</v>
      </c>
      <c r="B23" s="18" t="inlineStr">
        <is>
          <t>HSV-3 Svislé konstrukce</t>
        </is>
      </c>
      <c r="C23" s="18" t="inlineStr">
        <is>
          <t>Asfaltová penetrace obvodových + opěrné stěny pod terénem (S03a+S04)</t>
        </is>
      </c>
      <c r="D23" s="17" t="inlineStr">
        <is>
          <t>m²</t>
        </is>
      </c>
      <c r="E23" s="19" t="n">
        <v>33</v>
      </c>
      <c r="F23" s="18">
        <f> plocha stěn pod terénem 33 m² (OVĚŘIT)</f>
        <v/>
      </c>
      <c r="G23" s="18" t="inlineStr"/>
      <c r="H23" s="17" t="inlineStr">
        <is>
          <t>❌ blank — ÚRS online</t>
        </is>
      </c>
      <c r="I23" s="18" t="inlineStr">
        <is>
          <t>260217_sklad.HSV3.004 → HSV3.004a</t>
        </is>
      </c>
      <c r="J23" s="18" t="inlineStr">
        <is>
          <t>S03a_sklad, S04_sklad</t>
        </is>
      </c>
      <c r="K23" s="18" t="inlineStr">
        <is>
          <t>Penetrace.  Doplnit leaf z CS ÚRS online (app.urs.cz, cen. úroveň 2026 01) dle família + popis + Vzorec.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2× HI a protiradonový pás z modif. asfaltu 2×4 mm — stěny pod terénem</t>
        </is>
      </c>
      <c r="D24" s="17" t="inlineStr">
        <is>
          <t>m²</t>
        </is>
      </c>
      <c r="E24" s="19" t="n">
        <v>33</v>
      </c>
      <c r="F24" s="18">
        <f> 33 m² (2 vrstvy ve spotřebě)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HSV3.004b</t>
        </is>
      </c>
      <c r="J24" s="18" t="inlineStr">
        <is>
          <t>S03a_sklad, S04_sklad</t>
        </is>
      </c>
      <c r="K24" s="18" t="inlineStr">
        <is>
          <t>HI + protiradon (711). Materiál 2×4mm.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Drenážní nopová folie 20 mm — dodávka+montáž, stěny pod terénem (S03a+S04)</t>
        </is>
      </c>
      <c r="D25" s="17" t="inlineStr">
        <is>
          <t>m²</t>
        </is>
      </c>
      <c r="E25" s="19" t="n">
        <v>36</v>
      </c>
      <c r="F25" s="18">
        <f> 33 × 1.10 přesahy</f>
        <v/>
      </c>
      <c r="G25" s="18" t="inlineStr"/>
      <c r="H25" s="17" t="inlineStr">
        <is>
          <t>❌ blank — ÚRS online</t>
        </is>
      </c>
      <c r="I25" s="18" t="inlineStr">
        <is>
          <t>260217_sklad.HSV3.005 → HSV3.005a</t>
        </is>
      </c>
      <c r="J25" s="18" t="inlineStr">
        <is>
          <t>S03a_sklad, S04_sklad</t>
        </is>
      </c>
      <c r="K25" s="18" t="inlineStr">
        <is>
          <t>Drenáž nopová folie (711).  Doplnit leaf z CS ÚRS online (app.urs.cz, cen. úroveň 2026 01) dle família + popis + Vzorec.</t>
        </is>
      </c>
    </row>
    <row r="26">
      <c r="A26" s="8" t="inlineStr">
        <is>
          <t>━━ HSV-4 Vodorovné  (10 atomic operací) ━━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10" t="n">
        <v>22</v>
      </c>
      <c r="B27" s="11" t="inlineStr">
        <is>
          <t>HSV-4 Vodorovné</t>
        </is>
      </c>
      <c r="C27" s="11" t="inlineStr">
        <is>
          <t>Montáž — Dřevěné stropnice 100/160 mm á 625 mm primární zastřešení skladu — rezivo C24 fungicidní</t>
        </is>
      </c>
      <c r="D27" s="10" t="inlineStr">
        <is>
          <t>bm</t>
        </is>
      </c>
      <c r="E27" s="12" t="n">
        <v>36.74</v>
      </c>
      <c r="F27" s="11" t="inlineStr">
        <is>
          <t>6.35/0.625 = 10.16 → 11 ks × 3.34 m (rozpon 3.1 + uložení) = 36.74 bm</t>
        </is>
      </c>
      <c r="G27" s="11" t="inlineStr">
        <is>
          <t>762341110</t>
        </is>
      </c>
      <c r="H27" s="10" t="inlineStr">
        <is>
          <t>⚠ kandidát-verify</t>
        </is>
      </c>
      <c r="I27" s="11" t="inlineStr">
        <is>
          <t>260217_sklad.HSV4.001</t>
        </is>
      </c>
      <c r="J27" s="11" t="inlineStr">
        <is>
          <t>S02_sklad</t>
        </is>
      </c>
      <c r="K27" s="11" t="inlineStr">
        <is>
          <t>Montáž (práce).</t>
        </is>
      </c>
    </row>
    <row r="28">
      <c r="A28" s="17" t="n">
        <v>23</v>
      </c>
      <c r="B28" s="18" t="inlineStr">
        <is>
          <t>HSV-4 Vodorovné</t>
        </is>
      </c>
      <c r="C28" s="18" t="inlineStr">
        <is>
          <t>Dodávka — Dodávka řeziva C24 (impregnované) (Dřevěné stropnice 100/160 mm á 625 mm primární)</t>
        </is>
      </c>
      <c r="D28" s="17" t="inlineStr">
        <is>
          <t>bm</t>
        </is>
      </c>
      <c r="E28" s="19" t="n">
        <v>40.41</v>
      </c>
      <c r="F28" s="18">
        <f> montáž × 1.10</f>
        <v/>
      </c>
      <c r="G28" s="18" t="inlineStr"/>
      <c r="H28" s="17" t="inlineStr">
        <is>
          <t>❌ blank — ÚRS online</t>
        </is>
      </c>
      <c r="I28" s="18" t="inlineStr">
        <is>
          <t>260217_sklad.HSV4.001</t>
        </is>
      </c>
      <c r="J28" s="18" t="inlineStr">
        <is>
          <t>S02_sklad</t>
        </is>
      </c>
      <c r="K28" s="18" t="inlineStr">
        <is>
          <t>Materiál (dodávka). Ztratné 10 %.  Doplnit leaf z CS ÚRS online (app.urs.cz, cen. úroveň 2026 01) dle família + popis + Vzorec.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Prkenný záklop stropnic skladu tl. 20 mm + impregnace</t>
        </is>
      </c>
      <c r="D29" s="10" t="inlineStr">
        <is>
          <t>m²</t>
        </is>
      </c>
      <c r="E29" s="12" t="n">
        <v>21.209</v>
      </c>
      <c r="F29" s="11">
        <f> 21.2 m² strop skladu</f>
        <v/>
      </c>
      <c r="G29" s="11" t="inlineStr">
        <is>
          <t>762331110</t>
        </is>
      </c>
      <c r="H29" s="10" t="inlineStr">
        <is>
          <t>⚠ kandidát-verify</t>
        </is>
      </c>
      <c r="I29" s="11" t="inlineStr">
        <is>
          <t>260217_sklad.HSV4.002</t>
        </is>
      </c>
      <c r="J29" s="11" t="inlineStr">
        <is>
          <t>S02_sklad</t>
        </is>
      </c>
      <c r="K29" s="11" t="inlineStr">
        <is>
          <t>Carried 1:1 (atomic / komplet / služba — no split)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Montáž — Hydroizolační střešní souvrství skladu (modifikovaný asfaltový pás SBS + ochranná vrstva)</t>
        </is>
      </c>
      <c r="D30" s="10" t="inlineStr">
        <is>
          <t>m²</t>
        </is>
      </c>
      <c r="E30" s="12" t="n">
        <v>22.26945</v>
      </c>
      <c r="F30" s="11" t="inlineStr">
        <is>
          <t>21.2 × 1.05 přesah</t>
        </is>
      </c>
      <c r="G30" s="11" t="inlineStr">
        <is>
          <t>712331101</t>
        </is>
      </c>
      <c r="H30" s="10" t="inlineStr">
        <is>
          <t>⚠ kandidát-verify</t>
        </is>
      </c>
      <c r="I30" s="11" t="inlineStr">
        <is>
          <t>260217_sklad.HSV4.003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folie/pásu (Hydroizolační střešní souvrství skladu (modifi)</t>
        </is>
      </c>
      <c r="D31" s="17" t="inlineStr">
        <is>
          <t>m²</t>
        </is>
      </c>
      <c r="E31" s="19" t="n">
        <v>24.5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260217_sklad.HSV4.003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Sekundární zastřešení parkingu — IPE180 v rozteči 1000 mm × délka 6 m × 6 ks</t>
        </is>
      </c>
      <c r="D32" s="10" t="inlineStr">
        <is>
          <t>kg</t>
        </is>
      </c>
      <c r="E32" s="12" t="n">
        <v>790</v>
      </c>
      <c r="F32" s="11" t="inlineStr">
        <is>
          <t>6 ks IPE180 × 7.0 m × 18.8 kg/m = 789.6 → 790 kg (výkres D.1.1.02: 6 nosníků)</t>
        </is>
      </c>
      <c r="G32" s="11" t="inlineStr">
        <is>
          <t>411321414</t>
        </is>
      </c>
      <c r="H32" s="10" t="inlineStr">
        <is>
          <t>⚠ kandidát-verify</t>
        </is>
      </c>
      <c r="I32" s="11" t="inlineStr">
        <is>
          <t>260217_sklad.HSV4.004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oceli S235 (válcované profily) (Sekundární zastřešení parkingu — IPE180 v rozt)</t>
        </is>
      </c>
      <c r="D33" s="17" t="inlineStr">
        <is>
          <t>kg</t>
        </is>
      </c>
      <c r="E33" s="19" t="n">
        <v>813.7</v>
      </c>
      <c r="F33" s="18">
        <f> montáž × 1.03</f>
        <v/>
      </c>
      <c r="G33" s="18" t="inlineStr"/>
      <c r="H33" s="17" t="inlineStr">
        <is>
          <t>❌ blank — ÚRS online</t>
        </is>
      </c>
      <c r="I33" s="18" t="inlineStr">
        <is>
          <t>260217_sklad.HSV4.004</t>
        </is>
      </c>
      <c r="J33" s="18" t="inlineStr">
        <is>
          <t>S02_sklad</t>
        </is>
      </c>
      <c r="K33" s="18" t="inlineStr">
        <is>
          <t>Materiál (dodávka). Ztratné 3 %.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Pojezdové ocelové pororošty demontovatelné — povrch parkingu (žárově zinkováno)</t>
        </is>
      </c>
      <c r="D34" s="10" t="inlineStr">
        <is>
          <t>m²</t>
        </is>
      </c>
      <c r="E34" s="12" t="n">
        <v>44.6</v>
      </c>
      <c r="F34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4" s="13" t="inlineStr">
        <is>
          <t>411321515</t>
        </is>
      </c>
      <c r="H34" s="10" t="inlineStr">
        <is>
          <t>⚠ kandidát-verify</t>
        </is>
      </c>
      <c r="I34" s="11" t="inlineStr">
        <is>
          <t>260217_sklad.HSV4.005</t>
        </is>
      </c>
      <c r="J34" s="11" t="inlineStr">
        <is>
          <t>S02_sklad</t>
        </is>
      </c>
      <c r="K34" s="11" t="inlineStr">
        <is>
          <t>Carried 1:1 (atomic / komplet / služba — no split)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Žárově zinková povrchová úprava IPE180 + pororoštů dle ČSN EN ISO 12944 (C3 prostředí)</t>
        </is>
      </c>
      <c r="D35" s="10" t="inlineStr">
        <is>
          <t>kg</t>
        </is>
      </c>
      <c r="E35" s="12" t="n">
        <v>1420</v>
      </c>
      <c r="F35" s="11" t="inlineStr">
        <is>
          <t>IPE 790 kg + pororošt 630 kg = 1420 kg žárově zinkováno (IPE 6 ks)</t>
        </is>
      </c>
      <c r="G35" s="11" t="inlineStr">
        <is>
          <t>783201001</t>
        </is>
      </c>
      <c r="H35" s="10" t="inlineStr">
        <is>
          <t>⚠ kandidát-verify</t>
        </is>
      </c>
      <c r="I35" s="11" t="inlineStr">
        <is>
          <t>260217_sklad.HSV4.006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ocelových pororoštů (Žárově zinková povrchová úprava IPE180 + poror)</t>
        </is>
      </c>
      <c r="D36" s="17" t="inlineStr">
        <is>
          <t>kg</t>
        </is>
      </c>
      <c r="E36" s="19" t="n">
        <v>1448.4</v>
      </c>
      <c r="F36" s="18">
        <f> montáž × 1.02</f>
        <v/>
      </c>
      <c r="G36" s="18" t="inlineStr"/>
      <c r="H36" s="17" t="inlineStr">
        <is>
          <t>❌ blank — ÚRS online</t>
        </is>
      </c>
      <c r="I36" s="18" t="inlineStr">
        <is>
          <t>260217_sklad.HSV4.006</t>
        </is>
      </c>
      <c r="J36" s="18" t="inlineStr">
        <is>
          <t>S02_sklad</t>
        </is>
      </c>
      <c r="K36" s="18" t="inlineStr">
        <is>
          <t>Materiál (dodávka). Ztratné 2 %.  Doplnit leaf z CS ÚRS online (app.urs.cz, cen. úroveň 2026 01) dle família + popis + Vzorec.</t>
        </is>
      </c>
    </row>
    <row r="37">
      <c r="A37" s="8" t="inlineStr">
        <is>
          <t>━━ HSV-5 Komunikace + schodiště  (1 atomic operací) ━━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n">
        <v>32</v>
      </c>
      <c r="B38" s="11" t="inlineStr">
        <is>
          <t>HSV-5 Komunikace + schodiště</t>
        </is>
      </c>
      <c r="C38" s="11" t="inlineStr">
        <is>
          <t>Sklad mezipodesta schodiště — prefa betonové stupně (9 ks × 179.5×250 mm) + kladecí vrstva zavlhlého betonu nad ŽB podkladní deskou (S05 sklad skladba)</t>
        </is>
      </c>
      <c r="D38" s="10" t="inlineStr">
        <is>
          <t>m²</t>
        </is>
      </c>
      <c r="E38" s="12" t="n">
        <v>5.5</v>
      </c>
      <c r="F38" s="11" t="inlineStr">
        <is>
          <t>DXF sklad_DPZ km_tabulka místností: room 1.02 schodiště plocha = 5.50 m². 9 stupňů 179.5×250 mm vyznačené v půdoryse parking sheet (Phase 3.5 cross-check)</t>
        </is>
      </c>
      <c r="G38" s="11" t="inlineStr">
        <is>
          <t>121301101</t>
        </is>
      </c>
      <c r="H38" s="10" t="inlineStr">
        <is>
          <t>⚠ kandidát-verify</t>
        </is>
      </c>
      <c r="I38" s="11" t="inlineStr">
        <is>
          <t>260217_sklad.HSV5.001</t>
        </is>
      </c>
      <c r="J38" s="11" t="inlineStr">
        <is>
          <t>S05_sklad</t>
        </is>
      </c>
      <c r="K38" s="11" t="inlineStr">
        <is>
          <t>Carried 1:1 (atomic / komplet / služba — no split)</t>
        </is>
      </c>
    </row>
    <row r="39">
      <c r="A39" s="8" t="inlineStr">
        <is>
          <t>━━ PSV-76 Výplně otvorů  (2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33</v>
      </c>
      <c r="B40" s="11" t="inlineStr">
        <is>
          <t>PSV-76 Výplně otvorů</t>
        </is>
      </c>
      <c r="C40" s="11" t="inlineStr">
        <is>
          <t>Montáž — Bezpečnostní dveře RC3 v ocelové zárubni — vrata skladu (TZ statika §1.4 RC3 certifikované)</t>
        </is>
      </c>
      <c r="D40" s="10" t="inlineStr">
        <is>
          <t>ks</t>
        </is>
      </c>
      <c r="E40" s="12" t="n">
        <v>1</v>
      </c>
      <c r="F40" s="11" t="inlineStr">
        <is>
          <t>1 ks vstupní dveře skladu</t>
        </is>
      </c>
      <c r="G40" s="11" t="inlineStr">
        <is>
          <t>766682111</t>
        </is>
      </c>
      <c r="H40" s="10" t="inlineStr">
        <is>
          <t>⚠ kandidát-verify</t>
        </is>
      </c>
      <c r="I40" s="11" t="inlineStr">
        <is>
          <t>260217_sklad.PSV76.001</t>
        </is>
      </c>
      <c r="J40" s="11" t="inlineStr"/>
      <c r="K40" s="11" t="inlineStr">
        <is>
          <t>Montáž (práce).</t>
        </is>
      </c>
    </row>
    <row r="41">
      <c r="A41" s="17" t="n">
        <v>34</v>
      </c>
      <c r="B41" s="18" t="inlineStr">
        <is>
          <t>PSV-76 Výplně otvorů</t>
        </is>
      </c>
      <c r="C41" s="18" t="inlineStr">
        <is>
          <t>Dodávka — Dodávka oceli S235 (válcované profily) (Bezpečnostní dveře RC3 v ocelové zárubni — vra)</t>
        </is>
      </c>
      <c r="D41" s="17" t="inlineStr">
        <is>
          <t>ks</t>
        </is>
      </c>
      <c r="E41" s="19" t="n">
        <v>1.03</v>
      </c>
      <c r="F41" s="18">
        <f> montáž × 1.03</f>
        <v/>
      </c>
      <c r="G41" s="18" t="inlineStr"/>
      <c r="H41" s="17" t="inlineStr">
        <is>
          <t>❌ blank — ÚRS online</t>
        </is>
      </c>
      <c r="I41" s="18" t="inlineStr">
        <is>
          <t>260217_sklad.PSV76.001</t>
        </is>
      </c>
      <c r="J41" s="18" t="inlineStr"/>
      <c r="K41" s="18" t="inlineStr">
        <is>
          <t>Materiál (dodávka). Ztratné 3 %.  Doplnit leaf z CS ÚRS online (app.urs.cz, cen. úroveň 2026 01) dle família + popis + Vzorec.</t>
        </is>
      </c>
    </row>
    <row r="42">
      <c r="A42" s="8" t="inlineStr">
        <is>
          <t>━━ PSV-76 Zámečnictví  (1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35</v>
      </c>
      <c r="B43" s="18" t="inlineStr">
        <is>
          <t>PSV-76 Zámečnictví</t>
        </is>
      </c>
      <c r="C43" s="18" t="inlineStr">
        <is>
          <t>Vjezdová brána ocelová — dodávka + montáž</t>
        </is>
      </c>
      <c r="D43" s="17" t="inlineStr">
        <is>
          <t>ks</t>
        </is>
      </c>
      <c r="E43" s="19" t="n">
        <v>1</v>
      </c>
      <c r="F43" s="18">
        <f> 1 brána</f>
        <v/>
      </c>
      <c r="G43" s="18" t="inlineStr"/>
      <c r="H43" s="17" t="inlineStr">
        <is>
          <t>❌ blank — ÚRS online</t>
        </is>
      </c>
      <c r="I43" s="18" t="inlineStr">
        <is>
          <t>260217_sklad.PSV76.002 → PSV76.002a</t>
        </is>
      </c>
      <c r="J43" s="18" t="inlineStr"/>
      <c r="K43" s="18" t="inlineStr">
        <is>
          <t>Dodatek PD č.1.  Doplnit leaf z CS ÚRS online (app.urs.cz, cen. úroveň 2026 01) dle família + popis + Vzorec.</t>
        </is>
      </c>
    </row>
    <row r="44">
      <c r="A44" s="8" t="inlineStr">
        <is>
          <t>━━ PSV-77 Podlahy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36</v>
      </c>
      <c r="B45" s="18" t="inlineStr">
        <is>
          <t>PSV-77 Podlahy</t>
        </is>
      </c>
      <c r="C45" s="18" t="inlineStr">
        <is>
          <t>Betonová dlažba do pískového lože — povrch podlahy skladu (~21 m²)</t>
        </is>
      </c>
      <c r="D45" s="17" t="inlineStr">
        <is>
          <t>m²</t>
        </is>
      </c>
      <c r="E45" s="19" t="n">
        <v>17.6</v>
      </c>
      <c r="F45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45" s="18" t="inlineStr"/>
      <c r="H45" s="17" t="inlineStr">
        <is>
          <t>❌ blank — ÚRS online</t>
        </is>
      </c>
      <c r="I45" s="18" t="inlineStr">
        <is>
          <t>260217_sklad.PSV77.001</t>
        </is>
      </c>
      <c r="J45" s="18" t="inlineStr">
        <is>
          <t>S01_sklad</t>
        </is>
      </c>
      <c r="K45" s="18" t="inlineStr">
        <is>
          <t>Carried 1:1 (atomic / komplet / služba — no split)  Doplnit leaf z CS ÚRS online (app.urs.cz, cen. úroveň 2026 01) dle família + popis + Vzorec.</t>
        </is>
      </c>
    </row>
    <row r="46">
      <c r="A46" s="8" t="inlineStr">
        <is>
          <t>━━ VRN — Doprava + odpad  (2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0" t="n">
        <v>37</v>
      </c>
      <c r="B47" s="11" t="inlineStr">
        <is>
          <t>VRN — Doprava + odpad</t>
        </is>
      </c>
      <c r="C47" s="11" t="inlineStr">
        <is>
          <t>Doprava prefa H-BLOK Standard z výrobny Herkul (Obrnice) auto s hydraulickou rukou — celkem ~60 ks bloků</t>
        </is>
      </c>
      <c r="D47" s="10" t="inlineStr">
        <is>
          <t>kpl</t>
        </is>
      </c>
      <c r="E47" s="12" t="n">
        <v>1</v>
      </c>
      <c r="F47" s="11" t="inlineStr">
        <is>
          <t>Standard doprava prefa Herkul autem s hyd. rukou pro lokální distribuci</t>
        </is>
      </c>
      <c r="G47" s="11" t="inlineStr">
        <is>
          <t>031032000</t>
        </is>
      </c>
      <c r="H47" s="10" t="inlineStr">
        <is>
          <t>⚠ kandidát-verify</t>
        </is>
      </c>
      <c r="I47" s="11" t="inlineStr">
        <is>
          <t>260217_sklad.VRN.001</t>
        </is>
      </c>
      <c r="J47" s="11" t="inlineStr"/>
      <c r="K47" s="11" t="inlineStr">
        <is>
          <t>Carried 1:1 (atomic / komplet / služba — no split)</t>
        </is>
      </c>
    </row>
    <row r="48">
      <c r="A48" s="10" t="n">
        <v>38</v>
      </c>
      <c r="B48" s="11" t="inlineStr">
        <is>
          <t>VRN — Doprava + odpad</t>
        </is>
      </c>
      <c r="C48" s="11" t="inlineStr">
        <is>
          <t>Likvidace odpadu sklad — kameny ze zídek + výkop + dřevo (drobné množství)</t>
        </is>
      </c>
      <c r="D48" s="10" t="inlineStr">
        <is>
          <t>t</t>
        </is>
      </c>
      <c r="E48" s="12" t="n">
        <v>8</v>
      </c>
      <c r="F48" s="11" t="inlineStr">
        <is>
          <t>Odhad: kamenné zídky ~6 t + dřevo+výkop ~2 t = 8 t</t>
        </is>
      </c>
      <c r="G48" s="11" t="inlineStr">
        <is>
          <t>997013211</t>
        </is>
      </c>
      <c r="H48" s="10" t="inlineStr">
        <is>
          <t>⚠ kandidát-verify</t>
        </is>
      </c>
      <c r="I48" s="11" t="inlineStr">
        <is>
          <t>260217_sklad.VRN.002</t>
        </is>
      </c>
      <c r="J48" s="11" t="inlineStr"/>
      <c r="K48" s="11" t="inlineStr">
        <is>
          <t>Carried 1:1 (atomic / komplet / služba — no split)</t>
        </is>
      </c>
    </row>
    <row r="49">
      <c r="A49" s="8" t="inlineStr">
        <is>
          <t>━━ VRN — Geodet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39</v>
      </c>
      <c r="B50" s="11" t="inlineStr">
        <is>
          <t>VRN — Geodet</t>
        </is>
      </c>
      <c r="C50" s="11" t="inlineStr">
        <is>
          <t>Geodetické vytýčení sklad+parking+schodiště ze situace (před realizací)</t>
        </is>
      </c>
      <c r="D50" s="10" t="inlineStr">
        <is>
          <t>kpl</t>
        </is>
      </c>
      <c r="E50" s="12" t="n">
        <v>1</v>
      </c>
      <c r="F50" s="11" t="inlineStr">
        <is>
          <t>Standard geodet vytýčení pro nový objekt</t>
        </is>
      </c>
      <c r="G50" s="11" t="inlineStr">
        <is>
          <t>030141000</t>
        </is>
      </c>
      <c r="H50" s="10" t="inlineStr">
        <is>
          <t>⚠ kandidát-verify</t>
        </is>
      </c>
      <c r="I50" s="11" t="inlineStr">
        <is>
          <t>260217_sklad.VRN.101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Společné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40</v>
      </c>
      <c r="B52" s="11" t="inlineStr">
        <is>
          <t>VRN — Společné</t>
        </is>
      </c>
      <c r="C52" s="11" t="inlineStr">
        <is>
          <t>Podíl na obecných VRN domu (buňky, BOZP, pojištění, kolaudace) — paušál ~10 % nákladů sklad nebo % alokace</t>
        </is>
      </c>
      <c r="D52" s="10" t="inlineStr">
        <is>
          <t>paušál</t>
        </is>
      </c>
      <c r="E52" s="12" t="n">
        <v>1</v>
      </c>
      <c r="F52" s="11" t="inlineStr">
        <is>
          <t>Standard paušální alokace VRN pro paralelně realizovaný menší objekt</t>
        </is>
      </c>
      <c r="G52" s="11" t="inlineStr">
        <is>
          <t>030001000</t>
        </is>
      </c>
      <c r="H52" s="10" t="inlineStr">
        <is>
          <t>⚠ kandidát-verify</t>
        </is>
      </c>
      <c r="I52" s="11" t="inlineStr">
        <is>
          <t>260217_sklad.VRN.201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HSV-5 Komunikace + vjezd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7" t="n">
        <v>41</v>
      </c>
      <c r="B54" s="18" t="inlineStr">
        <is>
          <t>HSV-5 Komunikace + vjezd</t>
        </is>
      </c>
      <c r="C54" s="18" t="inlineStr">
        <is>
          <t>Betonová dlažba napojení vjezdu na komunikaci Dvořákova</t>
        </is>
      </c>
      <c r="D54" s="17" t="inlineStr">
        <is>
          <t>m²</t>
        </is>
      </c>
      <c r="E54" s="19" t="n"/>
      <c r="F54" s="18" t="inlineStr">
        <is>
          <t>neurčeno — situace C.3.R1 OVĚŘIT</t>
        </is>
      </c>
      <c r="G54" s="18" t="inlineStr"/>
      <c r="H54" s="17" t="inlineStr">
        <is>
          <t>❌ blank — ÚRS online</t>
        </is>
      </c>
      <c r="I54" s="18" t="inlineStr">
        <is>
          <t>260217_sklad.HSV5.002 → HSV5.002a</t>
        </is>
      </c>
      <c r="J54" s="18" t="inlineStr"/>
      <c r="K54" s="18" t="inlineStr">
        <is>
          <t>Dlažba (Dodatek PD č.1).  Doplnit leaf z CS ÚRS online (app.urs.cz, cen. úroveň 2026 01) dle família + popis + Vzorec.</t>
        </is>
      </c>
    </row>
    <row r="55">
      <c r="A55" s="17" t="n">
        <v>42</v>
      </c>
      <c r="B55" s="18" t="inlineStr">
        <is>
          <t>HSV-5 Komunikace + vjezd</t>
        </is>
      </c>
      <c r="C55" s="18" t="inlineStr">
        <is>
          <t>Podkladní vrstva kameniva pod dlažbu vjezdu</t>
        </is>
      </c>
      <c r="D55" s="17" t="inlineStr">
        <is>
          <t>m²</t>
        </is>
      </c>
      <c r="E55" s="19" t="n"/>
      <c r="F55" s="18" t="inlineStr">
        <is>
          <t>neurčeno —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HSV5.002b</t>
        </is>
      </c>
      <c r="J55" s="18" t="inlineStr"/>
      <c r="K55" s="18" t="inlineStr">
        <is>
          <t>Podklad.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Spádování + odvodnění dešťové vody na pozemek investora</t>
        </is>
      </c>
      <c r="D56" s="17" t="inlineStr">
        <is>
          <t>soubor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HSV5.002c</t>
        </is>
      </c>
      <c r="J56" s="18" t="inlineStr"/>
      <c r="K56" s="18" t="inlineStr">
        <is>
          <t>Odvodnění dle DI PČR (ne na komunikaci).  Doplnit leaf z CS ÚRS online (app.urs.cz, cen. úroveň 2026 01) dle família + popis + Vzorec.</t>
        </is>
      </c>
    </row>
    <row r="57">
      <c r="A57" s="8" t="inlineStr">
        <is>
          <t>━━ VRN — Geodet / PČR  (1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44</v>
      </c>
      <c r="B58" s="18" t="inlineStr">
        <is>
          <t>VRN — Geodet / PČR</t>
        </is>
      </c>
      <c r="C58" s="18" t="inlineStr">
        <is>
          <t>Vytyčení + kontrola rozhledových trojúhelníků (Vn=40, Dz=25 m)</t>
        </is>
      </c>
      <c r="D58" s="17" t="inlineStr">
        <is>
          <t>soubor</t>
        </is>
      </c>
      <c r="E58" s="19" t="n">
        <v>1</v>
      </c>
      <c r="F58" s="18">
        <f> 1 soubor</f>
        <v/>
      </c>
      <c r="G58" s="18" t="inlineStr"/>
      <c r="H58" s="17" t="inlineStr">
        <is>
          <t>❌ blank — ÚRS online</t>
        </is>
      </c>
      <c r="I58" s="18" t="inlineStr">
        <is>
          <t>260217_sklad.VRN.003 → VRN.003a</t>
        </is>
      </c>
      <c r="J58" s="18" t="inlineStr"/>
      <c r="K58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53:K53"/>
    <mergeCell ref="A37:K37"/>
    <mergeCell ref="A26:K26"/>
    <mergeCell ref="A39:K39"/>
    <mergeCell ref="A57:K57"/>
    <mergeCell ref="A2:K2"/>
    <mergeCell ref="A49:K49"/>
    <mergeCell ref="A51:K51"/>
    <mergeCell ref="A42:K42"/>
    <mergeCell ref="A46:K46"/>
    <mergeCell ref="A44:K44"/>
    <mergeCell ref="A17:K17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6 ks</t>
        </is>
      </c>
      <c r="D10" s="14" t="inlineStr">
        <is>
          <t>ks</t>
        </is>
      </c>
      <c r="E10" s="16" t="n">
        <v>6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— tvarovky ztraceného bednění tl. 250 mm × výška 2.4 m + zalití C25/30</t>
        </is>
      </c>
      <c r="D14" s="14" t="inlineStr">
        <is>
          <t>m²</t>
        </is>
      </c>
      <c r="E14" s="16" t="n">
        <v>46.5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1398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6 m × 6 ks</t>
        </is>
      </c>
      <c r="D22" s="14" t="inlineStr">
        <is>
          <t>kg</t>
        </is>
      </c>
      <c r="E22" s="16" t="n">
        <v>790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1420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2026-06-02T07:08:22Z</dcterms:created>
  <dcterms:modified xmlns:dcterms="http://purl.org/dc/terms/" xmlns:xsi="http://www.w3.org/2001/XMLSchema-instance" xsi:type="dcterms:W3CDTF">2026-06-02T07:08:22Z</dcterms:modified>
</cp:coreProperties>
</file>
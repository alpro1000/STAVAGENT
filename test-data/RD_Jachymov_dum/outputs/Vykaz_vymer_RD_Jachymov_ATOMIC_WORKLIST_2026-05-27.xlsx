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260219_DUM_HSV" sheetId="2" state="visible" r:id="rId2"/>
    <sheet name="260219_DUM_PSV" sheetId="3" state="visible" r:id="rId3"/>
    <sheet name="260219_DUM_VRN" sheetId="4" state="visible" r:id="rId4"/>
    <sheet name="260217_SKLAD" sheetId="5" state="visible" r:id="rId5"/>
    <sheet name="Composite_Decomposition_Map" sheetId="6" state="visible" r:id="rId6"/>
    <sheet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243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196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24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14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14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A2 korekce: HSV1.005a = 636311 família (dlaždice NA TERČE, NE 762 carpentry)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(18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30</v>
      </c>
      <c r="F7" s="15">
        <f> HSV1.004 plocha dvorku 30 m²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30</v>
      </c>
      <c r="F9" s="15">
        <f> HSV1.004 plocha 30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30</v>
      </c>
      <c r="F10" s="18">
        <f> HSV1.005 plocha terasy 30 m²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30</v>
      </c>
      <c r="F11" s="15">
        <f> HSV1.005 plocha terasy 30 m²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30</v>
      </c>
      <c r="F13" s="15">
        <f> HSV1.005 plocha 30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30</v>
      </c>
      <c r="F14" s="15">
        <f> HSV1.005 plocha 30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8" t="inlineStr">
        <is>
          <t>━━ HSV-2 Základové a ŽB  (13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19</v>
      </c>
      <c r="B22" s="11" t="inlineStr">
        <is>
          <t>HSV-2 Základové a ŽB</t>
        </is>
      </c>
      <c r="C22" s="11" t="inlineStr">
        <is>
          <t>Bílá vana ČBS 02 — pata úhlové opěrné stěny 250×1200 mm × L=10 m, C25/30 XC3 XF1 XA1 CL0.4 Dmax22 S3</t>
        </is>
      </c>
      <c r="D22" s="10" t="inlineStr">
        <is>
          <t>m³</t>
        </is>
      </c>
      <c r="E22" s="12" t="n">
        <v>3</v>
      </c>
      <c r="F22" s="11" t="inlineStr">
        <is>
          <t>0.25 × 1.20 × 10 = 3.0</t>
        </is>
      </c>
      <c r="G22" s="13" t="inlineStr">
        <is>
          <t>274321321</t>
        </is>
      </c>
      <c r="H22" s="10" t="inlineStr">
        <is>
          <t>⚠ kandidát-verify</t>
        </is>
      </c>
      <c r="I22" s="11" t="inlineStr">
        <is>
          <t>260219_dum.HSV2.001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stěna úhlová tl. 250 mm × výška 2050 mm × L=10 m, beton C25/30 XC3 XF1 XA1 (trhliny max 0.20 mm)</t>
        </is>
      </c>
      <c r="D23" s="10" t="inlineStr">
        <is>
          <t>m³</t>
        </is>
      </c>
      <c r="E23" s="12" t="n">
        <v>5.12</v>
      </c>
      <c r="F23" s="11" t="inlineStr">
        <is>
          <t>0.25 × 2.05 × 10 = 5.13</t>
        </is>
      </c>
      <c r="G23" s="11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260219_dum.HSV2.002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Systémové oboustranné bednění bílé vany — DOKA Framax / PERI MAXIMO, vč. těsnění pracovních spár bobtnavý pásek bentonit (TZ §5.5)</t>
        </is>
      </c>
      <c r="D24" s="17" t="inlineStr">
        <is>
          <t>m²</t>
        </is>
      </c>
      <c r="E24" s="19" t="n">
        <v>65</v>
      </c>
      <c r="F24" s="18" t="inlineStr">
        <is>
          <t>2×2.05×10 (svislé) + 2×1.20×10 (pata) = 41 + 24 = 65</t>
        </is>
      </c>
      <c r="G24" s="18" t="inlineStr"/>
      <c r="H24" s="17" t="inlineStr">
        <is>
          <t>❌ blank — ÚRS online</t>
        </is>
      </c>
      <c r="I24" s="18" t="inlineStr">
        <is>
          <t>260219_dum.HSV2.003</t>
        </is>
      </c>
      <c r="J24" s="18" t="inlineStr"/>
      <c r="K24" s="18" t="inlineStr">
        <is>
          <t>Carried 1:1 (atomic — no decomposition needed)  Doplnit leaf z CS ÚRS online (app.urs.cz, cen. úroveň 2026 01) dle família + popis + Vzorec.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Výztuž bílé vany B500B 120 kg/m³ (empirická sazba Methvin pro úhlové opěrné stěny W0)</t>
        </is>
      </c>
      <c r="D25" s="10" t="inlineStr">
        <is>
          <t>kg</t>
        </is>
      </c>
      <c r="E25" s="12" t="n">
        <v>975</v>
      </c>
      <c r="F25" s="11" t="inlineStr">
        <is>
          <t>(3.0+5.13) × 120 = 976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260219_dum.HSV2.004</t>
        </is>
      </c>
      <c r="J25" s="11" t="inlineStr"/>
      <c r="K25" s="11" t="inlineStr">
        <is>
          <t>Carried 1:1 (atomic — no decomposition needed)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Separační PE fólie pod základovou patou bílé vany (povinná dle ČBS 02)</t>
        </is>
      </c>
      <c r="D26" s="17" t="inlineStr">
        <is>
          <t>m²</t>
        </is>
      </c>
      <c r="E26" s="19" t="n">
        <v>13.2</v>
      </c>
      <c r="F26" s="18" t="inlineStr">
        <is>
          <t>1.20 × 10 × 1.10 přesah = 13.2</t>
        </is>
      </c>
      <c r="G26" s="18" t="inlineStr"/>
      <c r="H26" s="17" t="inlineStr">
        <is>
          <t>❌ blank — ÚRS online</t>
        </is>
      </c>
      <c r="I26" s="18" t="inlineStr">
        <is>
          <t>260219_dum.HSV2.005</t>
        </is>
      </c>
      <c r="J26" s="18" t="inlineStr"/>
      <c r="K26" s="18" t="inlineStr">
        <is>
          <t>Carried 1:1 (atomic — no decomposition needed)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Mokré ošetřování betonu bílé vany min. 7 dní dle ČSN EN 13670 + ČBS 02 (kontrola trhlin max 0.20 mm)</t>
        </is>
      </c>
      <c r="D27" s="10" t="inlineStr">
        <is>
          <t>m²</t>
        </is>
      </c>
      <c r="E27" s="12" t="n">
        <v>53</v>
      </c>
      <c r="F27" s="11" t="inlineStr">
        <is>
          <t>viditelná plocha BV pro ošetřování ~53</t>
        </is>
      </c>
      <c r="G27" s="11" t="inlineStr">
        <is>
          <t>279351102</t>
        </is>
      </c>
      <c r="H27" s="10" t="inlineStr">
        <is>
          <t>⚠ kandidát-verify</t>
        </is>
      </c>
      <c r="I27" s="11" t="inlineStr">
        <is>
          <t>260219_dum.HSV2.006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ŽB pozední věnec 300×250 mm po obvodu nadezdívky 3.NP, beton C25/30 XC1 + výztuž 100 kg/m³</t>
        </is>
      </c>
      <c r="D28" s="10" t="inlineStr">
        <is>
          <t>m³</t>
        </is>
      </c>
      <c r="E28" s="12" t="n">
        <v>2.9</v>
      </c>
      <c r="F28" s="11" t="inlineStr">
        <is>
          <t>0.30 × 0.25 × obvod 38.7 m (DXF km_R_návrh_tlustá 2 closed polygon area 91.28 m²) = 2.9 m³</t>
        </is>
      </c>
      <c r="G28" s="13" t="inlineStr">
        <is>
          <t>274321311</t>
        </is>
      </c>
      <c r="H28" s="10" t="inlineStr">
        <is>
          <t>⚠ kandidát-verify</t>
        </is>
      </c>
      <c r="I28" s="11" t="inlineStr">
        <is>
          <t>260219_dum.HSV2.007</t>
        </is>
      </c>
      <c r="J28" s="11" t="inlineStr"/>
      <c r="K28" s="11" t="inlineStr">
        <is>
          <t>Carried 1:1 (atomic — no decomposition needed)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Bednění pozedního věnce systémové oboustranné</t>
        </is>
      </c>
      <c r="D29" s="17" t="inlineStr">
        <is>
          <t>m²</t>
        </is>
      </c>
      <c r="E29" s="19" t="n">
        <v>19.4</v>
      </c>
      <c r="F29" s="18" t="inlineStr">
        <is>
          <t>2 (oboustranné) × 0.25 m výška × obvod 38.7 m (DXF) = 19.4 m²</t>
        </is>
      </c>
      <c r="G29" s="18" t="inlineStr"/>
      <c r="H29" s="17" t="inlineStr">
        <is>
          <t>❌ blank — ÚRS online</t>
        </is>
      </c>
      <c r="I29" s="18" t="inlineStr">
        <is>
          <t>260219_dum.HSV2.008</t>
        </is>
      </c>
      <c r="J29" s="18" t="inlineStr"/>
      <c r="K29" s="18" t="inlineStr">
        <is>
          <t>Carried 1:1 (atomic — no decomposition needed)  Doplnit leaf z CS ÚRS online (app.urs.cz, cen. úroveň 2026 01) dle família + popis + Vzorec.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B500B věnce 100 kg/m³ (Methvin sazba pro pozední věnce)</t>
        </is>
      </c>
      <c r="D30" s="10" t="inlineStr">
        <is>
          <t>kg</t>
        </is>
      </c>
      <c r="E30" s="12" t="n">
        <v>310</v>
      </c>
      <c r="F30" s="11" t="inlineStr">
        <is>
          <t>3.1 × 100 = 310</t>
        </is>
      </c>
      <c r="G30" s="11" t="inlineStr">
        <is>
          <t>273361821</t>
        </is>
      </c>
      <c r="H30" s="10" t="inlineStr">
        <is>
          <t>⚠ kandidát-verify</t>
        </is>
      </c>
      <c r="I30" s="11" t="inlineStr">
        <is>
          <t>260219_dum.HSV2.009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Nabetonávka stropu 2.NP/3.NP — beton C25/30 XC1 tl. 60 mm nad vlnu trapézového plechu 40S/160</t>
        </is>
      </c>
      <c r="D31" s="10" t="inlineStr">
        <is>
          <t>m³</t>
        </is>
      </c>
      <c r="E31" s="12" t="n">
        <v>6.26</v>
      </c>
      <c r="F31" s="11" t="inlineStr">
        <is>
          <t>104.4 m² × 0.06 m = 6.26</t>
        </is>
      </c>
      <c r="G31" s="13" t="inlineStr">
        <is>
          <t>274321111</t>
        </is>
      </c>
      <c r="H31" s="10" t="inlineStr">
        <is>
          <t>⚠ kandidát-verify</t>
        </is>
      </c>
      <c r="I31" s="11" t="inlineStr">
        <is>
          <t>260219_dum.HSV2.010</t>
        </is>
      </c>
      <c r="J31" s="11" t="inlineStr">
        <is>
          <t>S09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nabetonávky kari síť 5/100/100 (cca 4.4 kg/m²)</t>
        </is>
      </c>
      <c r="D32" s="10" t="inlineStr">
        <is>
          <t>kg</t>
        </is>
      </c>
      <c r="E32" s="12" t="n">
        <v>459</v>
      </c>
      <c r="F32" s="11" t="inlineStr">
        <is>
          <t>104.4 m² × 4.4 kg/m² = 459</t>
        </is>
      </c>
      <c r="G32" s="11" t="inlineStr">
        <is>
          <t>273362441</t>
        </is>
      </c>
      <c r="H32" s="10" t="inlineStr">
        <is>
          <t>⚠ kandidát-verify</t>
        </is>
      </c>
      <c r="I32" s="11" t="inlineStr">
        <is>
          <t>260219_dum.HSV2.011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ŽB deska podlahy 1.NP na terénu tl. 150 mm, C25/30 XC2 + vyztužení kari 6/150/150 + okrajové pruty</t>
        </is>
      </c>
      <c r="D33" s="10" t="inlineStr">
        <is>
          <t>m³</t>
        </is>
      </c>
      <c r="E33" s="12" t="n">
        <v>10.96</v>
      </c>
      <c r="F33" s="11" t="inlineStr">
        <is>
          <t>104.4 × 0.7 (rozsah 1.NP) × 0.15 = ~11.0</t>
        </is>
      </c>
      <c r="G33" s="13" t="inlineStr">
        <is>
          <t>273321311</t>
        </is>
      </c>
      <c r="H33" s="10" t="inlineStr">
        <is>
          <t>⚠ kandidát-verify</t>
        </is>
      </c>
      <c r="I33" s="11" t="inlineStr">
        <is>
          <t>260219_dum.HSV2.012</t>
        </is>
      </c>
      <c r="J33" s="11" t="inlineStr">
        <is>
          <t>S05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Výztuž ŽB desky 1.NP — kari 6/150/150 + B500B okrajové pruty (~75 kg/m³ Methvin)</t>
        </is>
      </c>
      <c r="D34" s="10" t="inlineStr">
        <is>
          <t>kg</t>
        </is>
      </c>
      <c r="E34" s="12" t="n">
        <v>825</v>
      </c>
      <c r="F34" s="11" t="inlineStr">
        <is>
          <t>11.0 × 75 = 825</t>
        </is>
      </c>
      <c r="G34" s="11" t="inlineStr">
        <is>
          <t>273361821</t>
        </is>
      </c>
      <c r="H34" s="10" t="inlineStr">
        <is>
          <t>⚠ kandidát-verify</t>
        </is>
      </c>
      <c r="I34" s="11" t="inlineStr">
        <is>
          <t>260219_dum.HSV2.013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8" t="inlineStr">
        <is>
          <t>━━ HSV-3 Svislé konstrukce  (7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32</v>
      </c>
      <c r="B36" s="11" t="inlineStr">
        <is>
          <t>HSV-3 Svislé konstrukce</t>
        </is>
      </c>
      <c r="C36" s="11" t="inlineStr">
        <is>
          <t>Lokální dozdívky a přizdívky z cihel plných pálených P10 na MVC M10 (uvedeno v TZ statika §4)</t>
        </is>
      </c>
      <c r="D36" s="10" t="inlineStr">
        <is>
          <t>m³</t>
        </is>
      </c>
      <c r="E36" s="12" t="n">
        <v>4</v>
      </c>
      <c r="F36" s="11" t="inlineStr">
        <is>
          <t>odhad — drobné dozdívky kolem nových otvorů 1.NP/2.NP</t>
        </is>
      </c>
      <c r="G36" s="11" t="inlineStr">
        <is>
          <t>311232511</t>
        </is>
      </c>
      <c r="H36" s="10" t="inlineStr">
        <is>
          <t>⚠ kandidát-verify</t>
        </is>
      </c>
      <c r="I36" s="11" t="inlineStr">
        <is>
          <t>260219_dum.HSV3.001</t>
        </is>
      </c>
      <c r="J36" s="11" t="inlineStr">
        <is>
          <t>S01, S02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Nadezdívka 3.NP a čela vikýřů — Porotherm 30 Profi P10 na maltu pro tenké spáry, výška 2.65 m</t>
        </is>
      </c>
      <c r="D37" s="10" t="inlineStr">
        <is>
          <t>m²</t>
        </is>
      </c>
      <c r="E37" s="12" t="n">
        <v>71.8</v>
      </c>
      <c r="F37" s="11" t="inlineStr">
        <is>
          <t>obvod 38.7 m (DXF km_R_návrh_tlustá 2) × výška 2.65 m × 0.7 (sníženo o štíty zachované — řadovka) = 71.8 m²</t>
        </is>
      </c>
      <c r="G37" s="13" t="inlineStr">
        <is>
          <t>311321411</t>
        </is>
      </c>
      <c r="H37" s="10" t="inlineStr">
        <is>
          <t>✓ verified</t>
        </is>
      </c>
      <c r="I37" s="11" t="inlineStr">
        <is>
          <t>260219_dum.HSV3.002</t>
        </is>
      </c>
      <c r="J37" s="11" t="inlineStr">
        <is>
          <t>S12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Ocelové překlady IPN160 ve dvojici nad otvory pro nové dveře/okna v 1.NP a 2.NP (8 otvorů odhad)</t>
        </is>
      </c>
      <c r="D38" s="10" t="inlineStr">
        <is>
          <t>ks</t>
        </is>
      </c>
      <c r="E38" s="12" t="n">
        <v>8</v>
      </c>
      <c r="F38" s="11" t="inlineStr">
        <is>
          <t>odhad 8 nových otvorů × 2 IPN160 (dvojice)</t>
        </is>
      </c>
      <c r="G38" s="13" t="inlineStr">
        <is>
          <t>317143112</t>
        </is>
      </c>
      <c r="H38" s="10" t="inlineStr">
        <is>
          <t>⚠ kandidát-verify</t>
        </is>
      </c>
      <c r="I38" s="11" t="inlineStr">
        <is>
          <t>260219_dum.HSV3.003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Maltové uložení překladů IPN160 — MC25 tl. 50 mm + kari 5/100/100 (po obou stranách otvoru)</t>
        </is>
      </c>
      <c r="D39" s="10" t="inlineStr">
        <is>
          <t>kpl</t>
        </is>
      </c>
      <c r="E39" s="12" t="n">
        <v>16</v>
      </c>
      <c r="F39" s="11" t="inlineStr">
        <is>
          <t>8 otvorů × 2 strany = 16 uložení</t>
        </is>
      </c>
      <c r="G39" s="11" t="inlineStr">
        <is>
          <t>317242421</t>
        </is>
      </c>
      <c r="H39" s="10" t="inlineStr">
        <is>
          <t>⚠ kandidát-verify</t>
        </is>
      </c>
      <c r="I39" s="11" t="inlineStr">
        <is>
          <t>260219_dum.HSV3.004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Zesílení ostění úhelníky L100/10 dvojicí u otvoru u komínového tělesa (statická limitace)</t>
        </is>
      </c>
      <c r="D40" s="10" t="inlineStr">
        <is>
          <t>ks</t>
        </is>
      </c>
      <c r="E40" s="12" t="n">
        <v>4</v>
      </c>
      <c r="F40" s="11" t="inlineStr">
        <is>
          <t>TZ statika §4 — 2× L100/10 (dvojice) na 2 strany otvoru = 4 ks</t>
        </is>
      </c>
      <c r="G40" s="11" t="inlineStr">
        <is>
          <t>767131120</t>
        </is>
      </c>
      <c r="H40" s="10" t="inlineStr">
        <is>
          <t>✓ verified</t>
        </is>
      </c>
      <c r="I40" s="11" t="inlineStr">
        <is>
          <t>260219_dum.HSV3.005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Dočasné podstojkování stávajících přiléhajících stropů při osazování IPN překladů (8 otvorů)</t>
        </is>
      </c>
      <c r="D41" s="10" t="inlineStr">
        <is>
          <t>kpl</t>
        </is>
      </c>
      <c r="E41" s="12" t="n">
        <v>8</v>
      </c>
      <c r="F41" s="11">
        <f> počet překladů (po jednom podstojkování per otvor)</f>
        <v/>
      </c>
      <c r="G41" s="13" t="inlineStr">
        <is>
          <t>962081120</t>
        </is>
      </c>
      <c r="H41" s="10" t="inlineStr">
        <is>
          <t>⚠ kandidát-verify</t>
        </is>
      </c>
      <c r="I41" s="11" t="inlineStr">
        <is>
          <t>260219_dum.HSV3.006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Nové příčky z pórobetonových tvárnic 150 mm na lepidlo + dilatovány od stropu</t>
        </is>
      </c>
      <c r="D42" s="10" t="inlineStr">
        <is>
          <t>m²</t>
        </is>
      </c>
      <c r="E42" s="12" t="n">
        <v>87.7</v>
      </c>
      <c r="F42" s="11" t="inlineStr">
        <is>
          <t>podlahova_plocha × 0.4 (typický rozsah příček 30-50%)</t>
        </is>
      </c>
      <c r="G42" s="13" t="inlineStr">
        <is>
          <t>342241211</t>
        </is>
      </c>
      <c r="H42" s="10" t="inlineStr">
        <is>
          <t>⚠ kandidát-verify</t>
        </is>
      </c>
      <c r="I42" s="11" t="inlineStr">
        <is>
          <t>260219_dum.HSV3.007</t>
        </is>
      </c>
      <c r="J42" s="11" t="inlineStr">
        <is>
          <t>S02</t>
        </is>
      </c>
      <c r="K42" s="11" t="inlineStr">
        <is>
          <t>Carried 1:1 (atomic — no decomposition needed)</t>
        </is>
      </c>
    </row>
    <row r="43">
      <c r="A43" s="8" t="inlineStr">
        <is>
          <t>━━ HSV-4 Vodorovné  (14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39</v>
      </c>
      <c r="B44" s="11" t="inlineStr">
        <is>
          <t>HSV-4 Vodorovné</t>
        </is>
      </c>
      <c r="C44" s="11" t="inlineStr">
        <is>
          <t>Ocelová stropnice IPE180 1.NP v pozici nové příčky 2.NP — dodávka + montáž (1 ks × ~5 m)</t>
        </is>
      </c>
      <c r="D44" s="10" t="inlineStr">
        <is>
          <t>kg</t>
        </is>
      </c>
      <c r="E44" s="12" t="n">
        <v>94</v>
      </c>
      <c r="F44" s="11" t="inlineStr">
        <is>
          <t>1 ks × 5 m × 18.8 kg/m (IPE180 hmotnost) = 94</t>
        </is>
      </c>
      <c r="G44" s="13" t="inlineStr">
        <is>
          <t>411321414</t>
        </is>
      </c>
      <c r="H44" s="10" t="inlineStr">
        <is>
          <t>⚠ kandidát-verify</t>
        </is>
      </c>
      <c r="I44" s="11" t="inlineStr">
        <is>
          <t>260219_dum.HSV4.001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2.NP/3.NP — stropnice IPE180 á 1000 mm × rozpon ~8 m × ~8 ks</t>
        </is>
      </c>
      <c r="D45" s="10" t="inlineStr">
        <is>
          <t>kg</t>
        </is>
      </c>
      <c r="E45" s="12" t="n">
        <v>1203</v>
      </c>
      <c r="F45" s="11" t="inlineStr">
        <is>
          <t>8 ks × 8 m × 18.8 kg/m = 1203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260219_dum.HSV4.002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— výztuha 2×HEA180 trakt do ulice (Fibichova), dl. ~10 m</t>
        </is>
      </c>
      <c r="D46" s="10" t="inlineStr">
        <is>
          <t>kg</t>
        </is>
      </c>
      <c r="E46" s="12" t="n">
        <v>710</v>
      </c>
      <c r="F46" s="11" t="inlineStr">
        <is>
          <t>2 ks × 10 m × 35.5 kg/m (HEA180) = 710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260219_dum.HSV4.003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HEA200 dvorní trakt, dl. ~10 m</t>
        </is>
      </c>
      <c r="D47" s="10" t="inlineStr">
        <is>
          <t>kg</t>
        </is>
      </c>
      <c r="E47" s="12" t="n">
        <v>423</v>
      </c>
      <c r="F47" s="11" t="inlineStr">
        <is>
          <t>1 ks × 10 m × 42.3 kg/m (HEA200) = 423</t>
        </is>
      </c>
      <c r="G47" s="11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260219_dum.HSV4.004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Trapézový plech 40S/160 tl. 0.75 mm — dodávka + montáž na stropnice IPE180</t>
        </is>
      </c>
      <c r="D48" s="10" t="inlineStr">
        <is>
          <t>m²</t>
        </is>
      </c>
      <c r="E48" s="12" t="n">
        <v>104.4</v>
      </c>
      <c r="F48" s="11">
        <f> zastavěna plocha 104.4 m² (celý strop 2.NP/3.NP)</f>
        <v/>
      </c>
      <c r="G48" s="13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260219_dum.HSV4.005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Protipožární SDK podhled pod trapézovým plechem (EI 30 dle PBŘ — ocelobeton + SDK)</t>
        </is>
      </c>
      <c r="D49" s="10" t="inlineStr">
        <is>
          <t>m²</t>
        </is>
      </c>
      <c r="E49" s="12" t="n">
        <v>104.4</v>
      </c>
      <c r="F49" s="11">
        <f> plocha trapézu 104.4 m²</f>
        <v/>
      </c>
      <c r="G49" s="13" t="inlineStr">
        <is>
          <t>342213131</t>
        </is>
      </c>
      <c r="H49" s="10" t="inlineStr">
        <is>
          <t>⚠ kandidát-verify</t>
        </is>
      </c>
      <c r="I49" s="11" t="inlineStr">
        <is>
          <t>260219_dum.HSV4.006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Vyvezení původního zásypu z cihelné klenby 1.PP/1.NP — manuálně + odvoz</t>
        </is>
      </c>
      <c r="D50" s="10" t="inlineStr">
        <is>
          <t>m³</t>
        </is>
      </c>
      <c r="E50" s="12" t="n">
        <v>8</v>
      </c>
      <c r="F50" s="11" t="inlineStr">
        <is>
          <t>klenba ~50 m² × tl. zásypu 0.15 m = 7.5 (round 8)</t>
        </is>
      </c>
      <c r="G50" s="11" t="inlineStr">
        <is>
          <t>974031150</t>
        </is>
      </c>
      <c r="H50" s="10" t="inlineStr">
        <is>
          <t>✓ verified</t>
        </is>
      </c>
      <c r="I50" s="11" t="inlineStr">
        <is>
          <t>260219_dum.HSV4.007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Nový zásyp klenby 1.PP/1.NP — perlitbeton (lehký zásyp) tl. 100 mm</t>
        </is>
      </c>
      <c r="D51" s="10" t="inlineStr">
        <is>
          <t>m³</t>
        </is>
      </c>
      <c r="E51" s="12" t="n">
        <v>5</v>
      </c>
      <c r="F51" s="11" t="inlineStr">
        <is>
          <t>klenba 50 m² × 0.10 m perlitbeton = 5.0</t>
        </is>
      </c>
      <c r="G51" s="11" t="inlineStr">
        <is>
          <t>271223111</t>
        </is>
      </c>
      <c r="H51" s="10" t="inlineStr">
        <is>
          <t>⚠ kandidát-verify</t>
        </is>
      </c>
      <c r="I51" s="11" t="inlineStr">
        <is>
          <t>260219_dum.HSV4.008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Plastická perlitbetonová roznášecí vrstva tl. 50 mm nad zásypem klenby</t>
        </is>
      </c>
      <c r="D52" s="10" t="inlineStr">
        <is>
          <t>m²</t>
        </is>
      </c>
      <c r="E52" s="12" t="n">
        <v>50</v>
      </c>
      <c r="F52" s="11" t="inlineStr">
        <is>
          <t>klenba 1.PP/1.NP plocha ~50 m²</t>
        </is>
      </c>
      <c r="G52" s="11" t="inlineStr">
        <is>
          <t>631321311</t>
        </is>
      </c>
      <c r="H52" s="10" t="inlineStr">
        <is>
          <t>⚠ kandidát-verify</t>
        </is>
      </c>
      <c r="I52" s="11" t="inlineStr">
        <is>
          <t>260219_dum.HSV4.009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Strop trámový 1.NP/2.NP — sejmutí podlah, demontáž záklopu a zásypu shora (zachovat prkenný záklop na trámech)</t>
        </is>
      </c>
      <c r="D53" s="10" t="inlineStr">
        <is>
          <t>m²</t>
        </is>
      </c>
      <c r="E53" s="12" t="n">
        <v>100</v>
      </c>
      <c r="F53" s="11" t="inlineStr">
        <is>
          <t>podlahova_plocha_1NP+2NP ~100 m²</t>
        </is>
      </c>
      <c r="G53" s="11" t="inlineStr">
        <is>
          <t>974041141</t>
        </is>
      </c>
      <c r="H53" s="10" t="inlineStr">
        <is>
          <t>⚠ kandidát-verify</t>
        </is>
      </c>
      <c r="I53" s="11" t="inlineStr">
        <is>
          <t>260219_dum.HSV4.010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Tepelná izolace minerální vata mezi trámy stropu 1.NP/2.NP, tl. 180 mm (= trám 60/180)</t>
        </is>
      </c>
      <c r="D54" s="10" t="inlineStr">
        <is>
          <t>m²</t>
        </is>
      </c>
      <c r="E54" s="12" t="n">
        <v>100</v>
      </c>
      <c r="F54" s="11">
        <f> plocha stropu</f>
        <v/>
      </c>
      <c r="G54" s="13" t="inlineStr">
        <is>
          <t>713121121</t>
        </is>
      </c>
      <c r="H54" s="10" t="inlineStr">
        <is>
          <t>⚠ kandidát-verify</t>
        </is>
      </c>
      <c r="I54" s="11" t="inlineStr">
        <is>
          <t>260219_dum.HSV4.011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Protipožární SDK podhled zespodu trámového stropu (EI 30 dle PBŘ)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342213131</t>
        </is>
      </c>
      <c r="H55" s="10" t="inlineStr">
        <is>
          <t>⚠ kandidát-verify</t>
        </is>
      </c>
      <c r="I55" s="11" t="inlineStr">
        <is>
          <t>260219_dum.HSV4.012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Suchá podlahová skladba 1.NP/2.NP — zásyp Liapor pro vyrovnání tl. 50 mm</t>
        </is>
      </c>
      <c r="D56" s="10" t="inlineStr">
        <is>
          <t>m³</t>
        </is>
      </c>
      <c r="E56" s="12" t="n">
        <v>5</v>
      </c>
      <c r="F56" s="11" t="inlineStr">
        <is>
          <t>100 m² × 0.05 m = 5</t>
        </is>
      </c>
      <c r="G56" s="11" t="inlineStr">
        <is>
          <t>631311114</t>
        </is>
      </c>
      <c r="H56" s="10" t="inlineStr">
        <is>
          <t>⚠ kandidát-verify</t>
        </is>
      </c>
      <c r="I56" s="11" t="inlineStr">
        <is>
          <t>260219_dum.HSV4.013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— sádrovláknité dílce Fermacell tl. 25 mm (dva 12.5 mm vrstvy)</t>
        </is>
      </c>
      <c r="D57" s="10" t="inlineStr">
        <is>
          <t>m²</t>
        </is>
      </c>
      <c r="E57" s="12" t="n">
        <v>100</v>
      </c>
      <c r="F57" s="11">
        <f> plocha stropu</f>
        <v/>
      </c>
      <c r="G57" s="11" t="inlineStr">
        <is>
          <t>771421111</t>
        </is>
      </c>
      <c r="H57" s="10" t="inlineStr">
        <is>
          <t>⚠ kandidát-verify</t>
        </is>
      </c>
      <c r="I57" s="11" t="inlineStr">
        <is>
          <t>260219_dum.HSV4.014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8" t="inlineStr">
        <is>
          <t>━━ HSV-5 Krov + střecha  (16 atomic operací) ━━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krokve 100/180 mm á 800 mm, rezivo C24 fungicidní + protihmyzí (cca 2×12 krokví × ~6.5 m)</t>
        </is>
      </c>
      <c r="D59" s="10" t="inlineStr">
        <is>
          <t>bm</t>
        </is>
      </c>
      <c r="E59" s="12" t="n">
        <v>156</v>
      </c>
      <c r="F59" s="11" t="inlineStr">
        <is>
          <t>(2 sklony × 12 krokví × 6.5 m délka) = 156</t>
        </is>
      </c>
      <c r="G59" s="13" t="inlineStr">
        <is>
          <t>762331911</t>
        </is>
      </c>
      <c r="H59" s="10" t="inlineStr">
        <is>
          <t>⚠ kandidát-verify</t>
        </is>
      </c>
      <c r="I59" s="11" t="inlineStr">
        <is>
          <t>260219_dum.HSV5.001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kleštiny dvojfošny 60/180 mm probíhající v oblasti spací části</t>
        </is>
      </c>
      <c r="D60" s="10" t="inlineStr">
        <is>
          <t>bm</t>
        </is>
      </c>
      <c r="E60" s="12" t="n">
        <v>110</v>
      </c>
      <c r="F60" s="11" t="inlineStr">
        <is>
          <t>11 pozic × 2 ks × ~5 m délka = 110</t>
        </is>
      </c>
      <c r="G60" s="13" t="inlineStr">
        <is>
          <t>762331912</t>
        </is>
      </c>
      <c r="H60" s="10" t="inlineStr">
        <is>
          <t>⚠ kandidát-verify</t>
        </is>
      </c>
      <c r="I60" s="11" t="inlineStr">
        <is>
          <t>260219_dum.HSV5.002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pozednice 140/160 mm kotvená do ŽB věnce 3.NP</t>
        </is>
      </c>
      <c r="D61" s="10" t="inlineStr">
        <is>
          <t>bm</t>
        </is>
      </c>
      <c r="E61" s="12" t="n">
        <v>19.4</v>
      </c>
      <c r="F61" s="11" t="inlineStr">
        <is>
          <t>polovina obvodu (2 dlouhé strany) = ~20</t>
        </is>
      </c>
      <c r="G61" s="13" t="inlineStr">
        <is>
          <t>762331923</t>
        </is>
      </c>
      <c r="H61" s="10" t="inlineStr">
        <is>
          <t>⚠ kandidát-verify</t>
        </is>
      </c>
      <c r="I61" s="11" t="inlineStr">
        <is>
          <t>260219_dum.HSV5.003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námětky 60/100 v dolní koncové části pro přesah střechy ~500 mm</t>
        </is>
      </c>
      <c r="D62" s="10" t="inlineStr">
        <is>
          <t>bm</t>
        </is>
      </c>
      <c r="E62" s="12" t="n">
        <v>19.2</v>
      </c>
      <c r="F62" s="11" t="inlineStr">
        <is>
          <t>24 krokví × 0.8 m námětek = 19.2</t>
        </is>
      </c>
      <c r="G62" s="11" t="inlineStr">
        <is>
          <t>762331911</t>
        </is>
      </c>
      <c r="H62" s="10" t="inlineStr">
        <is>
          <t>⚠ kandidát-verify</t>
        </is>
      </c>
      <c r="I62" s="11" t="inlineStr">
        <is>
          <t>260219_dum.HSV5.004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Ocelová středová vaznice HEA160 — 2 ks × cca 10 m délka</t>
        </is>
      </c>
      <c r="D63" s="10" t="inlineStr">
        <is>
          <t>kg</t>
        </is>
      </c>
      <c r="E63" s="12" t="n">
        <v>608</v>
      </c>
      <c r="F63" s="11" t="inlineStr">
        <is>
          <t>2 × 10 × 30.4 kg/m (HEA160) = 608</t>
        </is>
      </c>
      <c r="G63" s="13" t="inlineStr">
        <is>
          <t>411321414</t>
        </is>
      </c>
      <c r="H63" s="10" t="inlineStr">
        <is>
          <t>⚠ kandidát-verify</t>
        </is>
      </c>
      <c r="I63" s="11" t="inlineStr">
        <is>
          <t>260219_dum.HSV5.005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Ocelové sloupky uzavřený profil 100×100×4 mm pod vaznice HEA160 (~6 ks × ~2.5 m výška)</t>
        </is>
      </c>
      <c r="D64" s="10" t="inlineStr">
        <is>
          <t>kg</t>
        </is>
      </c>
      <c r="E64" s="12" t="n">
        <v>176</v>
      </c>
      <c r="F64" s="11" t="inlineStr">
        <is>
          <t>6 × 2.5 × 11.7 kg/m (RHS 100×100×4) = 176</t>
        </is>
      </c>
      <c r="G64" s="11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260219_dum.HSV5.006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Bednění z prken tl. 20 mm pod nadkrokevní PIR (biodeska/palubka)</t>
        </is>
      </c>
      <c r="D65" s="10" t="inlineStr">
        <is>
          <t>m²</t>
        </is>
      </c>
      <c r="E65" s="12" t="n">
        <v>140.94</v>
      </c>
      <c r="F65" s="11">
        <f> 141 m² (plocha střechy včetně sklonu + přesahy)</f>
        <v/>
      </c>
      <c r="G65" s="11" t="inlineStr">
        <is>
          <t>762341711</t>
        </is>
      </c>
      <c r="H65" s="10" t="inlineStr">
        <is>
          <t>⚠ kandidát-verify</t>
        </is>
      </c>
      <c r="I65" s="11" t="inlineStr">
        <is>
          <t>260219_dum.HSV5.007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Parotěsná folie nad bedněním pod nadkrokevní PIR (např. Isover Vario nebo Tyvek Air guard)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712311101</t>
        </is>
      </c>
      <c r="H66" s="10" t="inlineStr">
        <is>
          <t>⚠ kandidát-verify</t>
        </is>
      </c>
      <c r="I66" s="11" t="inlineStr">
        <is>
          <t>260219_dum.HSV5.008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Nadkrokevní tepelná izolace PIR (polyisokyanurát) tl. 160 mm (λ=0,022 W/mK) — řez A-A S10 explicit</t>
        </is>
      </c>
      <c r="D67" s="10" t="inlineStr">
        <is>
          <t>m²</t>
        </is>
      </c>
      <c r="E67" s="12" t="n">
        <v>140.94</v>
      </c>
      <c r="F67" s="11">
        <f> 141 m² (plocha krytiny krov)</f>
        <v/>
      </c>
      <c r="G67" s="13" t="inlineStr">
        <is>
          <t>713131811</t>
        </is>
      </c>
      <c r="H67" s="10" t="inlineStr">
        <is>
          <t>✓ verified</t>
        </is>
      </c>
      <c r="I67" s="11" t="inlineStr">
        <is>
          <t>260219_dum.HSV5.009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Doplňková hydroizolační difuzně otevřená folie nad PIR pod kontralatě</t>
        </is>
      </c>
      <c r="D68" s="10" t="inlineStr">
        <is>
          <t>m²</t>
        </is>
      </c>
      <c r="E68" s="12" t="n">
        <v>155.034</v>
      </c>
      <c r="F68" s="11" t="inlineStr">
        <is>
          <t>141 × 1.1 přesah = 155</t>
        </is>
      </c>
      <c r="G68" s="11" t="inlineStr">
        <is>
          <t>712311111</t>
        </is>
      </c>
      <c r="H68" s="10" t="inlineStr">
        <is>
          <t>⚠ kandidát-verify</t>
        </is>
      </c>
      <c r="I68" s="11" t="inlineStr">
        <is>
          <t>260219_dum.HSV5.010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Distanční kontralatě 40×60 mm pro vzduchovou mezeru nad PIR</t>
        </is>
      </c>
      <c r="D69" s="10" t="inlineStr">
        <is>
          <t>m²</t>
        </is>
      </c>
      <c r="E69" s="12" t="n">
        <v>140.94</v>
      </c>
      <c r="F69" s="11">
        <f> 141 m²</f>
        <v/>
      </c>
      <c r="G69" s="11" t="inlineStr">
        <is>
          <t>762331923</t>
        </is>
      </c>
      <c r="H69" s="10" t="inlineStr">
        <is>
          <t>⚠ kandidát-verify</t>
        </is>
      </c>
      <c r="I69" s="11" t="inlineStr">
        <is>
          <t>260219_dum.HSV5.011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25 mm pod plechovou hliníkovou krytinu (rozsah dle technologie krytiny)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3" t="inlineStr">
        <is>
          <t>762341711</t>
        </is>
      </c>
      <c r="H70" s="10" t="inlineStr">
        <is>
          <t>⚠ kandidát-verify</t>
        </is>
      </c>
      <c r="I70" s="11" t="inlineStr">
        <is>
          <t>260219_dum.HSV5.012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Plechová falcovaná HLINÍKOVÁ krytina (např. PREFA, Rheinzink, Lindab) + tlumící podložka</t>
        </is>
      </c>
      <c r="D71" s="10" t="inlineStr">
        <is>
          <t>m²</t>
        </is>
      </c>
      <c r="E71" s="12" t="n">
        <v>140.94</v>
      </c>
      <c r="F71" s="11">
        <f> 141 m² (vč. vikýřů přidat ~10%)</f>
        <v/>
      </c>
      <c r="G71" s="13" t="inlineStr">
        <is>
          <t>765791121</t>
        </is>
      </c>
      <c r="H71" s="10" t="inlineStr">
        <is>
          <t>⚠ kandidát-verify</t>
        </is>
      </c>
      <c r="I71" s="11" t="inlineStr">
        <is>
          <t>260219_dum.HSV5.013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Patro pro přespání v krovu — biodeska / OSB desky tl. 22 mm nad kleštinami</t>
        </is>
      </c>
      <c r="D72" s="10" t="inlineStr">
        <is>
          <t>m²</t>
        </is>
      </c>
      <c r="E72" s="12" t="n">
        <v>25</v>
      </c>
      <c r="F72" s="11" t="inlineStr">
        <is>
          <t>odhad — spací patro ~5 × 5 m</t>
        </is>
      </c>
      <c r="G72" s="11" t="inlineStr">
        <is>
          <t>762341711</t>
        </is>
      </c>
      <c r="H72" s="10" t="inlineStr">
        <is>
          <t>⚠ kandidát-verify</t>
        </is>
      </c>
      <c r="I72" s="11" t="inlineStr">
        <is>
          <t>260219_dum.HSV5.014</t>
        </is>
      </c>
      <c r="J72" s="11" t="inlineStr">
        <is>
          <t>S11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Vikýře — zděná čela z Porotherm 30 (odhad 4 ks × ~3 m² stěna)</t>
        </is>
      </c>
      <c r="D73" s="10" t="inlineStr">
        <is>
          <t>m²</t>
        </is>
      </c>
      <c r="E73" s="12" t="n">
        <v>12</v>
      </c>
      <c r="F73" s="11" t="inlineStr">
        <is>
          <t>4 vikýře × ~3 m² zděných čel = 12</t>
        </is>
      </c>
      <c r="G73" s="11" t="inlineStr">
        <is>
          <t>311321411</t>
        </is>
      </c>
      <c r="H73" s="10" t="inlineStr">
        <is>
          <t>⚠ kandidát-verify</t>
        </is>
      </c>
      <c r="I73" s="11" t="inlineStr">
        <is>
          <t>260219_dum.HSV5.015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provětrávaná fasáda min. vata + plech falcovaný hliník (4 vikýře × ~6 m² fasády)</t>
        </is>
      </c>
      <c r="D74" s="10" t="inlineStr">
        <is>
          <t>m²</t>
        </is>
      </c>
      <c r="E74" s="12" t="n">
        <v>24</v>
      </c>
      <c r="F74" s="11" t="inlineStr">
        <is>
          <t>4 vikýře × 2 strany × ~3 m² = 24</t>
        </is>
      </c>
      <c r="G74" s="11" t="inlineStr">
        <is>
          <t>765791121</t>
        </is>
      </c>
      <c r="H74" s="10" t="inlineStr">
        <is>
          <t>⚠ kandidát-verify</t>
        </is>
      </c>
      <c r="I74" s="11" t="inlineStr">
        <is>
          <t>260219_dum.HSV5.016</t>
        </is>
      </c>
      <c r="J74" s="11" t="inlineStr">
        <is>
          <t>S12b</t>
        </is>
      </c>
      <c r="K74" s="11" t="inlineStr">
        <is>
          <t>Carried 1:1 (atomic — no decomposition needed)</t>
        </is>
      </c>
    </row>
    <row r="75">
      <c r="A75" s="8" t="inlineStr">
        <is>
          <t>━━ HSV-6 Bourací práce  (17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kompletního stávajícího krovu vč. vikýřů — vaznicový s ležatou stolicí — manuálně, odvoz</t>
        </is>
      </c>
      <c r="D76" s="10" t="inlineStr">
        <is>
          <t>m³</t>
        </is>
      </c>
      <c r="E76" s="12" t="n">
        <v>12</v>
      </c>
      <c r="F76" s="11" t="inlineStr">
        <is>
          <t>TZ B m.10.e: 9 t dřeva × 0.75 t/m³ = 12 m³ dřeva</t>
        </is>
      </c>
      <c r="G76" s="13" t="inlineStr">
        <is>
          <t>962041141</t>
        </is>
      </c>
      <c r="H76" s="10" t="inlineStr">
        <is>
          <t>⚠ kandidát-verify</t>
        </is>
      </c>
      <c r="I76" s="11" t="inlineStr">
        <is>
          <t>260219_dum.HSV6.001</t>
        </is>
      </c>
      <c r="J76" s="11" t="inlineStr"/>
      <c r="K76" s="11" t="inlineStr">
        <is>
          <t>Carried 1:1 (atomic — no decomposition needed)</t>
        </is>
      </c>
    </row>
    <row r="77">
      <c r="A77" s="17" t="n">
        <v>70</v>
      </c>
      <c r="B77" s="18" t="inlineStr">
        <is>
          <t>HSV-6 Bourací práce</t>
        </is>
      </c>
      <c r="C77" s="18" t="inlineStr">
        <is>
          <t>Bourání stávající plechové krytiny (manuálně, recyklace plechu)</t>
        </is>
      </c>
      <c r="D77" s="17" t="inlineStr">
        <is>
          <t>m²</t>
        </is>
      </c>
      <c r="E77" s="19" t="n">
        <v>140.9</v>
      </c>
      <c r="F77" s="18">
        <f> plocha krytiny ~141</f>
        <v/>
      </c>
      <c r="G77" s="18" t="inlineStr"/>
      <c r="H77" s="17" t="inlineStr">
        <is>
          <t>❌ blank — ÚRS online</t>
        </is>
      </c>
      <c r="I77" s="18" t="inlineStr">
        <is>
          <t>260219_dum.HSV6.002</t>
        </is>
      </c>
      <c r="J77" s="18" t="inlineStr"/>
      <c r="K77" s="18" t="inlineStr">
        <is>
          <t>Carried 1:1 (atomic — no decomposition needed)  Doplnit leaf z CS ÚRS online (app.urs.cz, cen. úroveň 2026 01) dle família + popis + Vzorec.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zděných nadezdívek nad stropem 2.NP (mimo štítových stěn) — cihla pálená</t>
        </is>
      </c>
      <c r="D78" s="10" t="inlineStr">
        <is>
          <t>m³</t>
        </is>
      </c>
      <c r="E78" s="12" t="n">
        <v>6</v>
      </c>
      <c r="F78" s="11" t="inlineStr">
        <is>
          <t>odhad — 3.NP nadezdívka půdy ~104 m² × 0.45 m výška ~6</t>
        </is>
      </c>
      <c r="G78" s="11" t="inlineStr">
        <is>
          <t>962031132</t>
        </is>
      </c>
      <c r="H78" s="10" t="inlineStr">
        <is>
          <t>⚠ kandidát-verify</t>
        </is>
      </c>
      <c r="I78" s="11" t="inlineStr">
        <is>
          <t>260219_dum.HSV6.003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trámového stropu 2.NP/podkroví — kompletně (vč. zajištění schodiště)</t>
        </is>
      </c>
      <c r="D79" s="10" t="inlineStr">
        <is>
          <t>m²</t>
        </is>
      </c>
      <c r="E79" s="12" t="n">
        <v>104.4</v>
      </c>
      <c r="F79" s="11">
        <f> zastavěna 104.4 m²</f>
        <v/>
      </c>
      <c r="G79" s="11" t="inlineStr">
        <is>
          <t>962041141</t>
        </is>
      </c>
      <c r="H79" s="10" t="inlineStr">
        <is>
          <t>⚠ kandidát-verify</t>
        </is>
      </c>
      <c r="I79" s="11" t="inlineStr">
        <is>
          <t>260219_dum.HSV6.004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stávajících lehkých příček (cihla, sádrokarton, dřevo)</t>
        </is>
      </c>
      <c r="D80" s="10" t="inlineStr">
        <is>
          <t>m²</t>
        </is>
      </c>
      <c r="E80" s="12" t="n">
        <v>80</v>
      </c>
      <c r="F80" s="11" t="inlineStr">
        <is>
          <t>odhad — interier 2 patra × ~40 m² příček = 80</t>
        </is>
      </c>
      <c r="G80" s="11" t="inlineStr">
        <is>
          <t>962031132</t>
        </is>
      </c>
      <c r="H80" s="10" t="inlineStr">
        <is>
          <t>⚠ kandidát-verify</t>
        </is>
      </c>
      <c r="I80" s="11" t="inlineStr">
        <is>
          <t>260219_dum.HSV6.005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8 nových otvorů v nosných cihelných zdech pro dveře/okna (~1.0 × 2.1 m)</t>
        </is>
      </c>
      <c r="D81" s="10" t="inlineStr">
        <is>
          <t>ks</t>
        </is>
      </c>
      <c r="E81" s="12" t="n">
        <v>8</v>
      </c>
      <c r="F81" s="11" t="inlineStr">
        <is>
          <t>odhad počtu nových otvorů (= počet IPN160 překladů)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260219_dum.HSV6.006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keramických obkladů a zařizovacích předmětů v koupelnách 1.NP + 2.NP</t>
        </is>
      </c>
      <c r="D82" s="10" t="inlineStr">
        <is>
          <t>m²</t>
        </is>
      </c>
      <c r="E82" s="12" t="n">
        <v>60</v>
      </c>
      <c r="F82" s="11" t="inlineStr">
        <is>
          <t>2 koupelny × ~30 m² obkladů = 60</t>
        </is>
      </c>
      <c r="G82" s="13" t="inlineStr">
        <is>
          <t>781473810</t>
        </is>
      </c>
      <c r="H82" s="10" t="inlineStr">
        <is>
          <t>⚠ kandidát-verify</t>
        </is>
      </c>
      <c r="I82" s="11" t="inlineStr">
        <is>
          <t>260219_dum.HSV6.007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Sejmutí podlah 1.NP a 2.NP — vč. nášlapů, podkladních vrstev</t>
        </is>
      </c>
      <c r="D83" s="10" t="inlineStr">
        <is>
          <t>m²</t>
        </is>
      </c>
      <c r="E83" s="12" t="n">
        <v>153.51</v>
      </c>
      <c r="F83" s="11" t="inlineStr">
        <is>
          <t>podlahova × 0.7 = ~154 m² (bez 3.NP nového)</t>
        </is>
      </c>
      <c r="G83" s="11" t="inlineStr">
        <is>
          <t>974031132</t>
        </is>
      </c>
      <c r="H83" s="10" t="inlineStr">
        <is>
          <t>⚠ kandidát-verify</t>
        </is>
      </c>
      <c r="I83" s="11" t="inlineStr">
        <is>
          <t>260219_dum.HSV6.008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záklopu a zásypů stropu 1.NP (prkenný záklop na trámech zachován)</t>
        </is>
      </c>
      <c r="D84" s="10" t="inlineStr">
        <is>
          <t>m³</t>
        </is>
      </c>
      <c r="E84" s="12" t="n">
        <v>5</v>
      </c>
      <c r="F84" s="11" t="inlineStr">
        <is>
          <t>100 m² × 0.05 m tl. zásypu = 5</t>
        </is>
      </c>
      <c r="G84" s="11" t="inlineStr">
        <is>
          <t>974041151</t>
        </is>
      </c>
      <c r="H84" s="10" t="inlineStr">
        <is>
          <t>⚠ kandidát-verify</t>
        </is>
      </c>
      <c r="I84" s="11" t="inlineStr">
        <is>
          <t>260219_dum.HSV6.009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všech oken a dveří stávajících (recyklace)</t>
        </is>
      </c>
      <c r="D85" s="10" t="inlineStr">
        <is>
          <t>ks</t>
        </is>
      </c>
      <c r="E85" s="12" t="n">
        <v>25</v>
      </c>
      <c r="F85" s="11" t="inlineStr">
        <is>
          <t>odhad — ~10 oken + ~15 dveří (vstupní + vnitřní)</t>
        </is>
      </c>
      <c r="G85" s="11" t="inlineStr">
        <is>
          <t>968071120</t>
        </is>
      </c>
      <c r="H85" s="10" t="inlineStr">
        <is>
          <t>⚠ kandidát-verify</t>
        </is>
      </c>
      <c r="I85" s="11" t="inlineStr">
        <is>
          <t>260219_dum.HSV6.010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sanitárních zařizovacích předmětů (WC, umyvadla, baterie, sprcha)</t>
        </is>
      </c>
      <c r="D86" s="10" t="inlineStr">
        <is>
          <t>ks</t>
        </is>
      </c>
      <c r="E86" s="12" t="n">
        <v>12</v>
      </c>
      <c r="F86" s="11" t="inlineStr">
        <is>
          <t>odhad — 2 koupelny × ~5 ks + WC + dřez = ~12</t>
        </is>
      </c>
      <c r="G86" s="11" t="inlineStr">
        <is>
          <t>725900001</t>
        </is>
      </c>
      <c r="H86" s="10" t="inlineStr">
        <is>
          <t>⚠ kandidát-verify</t>
        </is>
      </c>
      <c r="I86" s="11" t="inlineStr">
        <is>
          <t>260219_dum.HSV6.011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Odvoz a likvidace stavební suti dle vyhl. 8/2021 Sb. — celková tonáž odpadů</t>
        </is>
      </c>
      <c r="D87" s="10" t="inlineStr">
        <is>
          <t>t</t>
        </is>
      </c>
      <c r="E87" s="12" t="n">
        <v>56.5</v>
      </c>
      <c r="F87" s="11" t="inlineStr">
        <is>
          <t>TZ B m.10.e: 46 (beton/cihly) + 9 (dřevo) + 0.1 (kov) + 0.1 (EPS) + 0.2 (sádra) + 1.0 (směs) = 56.4</t>
        </is>
      </c>
      <c r="G87" s="11" t="inlineStr">
        <is>
          <t>997013501</t>
        </is>
      </c>
      <c r="H87" s="10" t="inlineStr">
        <is>
          <t>⚠ kandidát-verify</t>
        </is>
      </c>
      <c r="I87" s="11" t="inlineStr">
        <is>
          <t>260219_dum.HSV6.012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dřevěných oken vč. rámů a parapetů — 16 ks (návrh všechna okna nová plastová trojsklem)</t>
        </is>
      </c>
      <c r="D88" s="10" t="inlineStr">
        <is>
          <t>ks</t>
        </is>
      </c>
      <c r="E88" s="12" t="n">
        <v>16</v>
      </c>
      <c r="F88" s="11" t="inlineStr">
        <is>
          <t>DXF INSERT okno* total 16 ks (Path C Tier 4 — front 9 + back 7)</t>
        </is>
      </c>
      <c r="G88" s="13" t="inlineStr">
        <is>
          <t>978013181</t>
        </is>
      </c>
      <c r="H88" s="10" t="inlineStr">
        <is>
          <t>✓ verified</t>
        </is>
      </c>
      <c r="I88" s="11" t="inlineStr">
        <is>
          <t>260219_dum.HSV6.013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vstupních dveří + rámů — 2 ks (1× ulice Fibichova + 1× zahrada; návrh nové plastové vstupní dveře)</t>
        </is>
      </c>
      <c r="D89" s="10" t="inlineStr">
        <is>
          <t>ks</t>
        </is>
      </c>
      <c r="E89" s="12" t="n">
        <v>2</v>
      </c>
      <c r="F89" s="11" t="inlineStr">
        <is>
          <t>DXF INSERT dveře = 2 (Path C Tier 4) + TZ ARS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260219_dum.HSV6.014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vnitřních dveří vč. ocelových/dřevěných zárubní — odhad 15 ks (3 patra × ~5 dveří/patro per DXF SM__dveře layer)</t>
        </is>
      </c>
      <c r="D90" s="10" t="inlineStr">
        <is>
          <t>ks</t>
        </is>
      </c>
      <c r="E90" s="12" t="n">
        <v>15</v>
      </c>
      <c r="F90" s="11" t="inlineStr">
        <is>
          <t>DXF SM__dveře polylines 102 / ~3 fáze / ~2.3 symbol per dveře ≈ 15 ks návrh (Path C confidence 0.65)</t>
        </is>
      </c>
      <c r="G90" s="11" t="inlineStr">
        <is>
          <t>968072456</t>
        </is>
      </c>
      <c r="H90" s="10" t="inlineStr">
        <is>
          <t>⚠ kandidát-verify</t>
        </is>
      </c>
      <c r="I90" s="11" t="inlineStr">
        <is>
          <t>260219_dum.HSV6.015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Bourání vrchní části stávajícího komínu v posledním podlaží (cihelné zdivo, ručně), vč. likvidace cihelné suti</t>
        </is>
      </c>
      <c r="D91" s="10" t="inlineStr">
        <is>
          <t>m³</t>
        </is>
      </c>
      <c r="E91" s="12" t="n">
        <v>0.6</v>
      </c>
      <c r="F91" s="11" t="inlineStr">
        <is>
          <t>průměr komín 0.50×0.50 × výška nad střechou ~2.4 m = 0.6 m³ (OPRAVA ChatGPT revize 2026-05-29: dříve 6.0 m³ = ×10 chybná inflace; skutečný objem 0.6 m³)</t>
        </is>
      </c>
      <c r="G91" s="13" t="inlineStr">
        <is>
          <t>962024141</t>
        </is>
      </c>
      <c r="H91" s="10" t="inlineStr">
        <is>
          <t>⚠ kandidát-verify</t>
        </is>
      </c>
      <c r="I91" s="11" t="inlineStr">
        <is>
          <t>260219_dum.HSV6.016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stávajících opěrných zídek a venkovního schodiště v zahradě/dvoře — částečné, dle vyznačení v půdorysech bourání</t>
        </is>
      </c>
      <c r="D92" s="10" t="inlineStr">
        <is>
          <t>m³</t>
        </is>
      </c>
      <c r="E92" s="12" t="n">
        <v>8</v>
      </c>
      <c r="F92" s="11" t="inlineStr">
        <is>
          <t>odhad ze řez A-A bourání + půdorys bourání 1.NP/1.PP, ~8 m³ celkem (opěrné zídky + venkovní schodiště zahrada/dvůr)</t>
        </is>
      </c>
      <c r="G92" s="13" t="inlineStr">
        <is>
          <t>961044111</t>
        </is>
      </c>
      <c r="H92" s="10" t="inlineStr">
        <is>
          <t>⚠ kandidát-verify</t>
        </is>
      </c>
      <c r="I92" s="11" t="inlineStr">
        <is>
          <t>260219_dum.HSV6.017</t>
        </is>
      </c>
      <c r="J92" s="11" t="inlineStr"/>
      <c r="K92" s="11" t="inlineStr">
        <is>
          <t>Carried 1:1 (atomic — no decomposition needed)</t>
        </is>
      </c>
    </row>
    <row r="93">
      <c r="A93" s="8" t="inlineStr">
        <is>
          <t>━━ HSV-7 Fasáda ETICS  (9 atomic operací) ━━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10" t="n">
        <v>86</v>
      </c>
      <c r="B94" s="11" t="inlineStr">
        <is>
          <t>HSV-7 Fasáda ETICS</t>
        </is>
      </c>
      <c r="C94" s="11" t="inlineStr">
        <is>
          <t>Příprava fasádního podkladu — očištění tlakovou vodou, vyspravení omítek, fungicidní nátěr</t>
        </is>
      </c>
      <c r="D94" s="10" t="inlineStr">
        <is>
          <t>m²</t>
        </is>
      </c>
      <c r="E94" s="12" t="n">
        <v>276.7</v>
      </c>
      <c r="F94" s="11" t="inlineStr">
        <is>
          <t>obvod 38.7 m (DXF) × 0.55 (volná fasáda, štíty zachované) × výška 13.0 m = 276.7 m²</t>
        </is>
      </c>
      <c r="G94" s="11" t="inlineStr">
        <is>
          <t>622401110</t>
        </is>
      </c>
      <c r="H94" s="10" t="inlineStr">
        <is>
          <t>⚠ kandidát-verify</t>
        </is>
      </c>
      <c r="I94" s="11" t="inlineStr">
        <is>
          <t>260219_dum.HSV7.001</t>
        </is>
      </c>
      <c r="J94" s="11" t="inlineStr">
        <is>
          <t>S01</t>
        </is>
      </c>
      <c r="K94" s="11" t="inlineStr">
        <is>
          <t>Carried 1:1 (atomic — no decomposition needed)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EPS 70F grey λ=0.032 tl. 160 mm — ETICS kontaktní zateplení fasády</t>
        </is>
      </c>
      <c r="D95" s="14" t="inlineStr">
        <is>
          <t>m²</t>
        </is>
      </c>
      <c r="E95" s="16" t="n">
        <v>276.7</v>
      </c>
      <c r="F95" s="15">
        <f> HSV7.002 plocha fasády 276.7 m²</f>
        <v/>
      </c>
      <c r="G95" s="15" t="inlineStr">
        <is>
          <t>713</t>
        </is>
      </c>
      <c r="H95" s="14" t="inlineStr">
        <is>
          <t>⚠ família ??? (ÚRS online)</t>
        </is>
      </c>
      <c r="I95" s="15" t="inlineStr">
        <is>
          <t>260219_dum.HSV7.002 → HSV7.002a</t>
        </is>
      </c>
      <c r="J95" s="15" t="inlineStr">
        <is>
          <t>S01, S12a</t>
        </is>
      </c>
      <c r="K95" s="15" t="inlineStr">
        <is>
          <t>Lepení+kotvení EPS (713/622 família). Leaf dle tl. 160 mm — verify.  Doplnit leaf z CS ÚRS online (app.urs.cz, cen. úroveň 2026 01) dle família + popis + Vzorec.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Armovací vrstva — výztužná síťka + lepicí stěrka (zatírací) na ETICS</t>
        </is>
      </c>
      <c r="D96" s="14" t="inlineStr">
        <is>
          <t>m²</t>
        </is>
      </c>
      <c r="E96" s="16" t="n">
        <v>276.7</v>
      </c>
      <c r="F96" s="15">
        <f> HSV7.002 plocha 276.7 m²</f>
        <v/>
      </c>
      <c r="G96" s="15" t="inlineStr">
        <is>
          <t>622</t>
        </is>
      </c>
      <c r="H96" s="14" t="inlineStr">
        <is>
          <t>⚠ família ??? (ÚRS online)</t>
        </is>
      </c>
      <c r="I96" s="15" t="inlineStr">
        <is>
          <t>260219_dum.HSV7.002 → HSV7.002b</t>
        </is>
      </c>
      <c r="J96" s="15" t="inlineStr">
        <is>
          <t>S01, S12a</t>
        </is>
      </c>
      <c r="K96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Lepení + kotvení desek XPS λ=0.034 tl. 120 mm + soklový profil — ETICS sokl</t>
        </is>
      </c>
      <c r="D97" s="14" t="inlineStr">
        <is>
          <t>m²</t>
        </is>
      </c>
      <c r="E97" s="16" t="n">
        <v>13.5</v>
      </c>
      <c r="F97" s="15">
        <f> HSV7.003 plocha soklu 13.5 m²</f>
        <v/>
      </c>
      <c r="G97" s="15" t="inlineStr">
        <is>
          <t>713</t>
        </is>
      </c>
      <c r="H97" s="14" t="inlineStr">
        <is>
          <t>⚠ família ??? (ÚRS online)</t>
        </is>
      </c>
      <c r="I97" s="15" t="inlineStr">
        <is>
          <t>260219_dum.HSV7.003 → HSV7.003a</t>
        </is>
      </c>
      <c r="J97" s="15" t="inlineStr">
        <is>
          <t>S01</t>
        </is>
      </c>
      <c r="K97" s="15" t="inlineStr">
        <is>
          <t>Sokl XPS lepení + soklový profil (713/622 família).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Cihelný obklad soklu spárovaný (na armovací vrstvu)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781</t>
        </is>
      </c>
      <c r="H98" s="14" t="inlineStr">
        <is>
          <t>⚠ família ??? (ÚRS online)</t>
        </is>
      </c>
      <c r="I98" s="15" t="inlineStr">
        <is>
          <t>260219_dum.HSV7.003 → HSV7.003b</t>
        </is>
      </c>
      <c r="J98" s="15" t="inlineStr">
        <is>
          <t>S01</t>
        </is>
      </c>
      <c r="K98" s="15" t="inlineStr">
        <is>
          <t>Cihelný obklad spárovaný (781 família obklady).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Špalety oken — EPS přesah 35-40 mm lepení + kotvení</t>
        </is>
      </c>
      <c r="D99" s="14" t="inlineStr">
        <is>
          <t>bm</t>
        </is>
      </c>
      <c r="E99" s="16" t="n">
        <v>82.2</v>
      </c>
      <c r="F99" s="15">
        <f> HSV7.004 obvod špalet 82.2 bm</f>
        <v/>
      </c>
      <c r="G99" s="15" t="inlineStr">
        <is>
          <t>622</t>
        </is>
      </c>
      <c r="H99" s="14" t="inlineStr">
        <is>
          <t>⚠ família ??? (ÚRS online)</t>
        </is>
      </c>
      <c r="I99" s="15" t="inlineStr">
        <is>
          <t>260219_dum.HSV7.004 → HSV7.004a</t>
        </is>
      </c>
      <c r="J99" s="15" t="inlineStr">
        <is>
          <t>S01, S12a</t>
        </is>
      </c>
      <c r="K99" s="15" t="inlineStr">
        <is>
          <t>Špalety EPS přesah (622 família).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armovací vrstva síťka + omítka</t>
        </is>
      </c>
      <c r="D100" s="14" t="inlineStr">
        <is>
          <t>bm</t>
        </is>
      </c>
      <c r="E100" s="16" t="n">
        <v>82.2</v>
      </c>
      <c r="F100" s="15">
        <f> HSV7.004 obvod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HSV7.004b</t>
        </is>
      </c>
      <c r="J100" s="15" t="inlineStr">
        <is>
          <t>S01, S12a</t>
        </is>
      </c>
      <c r="K100" s="15" t="inlineStr">
        <is>
          <t>Armovací vrstva + omítka špalet (622 família).  Doplnit leaf z CS ÚRS online (app.urs.cz, cen. úroveň 2026 01) dle família + popis + Vzorec.</t>
        </is>
      </c>
    </row>
    <row r="101">
      <c r="A101" s="10" t="n">
        <v>93</v>
      </c>
      <c r="B101" s="11" t="inlineStr">
        <is>
          <t>HSV-7 Fasáda ETICS</t>
        </is>
      </c>
      <c r="C101" s="11" t="inlineStr">
        <is>
          <t>Profilace fasády — různé tloušťky EPS (kordony, šambrány, rámování oken) — paušál podle pohledů</t>
        </is>
      </c>
      <c r="D101" s="10" t="inlineStr">
        <is>
          <t>soubor</t>
        </is>
      </c>
      <c r="E101" s="12" t="n">
        <v>1</v>
      </c>
      <c r="F101" s="11" t="inlineStr">
        <is>
          <t>paušál — dle pohledů NCS NZÚ</t>
        </is>
      </c>
      <c r="G101" s="11" t="inlineStr">
        <is>
          <t>622221221</t>
        </is>
      </c>
      <c r="H101" s="10" t="inlineStr">
        <is>
          <t>⚠ kandidát-verify</t>
        </is>
      </c>
      <c r="I101" s="11" t="inlineStr">
        <is>
          <t>260219_dum.HSV7.005</t>
        </is>
      </c>
      <c r="J101" s="11" t="inlineStr">
        <is>
          <t>S01, S12a</t>
        </is>
      </c>
      <c r="K101" s="11" t="inlineStr">
        <is>
          <t>Carried 1:1 (atomic — no decomposition needed)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Tenkovrstvá pastovitá probarvená omítka, lomená bílá NCS NZÚ — finální vrstva ETICS</t>
        </is>
      </c>
      <c r="D102" s="10" t="inlineStr">
        <is>
          <t>m²</t>
        </is>
      </c>
      <c r="E102" s="12" t="n">
        <v>290.2</v>
      </c>
      <c r="F102" s="11" t="inlineStr">
        <is>
          <t>ETICS plocha 276.7 m² + sokl 13.5 m² = 290.2 m²</t>
        </is>
      </c>
      <c r="G102" s="13" t="inlineStr">
        <is>
          <t>622521111</t>
        </is>
      </c>
      <c r="H102" s="10" t="inlineStr">
        <is>
          <t>⚠ kandidát-verify</t>
        </is>
      </c>
      <c r="I102" s="11" t="inlineStr">
        <is>
          <t>260219_dum.HSV7.006</t>
        </is>
      </c>
      <c r="J102" s="11" t="inlineStr">
        <is>
          <t>S01, S12a, S12b</t>
        </is>
      </c>
      <c r="K102" s="11" t="inlineStr">
        <is>
          <t>Carried 1:1 (atomic — no decomposition needed)</t>
        </is>
      </c>
    </row>
  </sheetData>
  <autoFilter ref="A1:K1"/>
  <mergeCells count="7">
    <mergeCell ref="A58:K58"/>
    <mergeCell ref="A35:K35"/>
    <mergeCell ref="A21:K21"/>
    <mergeCell ref="A43:K43"/>
    <mergeCell ref="A2:K2"/>
    <mergeCell ref="A93:K93"/>
    <mergeCell ref="A75:K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30</v>
      </c>
      <c r="F55" s="15">
        <f> PSV76.002 plocha terasy 30 m²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30</v>
      </c>
      <c r="F56" s="15">
        <f> PSV76.002 plocha terasy 30 m²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30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30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2026-05-29T09:33:01Z</dcterms:created>
  <dcterms:modified xsi:type="dcterms:W3CDTF">2026-05-29T09:33:02Z</dcterms:modified>
</cp:coreProperties>
</file>
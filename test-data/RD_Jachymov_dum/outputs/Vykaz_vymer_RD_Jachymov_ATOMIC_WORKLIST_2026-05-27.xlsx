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247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374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249</v>
      </c>
    </row>
    <row r="9">
      <c r="A9" s="4" t="inlineStr">
        <is>
          <t>Items carried 1:1</t>
        </is>
      </c>
      <c r="B9" s="5" t="n">
        <v>125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29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Komunikace + zpevněné plochy</t>
        </is>
      </c>
      <c r="B19" s="5" t="n">
        <v>7</v>
      </c>
    </row>
    <row r="20">
      <c r="A20" s="4" t="inlineStr">
        <is>
          <t>HSV-5 Krov + střecha</t>
        </is>
      </c>
      <c r="B20" s="5" t="n">
        <v>39</v>
      </c>
    </row>
    <row r="21">
      <c r="A21" s="4" t="inlineStr">
        <is>
          <t>HSV-6 Bourací práce</t>
        </is>
      </c>
      <c r="B21" s="5" t="n">
        <v>17</v>
      </c>
    </row>
    <row r="22">
      <c r="A22" s="4" t="inlineStr">
        <is>
          <t>HSV-7 Fasáda + zateplení</t>
        </is>
      </c>
      <c r="B22" s="5" t="n">
        <v>5</v>
      </c>
    </row>
    <row r="23">
      <c r="A23" s="4" t="inlineStr">
        <is>
          <t>HSV-7 Fasáda ETICS</t>
        </is>
      </c>
      <c r="B23" s="5" t="n">
        <v>9</v>
      </c>
    </row>
    <row r="24">
      <c r="A24" s="4" t="inlineStr">
        <is>
          <t>M-21 ELI silnoproud</t>
        </is>
      </c>
      <c r="B24" s="5" t="n">
        <v>10</v>
      </c>
    </row>
    <row r="25">
      <c r="A25" s="4" t="inlineStr">
        <is>
          <t>M-24 VZT</t>
        </is>
      </c>
      <c r="B25" s="5" t="n">
        <v>1</v>
      </c>
    </row>
    <row r="26">
      <c r="A26" s="4" t="inlineStr">
        <is>
          <t>PSV-71 Izolace HI</t>
        </is>
      </c>
      <c r="B26" s="5" t="n">
        <v>4</v>
      </c>
    </row>
    <row r="27">
      <c r="A27" s="4" t="inlineStr">
        <is>
          <t>PSV-71 Izolace TI</t>
        </is>
      </c>
      <c r="B27" s="5" t="n">
        <v>2</v>
      </c>
    </row>
    <row r="28">
      <c r="A28" s="4" t="inlineStr">
        <is>
          <t>PSV-72 ZTI</t>
        </is>
      </c>
      <c r="B28" s="5" t="n">
        <v>42</v>
      </c>
    </row>
    <row r="29">
      <c r="A29" s="4" t="inlineStr">
        <is>
          <t>PSV-73 Vytápění</t>
        </is>
      </c>
      <c r="B29" s="5" t="n">
        <v>13</v>
      </c>
    </row>
    <row r="30">
      <c r="A30" s="4" t="inlineStr">
        <is>
          <t>PSV-76 Klempíř</t>
        </is>
      </c>
      <c r="B30" s="5" t="n">
        <v>7</v>
      </c>
    </row>
    <row r="31">
      <c r="A31" s="4" t="inlineStr">
        <is>
          <t>PSV-76 Truhlář</t>
        </is>
      </c>
      <c r="B31" s="5" t="n">
        <v>4</v>
      </c>
    </row>
    <row r="32">
      <c r="A32" s="4" t="inlineStr">
        <is>
          <t>PSV-76 Výplně otvorů</t>
        </is>
      </c>
      <c r="B32" s="5" t="n">
        <v>25</v>
      </c>
    </row>
    <row r="33">
      <c r="A33" s="4" t="inlineStr">
        <is>
          <t>PSV-76 Zámečnické konstrukce</t>
        </is>
      </c>
      <c r="B33" s="5" t="n">
        <v>3</v>
      </c>
    </row>
    <row r="34">
      <c r="A34" s="4" t="inlineStr">
        <is>
          <t>PSV-76 Zámečnictví</t>
        </is>
      </c>
      <c r="B34" s="5" t="n">
        <v>8</v>
      </c>
    </row>
    <row r="35">
      <c r="A35" s="4" t="inlineStr">
        <is>
          <t>PSV-77 Podlahy</t>
        </is>
      </c>
      <c r="B35" s="5" t="n">
        <v>12</v>
      </c>
    </row>
    <row r="36">
      <c r="A36" s="4" t="inlineStr">
        <is>
          <t>PSV-78 Povrchové úpravy</t>
        </is>
      </c>
      <c r="B36" s="5" t="n">
        <v>24</v>
      </c>
    </row>
    <row r="37">
      <c r="A37" s="4" t="inlineStr">
        <is>
          <t>PSV-95 Detekce požární</t>
        </is>
      </c>
      <c r="B37" s="5" t="n">
        <v>5</v>
      </c>
    </row>
    <row r="38">
      <c r="A38" s="4" t="inlineStr">
        <is>
          <t>VRN — BOZP</t>
        </is>
      </c>
      <c r="B38" s="5" t="n">
        <v>1</v>
      </c>
    </row>
    <row r="39">
      <c r="A39" s="4" t="inlineStr">
        <is>
          <t>VRN — Dokumentace</t>
        </is>
      </c>
      <c r="B39" s="5" t="n">
        <v>1</v>
      </c>
    </row>
    <row r="40">
      <c r="A40" s="4" t="inlineStr">
        <is>
          <t>VRN — Doprava + odpad</t>
        </is>
      </c>
      <c r="B40" s="5" t="n">
        <v>5</v>
      </c>
    </row>
    <row r="41">
      <c r="A41" s="4" t="inlineStr">
        <is>
          <t>VRN — Geodet</t>
        </is>
      </c>
      <c r="B41" s="5" t="n">
        <v>2</v>
      </c>
    </row>
    <row r="42">
      <c r="A42" s="4" t="inlineStr">
        <is>
          <t>VRN — Geodet / PČR</t>
        </is>
      </c>
      <c r="B42" s="5" t="n">
        <v>1</v>
      </c>
    </row>
    <row r="43">
      <c r="A43" s="4" t="inlineStr">
        <is>
          <t>VRN — Kolaudace</t>
        </is>
      </c>
      <c r="B43" s="5" t="n">
        <v>1</v>
      </c>
    </row>
    <row r="44">
      <c r="A44" s="4" t="inlineStr">
        <is>
          <t>VRN — Lešení</t>
        </is>
      </c>
      <c r="B44" s="5" t="n">
        <v>1</v>
      </c>
    </row>
    <row r="45">
      <c r="A45" s="4" t="inlineStr">
        <is>
          <t>VRN — Pojištění + zábory</t>
        </is>
      </c>
      <c r="B45" s="5" t="n">
        <v>2</v>
      </c>
    </row>
    <row r="46">
      <c r="A46" s="4" t="inlineStr">
        <is>
          <t>VRN — Průzkumy</t>
        </is>
      </c>
      <c r="B46" s="5" t="n">
        <v>2</v>
      </c>
    </row>
    <row r="47">
      <c r="A47" s="4" t="inlineStr">
        <is>
          <t>VRN — Přesun hmot</t>
        </is>
      </c>
      <c r="B47" s="5" t="n">
        <v>1</v>
      </c>
    </row>
    <row r="48">
      <c r="A48" s="4" t="inlineStr">
        <is>
          <t>VRN — Revize</t>
        </is>
      </c>
      <c r="B48" s="5" t="n">
        <v>1</v>
      </c>
    </row>
    <row r="49">
      <c r="A49" s="4" t="inlineStr">
        <is>
          <t>VRN — Společné</t>
        </is>
      </c>
      <c r="B49" s="5" t="n">
        <v>1</v>
      </c>
    </row>
    <row r="50">
      <c r="A50" s="4" t="inlineStr">
        <is>
          <t>VRN — Zařízení staveniště</t>
        </is>
      </c>
      <c r="B50" s="5" t="n">
        <v>4</v>
      </c>
    </row>
    <row r="52">
      <c r="A52" s="3" t="inlineStr">
        <is>
          <t>STAV KÓDŮ (4 tiers — práce kompletní bez ohledu na stav kódu)</t>
        </is>
      </c>
    </row>
    <row r="53">
      <c r="A53" s="4" t="inlineStr">
        <is>
          <t>✓ verified (leaf ověřen)</t>
        </is>
      </c>
      <c r="B53" s="5" t="n">
        <v>18</v>
      </c>
    </row>
    <row r="54">
      <c r="A54" s="4" t="inlineStr">
        <is>
          <t>⚠ kandidát-verify (leaf generátor, neověřen)</t>
        </is>
      </c>
      <c r="B54" s="5" t="n">
        <v>171</v>
      </c>
    </row>
    <row r="55">
      <c r="A55" s="4" t="inlineStr">
        <is>
          <t>⚠ família ??? (leaf z ÚRS online)</t>
        </is>
      </c>
      <c r="B55" s="5" t="n">
        <v>56</v>
      </c>
    </row>
    <row r="56">
      <c r="A56" s="4" t="inlineStr">
        <is>
          <t>❌ blank — ÚRS online</t>
        </is>
      </c>
      <c r="B56" s="5" t="n">
        <v>129</v>
      </c>
    </row>
    <row r="58">
      <c r="A58" s="2" t="inlineStr">
        <is>
          <t>• Kódy: leaf binding doplnit z CS ÚRS online (app.urs.cz, cenová úroveň 2026 01) dle família + popis + Vzorec.</t>
        </is>
      </c>
    </row>
    <row r="59">
      <c r="A59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60">
      <c r="A60" s="2" t="inlineStr">
        <is>
          <t>• PRÁCE JE KOMPLETNÍ bez ohledu na stav kódu — seznam (postup prací) = primary deliverable. Code = secondary, doplní se v ÚRS online / KROS.</t>
        </is>
      </c>
    </row>
    <row r="62">
      <c r="A62" s="3" t="inlineStr">
        <is>
          <t>URS FAMÍLIA DISTRIBUCE (54 distinct)</t>
        </is>
      </c>
    </row>
    <row r="63">
      <c r="A63" s="6" t="inlineStr">
        <is>
          <t>Família</t>
        </is>
      </c>
      <c r="B63" s="6" t="inlineStr">
        <is>
          <t>Počet ops</t>
        </is>
      </c>
    </row>
    <row r="64">
      <c r="A64" s="4" t="inlineStr">
        <is>
          <t>(blank)</t>
        </is>
      </c>
      <c r="B64" s="5" t="n">
        <v>129</v>
      </c>
      <c r="C64" s="2" t="inlineStr">
        <is>
          <t>❌ MANUAL LOOKUP — Pattern 26 honest blank (NE fabrikováno)</t>
        </is>
      </c>
    </row>
    <row r="65">
      <c r="A65" s="4" t="inlineStr">
        <is>
          <t>725</t>
        </is>
      </c>
      <c r="B65" s="5" t="n">
        <v>24</v>
      </c>
    </row>
    <row r="66">
      <c r="A66" s="4" t="inlineStr">
        <is>
          <t>766</t>
        </is>
      </c>
      <c r="B66" s="5" t="n">
        <v>14</v>
      </c>
    </row>
    <row r="67">
      <c r="A67" s="4" t="inlineStr">
        <is>
          <t>030</t>
        </is>
      </c>
      <c r="B67" s="5" t="n">
        <v>13</v>
      </c>
    </row>
    <row r="68">
      <c r="A68" s="4" t="inlineStr">
        <is>
          <t>762</t>
        </is>
      </c>
      <c r="B68" s="5" t="n">
        <v>13</v>
      </c>
    </row>
    <row r="69">
      <c r="A69" s="4" t="inlineStr">
        <is>
          <t>273</t>
        </is>
      </c>
      <c r="B69" s="5" t="n">
        <v>11</v>
      </c>
    </row>
    <row r="70">
      <c r="A70" s="4" t="inlineStr">
        <is>
          <t>612</t>
        </is>
      </c>
      <c r="B70" s="5" t="n">
        <v>11</v>
      </c>
    </row>
    <row r="71">
      <c r="A71" s="4" t="inlineStr">
        <is>
          <t>311</t>
        </is>
      </c>
      <c r="B71" s="5" t="n">
        <v>9</v>
      </c>
    </row>
    <row r="72">
      <c r="A72" s="4" t="inlineStr">
        <is>
          <t>411</t>
        </is>
      </c>
      <c r="B72" s="5" t="n">
        <v>9</v>
      </c>
    </row>
    <row r="73">
      <c r="A73" s="4" t="inlineStr">
        <is>
          <t>564</t>
        </is>
      </c>
      <c r="B73" s="5" t="n">
        <v>8</v>
      </c>
    </row>
    <row r="74">
      <c r="A74" s="4" t="inlineStr">
        <is>
          <t>962</t>
        </is>
      </c>
      <c r="B74" s="5" t="n">
        <v>8</v>
      </c>
    </row>
    <row r="75">
      <c r="A75" s="4" t="inlineStr">
        <is>
          <t>622</t>
        </is>
      </c>
      <c r="B75" s="5" t="n">
        <v>7</v>
      </c>
    </row>
    <row r="76">
      <c r="A76" s="4" t="inlineStr">
        <is>
          <t>713</t>
        </is>
      </c>
      <c r="B76" s="5" t="n">
        <v>7</v>
      </c>
    </row>
    <row r="77">
      <c r="A77" s="4" t="inlineStr">
        <is>
          <t>733</t>
        </is>
      </c>
      <c r="B77" s="5" t="n">
        <v>7</v>
      </c>
    </row>
    <row r="78">
      <c r="A78" s="4" t="inlineStr">
        <is>
          <t>210</t>
        </is>
      </c>
      <c r="B78" s="5" t="n">
        <v>6</v>
      </c>
    </row>
    <row r="79">
      <c r="A79" s="4" t="inlineStr">
        <is>
          <t>764</t>
        </is>
      </c>
      <c r="B79" s="5" t="n">
        <v>6</v>
      </c>
    </row>
    <row r="80">
      <c r="A80" s="4" t="inlineStr">
        <is>
          <t>771</t>
        </is>
      </c>
      <c r="B80" s="5" t="n">
        <v>6</v>
      </c>
    </row>
    <row r="81">
      <c r="A81" s="4" t="inlineStr">
        <is>
          <t>781</t>
        </is>
      </c>
      <c r="B81" s="5" t="n">
        <v>6</v>
      </c>
    </row>
    <row r="82">
      <c r="A82" s="4" t="inlineStr">
        <is>
          <t>712</t>
        </is>
      </c>
      <c r="B82" s="5" t="n">
        <v>5</v>
      </c>
    </row>
    <row r="83">
      <c r="A83" s="4" t="inlineStr">
        <is>
          <t>767</t>
        </is>
      </c>
      <c r="B83" s="5" t="n">
        <v>5</v>
      </c>
    </row>
    <row r="84">
      <c r="A84" s="4" t="inlineStr">
        <is>
          <t>784</t>
        </is>
      </c>
      <c r="B84" s="5" t="n">
        <v>5</v>
      </c>
    </row>
    <row r="85">
      <c r="A85" s="4" t="inlineStr">
        <is>
          <t>174</t>
        </is>
      </c>
      <c r="B85" s="5" t="n">
        <v>4</v>
      </c>
    </row>
    <row r="86">
      <c r="A86" s="4" t="inlineStr">
        <is>
          <t>274</t>
        </is>
      </c>
      <c r="B86" s="5" t="n">
        <v>4</v>
      </c>
    </row>
    <row r="87">
      <c r="A87" s="4" t="inlineStr">
        <is>
          <t>605</t>
        </is>
      </c>
      <c r="B87" s="5" t="n">
        <v>4</v>
      </c>
    </row>
    <row r="88">
      <c r="A88" s="4" t="inlineStr">
        <is>
          <t>974</t>
        </is>
      </c>
      <c r="B88" s="5" t="n">
        <v>4</v>
      </c>
    </row>
    <row r="89">
      <c r="A89" s="4" t="inlineStr">
        <is>
          <t>997</t>
        </is>
      </c>
      <c r="B89" s="5" t="n">
        <v>4</v>
      </c>
    </row>
    <row r="90">
      <c r="A90" s="4" t="inlineStr">
        <is>
          <t>031</t>
        </is>
      </c>
      <c r="B90" s="5" t="n">
        <v>3</v>
      </c>
    </row>
    <row r="91">
      <c r="A91" s="4" t="inlineStr">
        <is>
          <t>132</t>
        </is>
      </c>
      <c r="B91" s="5" t="n">
        <v>3</v>
      </c>
    </row>
    <row r="92">
      <c r="A92" s="4" t="inlineStr">
        <is>
          <t>342</t>
        </is>
      </c>
      <c r="B92" s="5" t="n">
        <v>3</v>
      </c>
    </row>
    <row r="93">
      <c r="A93" s="4" t="inlineStr">
        <is>
          <t>631</t>
        </is>
      </c>
      <c r="B93" s="5" t="n">
        <v>3</v>
      </c>
    </row>
    <row r="94">
      <c r="A94" s="4" t="inlineStr">
        <is>
          <t>121</t>
        </is>
      </c>
      <c r="B94" s="5" t="n">
        <v>2</v>
      </c>
    </row>
    <row r="95">
      <c r="A95" s="4" t="inlineStr">
        <is>
          <t>131</t>
        </is>
      </c>
      <c r="B95" s="5" t="n">
        <v>2</v>
      </c>
    </row>
    <row r="96">
      <c r="A96" s="4" t="inlineStr">
        <is>
          <t>212</t>
        </is>
      </c>
      <c r="B96" s="5" t="n">
        <v>2</v>
      </c>
    </row>
    <row r="97">
      <c r="A97" s="4" t="inlineStr">
        <is>
          <t>317</t>
        </is>
      </c>
      <c r="B97" s="5" t="n">
        <v>2</v>
      </c>
    </row>
    <row r="98">
      <c r="A98" s="4" t="inlineStr">
        <is>
          <t>693</t>
        </is>
      </c>
      <c r="B98" s="5" t="n">
        <v>2</v>
      </c>
    </row>
    <row r="99">
      <c r="A99" s="4" t="inlineStr">
        <is>
          <t>722</t>
        </is>
      </c>
      <c r="B99" s="5" t="n">
        <v>2</v>
      </c>
    </row>
    <row r="100">
      <c r="A100" s="4" t="inlineStr">
        <is>
          <t>732</t>
        </is>
      </c>
      <c r="B100" s="5" t="n">
        <v>2</v>
      </c>
    </row>
    <row r="101">
      <c r="A101" s="4" t="inlineStr">
        <is>
          <t>776</t>
        </is>
      </c>
      <c r="B101" s="5" t="n">
        <v>2</v>
      </c>
    </row>
    <row r="102">
      <c r="A102" s="4" t="inlineStr">
        <is>
          <t>978</t>
        </is>
      </c>
      <c r="B102" s="5" t="n">
        <v>2</v>
      </c>
    </row>
    <row r="103">
      <c r="A103" s="4" t="inlineStr">
        <is>
          <t>012</t>
        </is>
      </c>
      <c r="B103" s="5" t="n">
        <v>1</v>
      </c>
    </row>
    <row r="104">
      <c r="A104" s="4" t="inlineStr">
        <is>
          <t>151</t>
        </is>
      </c>
      <c r="B104" s="5" t="n">
        <v>1</v>
      </c>
    </row>
    <row r="105">
      <c r="A105" s="4" t="inlineStr">
        <is>
          <t>181</t>
        </is>
      </c>
      <c r="B105" s="5" t="n">
        <v>1</v>
      </c>
    </row>
    <row r="106">
      <c r="A106" s="4" t="inlineStr">
        <is>
          <t>271</t>
        </is>
      </c>
      <c r="B106" s="5" t="n">
        <v>1</v>
      </c>
    </row>
    <row r="107">
      <c r="A107" s="4" t="inlineStr">
        <is>
          <t>279</t>
        </is>
      </c>
      <c r="B107" s="5" t="n">
        <v>1</v>
      </c>
    </row>
    <row r="108">
      <c r="A108" s="4" t="inlineStr">
        <is>
          <t>375</t>
        </is>
      </c>
      <c r="B108" s="5" t="n">
        <v>1</v>
      </c>
    </row>
    <row r="109">
      <c r="A109" s="4" t="inlineStr">
        <is>
          <t>596</t>
        </is>
      </c>
      <c r="B109" s="5" t="n">
        <v>1</v>
      </c>
    </row>
    <row r="110">
      <c r="A110" s="4" t="inlineStr">
        <is>
          <t>721</t>
        </is>
      </c>
      <c r="B110" s="5" t="n">
        <v>1</v>
      </c>
    </row>
    <row r="111">
      <c r="A111" s="4" t="inlineStr">
        <is>
          <t>734</t>
        </is>
      </c>
      <c r="B111" s="5" t="n">
        <v>1</v>
      </c>
    </row>
    <row r="112">
      <c r="A112" s="4" t="inlineStr">
        <is>
          <t>765</t>
        </is>
      </c>
      <c r="B112" s="5" t="n">
        <v>1</v>
      </c>
    </row>
    <row r="113">
      <c r="A113" s="4" t="inlineStr">
        <is>
          <t>783</t>
        </is>
      </c>
      <c r="B113" s="5" t="n">
        <v>1</v>
      </c>
    </row>
    <row r="114">
      <c r="A114" s="4" t="inlineStr">
        <is>
          <t>961</t>
        </is>
      </c>
      <c r="B114" s="5" t="n">
        <v>1</v>
      </c>
    </row>
    <row r="115">
      <c r="A115" s="4" t="inlineStr">
        <is>
          <t>966</t>
        </is>
      </c>
      <c r="B115" s="5" t="n">
        <v>1</v>
      </c>
    </row>
    <row r="116">
      <c r="A116" s="4" t="inlineStr">
        <is>
          <t>968</t>
        </is>
      </c>
      <c r="B116" s="5" t="n">
        <v>1</v>
      </c>
    </row>
    <row r="117">
      <c r="A117" s="4" t="inlineStr">
        <is>
          <t>996</t>
        </is>
      </c>
      <c r="B117" s="5" t="n">
        <v>1</v>
      </c>
    </row>
    <row r="119">
      <c r="A119" s="3" t="inlineStr">
        <is>
          <t>METODIKA + PATTERN COMPLIANCE</t>
        </is>
      </c>
    </row>
    <row r="120">
      <c r="A120" s="4" t="inlineStr">
        <is>
          <t>• HK212 028a..f princip: composite → atomic codeable operace (per vrstva / per fixture)</t>
        </is>
      </c>
    </row>
    <row r="121">
      <c r="A121" s="4" t="inlineStr">
        <is>
          <t>• Pattern 15 Work-First: atomic ops = codeable units, catalog matching downstream</t>
        </is>
      </c>
    </row>
    <row r="122">
      <c r="A122" s="4" t="inlineStr">
        <is>
          <t>• Pattern 26: família-level URS kde leaf neznámý + status flag; 9 BLANK ops (NE 999/TBD)</t>
        </is>
      </c>
    </row>
    <row r="123">
      <c r="A123" s="4" t="inlineStr">
        <is>
          <t>• Pattern 28: (id, kapitola) compound key — řeší PSV76.003 ×3 + VRN.001 ×9 collisions</t>
        </is>
      </c>
    </row>
    <row r="124">
      <c r="A124" s="4" t="inlineStr">
        <is>
          <t>• Pattern 32: separate deliverable — items.json frozen + File A audit NEDOTČENO</t>
        </is>
      </c>
    </row>
    <row r="125">
      <c r="A125" s="4" t="inlineStr">
        <is>
          <t>• Traceability: každá atomic op → parent_frozen_item_id (100% coverage)</t>
        </is>
      </c>
    </row>
    <row r="126">
      <c r="A126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21:C121"/>
    <mergeCell ref="A60:C60"/>
    <mergeCell ref="A4:C4"/>
    <mergeCell ref="A11:C11"/>
    <mergeCell ref="A123:C123"/>
    <mergeCell ref="A126:C126"/>
    <mergeCell ref="A58:C58"/>
    <mergeCell ref="A119:C119"/>
    <mergeCell ref="A62:C62"/>
    <mergeCell ref="A120:C120"/>
    <mergeCell ref="A122:C122"/>
    <mergeCell ref="A124:C124"/>
    <mergeCell ref="A59:C59"/>
    <mergeCell ref="A125:C125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(10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6 ks</t>
        </is>
      </c>
      <c r="D6" s="10" t="inlineStr">
        <is>
          <t>m³</t>
        </is>
      </c>
      <c r="E6" s="12" t="n">
        <v>1.5</v>
      </c>
      <c r="F6" s="11" t="inlineStr">
        <is>
          <t>6 patek × 0.5 × 0.5 × 1.0 m hl. = 1.5 m³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3.54</v>
      </c>
      <c r="F7" s="11" t="inlineStr">
        <is>
          <t>S01 plocha 23.6 m² (místnost 17.6 + vynos za stěnu 6.0 dle řezu) × 0.15 m podkladní drť 4-8 = 3.54 m³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31.85</v>
      </c>
      <c r="F8" s="18">
        <f> součet hloubení sklad + figura + patky (25.5+4.85+1.5)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0" t="n">
        <v>7</v>
      </c>
      <c r="B9" s="11" t="inlineStr">
        <is>
          <t>HSV-1 Zemní práce</t>
        </is>
      </c>
      <c r="C9" s="11" t="inlineStr">
        <is>
          <t>Kladecí lože z kamenné drti 4-8 mm tl. 40 mm pod betonovou dlažbu skladu</t>
        </is>
      </c>
      <c r="D9" s="10" t="inlineStr">
        <is>
          <t>m³</t>
        </is>
      </c>
      <c r="E9" s="12" t="n">
        <v>0.9399999999999999</v>
      </c>
      <c r="F9" s="11" t="inlineStr">
        <is>
          <t>S01 plocha 23.6 m² × 0.04 m = 0.94 m³</t>
        </is>
      </c>
      <c r="G9" s="11" t="inlineStr">
        <is>
          <t>564231111</t>
        </is>
      </c>
      <c r="H9" s="10" t="inlineStr">
        <is>
          <t>⚠ kandidát-verify</t>
        </is>
      </c>
      <c r="I9" s="11" t="inlineStr">
        <is>
          <t>260217_sklad.HSV1.007</t>
        </is>
      </c>
      <c r="J9" s="11" t="inlineStr">
        <is>
          <t>S01_sklad</t>
        </is>
      </c>
      <c r="K9" s="11" t="inlineStr">
        <is>
          <t>Carried 1:1 (atomic / komplet / služba — no split)</t>
        </is>
      </c>
    </row>
    <row r="10">
      <c r="A10" s="10" t="n">
        <v>8</v>
      </c>
      <c r="B10" s="11" t="inlineStr">
        <is>
          <t>HSV-1 Zemní práce</t>
        </is>
      </c>
      <c r="C10" s="11" t="inlineStr">
        <is>
          <t>Zásyp za prefabrikovanou opěrnou stěnou S04 — materiál dle PD (NEuveden v legendě, OVĚŘIT)</t>
        </is>
      </c>
      <c r="D10" s="10" t="inlineStr">
        <is>
          <t>m³</t>
        </is>
      </c>
      <c r="E10" s="12" t="n">
        <v>23.5</v>
      </c>
      <c r="F10" s="11" t="inlineStr">
        <is>
          <t>průřez zásypu 3.61 m² (řez A-A) × délka 6.5 m = 23.5 m³</t>
        </is>
      </c>
      <c r="G10" s="11" t="inlineStr">
        <is>
          <t>174101101</t>
        </is>
      </c>
      <c r="H10" s="10" t="inlineStr">
        <is>
          <t>⚠ kandidát-verify</t>
        </is>
      </c>
      <c r="I10" s="11" t="inlineStr">
        <is>
          <t>260217_sklad.HSV1.008</t>
        </is>
      </c>
      <c r="J10" s="11" t="inlineStr"/>
      <c r="K10" s="11" t="inlineStr">
        <is>
          <t>Carried 1:1 (atomic / komplet / služba — no split)</t>
        </is>
      </c>
    </row>
    <row r="11">
      <c r="A11" s="17" t="n">
        <v>9</v>
      </c>
      <c r="B11" s="18" t="inlineStr">
        <is>
          <t>HSV-1 Zemní práce</t>
        </is>
      </c>
      <c r="C11" s="18" t="inlineStr">
        <is>
          <t>Trubka Ø ~150 mm v štěrkovém obsypu podél vysokého pasu — drenáž/odvětrání radonu (OVĚŘIT)</t>
        </is>
      </c>
      <c r="D11" s="17" t="inlineStr">
        <is>
          <t>bm</t>
        </is>
      </c>
      <c r="E11" s="19" t="n">
        <v>6.35</v>
      </c>
      <c r="F11" s="18" t="inlineStr">
        <is>
          <t>délka jako prefa stěna ≈ 6.35 m; Ø ~150 mm (měřeno z řezu, nepopsáno)</t>
        </is>
      </c>
      <c r="G11" s="18" t="inlineStr"/>
      <c r="H11" s="17" t="inlineStr">
        <is>
          <t>❌ blank — ÚRS online</t>
        </is>
      </c>
      <c r="I11" s="18" t="inlineStr">
        <is>
          <t>260217_sklad.HSV1.009</t>
        </is>
      </c>
      <c r="J11" s="18" t="inlineStr"/>
      <c r="K11" s="18" t="inlineStr">
        <is>
          <t>Carried 1:1 (atomic / komplet / služba — no split)  Doplnit leaf z CS ÚRS online (app.urs.cz, cen. úroveň 2026 01) dle família + popis + Vzorec.</t>
        </is>
      </c>
    </row>
    <row r="12">
      <c r="A12" s="17" t="n">
        <v>10</v>
      </c>
      <c r="B12" s="18" t="inlineStr">
        <is>
          <t>HSV-1 Zemní práce</t>
        </is>
      </c>
      <c r="C12" s="18" t="inlineStr">
        <is>
          <t>Trubka Ø 120-130 mm v štěrkovém obsypu podél stěny — drenáž/odvětrání radonu (OVĚŘIT)</t>
        </is>
      </c>
      <c r="D12" s="17" t="inlineStr">
        <is>
          <t>bm</t>
        </is>
      </c>
      <c r="E12" s="19" t="n">
        <v>6.01</v>
      </c>
      <c r="F12" s="18" t="inlineStr">
        <is>
          <t>délka 6010 mm; Ø 120-130 mm (měřeno z řezu, nepopsáno)</t>
        </is>
      </c>
      <c r="G12" s="18" t="inlineStr"/>
      <c r="H12" s="17" t="inlineStr">
        <is>
          <t>❌ blank — ÚRS online</t>
        </is>
      </c>
      <c r="I12" s="18" t="inlineStr">
        <is>
          <t>260217_sklad.HSV1.010</t>
        </is>
      </c>
      <c r="J12" s="18" t="inlineStr"/>
      <c r="K12" s="18" t="inlineStr">
        <is>
          <t>Carried 1:1 (atomic / komplet / služba — no split)  Doplnit leaf z CS ÚRS online (app.urs.cz, cen. úroveň 2026 01) dle família + popis + Vzorec.</t>
        </is>
      </c>
    </row>
    <row r="13">
      <c r="A13" s="8" t="inlineStr">
        <is>
          <t>━━ HSV-2 Základové a ŽB  (7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7" t="n">
        <v>11</v>
      </c>
      <c r="B14" s="18" t="inlineStr">
        <is>
          <t>HSV-2 Základové a ŽB</t>
        </is>
      </c>
      <c r="C14" s="18" t="inlineStr">
        <is>
          <t>Základové pasy z prostého betonu C16/20 XC0, 500×500 mm po obvodu skladu (nezámrzná hl.)</t>
        </is>
      </c>
      <c r="D14" s="17" t="inlineStr">
        <is>
          <t>m³</t>
        </is>
      </c>
      <c r="E14" s="19" t="n">
        <v>4.84</v>
      </c>
      <c r="F14" s="18" t="inlineStr">
        <is>
          <t>0.5 × 0.5 × 19.4 obvod = 4.85</t>
        </is>
      </c>
      <c r="G14" s="18" t="inlineStr"/>
      <c r="H14" s="17" t="inlineStr">
        <is>
          <t>❌ blank — ÚRS online</t>
        </is>
      </c>
      <c r="I14" s="18" t="inlineStr">
        <is>
          <t>260217_sklad.HSV2.001</t>
        </is>
      </c>
      <c r="J14" s="18" t="inlineStr">
        <is>
          <t>S03a_sklad, S03b_sklad</t>
        </is>
      </c>
      <c r="K14" s="18" t="inlineStr">
        <is>
          <t>Carried 1:1 (atomic / komplet / služba — no split)  Doplnit leaf z CS ÚRS online (app.urs.cz, cen. úroveň 2026 01) dle família + popis + Vzorec.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Dvoustupňové patky pro IPE180 zastřešení parkingu — spodní část prostý beton C16/20 500×500×500 mm × 6 ks</t>
        </is>
      </c>
      <c r="D15" s="10" t="inlineStr">
        <is>
          <t>ks</t>
        </is>
      </c>
      <c r="E15" s="12" t="n">
        <v>6</v>
      </c>
      <c r="F15" s="11" t="inlineStr">
        <is>
          <t>6 ks (výkres D.1.1.02 — 6 štvercových patek pod IPE180)</t>
        </is>
      </c>
      <c r="G15" s="13" t="inlineStr">
        <is>
          <t>273313811</t>
        </is>
      </c>
      <c r="H15" s="10" t="inlineStr">
        <is>
          <t>⚠ kandidát-verify</t>
        </is>
      </c>
      <c r="I15" s="11" t="inlineStr">
        <is>
          <t>260217_sklad.HSV2.002</t>
        </is>
      </c>
      <c r="J15" s="11" t="inlineStr"/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Montáž — Dvoustupňové patky pro IPE180 — horní část z tvarovek ztraceného bednění 300×300 mm × 6 ks</t>
        </is>
      </c>
      <c r="D16" s="10" t="inlineStr">
        <is>
          <t>ks</t>
        </is>
      </c>
      <c r="E16" s="12" t="n">
        <v>6</v>
      </c>
      <c r="F16" s="11" t="inlineStr">
        <is>
          <t>6 ks (= spodní, výkres D.1.1.02)</t>
        </is>
      </c>
      <c r="G16" s="11" t="inlineStr">
        <is>
          <t>311233812</t>
        </is>
      </c>
      <c r="H16" s="10" t="inlineStr">
        <is>
          <t>⚠ kandidát-verify</t>
        </is>
      </c>
      <c r="I16" s="11" t="inlineStr">
        <is>
          <t>260217_sklad.HSV2.003</t>
        </is>
      </c>
      <c r="J16" s="11" t="inlineStr"/>
      <c r="K16" s="11" t="inlineStr">
        <is>
          <t>Montáž (práce).</t>
        </is>
      </c>
    </row>
    <row r="17">
      <c r="A17" s="17" t="n">
        <v>14</v>
      </c>
      <c r="B17" s="18" t="inlineStr">
        <is>
          <t>HSV-2 Základové a ŽB</t>
        </is>
      </c>
      <c r="C17" s="18" t="inlineStr">
        <is>
          <t>Dodávka — Dodávka oceli S235 (válcované profily) (Dvoustupňové patky pro IPE180 — horní část z t)</t>
        </is>
      </c>
      <c r="D17" s="17" t="inlineStr">
        <is>
          <t>ks</t>
        </is>
      </c>
      <c r="E17" s="19" t="n">
        <v>6.18</v>
      </c>
      <c r="F17" s="18">
        <f> montáž × 1.03</f>
        <v/>
      </c>
      <c r="G17" s="18" t="inlineStr"/>
      <c r="H17" s="17" t="inlineStr">
        <is>
          <t>❌ blank — ÚRS online</t>
        </is>
      </c>
      <c r="I17" s="18" t="inlineStr">
        <is>
          <t>260217_sklad.HSV2.003</t>
        </is>
      </c>
      <c r="J17" s="18" t="inlineStr"/>
      <c r="K17" s="18" t="inlineStr">
        <is>
          <t>Materiál (dodávka). Ztratné 3 %.  Doplnit leaf z CS ÚRS online (app.urs.cz, cen. úroveň 2026 01) dle família + popis + Vzorec.</t>
        </is>
      </c>
    </row>
    <row r="18">
      <c r="A18" s="10" t="n">
        <v>15</v>
      </c>
      <c r="B18" s="11" t="inlineStr">
        <is>
          <t>HSV-2 Základové a ŽB</t>
        </is>
      </c>
      <c r="C18" s="11" t="inlineStr">
        <is>
          <t>Beton C25/30 XC3 XF1 XA1 pro zalití tvarovek ZB patek + lemujících zídek parkingu</t>
        </is>
      </c>
      <c r="D18" s="10" t="inlineStr">
        <is>
          <t>m³</t>
        </is>
      </c>
      <c r="E18" s="12" t="n">
        <v>1.75</v>
      </c>
      <c r="F18" s="11" t="inlineStr">
        <is>
          <t>patky horní (0.3×0.3×0.5×6 = 0.27) + věnec nad patkami 2 řady ztrac.bednění (0.5 v × 6.35 d × 0.3 š = 0.95) + zídka lemující (~0.5) = ~1.72 ≈ 1.75 m³</t>
        </is>
      </c>
      <c r="G18" s="11" t="inlineStr">
        <is>
          <t>273321321</t>
        </is>
      </c>
      <c r="H18" s="10" t="inlineStr">
        <is>
          <t>⚠ kandidát-verify</t>
        </is>
      </c>
      <c r="I18" s="11" t="inlineStr">
        <is>
          <t>260217_sklad.HSV2.004</t>
        </is>
      </c>
      <c r="J18" s="11" t="inlineStr"/>
      <c r="K18" s="11" t="inlineStr">
        <is>
          <t>Carried 1:1 (atomic / komplet / služba — no split)</t>
        </is>
      </c>
    </row>
    <row r="19">
      <c r="A19" s="10" t="n">
        <v>16</v>
      </c>
      <c r="B19" s="11" t="inlineStr">
        <is>
          <t>HSV-2 Základové a ŽB</t>
        </is>
      </c>
      <c r="C19" s="11" t="inlineStr">
        <is>
          <t>Štěrkopískové lože pod podlahu skladu + pod schodišťovou desku</t>
        </is>
      </c>
      <c r="D19" s="10" t="inlineStr">
        <is>
          <t>m³</t>
        </is>
      </c>
      <c r="E19" s="12" t="n">
        <v>1.76</v>
      </c>
      <c r="F19" s="11" t="inlineStr">
        <is>
          <t>podlaha sklad 17.6 m² (legenda) × 0.10 m kladecí kamenná drť</t>
        </is>
      </c>
      <c r="G19" s="11" t="inlineStr">
        <is>
          <t>174101101</t>
        </is>
      </c>
      <c r="H19" s="10" t="inlineStr">
        <is>
          <t>✓ verified</t>
        </is>
      </c>
      <c r="I19" s="11" t="inlineStr">
        <is>
          <t>260217_sklad.HSV2.005</t>
        </is>
      </c>
      <c r="J19" s="11" t="inlineStr">
        <is>
          <t>S01_sklad, S05_sklad</t>
        </is>
      </c>
      <c r="K19" s="11" t="inlineStr">
        <is>
          <t>Carried 1:1 (atomic / komplet / služba — no split)</t>
        </is>
      </c>
    </row>
    <row r="20">
      <c r="A20" s="10" t="n">
        <v>17</v>
      </c>
      <c r="B20" s="11" t="inlineStr">
        <is>
          <t>HSV-2 Základové a ŽB</t>
        </is>
      </c>
      <c r="C20" s="11" t="inlineStr">
        <is>
          <t>ŽB schodišťová deska ve sklonu + základový pas — beton C25/30 XC3 (terén ke skladu)</t>
        </is>
      </c>
      <c r="D20" s="10" t="inlineStr">
        <is>
          <t>m³</t>
        </is>
      </c>
      <c r="E20" s="12" t="n">
        <v>0.8</v>
      </c>
      <c r="F20" s="11" t="inlineStr">
        <is>
          <t>odhad 3 m schodů × 0.8 × 0.30 = 0.72 (ručně)</t>
        </is>
      </c>
      <c r="G20" s="11" t="inlineStr">
        <is>
          <t>273361821</t>
        </is>
      </c>
      <c r="H20" s="10" t="inlineStr">
        <is>
          <t>⚠ kandidát-verify</t>
        </is>
      </c>
      <c r="I20" s="11" t="inlineStr">
        <is>
          <t>260217_sklad.HSV2.006</t>
        </is>
      </c>
      <c r="J20" s="11" t="inlineStr">
        <is>
          <t>S05_sklad</t>
        </is>
      </c>
      <c r="K20" s="11" t="inlineStr">
        <is>
          <t>Carried 1:1 (atomic / komplet / služba — no split)</t>
        </is>
      </c>
    </row>
    <row r="21">
      <c r="A21" s="8" t="inlineStr">
        <is>
          <t>━━ HSV-3 Svislé konstrukce  (8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18</v>
      </c>
      <c r="B22" s="11" t="inlineStr">
        <is>
          <t>HSV-3 Svislé konstrukce</t>
        </is>
      </c>
      <c r="C22" s="11" t="inlineStr">
        <is>
          <t>Zadní opěrná stěna — prefabrikované betonové bloky Herkul H-BLOK Standard, vazba běhounová s posunem 0.5</t>
        </is>
      </c>
      <c r="D22" s="10" t="inlineStr">
        <is>
          <t>ks</t>
        </is>
      </c>
      <c r="E22" s="12" t="n">
        <v>18</v>
      </c>
      <c r="F22" s="11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G22" s="11" t="inlineStr">
        <is>
          <t>311233815</t>
        </is>
      </c>
      <c r="H22" s="10" t="inlineStr">
        <is>
          <t>⚠ kandidát-verify</t>
        </is>
      </c>
      <c r="I22" s="11" t="inlineStr">
        <is>
          <t>260217_sklad.HSV3.001</t>
        </is>
      </c>
      <c r="J22" s="11" t="inlineStr">
        <is>
          <t>S04_sklad</t>
        </is>
      </c>
      <c r="K22" s="11" t="inlineStr">
        <is>
          <t>Carried 1:1 (atomic / komplet / služba — no split)</t>
        </is>
      </c>
    </row>
    <row r="23">
      <c r="A23" s="10" t="n">
        <v>19</v>
      </c>
      <c r="B23" s="11" t="inlineStr">
        <is>
          <t>HSV-3 Svislé konstrukce</t>
        </is>
      </c>
      <c r="C23" s="11" t="inlineStr">
        <is>
          <t>Montáž — Obvodové stěny skladu S03a/b — tvarovky ztraceného bednění tl. 250 mm, výška 14 řad × 250 = 3.5 m + zalití C25/30</t>
        </is>
      </c>
      <c r="D23" s="10" t="inlineStr">
        <is>
          <t>m²</t>
        </is>
      </c>
      <c r="E23" s="12" t="n">
        <v>62.5</v>
      </c>
      <c r="F23" s="11" t="inlineStr">
        <is>
          <t>3 strany trapézu (6010-1000 dveře)+(7000-600 prefa)+(7033-600 prefa)=17843 mm = 17.84 m × výška 14 řad×0.25 = 3.5 m = 62.5 m²</t>
        </is>
      </c>
      <c r="G23" s="11" t="inlineStr">
        <is>
          <t>311233811</t>
        </is>
      </c>
      <c r="H23" s="10" t="inlineStr">
        <is>
          <t>⚠ kandidát-verify</t>
        </is>
      </c>
      <c r="I23" s="11" t="inlineStr">
        <is>
          <t>260217_sklad.HSV3.002</t>
        </is>
      </c>
      <c r="J23" s="11" t="inlineStr">
        <is>
          <t>S03a_sklad, S03b_sklad</t>
        </is>
      </c>
      <c r="K23" s="11" t="inlineStr">
        <is>
          <t>Montáž (práce).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Dodávka — Pronájem bednění (Obvodové stěny skladu S03a/b — tvarovky ztrace)</t>
        </is>
      </c>
      <c r="D24" s="17" t="inlineStr">
        <is>
          <t>m²</t>
        </is>
      </c>
      <c r="E24" s="19" t="n">
        <v>62.5</v>
      </c>
      <c r="F24" s="18">
        <f> montáž 1:1</f>
        <v/>
      </c>
      <c r="G24" s="18" t="inlineStr"/>
      <c r="H24" s="17" t="inlineStr">
        <is>
          <t>❌ blank — ÚRS online</t>
        </is>
      </c>
      <c r="I24" s="18" t="inlineStr">
        <is>
          <t>260217_sklad.HSV3.002</t>
        </is>
      </c>
      <c r="J24" s="18" t="inlineStr">
        <is>
          <t>S03a_sklad, S03b_sklad</t>
        </is>
      </c>
      <c r="K24" s="18" t="inlineStr">
        <is>
          <t>Materiál (dodávka). Pronájem.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HSV-3 Svislé konstrukce</t>
        </is>
      </c>
      <c r="C25" s="11" t="inlineStr">
        <is>
          <t>Montáž — Výztuž B500B do tvarovek ztraceného bednění (~30 kg/m² stěny při zalití C25/30)</t>
        </is>
      </c>
      <c r="D25" s="10" t="inlineStr">
        <is>
          <t>kg</t>
        </is>
      </c>
      <c r="E25" s="12" t="n">
        <v>1875</v>
      </c>
      <c r="F25" s="11" t="inlineStr">
        <is>
          <t>62.5 m² × 30 kg/m² (zalití C25/30) = 1875 kg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260217_sklad.HSV3.003</t>
        </is>
      </c>
      <c r="J25" s="11" t="inlineStr">
        <is>
          <t>S03a_sklad, S03b_sklad</t>
        </is>
      </c>
      <c r="K25" s="11" t="inlineStr">
        <is>
          <t>Montáž (práce).</t>
        </is>
      </c>
    </row>
    <row r="26">
      <c r="A26" s="17" t="n">
        <v>22</v>
      </c>
      <c r="B26" s="18" t="inlineStr">
        <is>
          <t>HSV-3 Svislé konstrukce</t>
        </is>
      </c>
      <c r="C26" s="18" t="inlineStr">
        <is>
          <t>Dodávka — Dodávka betonářské oceli B500B (Výztuž B500B do tvarovek ztraceného bednění (~)</t>
        </is>
      </c>
      <c r="D26" s="17" t="inlineStr">
        <is>
          <t>kg</t>
        </is>
      </c>
      <c r="E26" s="19" t="n">
        <v>1875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260217_sklad.HSV3.003</t>
        </is>
      </c>
      <c r="J26" s="18" t="inlineStr">
        <is>
          <t>S03a_sklad, S03b_sklad</t>
        </is>
      </c>
      <c r="K26" s="18" t="inlineStr">
        <is>
          <t>Materiál (dodávka). Ztratné 0 %.  Doplnit leaf z CS ÚRS online (app.urs.cz, cen. úroveň 2026 01) dle família + popis + Vzorec.</t>
        </is>
      </c>
    </row>
    <row r="27">
      <c r="A27" s="17" t="n">
        <v>23</v>
      </c>
      <c r="B27" s="18" t="inlineStr">
        <is>
          <t>HSV-3 Svislé konstrukce</t>
        </is>
      </c>
      <c r="C27" s="18" t="inlineStr">
        <is>
          <t>Asfaltová penetrace obvodových + opěrné stěny pod terénem (S03a+S04)</t>
        </is>
      </c>
      <c r="D27" s="17" t="inlineStr">
        <is>
          <t>m²</t>
        </is>
      </c>
      <c r="E27" s="19" t="n">
        <v>33</v>
      </c>
      <c r="F27" s="18">
        <f> plocha stěn pod terénem 33 m² (OVĚŘIT)</f>
        <v/>
      </c>
      <c r="G27" s="18" t="inlineStr"/>
      <c r="H27" s="17" t="inlineStr">
        <is>
          <t>❌ blank — ÚRS online</t>
        </is>
      </c>
      <c r="I27" s="18" t="inlineStr">
        <is>
          <t>260217_sklad.HSV3.004 → HSV3.004a</t>
        </is>
      </c>
      <c r="J27" s="18" t="inlineStr">
        <is>
          <t>S03a_sklad, S04_sklad</t>
        </is>
      </c>
      <c r="K27" s="18" t="inlineStr">
        <is>
          <t>Penetrace.  Doplnit leaf z CS ÚRS online (app.urs.cz, cen. úroveň 2026 01) dle família + popis + Vzorec.</t>
        </is>
      </c>
    </row>
    <row r="28">
      <c r="A28" s="17" t="n">
        <v>24</v>
      </c>
      <c r="B28" s="18" t="inlineStr">
        <is>
          <t>HSV-3 Svislé konstrukce</t>
        </is>
      </c>
      <c r="C28" s="18" t="inlineStr">
        <is>
          <t>2× HI a protiradonový pás z modif. asfaltu 2×4 mm — stěny pod terénem</t>
        </is>
      </c>
      <c r="D28" s="17" t="inlineStr">
        <is>
          <t>m²</t>
        </is>
      </c>
      <c r="E28" s="19" t="n">
        <v>33</v>
      </c>
      <c r="F28" s="18">
        <f> 33 m² (2 vrstvy ve spotřebě)</f>
        <v/>
      </c>
      <c r="G28" s="18" t="inlineStr"/>
      <c r="H28" s="17" t="inlineStr">
        <is>
          <t>❌ blank — ÚRS online</t>
        </is>
      </c>
      <c r="I28" s="18" t="inlineStr">
        <is>
          <t>260217_sklad.HSV3.004 → HSV3.004b</t>
        </is>
      </c>
      <c r="J28" s="18" t="inlineStr">
        <is>
          <t>S03a_sklad, S04_sklad</t>
        </is>
      </c>
      <c r="K28" s="18" t="inlineStr">
        <is>
          <t>HI + protiradon (711). Materiál 2×4mm.  Doplnit leaf z CS ÚRS online (app.urs.cz, cen. úroveň 2026 01) dle família + popis + Vzorec.</t>
        </is>
      </c>
    </row>
    <row r="29">
      <c r="A29" s="17" t="n">
        <v>25</v>
      </c>
      <c r="B29" s="18" t="inlineStr">
        <is>
          <t>HSV-3 Svislé konstrukce</t>
        </is>
      </c>
      <c r="C29" s="18" t="inlineStr">
        <is>
          <t>Drenážní nopová folie 20 mm — dodávka+montáž, stěny pod terénem (S03a+S04)</t>
        </is>
      </c>
      <c r="D29" s="17" t="inlineStr">
        <is>
          <t>m²</t>
        </is>
      </c>
      <c r="E29" s="19" t="n">
        <v>36</v>
      </c>
      <c r="F29" s="18">
        <f> 33 × 1.10 přesahy</f>
        <v/>
      </c>
      <c r="G29" s="18" t="inlineStr"/>
      <c r="H29" s="17" t="inlineStr">
        <is>
          <t>❌ blank — ÚRS online</t>
        </is>
      </c>
      <c r="I29" s="18" t="inlineStr">
        <is>
          <t>260217_sklad.HSV3.005 → HSV3.005a</t>
        </is>
      </c>
      <c r="J29" s="18" t="inlineStr">
        <is>
          <t>S03a_sklad, S04_sklad</t>
        </is>
      </c>
      <c r="K29" s="18" t="inlineStr">
        <is>
          <t>Drenáž nopová folie (711).  Doplnit leaf z CS ÚRS online (app.urs.cz, cen. úroveň 2026 01) dle família + popis + Vzorec.</t>
        </is>
      </c>
    </row>
    <row r="30">
      <c r="A30" s="8" t="inlineStr">
        <is>
          <t>━━ HSV-4 Vodorovné  (10 atomic operací) ━━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10" t="n">
        <v>26</v>
      </c>
      <c r="B31" s="11" t="inlineStr">
        <is>
          <t>HSV-4 Vodorovné</t>
        </is>
      </c>
      <c r="C31" s="11" t="inlineStr">
        <is>
          <t>Montáž — Dřevěné stropnice 100/160 mm á 625 mm primární zastřešení skladu — rezivo C24 fungicidní</t>
        </is>
      </c>
      <c r="D31" s="10" t="inlineStr">
        <is>
          <t>bm</t>
        </is>
      </c>
      <c r="E31" s="12" t="n">
        <v>31</v>
      </c>
      <c r="F31" s="11" t="inlineStr">
        <is>
          <t>10 ks (počítáno na výkrese D.1.1.02, rozteč 625 mm po 5850) × 3.1 m rozpon = 31 bm</t>
        </is>
      </c>
      <c r="G31" s="11" t="inlineStr">
        <is>
          <t>762341110</t>
        </is>
      </c>
      <c r="H31" s="10" t="inlineStr">
        <is>
          <t>⚠ kandidát-verify</t>
        </is>
      </c>
      <c r="I31" s="11" t="inlineStr">
        <is>
          <t>260217_sklad.HSV4.001</t>
        </is>
      </c>
      <c r="J31" s="11" t="inlineStr">
        <is>
          <t>S02_sklad</t>
        </is>
      </c>
      <c r="K31" s="11" t="inlineStr">
        <is>
          <t>Montáž (práce).</t>
        </is>
      </c>
    </row>
    <row r="32">
      <c r="A32" s="17" t="n">
        <v>27</v>
      </c>
      <c r="B32" s="18" t="inlineStr">
        <is>
          <t>HSV-4 Vodorovné</t>
        </is>
      </c>
      <c r="C32" s="18" t="inlineStr">
        <is>
          <t>Dodávka — Dodávka řeziva C24 (impregnované) (Dřevěné stropnice 100/160 mm á 625 mm primární)</t>
        </is>
      </c>
      <c r="D32" s="17" t="inlineStr">
        <is>
          <t>bm</t>
        </is>
      </c>
      <c r="E32" s="19" t="n">
        <v>34.1</v>
      </c>
      <c r="F32" s="18">
        <f> montáž × 1.10</f>
        <v/>
      </c>
      <c r="G32" s="18" t="inlineStr"/>
      <c r="H32" s="17" t="inlineStr">
        <is>
          <t>❌ blank — ÚRS online</t>
        </is>
      </c>
      <c r="I32" s="18" t="inlineStr">
        <is>
          <t>260217_sklad.HSV4.001</t>
        </is>
      </c>
      <c r="J32" s="18" t="inlineStr">
        <is>
          <t>S02_sklad</t>
        </is>
      </c>
      <c r="K32" s="18" t="inlineStr">
        <is>
          <t>Materiál (dodávka). Ztratné 10 %.  Doplnit leaf z CS ÚRS online (app.urs.cz, cen. úroveň 2026 01) dle família + popis + Vzorec.</t>
        </is>
      </c>
    </row>
    <row r="33">
      <c r="A33" s="10" t="n">
        <v>28</v>
      </c>
      <c r="B33" s="11" t="inlineStr">
        <is>
          <t>HSV-4 Vodorovné</t>
        </is>
      </c>
      <c r="C33" s="11" t="inlineStr">
        <is>
          <t>Prkenný záklop stropnic skladu tl. 20 mm + impregnace</t>
        </is>
      </c>
      <c r="D33" s="10" t="inlineStr">
        <is>
          <t>m²</t>
        </is>
      </c>
      <c r="E33" s="12" t="n">
        <v>18.1</v>
      </c>
      <c r="F33" s="11" t="inlineStr">
        <is>
          <t>strop skladu nad trámy = 5.85 × 3.1 = 18.1 m² (báze 10 trámů)</t>
        </is>
      </c>
      <c r="G33" s="11" t="inlineStr">
        <is>
          <t>762331110</t>
        </is>
      </c>
      <c r="H33" s="10" t="inlineStr">
        <is>
          <t>⚠ kandidát-verify</t>
        </is>
      </c>
      <c r="I33" s="11" t="inlineStr">
        <is>
          <t>260217_sklad.HSV4.002</t>
        </is>
      </c>
      <c r="J33" s="11" t="inlineStr">
        <is>
          <t>S02_sklad</t>
        </is>
      </c>
      <c r="K33" s="11" t="inlineStr">
        <is>
          <t>Carried 1:1 (atomic / komplet / služba — no split)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Montáž — Hydroizolační střešní souvrství skladu (modifikovaný asfaltový pás SBS + ochranná vrstva)</t>
        </is>
      </c>
      <c r="D34" s="10" t="inlineStr">
        <is>
          <t>m²</t>
        </is>
      </c>
      <c r="E34" s="12" t="n">
        <v>19</v>
      </c>
      <c r="F34" s="11" t="inlineStr">
        <is>
          <t>18.1 × 1.05 přesah = 19.0 m²</t>
        </is>
      </c>
      <c r="G34" s="11" t="inlineStr">
        <is>
          <t>712331101</t>
        </is>
      </c>
      <c r="H34" s="10" t="inlineStr">
        <is>
          <t>⚠ kandidát-verify</t>
        </is>
      </c>
      <c r="I34" s="11" t="inlineStr">
        <is>
          <t>260217_sklad.HSV4.003</t>
        </is>
      </c>
      <c r="J34" s="11" t="inlineStr">
        <is>
          <t>S02_sklad</t>
        </is>
      </c>
      <c r="K34" s="11" t="inlineStr">
        <is>
          <t>Montáž (práce).</t>
        </is>
      </c>
    </row>
    <row r="35">
      <c r="A35" s="17" t="n">
        <v>30</v>
      </c>
      <c r="B35" s="18" t="inlineStr">
        <is>
          <t>HSV-4 Vodorovné</t>
        </is>
      </c>
      <c r="C35" s="18" t="inlineStr">
        <is>
          <t>Dodávka — Dodávka folie/pásu (Hydroizolační střešní souvrství skladu (modifi)</t>
        </is>
      </c>
      <c r="D35" s="17" t="inlineStr">
        <is>
          <t>m²</t>
        </is>
      </c>
      <c r="E35" s="19" t="n">
        <v>20.9</v>
      </c>
      <c r="F35" s="18">
        <f> montáž × 1.10</f>
        <v/>
      </c>
      <c r="G35" s="18" t="inlineStr"/>
      <c r="H35" s="17" t="inlineStr">
        <is>
          <t>❌ blank — ÚRS online</t>
        </is>
      </c>
      <c r="I35" s="18" t="inlineStr">
        <is>
          <t>260217_sklad.HSV4.003</t>
        </is>
      </c>
      <c r="J35" s="18" t="inlineStr">
        <is>
          <t>S02_sklad</t>
        </is>
      </c>
      <c r="K35" s="18" t="inlineStr">
        <is>
          <t>Materiál (dodávka). Ztratné 10 %.  Doplnit leaf z CS ÚRS online (app.urs.cz, cen. úroveň 2026 01) dle família + popis + Vzorec.</t>
        </is>
      </c>
    </row>
    <row r="36">
      <c r="A36" s="10" t="n">
        <v>31</v>
      </c>
      <c r="B36" s="11" t="inlineStr">
        <is>
          <t>HSV-4 Vodorovné</t>
        </is>
      </c>
      <c r="C36" s="11" t="inlineStr">
        <is>
          <t>Montáž — Sekundární zastřešení parkingu — IPE180 v rozteči 1000 mm × délka 6 m × 6 ks</t>
        </is>
      </c>
      <c r="D36" s="10" t="inlineStr">
        <is>
          <t>kg</t>
        </is>
      </c>
      <c r="E36" s="12" t="n">
        <v>790</v>
      </c>
      <c r="F36" s="11" t="inlineStr">
        <is>
          <t>6 ks IPE180 × 7.0 m × 18.8 kg/m = 789.6 → 790 kg (výkres D.1.1.02: 6 nosníků)</t>
        </is>
      </c>
      <c r="G36" s="11" t="inlineStr">
        <is>
          <t>411321414</t>
        </is>
      </c>
      <c r="H36" s="10" t="inlineStr">
        <is>
          <t>⚠ kandidát-verify</t>
        </is>
      </c>
      <c r="I36" s="11" t="inlineStr">
        <is>
          <t>260217_sklad.HSV4.004</t>
        </is>
      </c>
      <c r="J36" s="11" t="inlineStr">
        <is>
          <t>S02_sklad</t>
        </is>
      </c>
      <c r="K36" s="11" t="inlineStr">
        <is>
          <t>Montáž (práce).</t>
        </is>
      </c>
    </row>
    <row r="37">
      <c r="A37" s="17" t="n">
        <v>32</v>
      </c>
      <c r="B37" s="18" t="inlineStr">
        <is>
          <t>HSV-4 Vodorovné</t>
        </is>
      </c>
      <c r="C37" s="18" t="inlineStr">
        <is>
          <t>Dodávka — Dodávka oceli S235 (válcované profily) (Sekundární zastřešení parkingu — IPE180 v rozt)</t>
        </is>
      </c>
      <c r="D37" s="17" t="inlineStr">
        <is>
          <t>kg</t>
        </is>
      </c>
      <c r="E37" s="19" t="n">
        <v>813.7</v>
      </c>
      <c r="F37" s="18">
        <f> montáž × 1.03</f>
        <v/>
      </c>
      <c r="G37" s="18" t="inlineStr"/>
      <c r="H37" s="17" t="inlineStr">
        <is>
          <t>❌ blank — ÚRS online</t>
        </is>
      </c>
      <c r="I37" s="18" t="inlineStr">
        <is>
          <t>260217_sklad.HSV4.004</t>
        </is>
      </c>
      <c r="J37" s="18" t="inlineStr">
        <is>
          <t>S02_sklad</t>
        </is>
      </c>
      <c r="K37" s="18" t="inlineStr">
        <is>
          <t>Materiál (dodávka). Ztratné 3 %.  Doplnit leaf z CS ÚRS online (app.urs.cz, cen. úroveň 2026 01) dle família + popis + Vzorec.</t>
        </is>
      </c>
    </row>
    <row r="38">
      <c r="A38" s="10" t="n">
        <v>33</v>
      </c>
      <c r="B38" s="11" t="inlineStr">
        <is>
          <t>HSV-4 Vodorovné</t>
        </is>
      </c>
      <c r="C38" s="11" t="inlineStr">
        <is>
          <t>Pojezdové ocelové pororošty demontovatelné — povrch parkingu (žárově zinkováno)</t>
        </is>
      </c>
      <c r="D38" s="10" t="inlineStr">
        <is>
          <t>m²</t>
        </is>
      </c>
      <c r="E38" s="12" t="n">
        <v>44.6</v>
      </c>
      <c r="F38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8" s="13" t="inlineStr">
        <is>
          <t>411321515</t>
        </is>
      </c>
      <c r="H38" s="10" t="inlineStr">
        <is>
          <t>⚠ kandidát-verify</t>
        </is>
      </c>
      <c r="I38" s="11" t="inlineStr">
        <is>
          <t>260217_sklad.HSV4.005</t>
        </is>
      </c>
      <c r="J38" s="11" t="inlineStr">
        <is>
          <t>S02_sklad</t>
        </is>
      </c>
      <c r="K38" s="11" t="inlineStr">
        <is>
          <t>Carried 1:1 (atomic / komplet / služba — no split)</t>
        </is>
      </c>
    </row>
    <row r="39">
      <c r="A39" s="10" t="n">
        <v>34</v>
      </c>
      <c r="B39" s="11" t="inlineStr">
        <is>
          <t>HSV-4 Vodorovné</t>
        </is>
      </c>
      <c r="C39" s="11" t="inlineStr">
        <is>
          <t>Montáž — Žárově zinková povrchová úprava IPE180 + pororoštů dle ČSN EN ISO 12944 (C3 prostředí)</t>
        </is>
      </c>
      <c r="D39" s="10" t="inlineStr">
        <is>
          <t>kg</t>
        </is>
      </c>
      <c r="E39" s="12" t="n">
        <v>1420</v>
      </c>
      <c r="F39" s="11" t="inlineStr">
        <is>
          <t>IPE 790 kg + pororošt 630 kg = 1420 kg žárově zinkováno (IPE 6 ks)</t>
        </is>
      </c>
      <c r="G39" s="11" t="inlineStr">
        <is>
          <t>783201001</t>
        </is>
      </c>
      <c r="H39" s="10" t="inlineStr">
        <is>
          <t>⚠ kandidát-verify</t>
        </is>
      </c>
      <c r="I39" s="11" t="inlineStr">
        <is>
          <t>260217_sklad.HSV4.006</t>
        </is>
      </c>
      <c r="J39" s="11" t="inlineStr">
        <is>
          <t>S02_sklad</t>
        </is>
      </c>
      <c r="K39" s="11" t="inlineStr">
        <is>
          <t>Montáž (práce).</t>
        </is>
      </c>
    </row>
    <row r="40">
      <c r="A40" s="17" t="n">
        <v>35</v>
      </c>
      <c r="B40" s="18" t="inlineStr">
        <is>
          <t>HSV-4 Vodorovné</t>
        </is>
      </c>
      <c r="C40" s="18" t="inlineStr">
        <is>
          <t>Dodávka — Dodávka ocelových pororoštů (Žárově zinková povrchová úprava IPE180 + poror)</t>
        </is>
      </c>
      <c r="D40" s="17" t="inlineStr">
        <is>
          <t>kg</t>
        </is>
      </c>
      <c r="E40" s="19" t="n">
        <v>1448.4</v>
      </c>
      <c r="F40" s="18">
        <f> montáž × 1.02</f>
        <v/>
      </c>
      <c r="G40" s="18" t="inlineStr"/>
      <c r="H40" s="17" t="inlineStr">
        <is>
          <t>❌ blank — ÚRS online</t>
        </is>
      </c>
      <c r="I40" s="18" t="inlineStr">
        <is>
          <t>260217_sklad.HSV4.006</t>
        </is>
      </c>
      <c r="J40" s="18" t="inlineStr">
        <is>
          <t>S02_sklad</t>
        </is>
      </c>
      <c r="K40" s="18" t="inlineStr">
        <is>
          <t>Materiál (dodávka). Ztratné 2 %.  Doplnit leaf z CS ÚRS online (app.urs.cz, cen. úroveň 2026 01) dle família + popis + Vzorec.</t>
        </is>
      </c>
    </row>
    <row r="41">
      <c r="A41" s="8" t="inlineStr">
        <is>
          <t>━━ HSV-5 Komunikace + schodiště  (1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36</v>
      </c>
      <c r="B42" s="11" t="inlineStr">
        <is>
          <t>HSV-5 Komunikace + schodiště</t>
        </is>
      </c>
      <c r="C42" s="11" t="inlineStr">
        <is>
          <t>Schodiště S05 — prefabrikované betonové stupně (2× 9 stupňů 179.5×250 + mezipodesta)</t>
        </is>
      </c>
      <c r="D42" s="10" t="inlineStr">
        <is>
          <t>m²</t>
        </is>
      </c>
      <c r="E42" s="12" t="n">
        <v>5.5</v>
      </c>
      <c r="F42" s="11" t="inlineStr">
        <is>
          <t>DXF sklad_DPZ km_tabulka místností: room 1.02 schodiště plocha = 5.50 m². 9 stupňů 179.5×250 mm vyznačené v půdoryse parking sheet (Phase 3.5 cross-check)</t>
        </is>
      </c>
      <c r="G42" s="11" t="inlineStr">
        <is>
          <t>121301101</t>
        </is>
      </c>
      <c r="H42" s="10" t="inlineStr">
        <is>
          <t>⚠ kandidát-verify</t>
        </is>
      </c>
      <c r="I42" s="11" t="inlineStr">
        <is>
          <t>260217_sklad.HSV5.001</t>
        </is>
      </c>
      <c r="J42" s="11" t="inlineStr">
        <is>
          <t>S05_sklad</t>
        </is>
      </c>
      <c r="K42" s="11" t="inlineStr">
        <is>
          <t>Carried 1:1 (atomic / komplet / služba — no split)</t>
        </is>
      </c>
    </row>
    <row r="43">
      <c r="A43" s="8" t="inlineStr">
        <is>
          <t>━━ PSV-76 Výplně otvorů  (2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37</v>
      </c>
      <c r="B44" s="11" t="inlineStr">
        <is>
          <t>PSV-76 Výplně otvorů</t>
        </is>
      </c>
      <c r="C44" s="11" t="inlineStr">
        <is>
          <t>Montáž — Bezpečnostní dveře RC3 v ocelové zárubni — vrata skladu (TZ statika §1.4 RC3 certifikované)</t>
        </is>
      </c>
      <c r="D44" s="10" t="inlineStr">
        <is>
          <t>ks</t>
        </is>
      </c>
      <c r="E44" s="12" t="n">
        <v>1</v>
      </c>
      <c r="F44" s="11" t="inlineStr">
        <is>
          <t>1 ks vstupní dveře skladu</t>
        </is>
      </c>
      <c r="G44" s="11" t="inlineStr">
        <is>
          <t>766682111</t>
        </is>
      </c>
      <c r="H44" s="10" t="inlineStr">
        <is>
          <t>⚠ kandidát-verify</t>
        </is>
      </c>
      <c r="I44" s="11" t="inlineStr">
        <is>
          <t>260217_sklad.PSV76.001</t>
        </is>
      </c>
      <c r="J44" s="11" t="inlineStr"/>
      <c r="K44" s="11" t="inlineStr">
        <is>
          <t>Montáž (práce).</t>
        </is>
      </c>
    </row>
    <row r="45">
      <c r="A45" s="17" t="n">
        <v>38</v>
      </c>
      <c r="B45" s="18" t="inlineStr">
        <is>
          <t>PSV-76 Výplně otvorů</t>
        </is>
      </c>
      <c r="C45" s="18" t="inlineStr">
        <is>
          <t>Dodávka — Dodávka oceli S235 (válcované profily) (Bezpečnostní dveře RC3 v ocelové zárubni — vra)</t>
        </is>
      </c>
      <c r="D45" s="17" t="inlineStr">
        <is>
          <t>ks</t>
        </is>
      </c>
      <c r="E45" s="19" t="n">
        <v>1.03</v>
      </c>
      <c r="F45" s="18">
        <f> montáž × 1.03</f>
        <v/>
      </c>
      <c r="G45" s="18" t="inlineStr"/>
      <c r="H45" s="17" t="inlineStr">
        <is>
          <t>❌ blank — ÚRS online</t>
        </is>
      </c>
      <c r="I45" s="18" t="inlineStr">
        <is>
          <t>260217_sklad.PSV76.001</t>
        </is>
      </c>
      <c r="J45" s="18" t="inlineStr"/>
      <c r="K45" s="18" t="inlineStr">
        <is>
          <t>Materiál (dodávka). Ztratné 3 %.  Doplnit leaf z CS ÚRS online (app.urs.cz, cen. úroveň 2026 01) dle família + popis + Vzorec.</t>
        </is>
      </c>
    </row>
    <row r="46">
      <c r="A46" s="8" t="inlineStr">
        <is>
          <t>━━ PSV-76 Zámečnictví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39</v>
      </c>
      <c r="B47" s="18" t="inlineStr">
        <is>
          <t>PSV-76 Zámečnictví</t>
        </is>
      </c>
      <c r="C47" s="18" t="inlineStr">
        <is>
          <t>Vjezdová brána ocelová — dodávka + montáž</t>
        </is>
      </c>
      <c r="D47" s="17" t="inlineStr">
        <is>
          <t>ks</t>
        </is>
      </c>
      <c r="E47" s="19" t="n">
        <v>1</v>
      </c>
      <c r="F47" s="18">
        <f> 1 brána</f>
        <v/>
      </c>
      <c r="G47" s="18" t="inlineStr"/>
      <c r="H47" s="17" t="inlineStr">
        <is>
          <t>❌ blank — ÚRS online</t>
        </is>
      </c>
      <c r="I47" s="18" t="inlineStr">
        <is>
          <t>260217_sklad.PSV76.002 → PSV76.002a</t>
        </is>
      </c>
      <c r="J47" s="18" t="inlineStr"/>
      <c r="K47" s="18" t="inlineStr">
        <is>
          <t>Dodatek PD č.1.  Doplnit leaf z CS ÚRS online (app.urs.cz, cen. úroveň 2026 01) dle família + popis + Vzorec.</t>
        </is>
      </c>
    </row>
    <row r="48">
      <c r="A48" s="8" t="inlineStr">
        <is>
          <t>━━ PSV-77 Podlahy  (1 atomic operací) ━━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17" t="n">
        <v>40</v>
      </c>
      <c r="B49" s="18" t="inlineStr">
        <is>
          <t>PSV-77 Podlahy</t>
        </is>
      </c>
      <c r="C49" s="18" t="inlineStr">
        <is>
          <t>Betonová dlažba 50 mm do kladecího lože — podlaha skladu + vynos za stěnu</t>
        </is>
      </c>
      <c r="D49" s="17" t="inlineStr">
        <is>
          <t>m²</t>
        </is>
      </c>
      <c r="E49" s="19" t="n">
        <v>23.6</v>
      </c>
      <c r="F49" s="18" t="inlineStr">
        <is>
          <t>plocha S01 = místnost 17.6 (legenda) + vynos za stěnu 6.0 (6010×1000 řez) = 23.6 m²</t>
        </is>
      </c>
      <c r="G49" s="18" t="inlineStr"/>
      <c r="H49" s="17" t="inlineStr">
        <is>
          <t>❌ blank — ÚRS online</t>
        </is>
      </c>
      <c r="I49" s="18" t="inlineStr">
        <is>
          <t>260217_sklad.PSV77.001</t>
        </is>
      </c>
      <c r="J49" s="18" t="inlineStr">
        <is>
          <t>S01_sklad</t>
        </is>
      </c>
      <c r="K49" s="18" t="inlineStr">
        <is>
          <t>Carried 1:1 (atomic / komplet / služba — no split)  Doplnit leaf z CS ÚRS online (app.urs.cz, cen. úroveň 2026 01) dle família + popis + Vzorec.</t>
        </is>
      </c>
    </row>
    <row r="50">
      <c r="A50" s="8" t="inlineStr">
        <is>
          <t>━━ VRN — Doprava + odpad  (2 atomic operací) ━━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10" t="n">
        <v>41</v>
      </c>
      <c r="B51" s="11" t="inlineStr">
        <is>
          <t>VRN — Doprava + odpad</t>
        </is>
      </c>
      <c r="C51" s="11" t="inlineStr">
        <is>
          <t>Doprava prefa H-BLOK Standard z výrobny Herkul (Obrnice) auto s hydraulickou rukou — celkem ~60 ks bloků</t>
        </is>
      </c>
      <c r="D51" s="10" t="inlineStr">
        <is>
          <t>kpl</t>
        </is>
      </c>
      <c r="E51" s="12" t="n">
        <v>1</v>
      </c>
      <c r="F51" s="11" t="inlineStr">
        <is>
          <t>Standard doprava prefa Herkul autem s hyd. rukou pro lokální distribuci</t>
        </is>
      </c>
      <c r="G51" s="11" t="inlineStr">
        <is>
          <t>031032000</t>
        </is>
      </c>
      <c r="H51" s="10" t="inlineStr">
        <is>
          <t>⚠ kandidát-verify</t>
        </is>
      </c>
      <c r="I51" s="11" t="inlineStr">
        <is>
          <t>260217_sklad.VRN.001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42</v>
      </c>
      <c r="B52" s="11" t="inlineStr">
        <is>
          <t>VRN — Doprava + odpad</t>
        </is>
      </c>
      <c r="C52" s="11" t="inlineStr">
        <is>
          <t>Likvidace odpadu sklad — kameny ze zídek + výkop + dřevo (drobné množství)</t>
        </is>
      </c>
      <c r="D52" s="10" t="inlineStr">
        <is>
          <t>t</t>
        </is>
      </c>
      <c r="E52" s="12" t="n">
        <v>8</v>
      </c>
      <c r="F52" s="11" t="inlineStr">
        <is>
          <t>Odhad: kamenné zídky ~6 t + dřevo+výkop ~2 t = 8 t</t>
        </is>
      </c>
      <c r="G52" s="11" t="inlineStr">
        <is>
          <t>997013211</t>
        </is>
      </c>
      <c r="H52" s="10" t="inlineStr">
        <is>
          <t>⚠ kandidát-verify</t>
        </is>
      </c>
      <c r="I52" s="11" t="inlineStr">
        <is>
          <t>260217_sklad.VRN.002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VRN — Geodet  (1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43</v>
      </c>
      <c r="B54" s="11" t="inlineStr">
        <is>
          <t>VRN — Geodet</t>
        </is>
      </c>
      <c r="C54" s="11" t="inlineStr">
        <is>
          <t>Geodetické vytýčení sklad+parking+schodiště ze situace (před realizací)</t>
        </is>
      </c>
      <c r="D54" s="10" t="inlineStr">
        <is>
          <t>kpl</t>
        </is>
      </c>
      <c r="E54" s="12" t="n">
        <v>1</v>
      </c>
      <c r="F54" s="11" t="inlineStr">
        <is>
          <t>Standard geodet vytýčení pro nový objekt</t>
        </is>
      </c>
      <c r="G54" s="11" t="inlineStr">
        <is>
          <t>030141000</t>
        </is>
      </c>
      <c r="H54" s="10" t="inlineStr">
        <is>
          <t>⚠ kandidát-verify</t>
        </is>
      </c>
      <c r="I54" s="11" t="inlineStr">
        <is>
          <t>260217_sklad.VRN.101</t>
        </is>
      </c>
      <c r="J54" s="11" t="inlineStr"/>
      <c r="K54" s="11" t="inlineStr">
        <is>
          <t>Carried 1:1 (atomic / komplet / služba — no split)</t>
        </is>
      </c>
    </row>
    <row r="55">
      <c r="A55" s="8" t="inlineStr">
        <is>
          <t>━━ VRN — Společné  (1 atomic operací) ━━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10" t="n">
        <v>44</v>
      </c>
      <c r="B56" s="11" t="inlineStr">
        <is>
          <t>VRN — Společné</t>
        </is>
      </c>
      <c r="C56" s="11" t="inlineStr">
        <is>
          <t>Podíl na obecných VRN domu (buňky, BOZP, pojištění, kolaudace) — paušál ~10 % nákladů sklad nebo % alokace</t>
        </is>
      </c>
      <c r="D56" s="10" t="inlineStr">
        <is>
          <t>paušál</t>
        </is>
      </c>
      <c r="E56" s="12" t="n">
        <v>1</v>
      </c>
      <c r="F56" s="11" t="inlineStr">
        <is>
          <t>Standard paušální alokace VRN pro paralelně realizovaný menší objekt</t>
        </is>
      </c>
      <c r="G56" s="11" t="inlineStr">
        <is>
          <t>030001000</t>
        </is>
      </c>
      <c r="H56" s="10" t="inlineStr">
        <is>
          <t>⚠ kandidát-verify</t>
        </is>
      </c>
      <c r="I56" s="11" t="inlineStr">
        <is>
          <t>260217_sklad.VRN.201</t>
        </is>
      </c>
      <c r="J56" s="11" t="inlineStr"/>
      <c r="K56" s="11" t="inlineStr">
        <is>
          <t>Carried 1:1 (atomic / komplet / služba — no split)</t>
        </is>
      </c>
    </row>
    <row r="57">
      <c r="A57" s="8" t="inlineStr">
        <is>
          <t>━━ HSV-5 Komunikace + vjezd  (3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45</v>
      </c>
      <c r="B58" s="18" t="inlineStr">
        <is>
          <t>HSV-5 Komunikace + vjezd</t>
        </is>
      </c>
      <c r="C58" s="18" t="inlineStr">
        <is>
          <t>Betonová dlažba napojení vjezdu na komunikaci Dvořákova</t>
        </is>
      </c>
      <c r="D58" s="17" t="inlineStr">
        <is>
          <t>m²</t>
        </is>
      </c>
      <c r="E58" s="19" t="n"/>
      <c r="F58" s="18" t="inlineStr">
        <is>
          <t>neurčeno — situace C.3.R1 OVĚŘIT</t>
        </is>
      </c>
      <c r="G58" s="18" t="inlineStr"/>
      <c r="H58" s="17" t="inlineStr">
        <is>
          <t>❌ blank — ÚRS online</t>
        </is>
      </c>
      <c r="I58" s="18" t="inlineStr">
        <is>
          <t>260217_sklad.HSV5.002 → HSV5.002a</t>
        </is>
      </c>
      <c r="J58" s="18" t="inlineStr"/>
      <c r="K58" s="18" t="inlineStr">
        <is>
          <t>Dlažba (Dodatek PD č.1).  Doplnit leaf z CS ÚRS online (app.urs.cz, cen. úroveň 2026 01) dle família + popis + Vzorec.</t>
        </is>
      </c>
    </row>
    <row r="59">
      <c r="A59" s="17" t="n">
        <v>46</v>
      </c>
      <c r="B59" s="18" t="inlineStr">
        <is>
          <t>HSV-5 Komunikace + vjezd</t>
        </is>
      </c>
      <c r="C59" s="18" t="inlineStr">
        <is>
          <t>Podkladní vrstva kameniva pod dlažbu vjezdu</t>
        </is>
      </c>
      <c r="D59" s="17" t="inlineStr">
        <is>
          <t>m²</t>
        </is>
      </c>
      <c r="E59" s="19" t="n"/>
      <c r="F59" s="18" t="inlineStr">
        <is>
          <t>neurčeno — OVĚŘIT</t>
        </is>
      </c>
      <c r="G59" s="18" t="inlineStr"/>
      <c r="H59" s="17" t="inlineStr">
        <is>
          <t>❌ blank — ÚRS online</t>
        </is>
      </c>
      <c r="I59" s="18" t="inlineStr">
        <is>
          <t>260217_sklad.HSV5.002 → HSV5.002b</t>
        </is>
      </c>
      <c r="J59" s="18" t="inlineStr"/>
      <c r="K59" s="18" t="inlineStr">
        <is>
          <t>Podklad.  Doplnit leaf z CS ÚRS online (app.urs.cz, cen. úroveň 2026 01) dle família + popis + Vzorec.</t>
        </is>
      </c>
    </row>
    <row r="60">
      <c r="A60" s="17" t="n">
        <v>47</v>
      </c>
      <c r="B60" s="18" t="inlineStr">
        <is>
          <t>HSV-5 Komunikace + vjezd</t>
        </is>
      </c>
      <c r="C60" s="18" t="inlineStr">
        <is>
          <t>Spádování + odvodnění dešťové vody na pozemek investora</t>
        </is>
      </c>
      <c r="D60" s="17" t="inlineStr">
        <is>
          <t>soubor</t>
        </is>
      </c>
      <c r="E60" s="19" t="n"/>
      <c r="F60" s="18" t="inlineStr">
        <is>
          <t>neurčeno — OVĚŘIT</t>
        </is>
      </c>
      <c r="G60" s="18" t="inlineStr"/>
      <c r="H60" s="17" t="inlineStr">
        <is>
          <t>❌ blank — ÚRS online</t>
        </is>
      </c>
      <c r="I60" s="18" t="inlineStr">
        <is>
          <t>260217_sklad.HSV5.002 → HSV5.002c</t>
        </is>
      </c>
      <c r="J60" s="18" t="inlineStr"/>
      <c r="K60" s="18" t="inlineStr">
        <is>
          <t>Odvodnění dle DI PČR (ne na komunikaci).  Doplnit leaf z CS ÚRS online (app.urs.cz, cen. úroveň 2026 01) dle família + popis + Vzorec.</t>
        </is>
      </c>
    </row>
    <row r="61">
      <c r="A61" s="8" t="inlineStr">
        <is>
          <t>━━ VRN — Geodet / PČR  (1 atomic operací) ━━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17" t="n">
        <v>48</v>
      </c>
      <c r="B62" s="18" t="inlineStr">
        <is>
          <t>VRN — Geodet / PČR</t>
        </is>
      </c>
      <c r="C62" s="18" t="inlineStr">
        <is>
          <t>Vytyčení + kontrola rozhledových trojúhelníků (Vn=40, Dz=25 m)</t>
        </is>
      </c>
      <c r="D62" s="17" t="inlineStr">
        <is>
          <t>soubor</t>
        </is>
      </c>
      <c r="E62" s="19" t="n">
        <v>1</v>
      </c>
      <c r="F62" s="18">
        <f> 1 soubor</f>
        <v/>
      </c>
      <c r="G62" s="18" t="inlineStr"/>
      <c r="H62" s="17" t="inlineStr">
        <is>
          <t>❌ blank — ÚRS online</t>
        </is>
      </c>
      <c r="I62" s="18" t="inlineStr">
        <is>
          <t>260217_sklad.VRN.003 → VRN.003a</t>
        </is>
      </c>
      <c r="J62" s="18" t="inlineStr"/>
      <c r="K62" s="18" t="inlineStr">
        <is>
          <t>DI PČR.  Doplnit leaf z CS ÚRS online (app.urs.cz, cen. úroveň 2026 01) dle família + popis + Vzorec.</t>
        </is>
      </c>
    </row>
    <row r="63">
      <c r="A63" s="8" t="inlineStr">
        <is>
          <t>━━ PSV-76 Zámečnické konstrukce  (3 atomic operací) ━━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17" t="n">
        <v>49</v>
      </c>
      <c r="B64" s="18" t="inlineStr">
        <is>
          <t>PSV-76 Zámečnické konstrukce</t>
        </is>
      </c>
      <c r="C64" s="18" t="inlineStr">
        <is>
          <t>Oplocení podél vjezdu — délka dle situace, materiál OVĚŘIT (kov/dřevo neuveden)</t>
        </is>
      </c>
      <c r="D64" s="17" t="inlineStr">
        <is>
          <t>bm</t>
        </is>
      </c>
      <c r="E64" s="19" t="n">
        <v>3.8</v>
      </c>
      <c r="F64" s="18" t="inlineStr">
        <is>
          <t>šířka 7775 − 4000 (posuvná vrata) = 3775 mm ≈ 3.8 bm</t>
        </is>
      </c>
      <c r="G64" s="18" t="inlineStr"/>
      <c r="H64" s="17" t="inlineStr">
        <is>
          <t>❌ blank — ÚRS online</t>
        </is>
      </c>
      <c r="I64" s="18" t="inlineStr">
        <is>
          <t>260217_sklad.PSV76.003</t>
        </is>
      </c>
      <c r="J64" s="18" t="inlineStr"/>
      <c r="K64" s="18" t="inlineStr">
        <is>
          <t>Carried 1:1 (atomic / komplet / služba — no split)  Doplnit leaf z CS ÚRS online (app.urs.cz, cen. úroveň 2026 01) dle família + popis + Vzorec.</t>
        </is>
      </c>
    </row>
    <row r="65">
      <c r="A65" s="17" t="n">
        <v>50</v>
      </c>
      <c r="B65" s="18" t="inlineStr">
        <is>
          <t>PSV-76 Zámečnické konstrukce</t>
        </is>
      </c>
      <c r="C65" s="18" t="inlineStr">
        <is>
          <t>Montáž — Zábradlí v. 1.0 m kolem části stání — materiál OVĚŘIT (kov/dřevo neuveden)</t>
        </is>
      </c>
      <c r="D65" s="17" t="inlineStr">
        <is>
          <t>bm</t>
        </is>
      </c>
      <c r="E65" s="19" t="n">
        <v>18.5</v>
      </c>
      <c r="F65" s="18" t="inlineStr">
        <is>
          <t>obvod části stání ≈ 18.5 bm (D.1.1.01), výška 1.0 m</t>
        </is>
      </c>
      <c r="G65" s="18" t="inlineStr"/>
      <c r="H65" s="17" t="inlineStr">
        <is>
          <t>❌ blank — ÚRS online</t>
        </is>
      </c>
      <c r="I65" s="18" t="inlineStr">
        <is>
          <t>260217_sklad.PSV76.004</t>
        </is>
      </c>
      <c r="J65" s="18" t="inlineStr"/>
      <c r="K65" s="18" t="inlineStr">
        <is>
          <t>Montáž (práce).  Doplnit leaf z CS ÚRS online (app.urs.cz, cen. úroveň 2026 01) dle família + popis + Vzorec.</t>
        </is>
      </c>
    </row>
    <row r="66">
      <c r="A66" s="17" t="n">
        <v>51</v>
      </c>
      <c r="B66" s="18" t="inlineStr">
        <is>
          <t>PSV-76 Zámečnické konstrukce</t>
        </is>
      </c>
      <c r="C66" s="18" t="inlineStr">
        <is>
          <t>Dodávka — Dodávka výrobku (Zábradlí v. 1.0 m kolem části stání — materiál)</t>
        </is>
      </c>
      <c r="D66" s="17" t="inlineStr">
        <is>
          <t>bm</t>
        </is>
      </c>
      <c r="E66" s="19" t="n">
        <v>18.5</v>
      </c>
      <c r="F66" s="18">
        <f> montáž 1:1</f>
        <v/>
      </c>
      <c r="G66" s="18" t="inlineStr"/>
      <c r="H66" s="17" t="inlineStr">
        <is>
          <t>❌ blank — ÚRS online</t>
        </is>
      </c>
      <c r="I66" s="18" t="inlineStr">
        <is>
          <t>260217_sklad.PSV76.004</t>
        </is>
      </c>
      <c r="J66" s="18" t="inlineStr"/>
      <c r="K66" s="18" t="inlineStr">
        <is>
          <t>Materiál (dodávka). Ztratné 0 %.  Doplnit leaf z CS ÚRS online (app.urs.cz, cen. úroveň 2026 01) dle família + popis + Vzorec.</t>
        </is>
      </c>
    </row>
    <row r="67">
      <c r="A67" s="8" t="inlineStr">
        <is>
          <t>━━ HSV-5 Komunikace + zpevněné plochy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52</v>
      </c>
      <c r="B68" s="11" t="inlineStr">
        <is>
          <t>HSV-5 Komunikace + zpevněné plochy</t>
        </is>
      </c>
      <c r="C68" s="11" t="inlineStr">
        <is>
          <t>Pískové lože pod dlažbu vjezdu tl. 40 mm (POZN 01)</t>
        </is>
      </c>
      <c r="D68" s="10" t="inlineStr">
        <is>
          <t>m³</t>
        </is>
      </c>
      <c r="E68" s="12" t="n">
        <v>0.28</v>
      </c>
      <c r="F68" s="11" t="inlineStr">
        <is>
          <t>7.0 m² × 0.04 m = 0.28 m³</t>
        </is>
      </c>
      <c r="G68" s="11" t="inlineStr">
        <is>
          <t>564751111</t>
        </is>
      </c>
      <c r="H68" s="10" t="inlineStr">
        <is>
          <t>⚠ kandidát-verify</t>
        </is>
      </c>
      <c r="I68" s="11" t="inlineStr">
        <is>
          <t>260217_sklad.HSV5.003</t>
        </is>
      </c>
      <c r="J68" s="11" t="inlineStr"/>
      <c r="K68" s="11" t="inlineStr">
        <is>
          <t>Carried 1:1 (atomic / komplet / služba — no split)</t>
        </is>
      </c>
    </row>
    <row r="69">
      <c r="A69" s="10" t="n">
        <v>53</v>
      </c>
      <c r="B69" s="11" t="inlineStr">
        <is>
          <t>HSV-5 Komunikace + zpevněné plochy</t>
        </is>
      </c>
      <c r="C69" s="11" t="inlineStr">
        <is>
          <t>Štěrkový zhutněný podklad pod dlažbu vjezdu tl. 150 mm (POZN 01)</t>
        </is>
      </c>
      <c r="D69" s="10" t="inlineStr">
        <is>
          <t>m³</t>
        </is>
      </c>
      <c r="E69" s="12" t="n">
        <v>1.05</v>
      </c>
      <c r="F69" s="11" t="inlineStr">
        <is>
          <t>7.0 m² × 0.15 m = 1.05 m³</t>
        </is>
      </c>
      <c r="G69" s="11" t="inlineStr">
        <is>
          <t>564861111</t>
        </is>
      </c>
      <c r="H69" s="10" t="inlineStr">
        <is>
          <t>⚠ kandidát-verify</t>
        </is>
      </c>
      <c r="I69" s="11" t="inlineStr">
        <is>
          <t>260217_sklad.HSV5.004</t>
        </is>
      </c>
      <c r="J69" s="11" t="inlineStr"/>
      <c r="K69" s="11" t="inlineStr">
        <is>
          <t>Carried 1:1 (atomic / komplet / služba — no split)</t>
        </is>
      </c>
    </row>
    <row r="70">
      <c r="A70" s="17" t="n">
        <v>54</v>
      </c>
      <c r="B70" s="18" t="inlineStr">
        <is>
          <t>HSV-5 Komunikace + zpevněné plochy</t>
        </is>
      </c>
      <c r="C70" s="18" t="inlineStr">
        <is>
          <t>Liniový odvodňovací žlab (prefa žlabovka š. 160 mm) podél vjezdu</t>
        </is>
      </c>
      <c r="D70" s="17" t="inlineStr">
        <is>
          <t>bm</t>
        </is>
      </c>
      <c r="E70" s="19" t="n">
        <v>7.775</v>
      </c>
      <c r="F70" s="18" t="inlineStr">
        <is>
          <t>délka po hraně dlážděné plochy = 7775 mm = 7.775 bm</t>
        </is>
      </c>
      <c r="G70" s="18" t="inlineStr"/>
      <c r="H70" s="17" t="inlineStr">
        <is>
          <t>❌ blank — ÚRS online</t>
        </is>
      </c>
      <c r="I70" s="18" t="inlineStr">
        <is>
          <t>260217_sklad.HSV5.005</t>
        </is>
      </c>
      <c r="J70" s="18" t="inlineStr"/>
      <c r="K70" s="18" t="inlineStr">
        <is>
          <t>Carried 1:1 (atomic / komplet / služba — no split)  Doplnit leaf z CS ÚRS online (app.urs.cz, cen. úroveň 2026 01) dle família + popis + Vzorec.</t>
        </is>
      </c>
    </row>
    <row r="71">
      <c r="A71" s="10" t="n">
        <v>55</v>
      </c>
      <c r="B71" s="11" t="inlineStr">
        <is>
          <t>HSV-5 Komunikace + zpevněné plochy</t>
        </is>
      </c>
      <c r="C71" s="11" t="inlineStr">
        <is>
          <t>Podkladní beton pod odvodňovací žlab (průřez 0.06 m²)</t>
        </is>
      </c>
      <c r="D71" s="10" t="inlineStr">
        <is>
          <t>m³</t>
        </is>
      </c>
      <c r="E71" s="12" t="n">
        <v>0.47</v>
      </c>
      <c r="F71" s="11" t="inlineStr">
        <is>
          <t>0.06 m² (detail) × 7.775 m = 0.47 m³</t>
        </is>
      </c>
      <c r="G71" s="11" t="inlineStr">
        <is>
          <t>273321411</t>
        </is>
      </c>
      <c r="H71" s="10" t="inlineStr">
        <is>
          <t>⚠ kandidát-verify</t>
        </is>
      </c>
      <c r="I71" s="11" t="inlineStr">
        <is>
          <t>260217_sklad.HSV5.006</t>
        </is>
      </c>
      <c r="J71" s="11" t="inlineStr"/>
      <c r="K71" s="11" t="inlineStr">
        <is>
          <t>Carried 1:1 (atomic / komplet / služba — no split)</t>
        </is>
      </c>
    </row>
    <row r="72">
      <c r="A72" s="17" t="n">
        <v>56</v>
      </c>
      <c r="B72" s="18" t="inlineStr">
        <is>
          <t>HSV-5 Komunikace + zpevněné plochy</t>
        </is>
      </c>
      <c r="C72" s="18" t="inlineStr">
        <is>
          <t>Okapový/odvodňovací žlab na straně 6010 mm — typ OVĚŘIT</t>
        </is>
      </c>
      <c r="D72" s="17" t="inlineStr">
        <is>
          <t>bm</t>
        </is>
      </c>
      <c r="E72" s="19" t="n">
        <v>6</v>
      </c>
      <c r="F72" s="18" t="inlineStr">
        <is>
          <t>strana 6010 mm ≈ 6.0 bm</t>
        </is>
      </c>
      <c r="G72" s="18" t="inlineStr"/>
      <c r="H72" s="17" t="inlineStr">
        <is>
          <t>❌ blank — ÚRS online</t>
        </is>
      </c>
      <c r="I72" s="18" t="inlineStr">
        <is>
          <t>260217_sklad.HSV5.007</t>
        </is>
      </c>
      <c r="J72" s="18" t="inlineStr"/>
      <c r="K72" s="18" t="inlineStr">
        <is>
          <t>Carried 1:1 (atomic / komplet / služba — no split)  Doplnit leaf z CS ÚRS online (app.urs.cz, cen. úroveň 2026 01) dle família + popis + Vzorec.</t>
        </is>
      </c>
    </row>
    <row r="73">
      <c r="A73" s="10" t="n">
        <v>57</v>
      </c>
      <c r="B73" s="11" t="inlineStr">
        <is>
          <t>HSV-5 Komunikace + zpevněné plochy</t>
        </is>
      </c>
      <c r="C73" s="11" t="inlineStr">
        <is>
          <t>Podkladní betonová deska pod prefa schodiště S05</t>
        </is>
      </c>
      <c r="D73" s="10" t="inlineStr">
        <is>
          <t>m²</t>
        </is>
      </c>
      <c r="E73" s="12" t="n">
        <v>5.5</v>
      </c>
      <c r="F73" s="11" t="inlineStr">
        <is>
          <t>plocha schodiště 5.5 m² (legenda) — podkladní deska</t>
        </is>
      </c>
      <c r="G73" s="11" t="inlineStr">
        <is>
          <t>273313611</t>
        </is>
      </c>
      <c r="H73" s="10" t="inlineStr">
        <is>
          <t>⚠ kandidát-verify</t>
        </is>
      </c>
      <c r="I73" s="11" t="inlineStr">
        <is>
          <t>260217_sklad.HSV5.008</t>
        </is>
      </c>
      <c r="J73" s="11" t="inlineStr">
        <is>
          <t>S05_sklad</t>
        </is>
      </c>
      <c r="K73" s="11" t="inlineStr">
        <is>
          <t>Carried 1:1 (atomic / komplet / služba — no split)</t>
        </is>
      </c>
    </row>
    <row r="74">
      <c r="A74" s="17" t="n">
        <v>58</v>
      </c>
      <c r="B74" s="18" t="inlineStr">
        <is>
          <t>HSV-5 Komunikace + zpevněné plochy</t>
        </is>
      </c>
      <c r="C74" s="18" t="inlineStr">
        <is>
          <t>Kladecí vrstva ze zavlhlého betonu pod prefa stupně S05</t>
        </is>
      </c>
      <c r="D74" s="17" t="inlineStr">
        <is>
          <t>m³</t>
        </is>
      </c>
      <c r="E74" s="19" t="n">
        <v>0.28</v>
      </c>
      <c r="F74" s="18" t="inlineStr">
        <is>
          <t>5.5 m² × 0.05 m kladecí beton = 0.28 m³</t>
        </is>
      </c>
      <c r="G74" s="18" t="inlineStr"/>
      <c r="H74" s="17" t="inlineStr">
        <is>
          <t>❌ blank — ÚRS online</t>
        </is>
      </c>
      <c r="I74" s="18" t="inlineStr">
        <is>
          <t>260217_sklad.HSV5.009</t>
        </is>
      </c>
      <c r="J74" s="18" t="inlineStr">
        <is>
          <t>S05_sklad</t>
        </is>
      </c>
      <c r="K74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5">
    <mergeCell ref="A61:K61"/>
    <mergeCell ref="A53:K53"/>
    <mergeCell ref="A50:K50"/>
    <mergeCell ref="A48:K48"/>
    <mergeCell ref="A21:K21"/>
    <mergeCell ref="A30:K30"/>
    <mergeCell ref="A55:K55"/>
    <mergeCell ref="A43:K43"/>
    <mergeCell ref="A41:K41"/>
    <mergeCell ref="A2:K2"/>
    <mergeCell ref="A57:K57"/>
    <mergeCell ref="A63:K63"/>
    <mergeCell ref="A46:K46"/>
    <mergeCell ref="A13:K13"/>
    <mergeCell ref="A67:K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6 ks</t>
        </is>
      </c>
      <c r="D10" s="14" t="inlineStr">
        <is>
          <t>ks</t>
        </is>
      </c>
      <c r="E10" s="16" t="n">
        <v>6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S03a/b — tvarovky ztraceného bednění tl. 250 mm, výška 14 řad × 250 = 3.5 m + zalití C25/30</t>
        </is>
      </c>
      <c r="D14" s="14" t="inlineStr">
        <is>
          <t>m²</t>
        </is>
      </c>
      <c r="E14" s="16" t="n">
        <v>62.5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1875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31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19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6 m × 6 ks</t>
        </is>
      </c>
      <c r="D22" s="14" t="inlineStr">
        <is>
          <t>kg</t>
        </is>
      </c>
      <c r="E22" s="16" t="n">
        <v>790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1420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Vjezd Dvořákova (POZN 01) — zpevněná plocha z hladké betonové dlažby, napojení na komunikaci</t>
        </is>
      </c>
      <c r="D115" s="14" t="inlineStr">
        <is>
          <t>m²</t>
        </is>
      </c>
      <c r="E115" s="16" t="n">
        <v>7</v>
      </c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  <row r="123">
      <c r="A123" s="15" t="inlineStr">
        <is>
          <t>260217_sklad.PSV76.004</t>
        </is>
      </c>
      <c r="B123" s="15" t="inlineStr">
        <is>
          <t>PSV-76 Zámečnické konstrukce</t>
        </is>
      </c>
      <c r="C123" s="15" t="inlineStr">
        <is>
          <t>Zábradlí v. 1.0 m kolem části stání — materiál OVĚŘIT (kov/dřevo neuveden)</t>
        </is>
      </c>
      <c r="D123" s="14" t="inlineStr">
        <is>
          <t>bm</t>
        </is>
      </c>
      <c r="E123" s="16" t="n">
        <v>18.5</v>
      </c>
      <c r="F123" s="14" t="n">
        <v>2</v>
      </c>
      <c r="G123" s="15" t="inlineStr">
        <is>
          <t>PSV76.004a, PSV76.004b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7" t="n">
        <v>36</v>
      </c>
      <c r="B16" s="18" t="inlineStr">
        <is>
          <t>major</t>
        </is>
      </c>
      <c r="C16" s="18" t="inlineStr">
        <is>
          <t>Zásyp za prefa opěrnou stěnou S04 — materiál neuveden v legendě</t>
        </is>
      </c>
      <c r="D16" s="18" t="inlineStr">
        <is>
          <t>NEPŘIDÁNO (verify-first)</t>
        </is>
      </c>
      <c r="E16" s="18" t="inlineStr">
        <is>
          <t>Projektante: čím se provádí zásyp za opěrnou stěnou S04? (zemina / štěrkopísek / drť)</t>
        </is>
      </c>
    </row>
    <row r="17">
      <c r="A17" s="17" t="n">
        <v>37</v>
      </c>
      <c r="B17" s="18" t="inlineStr">
        <is>
          <t>major</t>
        </is>
      </c>
      <c r="C17" s="18" t="inlineStr">
        <is>
          <t>Oplocení (plot) u vjezdu — materiál + délka</t>
        </is>
      </c>
      <c r="D17" s="18" t="inlineStr">
        <is>
          <t>NEPŘIDÁNO (verify-first)</t>
        </is>
      </c>
      <c r="E17" s="18" t="inlineStr">
        <is>
          <t>Projektante: materiál + výška + přesná délka oplocení u vjezdu? + specifikace sloupku u vrat?</t>
        </is>
      </c>
    </row>
    <row r="18">
      <c r="A18" s="17" t="n">
        <v>38</v>
      </c>
      <c r="B18" s="18" t="inlineStr">
        <is>
          <t>major</t>
        </is>
      </c>
      <c r="C18" s="18" t="inlineStr">
        <is>
          <t>Zábradlí stání 1.0 m — materiál</t>
        </is>
      </c>
      <c r="D18" s="18" t="inlineStr">
        <is>
          <t>NEPŘIDÁNO (verify-first)</t>
        </is>
      </c>
      <c r="E18" s="18" t="inlineStr">
        <is>
          <t>Projektante: materiál + provedení zábradlí stání (1.0 m)?</t>
        </is>
      </c>
    </row>
    <row r="19">
      <c r="A19" s="17" t="n">
        <v>39</v>
      </c>
      <c r="B19" s="18" t="inlineStr">
        <is>
          <t>major</t>
        </is>
      </c>
      <c r="C19" s="18" t="inlineStr">
        <is>
          <t>Trubky u pasů — účel (drenáž vs odvětrání radonu) + Ø</t>
        </is>
      </c>
      <c r="D19" s="18" t="inlineStr">
        <is>
          <t>NEPŘIDÁNO (verify-first)</t>
        </is>
      </c>
      <c r="E19" s="18" t="inlineStr">
        <is>
          <t>Projektante: trubky u pasů = drenáž NEBO odvětrání radonu? + jmenovitý Ø + materiál (PVC/PE flexi)?</t>
        </is>
      </c>
    </row>
    <row r="20">
      <c r="A20" s="17" t="n">
        <v>40</v>
      </c>
      <c r="B20" s="18" t="inlineStr">
        <is>
          <t>major</t>
        </is>
      </c>
      <c r="C20" s="18" t="inlineStr">
        <is>
          <t>Dveřní otvor sklad — výška</t>
        </is>
      </c>
      <c r="D20" s="18" t="inlineStr">
        <is>
          <t>NEPŘIDÁNO (verify-first)</t>
        </is>
      </c>
      <c r="E20" s="18" t="inlineStr">
        <is>
          <t>Projektante: výška dveřního otvoru skladu (RC3 dveře)?</t>
        </is>
      </c>
    </row>
    <row r="21">
      <c r="A21" s="17" t="n">
        <v>41</v>
      </c>
      <c r="B21" s="18" t="inlineStr">
        <is>
          <t>major</t>
        </is>
      </c>
      <c r="C21" s="18" t="inlineStr">
        <is>
          <t>Schodiště S05 — komplet prefa s podestou vs rozložit na vrstvy</t>
        </is>
      </c>
      <c r="D21" s="18" t="inlineStr">
        <is>
          <t>NEPŘIDÁNO (verify-first)</t>
        </is>
      </c>
      <c r="E21" s="18" t="inlineStr">
        <is>
          <t>Projektante: schodiště S05 = monolit na místě (prefa stupně + lože + deska) NEBO dodávka komplet prefa schodiště s podestou?</t>
        </is>
      </c>
    </row>
    <row r="22">
      <c r="A22" s="14" t="inlineStr">
        <is>
          <t>PM05</t>
        </is>
      </c>
      <c r="B22" s="15" t="inlineStr">
        <is>
          <t>medium</t>
        </is>
      </c>
      <c r="C22" s="15" t="inlineStr">
        <is>
          <t>Okapový chodník + obvodová drenáž domu — NOT_IN_TZ (žádná zmínka v TZ)</t>
        </is>
      </c>
      <c r="D22" s="15" t="inlineStr">
        <is>
          <t>SKIP (rekonstrukce — možná existuje)</t>
        </is>
      </c>
      <c r="E22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2026-06-02T07:34:20Z</dcterms:created>
  <dcterms:modified xmlns:dcterms="http://purl.org/dc/terms/" xmlns:xsi="http://www.w3.org/2001/XMLSchema-instance" xsi:type="dcterms:W3CDTF">2026-06-02T07:34:20Z</dcterms:modified>
</cp:coreProperties>
</file>
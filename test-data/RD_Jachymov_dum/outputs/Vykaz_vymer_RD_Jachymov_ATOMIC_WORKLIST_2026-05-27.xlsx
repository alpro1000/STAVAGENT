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360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121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247</v>
      </c>
    </row>
    <row r="9">
      <c r="A9" s="4" t="inlineStr">
        <is>
          <t>Items carried 1:1</t>
        </is>
      </c>
      <c r="B9" s="5" t="n">
        <v>113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26</v>
      </c>
    </row>
    <row r="15">
      <c r="A15" s="4" t="inlineStr">
        <is>
          <t>HSV-3 Svislé konstrukce</t>
        </is>
      </c>
      <c r="B15" s="5" t="n">
        <v>18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39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10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4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42</v>
      </c>
    </row>
    <row r="28">
      <c r="A28" s="4" t="inlineStr">
        <is>
          <t>PSV-73 Vytápění</t>
        </is>
      </c>
      <c r="B28" s="5" t="n">
        <v>13</v>
      </c>
    </row>
    <row r="29">
      <c r="A29" s="4" t="inlineStr">
        <is>
          <t>PSV-76 Klempíř</t>
        </is>
      </c>
      <c r="B29" s="5" t="n">
        <v>7</v>
      </c>
    </row>
    <row r="30">
      <c r="A30" s="4" t="inlineStr">
        <is>
          <t>PSV-76 Truhlář</t>
        </is>
      </c>
      <c r="B30" s="5" t="n">
        <v>4</v>
      </c>
    </row>
    <row r="31">
      <c r="A31" s="4" t="inlineStr">
        <is>
          <t>PSV-76 Výplně otvorů</t>
        </is>
      </c>
      <c r="B31" s="5" t="n">
        <v>25</v>
      </c>
    </row>
    <row r="32">
      <c r="A32" s="4" t="inlineStr">
        <is>
          <t>PSV-76 Zámečnictví</t>
        </is>
      </c>
      <c r="B32" s="5" t="n">
        <v>8</v>
      </c>
    </row>
    <row r="33">
      <c r="A33" s="4" t="inlineStr">
        <is>
          <t>PSV-77 Podlahy</t>
        </is>
      </c>
      <c r="B33" s="5" t="n">
        <v>12</v>
      </c>
    </row>
    <row r="34">
      <c r="A34" s="4" t="inlineStr">
        <is>
          <t>PSV-78 Povrchové úpravy</t>
        </is>
      </c>
      <c r="B34" s="5" t="n">
        <v>24</v>
      </c>
    </row>
    <row r="35">
      <c r="A35" s="4" t="inlineStr">
        <is>
          <t>PSV-95 Detekce požární</t>
        </is>
      </c>
      <c r="B35" s="5" t="n">
        <v>5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18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56</v>
      </c>
    </row>
    <row r="54">
      <c r="A54" s="4" t="inlineStr">
        <is>
          <t>❌ blank — ÚRS online</t>
        </is>
      </c>
      <c r="B54" s="5" t="n">
        <v>121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121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962</t>
        </is>
      </c>
      <c r="B71" s="5" t="n">
        <v>8</v>
      </c>
    </row>
    <row r="72">
      <c r="A72" s="4" t="inlineStr">
        <is>
          <t>622</t>
        </is>
      </c>
      <c r="B72" s="5" t="n">
        <v>7</v>
      </c>
    </row>
    <row r="73">
      <c r="A73" s="4" t="inlineStr">
        <is>
          <t>713</t>
        </is>
      </c>
      <c r="B73" s="5" t="n">
        <v>7</v>
      </c>
    </row>
    <row r="74">
      <c r="A74" s="4" t="inlineStr">
        <is>
          <t>733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764</t>
        </is>
      </c>
      <c r="B76" s="5" t="n">
        <v>6</v>
      </c>
    </row>
    <row r="77">
      <c r="A77" s="4" t="inlineStr">
        <is>
          <t>771</t>
        </is>
      </c>
      <c r="B77" s="5" t="n">
        <v>6</v>
      </c>
    </row>
    <row r="78">
      <c r="A78" s="4" t="inlineStr">
        <is>
          <t>781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2.64</v>
      </c>
      <c r="F7" s="11" t="inlineStr">
        <is>
          <t>podlaha sklad 17.6 m² (legenda místností) × 0.15 m podkladní kamenná drť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8" t="inlineStr">
        <is>
          <t>━━ HSV-2 Základové a ŽB  (7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/ komplet / služba — no split)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Montáž — 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Montáž (práce).</t>
        </is>
      </c>
    </row>
    <row r="13">
      <c r="A13" s="17" t="n">
        <v>10</v>
      </c>
      <c r="B13" s="18" t="inlineStr">
        <is>
          <t>HSV-2 Základové a ŽB</t>
        </is>
      </c>
      <c r="C13" s="18" t="inlineStr">
        <is>
          <t>Dodávka — Dodávka oceli S235 (válcované profily) (Dvoustupňové patky pro IPE180 — horní část z t)</t>
        </is>
      </c>
      <c r="D13" s="17" t="inlineStr">
        <is>
          <t>ks</t>
        </is>
      </c>
      <c r="E13" s="19" t="n">
        <v>7.21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260217_sklad.HSV2.003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Beton C25/30 XC3 XF1 XA1 pro zalití tvarovek ZB patek + lemujících zídek parkingu</t>
        </is>
      </c>
      <c r="D14" s="10" t="inlineStr">
        <is>
          <t>m³</t>
        </is>
      </c>
      <c r="E14" s="12" t="n">
        <v>1.8</v>
      </c>
      <c r="F14" s="11" t="inlineStr">
        <is>
          <t>patky horní (0.3×0.3×0.5×7) + zídka (odhad ~1 m³)</t>
        </is>
      </c>
      <c r="G14" s="11" t="inlineStr">
        <is>
          <t>273321321</t>
        </is>
      </c>
      <c r="H14" s="10" t="inlineStr">
        <is>
          <t>⚠ kandidát-verify</t>
        </is>
      </c>
      <c r="I14" s="11" t="inlineStr">
        <is>
          <t>260217_sklad.HSV2.004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Štěrkopískové lože pod podlahu skladu + pod schodišťovou desku</t>
        </is>
      </c>
      <c r="D15" s="10" t="inlineStr">
        <is>
          <t>m³</t>
        </is>
      </c>
      <c r="E15" s="12" t="n">
        <v>1.76</v>
      </c>
      <c r="F15" s="11" t="inlineStr">
        <is>
          <t>podlaha sklad 17.6 m² (legenda) × 0.10 m kladecí kamenná drť</t>
        </is>
      </c>
      <c r="G15" s="11" t="inlineStr">
        <is>
          <t>174101101</t>
        </is>
      </c>
      <c r="H15" s="10" t="inlineStr">
        <is>
          <t>✓ verified</t>
        </is>
      </c>
      <c r="I15" s="11" t="inlineStr">
        <is>
          <t>260217_sklad.HSV2.005</t>
        </is>
      </c>
      <c r="J15" s="11" t="inlineStr">
        <is>
          <t>S01_sklad, S05_sklad</t>
        </is>
      </c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ŽB schodišťová deska ve sklonu + základový pas — beton C25/30 XC3 (terén ke skladu)</t>
        </is>
      </c>
      <c r="D16" s="10" t="inlineStr">
        <is>
          <t>m³</t>
        </is>
      </c>
      <c r="E16" s="12" t="n">
        <v>0.8</v>
      </c>
      <c r="F16" s="11" t="inlineStr">
        <is>
          <t>odhad 3 m schodů × 0.8 × 0.30 = 0.72 (ručně)</t>
        </is>
      </c>
      <c r="G16" s="11" t="inlineStr">
        <is>
          <t>273361821</t>
        </is>
      </c>
      <c r="H16" s="10" t="inlineStr">
        <is>
          <t>⚠ kandidát-verify</t>
        </is>
      </c>
      <c r="I16" s="11" t="inlineStr">
        <is>
          <t>260217_sklad.HSV2.006</t>
        </is>
      </c>
      <c r="J16" s="11" t="inlineStr">
        <is>
          <t>S05_sklad</t>
        </is>
      </c>
      <c r="K16" s="11" t="inlineStr">
        <is>
          <t>Carried 1:1 (atomic / komplet / služba — no split)</t>
        </is>
      </c>
    </row>
    <row r="17">
      <c r="A17" s="8" t="inlineStr">
        <is>
          <t>━━ HSV-3 Svislé konstrukce  (8 atomic operací) ━━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10" t="n">
        <v>14</v>
      </c>
      <c r="B18" s="11" t="inlineStr">
        <is>
          <t>HSV-3 Svislé konstrukce</t>
        </is>
      </c>
      <c r="C18" s="11" t="inlineStr">
        <is>
          <t>Zadní opěrná stěna — prefabrikované betonové bloky Herkul H-BLOK Standard, vazba běhounová s posunem 0.5</t>
        </is>
      </c>
      <c r="D18" s="10" t="inlineStr">
        <is>
          <t>ks</t>
        </is>
      </c>
      <c r="E18" s="12" t="n">
        <v>18</v>
      </c>
      <c r="F18" s="11" t="inlineStr">
        <is>
          <t>S04 líc 6.35 × 3.0 m = 19.05 m² ÷ 1.08 m²/blok (H-BLOK Standard 1800×600mm líc, web-ověřeno) = 17.6 → 18 ks; layout: 4 bloky/řada × 5 řad = 20 ks (s řezy) — použito 18 ks plocha-přesné</t>
        </is>
      </c>
      <c r="G18" s="11" t="inlineStr">
        <is>
          <t>311233815</t>
        </is>
      </c>
      <c r="H18" s="10" t="inlineStr">
        <is>
          <t>⚠ kandidát-verify</t>
        </is>
      </c>
      <c r="I18" s="11" t="inlineStr">
        <is>
          <t>260217_sklad.HSV3.001</t>
        </is>
      </c>
      <c r="J18" s="11" t="inlineStr">
        <is>
          <t>S04_sklad</t>
        </is>
      </c>
      <c r="K18" s="11" t="inlineStr">
        <is>
          <t>Carried 1:1 (atomic / komplet / služba — no split)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Montáž — Obvodové stěny skladu — tvarovky ztraceného bednění tl. 250 mm × výška 2.4 m + zalití C25/30</t>
        </is>
      </c>
      <c r="D19" s="10" t="inlineStr">
        <is>
          <t>m²</t>
        </is>
      </c>
      <c r="E19" s="12" t="n">
        <v>46.5</v>
      </c>
      <c r="F19" s="11" t="inlineStr">
        <is>
          <t>obvod 19.4 m × výška 2.4 m = 46.6</t>
        </is>
      </c>
      <c r="G19" s="11" t="inlineStr">
        <is>
          <t>311233811</t>
        </is>
      </c>
      <c r="H19" s="10" t="inlineStr">
        <is>
          <t>⚠ kandidát-verify</t>
        </is>
      </c>
      <c r="I19" s="11" t="inlineStr">
        <is>
          <t>260217_sklad.HSV3.002</t>
        </is>
      </c>
      <c r="J19" s="11" t="inlineStr">
        <is>
          <t>S03a_sklad, S03b_sklad</t>
        </is>
      </c>
      <c r="K19" s="11" t="inlineStr">
        <is>
          <t>Montáž (práce).</t>
        </is>
      </c>
    </row>
    <row r="20">
      <c r="A20" s="17" t="n">
        <v>16</v>
      </c>
      <c r="B20" s="18" t="inlineStr">
        <is>
          <t>HSV-3 Svislé konstrukce</t>
        </is>
      </c>
      <c r="C20" s="18" t="inlineStr">
        <is>
          <t>Dodávka — Pronájem bednění (Obvodové stěny skladu — tvarovky ztraceného be)</t>
        </is>
      </c>
      <c r="D20" s="17" t="inlineStr">
        <is>
          <t>m²</t>
        </is>
      </c>
      <c r="E20" s="19" t="n">
        <v>46.5</v>
      </c>
      <c r="F20" s="18">
        <f> montáž 1:1</f>
        <v/>
      </c>
      <c r="G20" s="18" t="inlineStr"/>
      <c r="H20" s="17" t="inlineStr">
        <is>
          <t>❌ blank — ÚRS online</t>
        </is>
      </c>
      <c r="I20" s="18" t="inlineStr">
        <is>
          <t>260217_sklad.HSV3.002</t>
        </is>
      </c>
      <c r="J20" s="18" t="inlineStr">
        <is>
          <t>S03a_sklad, S03b_sklad</t>
        </is>
      </c>
      <c r="K20" s="18" t="inlineStr">
        <is>
          <t>Materiál (dodávka). Pronájem.  Doplnit leaf z CS ÚRS online (app.urs.cz, cen. úroveň 2026 01) dle família + popis + Vzorec.</t>
        </is>
      </c>
    </row>
    <row r="21">
      <c r="A21" s="10" t="n">
        <v>17</v>
      </c>
      <c r="B21" s="11" t="inlineStr">
        <is>
          <t>HSV-3 Svislé konstrukce</t>
        </is>
      </c>
      <c r="C21" s="11" t="inlineStr">
        <is>
          <t>Montáž — Výztuž B500B do tvarovek ztraceného bednění (~30 kg/m² stěny při zalití C25/30)</t>
        </is>
      </c>
      <c r="D21" s="10" t="inlineStr">
        <is>
          <t>kg</t>
        </is>
      </c>
      <c r="E21" s="12" t="n">
        <v>1398</v>
      </c>
      <c r="F21" s="11" t="inlineStr">
        <is>
          <t>46.6 × 30 kg/m² = 1398</t>
        </is>
      </c>
      <c r="G21" s="13" t="inlineStr">
        <is>
          <t>273361821</t>
        </is>
      </c>
      <c r="H21" s="10" t="inlineStr">
        <is>
          <t>⚠ kandidát-verify</t>
        </is>
      </c>
      <c r="I21" s="11" t="inlineStr">
        <is>
          <t>260217_sklad.HSV3.003</t>
        </is>
      </c>
      <c r="J21" s="11" t="inlineStr">
        <is>
          <t>S03a_sklad, S03b_sklad</t>
        </is>
      </c>
      <c r="K21" s="11" t="inlineStr">
        <is>
          <t>Montáž (práce).</t>
        </is>
      </c>
    </row>
    <row r="22">
      <c r="A22" s="17" t="n">
        <v>18</v>
      </c>
      <c r="B22" s="18" t="inlineStr">
        <is>
          <t>HSV-3 Svislé konstrukce</t>
        </is>
      </c>
      <c r="C22" s="18" t="inlineStr">
        <is>
          <t>Dodávka — Dodávka betonářské oceli B500B (Výztuž B500B do tvarovek ztraceného bednění (~)</t>
        </is>
      </c>
      <c r="D22" s="17" t="inlineStr">
        <is>
          <t>kg</t>
        </is>
      </c>
      <c r="E22" s="19" t="n">
        <v>1398</v>
      </c>
      <c r="F22" s="18">
        <f> montáž 1:1</f>
        <v/>
      </c>
      <c r="G22" s="18" t="inlineStr"/>
      <c r="H22" s="17" t="inlineStr">
        <is>
          <t>❌ blank — ÚRS online</t>
        </is>
      </c>
      <c r="I22" s="18" t="inlineStr">
        <is>
          <t>260217_sklad.HSV3.003</t>
        </is>
      </c>
      <c r="J22" s="18" t="inlineStr">
        <is>
          <t>S03a_sklad, S03b_sklad</t>
        </is>
      </c>
      <c r="K22" s="18" t="inlineStr">
        <is>
          <t>Materiál (dodávka). Ztratné 0 %.  Doplnit leaf z CS ÚRS online (app.urs.cz, cen. úroveň 2026 01) dle família + popis + Vzorec.</t>
        </is>
      </c>
    </row>
    <row r="23">
      <c r="A23" s="17" t="n">
        <v>19</v>
      </c>
      <c r="B23" s="18" t="inlineStr">
        <is>
          <t>HSV-3 Svislé konstrukce</t>
        </is>
      </c>
      <c r="C23" s="18" t="inlineStr">
        <is>
          <t>Asfaltová penetrace obvodových + opěrné stěny pod terénem (S03a+S04)</t>
        </is>
      </c>
      <c r="D23" s="17" t="inlineStr">
        <is>
          <t>m²</t>
        </is>
      </c>
      <c r="E23" s="19" t="n">
        <v>33</v>
      </c>
      <c r="F23" s="18">
        <f> plocha stěn pod terénem 33 m² (OVĚŘIT)</f>
        <v/>
      </c>
      <c r="G23" s="18" t="inlineStr"/>
      <c r="H23" s="17" t="inlineStr">
        <is>
          <t>❌ blank — ÚRS online</t>
        </is>
      </c>
      <c r="I23" s="18" t="inlineStr">
        <is>
          <t>260217_sklad.HSV3.004 → HSV3.004a</t>
        </is>
      </c>
      <c r="J23" s="18" t="inlineStr">
        <is>
          <t>S03a_sklad, S04_sklad</t>
        </is>
      </c>
      <c r="K23" s="18" t="inlineStr">
        <is>
          <t>Penetrace.  Doplnit leaf z CS ÚRS online (app.urs.cz, cen. úroveň 2026 01) dle família + popis + Vzorec.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2× HI a protiradonový pás z modif. asfaltu 2×4 mm — stěny pod terénem</t>
        </is>
      </c>
      <c r="D24" s="17" t="inlineStr">
        <is>
          <t>m²</t>
        </is>
      </c>
      <c r="E24" s="19" t="n">
        <v>33</v>
      </c>
      <c r="F24" s="18">
        <f> 33 m² (2 vrstvy ve spotřebě)</f>
        <v/>
      </c>
      <c r="G24" s="18" t="inlineStr"/>
      <c r="H24" s="17" t="inlineStr">
        <is>
          <t>❌ blank — ÚRS online</t>
        </is>
      </c>
      <c r="I24" s="18" t="inlineStr">
        <is>
          <t>260217_sklad.HSV3.004 → HSV3.004b</t>
        </is>
      </c>
      <c r="J24" s="18" t="inlineStr">
        <is>
          <t>S03a_sklad, S04_sklad</t>
        </is>
      </c>
      <c r="K24" s="18" t="inlineStr">
        <is>
          <t>HI + protiradon (711). Materiál 2×4mm.  Doplnit leaf z CS ÚRS online (app.urs.cz, cen. úroveň 2026 01) dle família + popis + Vzorec.</t>
        </is>
      </c>
    </row>
    <row r="25">
      <c r="A25" s="17" t="n">
        <v>21</v>
      </c>
      <c r="B25" s="18" t="inlineStr">
        <is>
          <t>HSV-3 Svislé konstrukce</t>
        </is>
      </c>
      <c r="C25" s="18" t="inlineStr">
        <is>
          <t>Drenážní nopová folie 20 mm — dodávka+montáž, stěny pod terénem (S03a+S04)</t>
        </is>
      </c>
      <c r="D25" s="17" t="inlineStr">
        <is>
          <t>m²</t>
        </is>
      </c>
      <c r="E25" s="19" t="n">
        <v>36</v>
      </c>
      <c r="F25" s="18">
        <f> 33 × 1.10 přesahy</f>
        <v/>
      </c>
      <c r="G25" s="18" t="inlineStr"/>
      <c r="H25" s="17" t="inlineStr">
        <is>
          <t>❌ blank — ÚRS online</t>
        </is>
      </c>
      <c r="I25" s="18" t="inlineStr">
        <is>
          <t>260217_sklad.HSV3.005 → HSV3.005a</t>
        </is>
      </c>
      <c r="J25" s="18" t="inlineStr">
        <is>
          <t>S03a_sklad, S04_sklad</t>
        </is>
      </c>
      <c r="K25" s="18" t="inlineStr">
        <is>
          <t>Drenáž nopová folie (711).  Doplnit leaf z CS ÚRS online (app.urs.cz, cen. úroveň 2026 01) dle família + popis + Vzorec.</t>
        </is>
      </c>
    </row>
    <row r="26">
      <c r="A26" s="8" t="inlineStr">
        <is>
          <t>━━ HSV-4 Vodorovné  (10 atomic operací) ━━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10" t="n">
        <v>22</v>
      </c>
      <c r="B27" s="11" t="inlineStr">
        <is>
          <t>HSV-4 Vodorovné</t>
        </is>
      </c>
      <c r="C27" s="11" t="inlineStr">
        <is>
          <t>Montáž — Dřevěné stropnice 100/160 mm á 625 mm primární zastřešení skladu — rezivo C24 fungicidní</t>
        </is>
      </c>
      <c r="D27" s="10" t="inlineStr">
        <is>
          <t>bm</t>
        </is>
      </c>
      <c r="E27" s="12" t="n">
        <v>36.74</v>
      </c>
      <c r="F27" s="11" t="inlineStr">
        <is>
          <t>6.35/0.625 = 10.16 → 11 ks × 3.34 m (rozpon 3.1 + uložení) = 36.74 bm</t>
        </is>
      </c>
      <c r="G27" s="11" t="inlineStr">
        <is>
          <t>762341110</t>
        </is>
      </c>
      <c r="H27" s="10" t="inlineStr">
        <is>
          <t>⚠ kandidát-verify</t>
        </is>
      </c>
      <c r="I27" s="11" t="inlineStr">
        <is>
          <t>260217_sklad.HSV4.001</t>
        </is>
      </c>
      <c r="J27" s="11" t="inlineStr">
        <is>
          <t>S02_sklad</t>
        </is>
      </c>
      <c r="K27" s="11" t="inlineStr">
        <is>
          <t>Montáž (práce).</t>
        </is>
      </c>
    </row>
    <row r="28">
      <c r="A28" s="17" t="n">
        <v>23</v>
      </c>
      <c r="B28" s="18" t="inlineStr">
        <is>
          <t>HSV-4 Vodorovné</t>
        </is>
      </c>
      <c r="C28" s="18" t="inlineStr">
        <is>
          <t>Dodávka — Dodávka řeziva C24 (impregnované) (Dřevěné stropnice 100/160 mm á 625 mm primární)</t>
        </is>
      </c>
      <c r="D28" s="17" t="inlineStr">
        <is>
          <t>bm</t>
        </is>
      </c>
      <c r="E28" s="19" t="n">
        <v>40.41</v>
      </c>
      <c r="F28" s="18">
        <f> montáž × 1.10</f>
        <v/>
      </c>
      <c r="G28" s="18" t="inlineStr"/>
      <c r="H28" s="17" t="inlineStr">
        <is>
          <t>❌ blank — ÚRS online</t>
        </is>
      </c>
      <c r="I28" s="18" t="inlineStr">
        <is>
          <t>260217_sklad.HSV4.001</t>
        </is>
      </c>
      <c r="J28" s="18" t="inlineStr">
        <is>
          <t>S02_sklad</t>
        </is>
      </c>
      <c r="K28" s="18" t="inlineStr">
        <is>
          <t>Materiál (dodávka). Ztratné 10 %.  Doplnit leaf z CS ÚRS online (app.urs.cz, cen. úroveň 2026 01) dle família + popis + Vzorec.</t>
        </is>
      </c>
    </row>
    <row r="29">
      <c r="A29" s="10" t="n">
        <v>24</v>
      </c>
      <c r="B29" s="11" t="inlineStr">
        <is>
          <t>HSV-4 Vodorovné</t>
        </is>
      </c>
      <c r="C29" s="11" t="inlineStr">
        <is>
          <t>Prkenný záklop stropnic skladu tl. 20 mm + impregnace</t>
        </is>
      </c>
      <c r="D29" s="10" t="inlineStr">
        <is>
          <t>m²</t>
        </is>
      </c>
      <c r="E29" s="12" t="n">
        <v>21.209</v>
      </c>
      <c r="F29" s="11">
        <f> 21.2 m² strop skladu</f>
        <v/>
      </c>
      <c r="G29" s="11" t="inlineStr">
        <is>
          <t>762331110</t>
        </is>
      </c>
      <c r="H29" s="10" t="inlineStr">
        <is>
          <t>⚠ kandidát-verify</t>
        </is>
      </c>
      <c r="I29" s="11" t="inlineStr">
        <is>
          <t>260217_sklad.HSV4.002</t>
        </is>
      </c>
      <c r="J29" s="11" t="inlineStr">
        <is>
          <t>S02_sklad</t>
        </is>
      </c>
      <c r="K29" s="11" t="inlineStr">
        <is>
          <t>Carried 1:1 (atomic / komplet / služba — no split)</t>
        </is>
      </c>
    </row>
    <row r="30">
      <c r="A30" s="10" t="n">
        <v>25</v>
      </c>
      <c r="B30" s="11" t="inlineStr">
        <is>
          <t>HSV-4 Vodorovné</t>
        </is>
      </c>
      <c r="C30" s="11" t="inlineStr">
        <is>
          <t>Montáž — Hydroizolační střešní souvrství skladu (modifikovaný asfaltový pás SBS + ochranná vrstva)</t>
        </is>
      </c>
      <c r="D30" s="10" t="inlineStr">
        <is>
          <t>m²</t>
        </is>
      </c>
      <c r="E30" s="12" t="n">
        <v>22.26945</v>
      </c>
      <c r="F30" s="11" t="inlineStr">
        <is>
          <t>21.2 × 1.05 přesah</t>
        </is>
      </c>
      <c r="G30" s="11" t="inlineStr">
        <is>
          <t>712331101</t>
        </is>
      </c>
      <c r="H30" s="10" t="inlineStr">
        <is>
          <t>⚠ kandidát-verify</t>
        </is>
      </c>
      <c r="I30" s="11" t="inlineStr">
        <is>
          <t>260217_sklad.HSV4.003</t>
        </is>
      </c>
      <c r="J30" s="11" t="inlineStr">
        <is>
          <t>S02_sklad</t>
        </is>
      </c>
      <c r="K30" s="11" t="inlineStr">
        <is>
          <t>Montáž (práce).</t>
        </is>
      </c>
    </row>
    <row r="31">
      <c r="A31" s="17" t="n">
        <v>26</v>
      </c>
      <c r="B31" s="18" t="inlineStr">
        <is>
          <t>HSV-4 Vodorovné</t>
        </is>
      </c>
      <c r="C31" s="18" t="inlineStr">
        <is>
          <t>Dodávka — Dodávka folie/pásu (Hydroizolační střešní souvrství skladu (modifi)</t>
        </is>
      </c>
      <c r="D31" s="17" t="inlineStr">
        <is>
          <t>m²</t>
        </is>
      </c>
      <c r="E31" s="19" t="n">
        <v>24.5</v>
      </c>
      <c r="F31" s="18">
        <f> montáž × 1.10</f>
        <v/>
      </c>
      <c r="G31" s="18" t="inlineStr"/>
      <c r="H31" s="17" t="inlineStr">
        <is>
          <t>❌ blank — ÚRS online</t>
        </is>
      </c>
      <c r="I31" s="18" t="inlineStr">
        <is>
          <t>260217_sklad.HSV4.003</t>
        </is>
      </c>
      <c r="J31" s="18" t="inlineStr">
        <is>
          <t>S02_sklad</t>
        </is>
      </c>
      <c r="K31" s="18" t="inlineStr">
        <is>
          <t>Materiál (dodávka). Ztratné 10 %.  Doplnit leaf z CS ÚRS online (app.urs.cz, cen. úroveň 2026 01) dle família + popis + Vzorec.</t>
        </is>
      </c>
    </row>
    <row r="32">
      <c r="A32" s="10" t="n">
        <v>27</v>
      </c>
      <c r="B32" s="11" t="inlineStr">
        <is>
          <t>HSV-4 Vodorovné</t>
        </is>
      </c>
      <c r="C32" s="11" t="inlineStr">
        <is>
          <t>Montáž — Sekundární zastřešení parkingu — IPE180 v rozteči 1000 mm × délka 7 m × 7 ks</t>
        </is>
      </c>
      <c r="D32" s="10" t="inlineStr">
        <is>
          <t>kg</t>
        </is>
      </c>
      <c r="E32" s="12" t="n">
        <v>921</v>
      </c>
      <c r="F32" s="11" t="inlineStr">
        <is>
          <t>7 ks × 7 m × 18.8 kg/m = 921</t>
        </is>
      </c>
      <c r="G32" s="11" t="inlineStr">
        <is>
          <t>411321414</t>
        </is>
      </c>
      <c r="H32" s="10" t="inlineStr">
        <is>
          <t>⚠ kandidát-verify</t>
        </is>
      </c>
      <c r="I32" s="11" t="inlineStr">
        <is>
          <t>260217_sklad.HSV4.004</t>
        </is>
      </c>
      <c r="J32" s="11" t="inlineStr">
        <is>
          <t>S02_sklad</t>
        </is>
      </c>
      <c r="K32" s="11" t="inlineStr">
        <is>
          <t>Montáž (práce).</t>
        </is>
      </c>
    </row>
    <row r="33">
      <c r="A33" s="17" t="n">
        <v>28</v>
      </c>
      <c r="B33" s="18" t="inlineStr">
        <is>
          <t>HSV-4 Vodorovné</t>
        </is>
      </c>
      <c r="C33" s="18" t="inlineStr">
        <is>
          <t>Dodávka — Dodávka oceli S235 (válcované profily) (Sekundární zastřešení parkingu — IPE180 v rozt)</t>
        </is>
      </c>
      <c r="D33" s="17" t="inlineStr">
        <is>
          <t>kg</t>
        </is>
      </c>
      <c r="E33" s="19" t="n">
        <v>948.63</v>
      </c>
      <c r="F33" s="18">
        <f> montáž × 1.03</f>
        <v/>
      </c>
      <c r="G33" s="18" t="inlineStr"/>
      <c r="H33" s="17" t="inlineStr">
        <is>
          <t>❌ blank — ÚRS online</t>
        </is>
      </c>
      <c r="I33" s="18" t="inlineStr">
        <is>
          <t>260217_sklad.HSV4.004</t>
        </is>
      </c>
      <c r="J33" s="18" t="inlineStr">
        <is>
          <t>S02_sklad</t>
        </is>
      </c>
      <c r="K33" s="18" t="inlineStr">
        <is>
          <t>Materiál (dodávka). Ztratné 3 %.  Doplnit leaf z CS ÚRS online (app.urs.cz, cen. úroveň 2026 01) dle família + popis + Vzorec.</t>
        </is>
      </c>
    </row>
    <row r="34">
      <c r="A34" s="10" t="n">
        <v>29</v>
      </c>
      <c r="B34" s="11" t="inlineStr">
        <is>
          <t>HSV-4 Vodorovné</t>
        </is>
      </c>
      <c r="C34" s="11" t="inlineStr">
        <is>
          <t>Pojezdové ocelové pororošty demontovatelné — povrch parkingu (žárově zinkováno)</t>
        </is>
      </c>
      <c r="D34" s="10" t="inlineStr">
        <is>
          <t>m²</t>
        </is>
      </c>
      <c r="E34" s="12" t="n">
        <v>44.6</v>
      </c>
      <c r="F34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4" s="13" t="inlineStr">
        <is>
          <t>411321515</t>
        </is>
      </c>
      <c r="H34" s="10" t="inlineStr">
        <is>
          <t>⚠ kandidát-verify</t>
        </is>
      </c>
      <c r="I34" s="11" t="inlineStr">
        <is>
          <t>260217_sklad.HSV4.005</t>
        </is>
      </c>
      <c r="J34" s="11" t="inlineStr">
        <is>
          <t>S02_sklad</t>
        </is>
      </c>
      <c r="K34" s="11" t="inlineStr">
        <is>
          <t>Carried 1:1 (atomic / komplet / služba — no split)</t>
        </is>
      </c>
    </row>
    <row r="35">
      <c r="A35" s="10" t="n">
        <v>30</v>
      </c>
      <c r="B35" s="11" t="inlineStr">
        <is>
          <t>HSV-4 Vodorovné</t>
        </is>
      </c>
      <c r="C35" s="11" t="inlineStr">
        <is>
          <t>Montáž — Žárově zinková povrchová úprava IPE180 + pororoštů dle ČSN EN ISO 12944 (C3 prostředí)</t>
        </is>
      </c>
      <c r="D35" s="10" t="inlineStr">
        <is>
          <t>kg</t>
        </is>
      </c>
      <c r="E35" s="12" t="n">
        <v>1551</v>
      </c>
      <c r="F35" s="11">
        <f> hmotnost IPE180 (921 kg) + odhad pororoštů (21 m² × 30 kg/m²) = ~1551</f>
        <v/>
      </c>
      <c r="G35" s="11" t="inlineStr">
        <is>
          <t>783201001</t>
        </is>
      </c>
      <c r="H35" s="10" t="inlineStr">
        <is>
          <t>⚠ kandidát-verify</t>
        </is>
      </c>
      <c r="I35" s="11" t="inlineStr">
        <is>
          <t>260217_sklad.HSV4.006</t>
        </is>
      </c>
      <c r="J35" s="11" t="inlineStr">
        <is>
          <t>S02_sklad</t>
        </is>
      </c>
      <c r="K35" s="11" t="inlineStr">
        <is>
          <t>Montáž (práce).</t>
        </is>
      </c>
    </row>
    <row r="36">
      <c r="A36" s="17" t="n">
        <v>31</v>
      </c>
      <c r="B36" s="18" t="inlineStr">
        <is>
          <t>HSV-4 Vodorovné</t>
        </is>
      </c>
      <c r="C36" s="18" t="inlineStr">
        <is>
          <t>Dodávka — Dodávka ocelových pororoštů (Žárově zinková povrchová úprava IPE180 + poror)</t>
        </is>
      </c>
      <c r="D36" s="17" t="inlineStr">
        <is>
          <t>kg</t>
        </is>
      </c>
      <c r="E36" s="19" t="n">
        <v>1582.02</v>
      </c>
      <c r="F36" s="18">
        <f> montáž × 1.02</f>
        <v/>
      </c>
      <c r="G36" s="18" t="inlineStr"/>
      <c r="H36" s="17" t="inlineStr">
        <is>
          <t>❌ blank — ÚRS online</t>
        </is>
      </c>
      <c r="I36" s="18" t="inlineStr">
        <is>
          <t>260217_sklad.HSV4.006</t>
        </is>
      </c>
      <c r="J36" s="18" t="inlineStr">
        <is>
          <t>S02_sklad</t>
        </is>
      </c>
      <c r="K36" s="18" t="inlineStr">
        <is>
          <t>Materiál (dodávka). Ztratné 2 %.  Doplnit leaf z CS ÚRS online (app.urs.cz, cen. úroveň 2026 01) dle família + popis + Vzorec.</t>
        </is>
      </c>
    </row>
    <row r="37">
      <c r="A37" s="8" t="inlineStr">
        <is>
          <t>━━ HSV-5 Komunikace + schodiště  (1 atomic operací) ━━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10" t="n">
        <v>32</v>
      </c>
      <c r="B38" s="11" t="inlineStr">
        <is>
          <t>HSV-5 Komunikace + schodiště</t>
        </is>
      </c>
      <c r="C38" s="11" t="inlineStr">
        <is>
          <t>Sklad mezipodesta schodiště — prefa betonové stupně (9 ks × 179.5×250 mm) + kladecí vrstva zavlhlého betonu nad ŽB podkladní deskou (S05 sklad skladba)</t>
        </is>
      </c>
      <c r="D38" s="10" t="inlineStr">
        <is>
          <t>m²</t>
        </is>
      </c>
      <c r="E38" s="12" t="n">
        <v>5.5</v>
      </c>
      <c r="F38" s="11" t="inlineStr">
        <is>
          <t>DXF sklad_DPZ km_tabulka místností: room 1.02 schodiště plocha = 5.50 m². 9 stupňů 179.5×250 mm vyznačené v půdoryse parking sheet (Phase 3.5 cross-check)</t>
        </is>
      </c>
      <c r="G38" s="11" t="inlineStr">
        <is>
          <t>121301101</t>
        </is>
      </c>
      <c r="H38" s="10" t="inlineStr">
        <is>
          <t>⚠ kandidát-verify</t>
        </is>
      </c>
      <c r="I38" s="11" t="inlineStr">
        <is>
          <t>260217_sklad.HSV5.001</t>
        </is>
      </c>
      <c r="J38" s="11" t="inlineStr">
        <is>
          <t>S05_sklad</t>
        </is>
      </c>
      <c r="K38" s="11" t="inlineStr">
        <is>
          <t>Carried 1:1 (atomic / komplet / služba — no split)</t>
        </is>
      </c>
    </row>
    <row r="39">
      <c r="A39" s="8" t="inlineStr">
        <is>
          <t>━━ PSV-76 Výplně otvorů  (2 atomic operací) ━━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10" t="n">
        <v>33</v>
      </c>
      <c r="B40" s="11" t="inlineStr">
        <is>
          <t>PSV-76 Výplně otvorů</t>
        </is>
      </c>
      <c r="C40" s="11" t="inlineStr">
        <is>
          <t>Montáž — Bezpečnostní dveře RC3 v ocelové zárubni — vrata skladu (TZ statika §1.4 RC3 certifikované)</t>
        </is>
      </c>
      <c r="D40" s="10" t="inlineStr">
        <is>
          <t>ks</t>
        </is>
      </c>
      <c r="E40" s="12" t="n">
        <v>1</v>
      </c>
      <c r="F40" s="11" t="inlineStr">
        <is>
          <t>1 ks vstupní dveře skladu</t>
        </is>
      </c>
      <c r="G40" s="11" t="inlineStr">
        <is>
          <t>766682111</t>
        </is>
      </c>
      <c r="H40" s="10" t="inlineStr">
        <is>
          <t>⚠ kandidát-verify</t>
        </is>
      </c>
      <c r="I40" s="11" t="inlineStr">
        <is>
          <t>260217_sklad.PSV76.001</t>
        </is>
      </c>
      <c r="J40" s="11" t="inlineStr"/>
      <c r="K40" s="11" t="inlineStr">
        <is>
          <t>Montáž (práce).</t>
        </is>
      </c>
    </row>
    <row r="41">
      <c r="A41" s="17" t="n">
        <v>34</v>
      </c>
      <c r="B41" s="18" t="inlineStr">
        <is>
          <t>PSV-76 Výplně otvorů</t>
        </is>
      </c>
      <c r="C41" s="18" t="inlineStr">
        <is>
          <t>Dodávka — Dodávka oceli S235 (válcované profily) (Bezpečnostní dveře RC3 v ocelové zárubni — vra)</t>
        </is>
      </c>
      <c r="D41" s="17" t="inlineStr">
        <is>
          <t>ks</t>
        </is>
      </c>
      <c r="E41" s="19" t="n">
        <v>1.03</v>
      </c>
      <c r="F41" s="18">
        <f> montáž × 1.03</f>
        <v/>
      </c>
      <c r="G41" s="18" t="inlineStr"/>
      <c r="H41" s="17" t="inlineStr">
        <is>
          <t>❌ blank — ÚRS online</t>
        </is>
      </c>
      <c r="I41" s="18" t="inlineStr">
        <is>
          <t>260217_sklad.PSV76.001</t>
        </is>
      </c>
      <c r="J41" s="18" t="inlineStr"/>
      <c r="K41" s="18" t="inlineStr">
        <is>
          <t>Materiál (dodávka). Ztratné 3 %.  Doplnit leaf z CS ÚRS online (app.urs.cz, cen. úroveň 2026 01) dle família + popis + Vzorec.</t>
        </is>
      </c>
    </row>
    <row r="42">
      <c r="A42" s="8" t="inlineStr">
        <is>
          <t>━━ PSV-76 Zámečnictví  (1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35</v>
      </c>
      <c r="B43" s="18" t="inlineStr">
        <is>
          <t>PSV-76 Zámečnictví</t>
        </is>
      </c>
      <c r="C43" s="18" t="inlineStr">
        <is>
          <t>Vjezdová brána ocelová — dodávka + montáž</t>
        </is>
      </c>
      <c r="D43" s="17" t="inlineStr">
        <is>
          <t>ks</t>
        </is>
      </c>
      <c r="E43" s="19" t="n">
        <v>1</v>
      </c>
      <c r="F43" s="18">
        <f> 1 brána</f>
        <v/>
      </c>
      <c r="G43" s="18" t="inlineStr"/>
      <c r="H43" s="17" t="inlineStr">
        <is>
          <t>❌ blank — ÚRS online</t>
        </is>
      </c>
      <c r="I43" s="18" t="inlineStr">
        <is>
          <t>260217_sklad.PSV76.002 → PSV76.002a</t>
        </is>
      </c>
      <c r="J43" s="18" t="inlineStr"/>
      <c r="K43" s="18" t="inlineStr">
        <is>
          <t>Dodatek PD č.1.  Doplnit leaf z CS ÚRS online (app.urs.cz, cen. úroveň 2026 01) dle família + popis + Vzorec.</t>
        </is>
      </c>
    </row>
    <row r="44">
      <c r="A44" s="8" t="inlineStr">
        <is>
          <t>━━ PSV-77 Podlahy  (1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7" t="n">
        <v>36</v>
      </c>
      <c r="B45" s="18" t="inlineStr">
        <is>
          <t>PSV-77 Podlahy</t>
        </is>
      </c>
      <c r="C45" s="18" t="inlineStr">
        <is>
          <t>Betonová dlažba do pískového lože — povrch podlahy skladu (~21 m²)</t>
        </is>
      </c>
      <c r="D45" s="17" t="inlineStr">
        <is>
          <t>m²</t>
        </is>
      </c>
      <c r="E45" s="19" t="n">
        <v>17.6</v>
      </c>
      <c r="F45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45" s="18" t="inlineStr"/>
      <c r="H45" s="17" t="inlineStr">
        <is>
          <t>❌ blank — ÚRS online</t>
        </is>
      </c>
      <c r="I45" s="18" t="inlineStr">
        <is>
          <t>260217_sklad.PSV77.001</t>
        </is>
      </c>
      <c r="J45" s="18" t="inlineStr">
        <is>
          <t>S01_sklad</t>
        </is>
      </c>
      <c r="K45" s="18" t="inlineStr">
        <is>
          <t>Carried 1:1 (atomic / komplet / služba — no split)  Doplnit leaf z CS ÚRS online (app.urs.cz, cen. úroveň 2026 01) dle família + popis + Vzorec.</t>
        </is>
      </c>
    </row>
    <row r="46">
      <c r="A46" s="8" t="inlineStr">
        <is>
          <t>━━ VRN — Doprava + odpad  (2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0" t="n">
        <v>37</v>
      </c>
      <c r="B47" s="11" t="inlineStr">
        <is>
          <t>VRN — Doprava + odpad</t>
        </is>
      </c>
      <c r="C47" s="11" t="inlineStr">
        <is>
          <t>Doprava prefa H-BLOK Standard z výrobny Herkul (Obrnice) auto s hydraulickou rukou — celkem ~60 ks bloků</t>
        </is>
      </c>
      <c r="D47" s="10" t="inlineStr">
        <is>
          <t>kpl</t>
        </is>
      </c>
      <c r="E47" s="12" t="n">
        <v>1</v>
      </c>
      <c r="F47" s="11" t="inlineStr">
        <is>
          <t>Standard doprava prefa Herkul autem s hyd. rukou pro lokální distribuci</t>
        </is>
      </c>
      <c r="G47" s="11" t="inlineStr">
        <is>
          <t>031032000</t>
        </is>
      </c>
      <c r="H47" s="10" t="inlineStr">
        <is>
          <t>⚠ kandidát-verify</t>
        </is>
      </c>
      <c r="I47" s="11" t="inlineStr">
        <is>
          <t>260217_sklad.VRN.001</t>
        </is>
      </c>
      <c r="J47" s="11" t="inlineStr"/>
      <c r="K47" s="11" t="inlineStr">
        <is>
          <t>Carried 1:1 (atomic / komplet / služba — no split)</t>
        </is>
      </c>
    </row>
    <row r="48">
      <c r="A48" s="10" t="n">
        <v>38</v>
      </c>
      <c r="B48" s="11" t="inlineStr">
        <is>
          <t>VRN — Doprava + odpad</t>
        </is>
      </c>
      <c r="C48" s="11" t="inlineStr">
        <is>
          <t>Likvidace odpadu sklad — kameny ze zídek + výkop + dřevo (drobné množství)</t>
        </is>
      </c>
      <c r="D48" s="10" t="inlineStr">
        <is>
          <t>t</t>
        </is>
      </c>
      <c r="E48" s="12" t="n">
        <v>8</v>
      </c>
      <c r="F48" s="11" t="inlineStr">
        <is>
          <t>Odhad: kamenné zídky ~6 t + dřevo+výkop ~2 t = 8 t</t>
        </is>
      </c>
      <c r="G48" s="11" t="inlineStr">
        <is>
          <t>997013211</t>
        </is>
      </c>
      <c r="H48" s="10" t="inlineStr">
        <is>
          <t>⚠ kandidát-verify</t>
        </is>
      </c>
      <c r="I48" s="11" t="inlineStr">
        <is>
          <t>260217_sklad.VRN.002</t>
        </is>
      </c>
      <c r="J48" s="11" t="inlineStr"/>
      <c r="K48" s="11" t="inlineStr">
        <is>
          <t>Carried 1:1 (atomic / komplet / služba — no split)</t>
        </is>
      </c>
    </row>
    <row r="49">
      <c r="A49" s="8" t="inlineStr">
        <is>
          <t>━━ VRN — Geodet  (1 atomic operací) ━━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10" t="n">
        <v>39</v>
      </c>
      <c r="B50" s="11" t="inlineStr">
        <is>
          <t>VRN — Geodet</t>
        </is>
      </c>
      <c r="C50" s="11" t="inlineStr">
        <is>
          <t>Geodetické vytýčení sklad+parking+schodiště ze situace (před realizací)</t>
        </is>
      </c>
      <c r="D50" s="10" t="inlineStr">
        <is>
          <t>kpl</t>
        </is>
      </c>
      <c r="E50" s="12" t="n">
        <v>1</v>
      </c>
      <c r="F50" s="11" t="inlineStr">
        <is>
          <t>Standard geodet vytýčení pro nový objekt</t>
        </is>
      </c>
      <c r="G50" s="11" t="inlineStr">
        <is>
          <t>030141000</t>
        </is>
      </c>
      <c r="H50" s="10" t="inlineStr">
        <is>
          <t>⚠ kandidát-verify</t>
        </is>
      </c>
      <c r="I50" s="11" t="inlineStr">
        <is>
          <t>260217_sklad.VRN.101</t>
        </is>
      </c>
      <c r="J50" s="11" t="inlineStr"/>
      <c r="K50" s="11" t="inlineStr">
        <is>
          <t>Carried 1:1 (atomic / komplet / služba — no split)</t>
        </is>
      </c>
    </row>
    <row r="51">
      <c r="A51" s="8" t="inlineStr">
        <is>
          <t>━━ VRN — Společné  (1 atomic operací) ━━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10" t="n">
        <v>40</v>
      </c>
      <c r="B52" s="11" t="inlineStr">
        <is>
          <t>VRN — Společné</t>
        </is>
      </c>
      <c r="C52" s="11" t="inlineStr">
        <is>
          <t>Podíl na obecných VRN domu (buňky, BOZP, pojištění, kolaudace) — paušál ~10 % nákladů sklad nebo % alokace</t>
        </is>
      </c>
      <c r="D52" s="10" t="inlineStr">
        <is>
          <t>paušál</t>
        </is>
      </c>
      <c r="E52" s="12" t="n">
        <v>1</v>
      </c>
      <c r="F52" s="11" t="inlineStr">
        <is>
          <t>Standard paušální alokace VRN pro paralelně realizovaný menší objekt</t>
        </is>
      </c>
      <c r="G52" s="11" t="inlineStr">
        <is>
          <t>030001000</t>
        </is>
      </c>
      <c r="H52" s="10" t="inlineStr">
        <is>
          <t>⚠ kandidát-verify</t>
        </is>
      </c>
      <c r="I52" s="11" t="inlineStr">
        <is>
          <t>260217_sklad.VRN.201</t>
        </is>
      </c>
      <c r="J52" s="11" t="inlineStr"/>
      <c r="K52" s="11" t="inlineStr">
        <is>
          <t>Carried 1:1 (atomic / komplet / služba — no split)</t>
        </is>
      </c>
    </row>
    <row r="53">
      <c r="A53" s="8" t="inlineStr">
        <is>
          <t>━━ HSV-5 Komunikace + vjezd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7" t="n">
        <v>41</v>
      </c>
      <c r="B54" s="18" t="inlineStr">
        <is>
          <t>HSV-5 Komunikace + vjezd</t>
        </is>
      </c>
      <c r="C54" s="18" t="inlineStr">
        <is>
          <t>Betonová dlažba napojení vjezdu na komunikaci Dvořákova</t>
        </is>
      </c>
      <c r="D54" s="17" t="inlineStr">
        <is>
          <t>m²</t>
        </is>
      </c>
      <c r="E54" s="19" t="n"/>
      <c r="F54" s="18" t="inlineStr">
        <is>
          <t>neurčeno — situace C.3.R1 OVĚŘIT</t>
        </is>
      </c>
      <c r="G54" s="18" t="inlineStr"/>
      <c r="H54" s="17" t="inlineStr">
        <is>
          <t>❌ blank — ÚRS online</t>
        </is>
      </c>
      <c r="I54" s="18" t="inlineStr">
        <is>
          <t>260217_sklad.HSV5.002 → HSV5.002a</t>
        </is>
      </c>
      <c r="J54" s="18" t="inlineStr"/>
      <c r="K54" s="18" t="inlineStr">
        <is>
          <t>Dlažba (Dodatek PD č.1).  Doplnit leaf z CS ÚRS online (app.urs.cz, cen. úroveň 2026 01) dle família + popis + Vzorec.</t>
        </is>
      </c>
    </row>
    <row r="55">
      <c r="A55" s="17" t="n">
        <v>42</v>
      </c>
      <c r="B55" s="18" t="inlineStr">
        <is>
          <t>HSV-5 Komunikace + vjezd</t>
        </is>
      </c>
      <c r="C55" s="18" t="inlineStr">
        <is>
          <t>Podkladní vrstva kameniva pod dlažbu vjezdu</t>
        </is>
      </c>
      <c r="D55" s="17" t="inlineStr">
        <is>
          <t>m²</t>
        </is>
      </c>
      <c r="E55" s="19" t="n"/>
      <c r="F55" s="18" t="inlineStr">
        <is>
          <t>neurčeno — OVĚŘIT</t>
        </is>
      </c>
      <c r="G55" s="18" t="inlineStr"/>
      <c r="H55" s="17" t="inlineStr">
        <is>
          <t>❌ blank — ÚRS online</t>
        </is>
      </c>
      <c r="I55" s="18" t="inlineStr">
        <is>
          <t>260217_sklad.HSV5.002 → HSV5.002b</t>
        </is>
      </c>
      <c r="J55" s="18" t="inlineStr"/>
      <c r="K55" s="18" t="inlineStr">
        <is>
          <t>Podklad.  Doplnit leaf z CS ÚRS online (app.urs.cz, cen. úroveň 2026 01) dle família + popis + Vzorec.</t>
        </is>
      </c>
    </row>
    <row r="56">
      <c r="A56" s="17" t="n">
        <v>43</v>
      </c>
      <c r="B56" s="18" t="inlineStr">
        <is>
          <t>HSV-5 Komunikace + vjezd</t>
        </is>
      </c>
      <c r="C56" s="18" t="inlineStr">
        <is>
          <t>Spádování + odvodnění dešťové vody na pozemek investora</t>
        </is>
      </c>
      <c r="D56" s="17" t="inlineStr">
        <is>
          <t>soubor</t>
        </is>
      </c>
      <c r="E56" s="19" t="n"/>
      <c r="F56" s="18" t="inlineStr">
        <is>
          <t>neurčeno — OVĚŘIT</t>
        </is>
      </c>
      <c r="G56" s="18" t="inlineStr"/>
      <c r="H56" s="17" t="inlineStr">
        <is>
          <t>❌ blank — ÚRS online</t>
        </is>
      </c>
      <c r="I56" s="18" t="inlineStr">
        <is>
          <t>260217_sklad.HSV5.002 → HSV5.002c</t>
        </is>
      </c>
      <c r="J56" s="18" t="inlineStr"/>
      <c r="K56" s="18" t="inlineStr">
        <is>
          <t>Odvodnění dle DI PČR (ne na komunikaci).  Doplnit leaf z CS ÚRS online (app.urs.cz, cen. úroveň 2026 01) dle família + popis + Vzorec.</t>
        </is>
      </c>
    </row>
    <row r="57">
      <c r="A57" s="8" t="inlineStr">
        <is>
          <t>━━ VRN — Geodet / PČR  (1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7" t="n">
        <v>44</v>
      </c>
      <c r="B58" s="18" t="inlineStr">
        <is>
          <t>VRN — Geodet / PČR</t>
        </is>
      </c>
      <c r="C58" s="18" t="inlineStr">
        <is>
          <t>Vytyčení + kontrola rozhledových trojúhelníků (Vn=40, Dz=25 m)</t>
        </is>
      </c>
      <c r="D58" s="17" t="inlineStr">
        <is>
          <t>soubor</t>
        </is>
      </c>
      <c r="E58" s="19" t="n">
        <v>1</v>
      </c>
      <c r="F58" s="18">
        <f> 1 soubor</f>
        <v/>
      </c>
      <c r="G58" s="18" t="inlineStr"/>
      <c r="H58" s="17" t="inlineStr">
        <is>
          <t>❌ blank — ÚRS online</t>
        </is>
      </c>
      <c r="I58" s="18" t="inlineStr">
        <is>
          <t>260217_sklad.VRN.003 → VRN.003a</t>
        </is>
      </c>
      <c r="J58" s="18" t="inlineStr"/>
      <c r="K58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53:K53"/>
    <mergeCell ref="A37:K37"/>
    <mergeCell ref="A26:K26"/>
    <mergeCell ref="A39:K39"/>
    <mergeCell ref="A57:K57"/>
    <mergeCell ref="A2:K2"/>
    <mergeCell ref="A49:K49"/>
    <mergeCell ref="A51:K51"/>
    <mergeCell ref="A42:K42"/>
    <mergeCell ref="A46:K46"/>
    <mergeCell ref="A44:K44"/>
    <mergeCell ref="A17:K17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260217_sklad.HSV2.003</t>
        </is>
      </c>
      <c r="B10" s="15" t="inlineStr">
        <is>
          <t>HSV-2 Základové a ŽB</t>
        </is>
      </c>
      <c r="C10" s="15" t="inlineStr">
        <is>
          <t>Dvoustupňové patky pro IPE180 — horní část z tvarovek ztraceného bednění 300×300 mm × 7 ks</t>
        </is>
      </c>
      <c r="D10" s="14" t="inlineStr">
        <is>
          <t>ks</t>
        </is>
      </c>
      <c r="E10" s="16" t="n">
        <v>7</v>
      </c>
      <c r="F10" s="14" t="n">
        <v>2</v>
      </c>
      <c r="G10" s="15" t="inlineStr">
        <is>
          <t>HSV2.003a, HSV2.003b</t>
        </is>
      </c>
    </row>
    <row r="11">
      <c r="A11" s="15" t="inlineStr">
        <is>
          <t>260219_dum.HSV3.003</t>
        </is>
      </c>
      <c r="B11" s="15" t="inlineStr">
        <is>
          <t>HSV-3 Svislé konstrukce</t>
        </is>
      </c>
      <c r="C11" s="15" t="inlineStr">
        <is>
          <t>Ocelové překlady IPN160 ve dvojici nad otvory pro nové dveře/okna v 1.NP a 2.NP (8 otvorů odhad)</t>
        </is>
      </c>
      <c r="D11" s="14" t="inlineStr">
        <is>
          <t>ks</t>
        </is>
      </c>
      <c r="E11" s="16" t="n">
        <v>8</v>
      </c>
      <c r="F11" s="14" t="n">
        <v>2</v>
      </c>
      <c r="G11" s="15" t="inlineStr">
        <is>
          <t>HSV3.003a, HSV3.003b</t>
        </is>
      </c>
    </row>
    <row r="12">
      <c r="A12" s="15" t="inlineStr">
        <is>
          <t>260219_dum.HSV3.004</t>
        </is>
      </c>
      <c r="B12" s="15" t="inlineStr">
        <is>
          <t>HSV-3 Svislé konstrukce</t>
        </is>
      </c>
      <c r="C12" s="15" t="inlineStr">
        <is>
          <t>Maltové uložení překladů IPN160 — MC25 tl. 50 mm + kari 5/100/100 (po obou stranách otvoru)</t>
        </is>
      </c>
      <c r="D12" s="14" t="inlineStr">
        <is>
          <t>kpl</t>
        </is>
      </c>
      <c r="E12" s="16" t="n">
        <v>16</v>
      </c>
      <c r="F12" s="14" t="n">
        <v>2</v>
      </c>
      <c r="G12" s="15" t="inlineStr">
        <is>
          <t>HSV3.004a, HSV3.004b</t>
        </is>
      </c>
    </row>
    <row r="13">
      <c r="A13" s="15" t="inlineStr">
        <is>
          <t>260219_dum.HSV3.005</t>
        </is>
      </c>
      <c r="B13" s="15" t="inlineStr">
        <is>
          <t>HSV-3 Svislé konstrukce</t>
        </is>
      </c>
      <c r="C13" s="15" t="inlineStr">
        <is>
          <t>Zesílení ostění úhelníky L100/10 dvojicí u otvoru u komínového tělesa (statická limitace)</t>
        </is>
      </c>
      <c r="D13" s="14" t="inlineStr">
        <is>
          <t>ks</t>
        </is>
      </c>
      <c r="E13" s="16" t="n">
        <v>4</v>
      </c>
      <c r="F13" s="14" t="n">
        <v>2</v>
      </c>
      <c r="G13" s="15" t="inlineStr">
        <is>
          <t>HSV3.005a, HSV3.005b</t>
        </is>
      </c>
    </row>
    <row r="14">
      <c r="A14" s="15" t="inlineStr">
        <is>
          <t>260217_sklad.HSV3.002</t>
        </is>
      </c>
      <c r="B14" s="15" t="inlineStr">
        <is>
          <t>HSV-3 Svislé konstrukce</t>
        </is>
      </c>
      <c r="C14" s="15" t="inlineStr">
        <is>
          <t>Obvodové stěny skladu — tvarovky ztraceného bednění tl. 250 mm × výška 2.4 m + zalití C25/30</t>
        </is>
      </c>
      <c r="D14" s="14" t="inlineStr">
        <is>
          <t>m²</t>
        </is>
      </c>
      <c r="E14" s="16" t="n">
        <v>46.5</v>
      </c>
      <c r="F14" s="14" t="n">
        <v>2</v>
      </c>
      <c r="G14" s="15" t="inlineStr">
        <is>
          <t>HSV3.002a, HSV3.002b</t>
        </is>
      </c>
    </row>
    <row r="15">
      <c r="A15" s="15" t="inlineStr">
        <is>
          <t>260217_sklad.HSV3.003</t>
        </is>
      </c>
      <c r="B15" s="15" t="inlineStr">
        <is>
          <t>HSV-3 Svislé konstrukce</t>
        </is>
      </c>
      <c r="C15" s="15" t="inlineStr">
        <is>
          <t>Výztuž B500B do tvarovek ztraceného bednění (~30 kg/m² stěny při zalití C25/30)</t>
        </is>
      </c>
      <c r="D15" s="14" t="inlineStr">
        <is>
          <t>kg</t>
        </is>
      </c>
      <c r="E15" s="16" t="n">
        <v>1398</v>
      </c>
      <c r="F15" s="14" t="n">
        <v>2</v>
      </c>
      <c r="G15" s="15" t="inlineStr">
        <is>
          <t>HSV3.003a, HSV3.003b</t>
        </is>
      </c>
    </row>
    <row r="16">
      <c r="A16" s="15" t="inlineStr">
        <is>
          <t>260219_dum.HSV4.005</t>
        </is>
      </c>
      <c r="B16" s="15" t="inlineStr">
        <is>
          <t>HSV-4 Vodorovné</t>
        </is>
      </c>
      <c r="C16" s="15" t="inlineStr">
        <is>
          <t>Trapézový plech 40S/160 tl. 0.75 mm — dodávka + montáž na stropnice IPE180</t>
        </is>
      </c>
      <c r="D16" s="14" t="inlineStr">
        <is>
          <t>m²</t>
        </is>
      </c>
      <c r="E16" s="16" t="n">
        <v>104.4</v>
      </c>
      <c r="F16" s="14" t="n">
        <v>2</v>
      </c>
      <c r="G16" s="15" t="inlineStr">
        <is>
          <t>HSV4.005a, HSV4.005b</t>
        </is>
      </c>
    </row>
    <row r="17">
      <c r="A17" s="15" t="inlineStr">
        <is>
          <t>260219_dum.HSV4.011</t>
        </is>
      </c>
      <c r="B17" s="15" t="inlineStr">
        <is>
          <t>HSV-4 Vodorovné</t>
        </is>
      </c>
      <c r="C17" s="15" t="inlineStr">
        <is>
          <t>Tepelná izolace minerální vata mezi trámy stropu 1.NP/2.NP, tl. 180 mm (= trám 60/180)</t>
        </is>
      </c>
      <c r="D17" s="14" t="inlineStr">
        <is>
          <t>m²</t>
        </is>
      </c>
      <c r="E17" s="16" t="n">
        <v>100</v>
      </c>
      <c r="F17" s="14" t="n">
        <v>2</v>
      </c>
      <c r="G17" s="15" t="inlineStr">
        <is>
          <t>HSV4.011a, HSV4.011b</t>
        </is>
      </c>
    </row>
    <row r="18">
      <c r="A18" s="15" t="inlineStr">
        <is>
          <t>260219_dum.HSV4.012</t>
        </is>
      </c>
      <c r="B18" s="15" t="inlineStr">
        <is>
          <t>HSV-4 Vodorovné</t>
        </is>
      </c>
      <c r="C18" s="15" t="inlineStr">
        <is>
          <t>Protipožární SDK podhled zespodu trámového stropu (EI 30 dle PBŘ)</t>
        </is>
      </c>
      <c r="D18" s="14" t="inlineStr">
        <is>
          <t>m²</t>
        </is>
      </c>
      <c r="E18" s="16" t="n">
        <v>100</v>
      </c>
      <c r="F18" s="14" t="n">
        <v>2</v>
      </c>
      <c r="G18" s="15" t="inlineStr">
        <is>
          <t>HSV4.012a, HSV4.012b</t>
        </is>
      </c>
    </row>
    <row r="19">
      <c r="A19" s="15" t="inlineStr">
        <is>
          <t>260219_dum.HSV4.014</t>
        </is>
      </c>
      <c r="B19" s="15" t="inlineStr">
        <is>
          <t>HSV-4 Vodorovné</t>
        </is>
      </c>
      <c r="C19" s="15" t="inlineStr">
        <is>
          <t>Suchá podlahová skladba — sádrovláknité dílce Fermacell tl. 25 mm (dva 12.5 mm vrstvy)</t>
        </is>
      </c>
      <c r="D19" s="14" t="inlineStr">
        <is>
          <t>m²</t>
        </is>
      </c>
      <c r="E19" s="16" t="n">
        <v>100</v>
      </c>
      <c r="F19" s="14" t="n">
        <v>2</v>
      </c>
      <c r="G19" s="15" t="inlineStr">
        <is>
          <t>HSV4.014a, HSV4.014b</t>
        </is>
      </c>
    </row>
    <row r="20">
      <c r="A20" s="15" t="inlineStr">
        <is>
          <t>260217_sklad.HSV4.001</t>
        </is>
      </c>
      <c r="B20" s="15" t="inlineStr">
        <is>
          <t>HSV-4 Vodorovné</t>
        </is>
      </c>
      <c r="C20" s="15" t="inlineStr">
        <is>
          <t>Dřevěné stropnice 100/160 mm á 625 mm primární zastřešení skladu — rezivo C24 fungicidní</t>
        </is>
      </c>
      <c r="D20" s="14" t="inlineStr">
        <is>
          <t>bm</t>
        </is>
      </c>
      <c r="E20" s="16" t="n">
        <v>36.74</v>
      </c>
      <c r="F20" s="14" t="n">
        <v>2</v>
      </c>
      <c r="G20" s="15" t="inlineStr">
        <is>
          <t>HSV4.001a, HSV4.001b</t>
        </is>
      </c>
    </row>
    <row r="21">
      <c r="A21" s="15" t="inlineStr">
        <is>
          <t>260217_sklad.HSV4.003</t>
        </is>
      </c>
      <c r="B21" s="15" t="inlineStr">
        <is>
          <t>HSV-4 Vodorovné</t>
        </is>
      </c>
      <c r="C21" s="15" t="inlineStr">
        <is>
          <t>Hydroizolační střešní souvrství skladu (modifikovaný asfaltový pás SBS + ochranná vrstva)</t>
        </is>
      </c>
      <c r="D21" s="14" t="inlineStr">
        <is>
          <t>m²</t>
        </is>
      </c>
      <c r="E21" s="16" t="n">
        <v>22.26945</v>
      </c>
      <c r="F21" s="14" t="n">
        <v>2</v>
      </c>
      <c r="G21" s="15" t="inlineStr">
        <is>
          <t>HSV4.003a, HSV4.003b</t>
        </is>
      </c>
    </row>
    <row r="22">
      <c r="A22" s="15" t="inlineStr">
        <is>
          <t>260217_sklad.HSV4.004</t>
        </is>
      </c>
      <c r="B22" s="15" t="inlineStr">
        <is>
          <t>HSV-4 Vodorovné</t>
        </is>
      </c>
      <c r="C22" s="15" t="inlineStr">
        <is>
          <t>Sekundární zastřešení parkingu — IPE180 v rozteči 1000 mm × délka 7 m × 7 ks</t>
        </is>
      </c>
      <c r="D22" s="14" t="inlineStr">
        <is>
          <t>kg</t>
        </is>
      </c>
      <c r="E22" s="16" t="n">
        <v>921</v>
      </c>
      <c r="F22" s="14" t="n">
        <v>2</v>
      </c>
      <c r="G22" s="15" t="inlineStr">
        <is>
          <t>HSV4.004a, HSV4.004b</t>
        </is>
      </c>
    </row>
    <row r="23">
      <c r="A23" s="15" t="inlineStr">
        <is>
          <t>260217_sklad.HSV4.006</t>
        </is>
      </c>
      <c r="B23" s="15" t="inlineStr">
        <is>
          <t>HSV-4 Vodorovné</t>
        </is>
      </c>
      <c r="C23" s="15" t="inlineStr">
        <is>
          <t>Žárově zinková povrchová úprava IPE180 + pororoštů dle ČSN EN ISO 12944 (C3 prostředí)</t>
        </is>
      </c>
      <c r="D23" s="14" t="inlineStr">
        <is>
          <t>kg</t>
        </is>
      </c>
      <c r="E23" s="16" t="n">
        <v>1551</v>
      </c>
      <c r="F23" s="14" t="n">
        <v>2</v>
      </c>
      <c r="G23" s="15" t="inlineStr">
        <is>
          <t>HSV4.006a, HSV4.006b</t>
        </is>
      </c>
    </row>
    <row r="24">
      <c r="A24" s="15" t="inlineStr">
        <is>
          <t>260219_dum.HSV5.001</t>
        </is>
      </c>
      <c r="B24" s="15" t="inlineStr">
        <is>
          <t>HSV-5 Krov + střecha</t>
        </is>
      </c>
      <c r="C24" s="15" t="inlineStr">
        <is>
          <t>Tesařský krov — krokve 100/180 mm á 800 mm, rezivo C24 fungicidní + protihmyzí (cca 2×12 krokví × ~6.5 m)</t>
        </is>
      </c>
      <c r="D24" s="14" t="inlineStr">
        <is>
          <t>bm</t>
        </is>
      </c>
      <c r="E24" s="16" t="n">
        <v>156</v>
      </c>
      <c r="F24" s="14" t="n">
        <v>2</v>
      </c>
      <c r="G24" s="15" t="inlineStr">
        <is>
          <t>HSV5.001a, HSV5.001b</t>
        </is>
      </c>
    </row>
    <row r="25">
      <c r="A25" s="15" t="inlineStr">
        <is>
          <t>260219_dum.HSV5.002</t>
        </is>
      </c>
      <c r="B25" s="15" t="inlineStr">
        <is>
          <t>HSV-5 Krov + střecha</t>
        </is>
      </c>
      <c r="C25" s="15" t="inlineStr">
        <is>
          <t>Tesařský krov — kleštiny dvojfošny 60/180 mm probíhající v oblasti spací části</t>
        </is>
      </c>
      <c r="D25" s="14" t="inlineStr">
        <is>
          <t>bm</t>
        </is>
      </c>
      <c r="E25" s="16" t="n">
        <v>110</v>
      </c>
      <c r="F25" s="14" t="n">
        <v>2</v>
      </c>
      <c r="G25" s="15" t="inlineStr">
        <is>
          <t>HSV5.002a, HSV5.002b</t>
        </is>
      </c>
    </row>
    <row r="26">
      <c r="A26" s="15" t="inlineStr">
        <is>
          <t>260219_dum.HSV5.003</t>
        </is>
      </c>
      <c r="B26" s="15" t="inlineStr">
        <is>
          <t>HSV-5 Krov + střecha</t>
        </is>
      </c>
      <c r="C26" s="15" t="inlineStr">
        <is>
          <t>Tesařský krov — pozednice 140/160 mm kotvená do ŽB věnce 3.NP</t>
        </is>
      </c>
      <c r="D26" s="14" t="inlineStr">
        <is>
          <t>bm</t>
        </is>
      </c>
      <c r="E26" s="16" t="n">
        <v>19.4</v>
      </c>
      <c r="F26" s="14" t="n">
        <v>2</v>
      </c>
      <c r="G26" s="15" t="inlineStr">
        <is>
          <t>HSV5.003a, HSV5.003b</t>
        </is>
      </c>
    </row>
    <row r="27">
      <c r="A27" s="15" t="inlineStr">
        <is>
          <t>260219_dum.HSV5.004</t>
        </is>
      </c>
      <c r="B27" s="15" t="inlineStr">
        <is>
          <t>HSV-5 Krov + střecha</t>
        </is>
      </c>
      <c r="C27" s="15" t="inlineStr">
        <is>
          <t>Tesařský krov — námětky 60/100 v dolní koncové části pro přesah střechy ~500 mm</t>
        </is>
      </c>
      <c r="D27" s="14" t="inlineStr">
        <is>
          <t>bm</t>
        </is>
      </c>
      <c r="E27" s="16" t="n">
        <v>19.2</v>
      </c>
      <c r="F27" s="14" t="n">
        <v>2</v>
      </c>
      <c r="G27" s="15" t="inlineStr">
        <is>
          <t>HSV5.004a, HSV5.004b</t>
        </is>
      </c>
    </row>
    <row r="28">
      <c r="A28" s="15" t="inlineStr">
        <is>
          <t>260219_dum.HSV5.005</t>
        </is>
      </c>
      <c r="B28" s="15" t="inlineStr">
        <is>
          <t>HSV-5 Krov + střecha</t>
        </is>
      </c>
      <c r="C28" s="15" t="inlineStr">
        <is>
          <t>Ocelová středová vaznice HEA160 — 2 ks × cca 10 m délka</t>
        </is>
      </c>
      <c r="D28" s="14" t="inlineStr">
        <is>
          <t>kg</t>
        </is>
      </c>
      <c r="E28" s="16" t="n">
        <v>608</v>
      </c>
      <c r="F28" s="14" t="n">
        <v>2</v>
      </c>
      <c r="G28" s="15" t="inlineStr">
        <is>
          <t>HSV5.005a, HSV5.005b</t>
        </is>
      </c>
    </row>
    <row r="29">
      <c r="A29" s="15" t="inlineStr">
        <is>
          <t>260219_dum.HSV5.006</t>
        </is>
      </c>
      <c r="B29" s="15" t="inlineStr">
        <is>
          <t>HSV-5 Krov + střecha</t>
        </is>
      </c>
      <c r="C29" s="15" t="inlineStr">
        <is>
          <t>Ocelové sloupky uzavřený profil 100×100×4 mm pod vaznice HEA160 (~6 ks × ~2.5 m výška)</t>
        </is>
      </c>
      <c r="D29" s="14" t="inlineStr">
        <is>
          <t>kg</t>
        </is>
      </c>
      <c r="E29" s="16" t="n">
        <v>176</v>
      </c>
      <c r="F29" s="14" t="n">
        <v>2</v>
      </c>
      <c r="G29" s="15" t="inlineStr">
        <is>
          <t>HSV5.006a, HSV5.006b</t>
        </is>
      </c>
    </row>
    <row r="30">
      <c r="A30" s="15" t="inlineStr">
        <is>
          <t>260219_dum.HSV5.007</t>
        </is>
      </c>
      <c r="B30" s="15" t="inlineStr">
        <is>
          <t>HSV-5 Krov + střecha</t>
        </is>
      </c>
      <c r="C30" s="15" t="inlineStr">
        <is>
          <t>Bednění z prken tl. 20 mm pod nadkrokevní PIR (biodeska/palubka)</t>
        </is>
      </c>
      <c r="D30" s="14" t="inlineStr">
        <is>
          <t>m²</t>
        </is>
      </c>
      <c r="E30" s="16" t="n">
        <v>140.94</v>
      </c>
      <c r="F30" s="14" t="n">
        <v>2</v>
      </c>
      <c r="G30" s="15" t="inlineStr">
        <is>
          <t>HSV5.007a, HSV5.007b</t>
        </is>
      </c>
    </row>
    <row r="31">
      <c r="A31" s="15" t="inlineStr">
        <is>
          <t>260219_dum.HSV5.008</t>
        </is>
      </c>
      <c r="B31" s="15" t="inlineStr">
        <is>
          <t>HSV-5 Krov + střecha</t>
        </is>
      </c>
      <c r="C31" s="15" t="inlineStr">
        <is>
          <t>Parotěsná folie nad bedněním pod nadkrokevní PIR (např. Isover Vario nebo Tyvek Air guard)</t>
        </is>
      </c>
      <c r="D31" s="14" t="inlineStr">
        <is>
          <t>m²</t>
        </is>
      </c>
      <c r="E31" s="16" t="n">
        <v>155.034</v>
      </c>
      <c r="F31" s="14" t="n">
        <v>2</v>
      </c>
      <c r="G31" s="15" t="inlineStr">
        <is>
          <t>HSV5.008a, HSV5.008b</t>
        </is>
      </c>
    </row>
    <row r="32">
      <c r="A32" s="15" t="inlineStr">
        <is>
          <t>260219_dum.HSV5.009</t>
        </is>
      </c>
      <c r="B32" s="15" t="inlineStr">
        <is>
          <t>HSV-5 Krov + střecha</t>
        </is>
      </c>
      <c r="C32" s="15" t="inlineStr">
        <is>
          <t>Nadkrokevní tepelná izolace PIR (polyisokyanurát) tl. 160 mm (λ=0,022 W/mK) — řez A-A S10 explicit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HSV5.009a, HSV5.009b</t>
        </is>
      </c>
    </row>
    <row r="33">
      <c r="A33" s="15" t="inlineStr">
        <is>
          <t>260219_dum.HSV5.010</t>
        </is>
      </c>
      <c r="B33" s="15" t="inlineStr">
        <is>
          <t>HSV-5 Krov + střecha</t>
        </is>
      </c>
      <c r="C33" s="15" t="inlineStr">
        <is>
          <t>Doplňková hydroizolační difuzně otevřená folie nad PIR pod kontralatě</t>
        </is>
      </c>
      <c r="D33" s="14" t="inlineStr">
        <is>
          <t>m²</t>
        </is>
      </c>
      <c r="E33" s="16" t="n">
        <v>155.034</v>
      </c>
      <c r="F33" s="14" t="n">
        <v>2</v>
      </c>
      <c r="G33" s="15" t="inlineStr">
        <is>
          <t>HSV5.010a, HSV5.010b</t>
        </is>
      </c>
    </row>
    <row r="34">
      <c r="A34" s="15" t="inlineStr">
        <is>
          <t>260219_dum.HSV5.011</t>
        </is>
      </c>
      <c r="B34" s="15" t="inlineStr">
        <is>
          <t>HSV-5 Krov + střecha</t>
        </is>
      </c>
      <c r="C34" s="15" t="inlineStr">
        <is>
          <t>Distanční kontralatě 40×60 mm pro vzduchovou mezeru nad PIR</t>
        </is>
      </c>
      <c r="D34" s="14" t="inlineStr">
        <is>
          <t>m²</t>
        </is>
      </c>
      <c r="E34" s="16" t="n">
        <v>140.94</v>
      </c>
      <c r="F34" s="14" t="n">
        <v>2</v>
      </c>
      <c r="G34" s="15" t="inlineStr">
        <is>
          <t>HSV5.011a, HSV5.011b</t>
        </is>
      </c>
    </row>
    <row r="35">
      <c r="A35" s="15" t="inlineStr">
        <is>
          <t>260219_dum.HSV5.012</t>
        </is>
      </c>
      <c r="B35" s="15" t="inlineStr">
        <is>
          <t>HSV-5 Krov + střecha</t>
        </is>
      </c>
      <c r="C35" s="15" t="inlineStr">
        <is>
          <t>Bednění z prken tl. 25 mm pod plechovou hliníkovou krytinu (rozsah dle technologie krytiny)</t>
        </is>
      </c>
      <c r="D35" s="14" t="inlineStr">
        <is>
          <t>m²</t>
        </is>
      </c>
      <c r="E35" s="16" t="n">
        <v>140.94</v>
      </c>
      <c r="F35" s="14" t="n">
        <v>2</v>
      </c>
      <c r="G35" s="15" t="inlineStr">
        <is>
          <t>HSV5.012a, HSV5.012b</t>
        </is>
      </c>
    </row>
    <row r="36">
      <c r="A36" s="15" t="inlineStr">
        <is>
          <t>260219_dum.HSV5.013</t>
        </is>
      </c>
      <c r="B36" s="15" t="inlineStr">
        <is>
          <t>HSV-5 Krov + střecha</t>
        </is>
      </c>
      <c r="C36" s="15" t="inlineStr">
        <is>
          <t>Plechová falcovaná HLINÍKOVÁ krytina (např. PREFA, Rheinzink, Lindab) + tlumící podložka</t>
        </is>
      </c>
      <c r="D36" s="14" t="inlineStr">
        <is>
          <t>m²</t>
        </is>
      </c>
      <c r="E36" s="16" t="n">
        <v>140.94</v>
      </c>
      <c r="F36" s="14" t="n">
        <v>2</v>
      </c>
      <c r="G36" s="15" t="inlineStr">
        <is>
          <t>HSV5.013a, HSV5.013b</t>
        </is>
      </c>
    </row>
    <row r="37">
      <c r="A37" s="15" t="inlineStr">
        <is>
          <t>260219_dum.HSV5.014</t>
        </is>
      </c>
      <c r="B37" s="15" t="inlineStr">
        <is>
          <t>HSV-5 Krov + střecha</t>
        </is>
      </c>
      <c r="C37" s="15" t="inlineStr">
        <is>
          <t>Patro pro přespání v krovu — biodeska / OSB desky tl. 22 mm nad kleštinami</t>
        </is>
      </c>
      <c r="D37" s="14" t="inlineStr">
        <is>
          <t>m²</t>
        </is>
      </c>
      <c r="E37" s="16" t="n">
        <v>25</v>
      </c>
      <c r="F37" s="14" t="n">
        <v>2</v>
      </c>
      <c r="G37" s="15" t="inlineStr">
        <is>
          <t>HSV5.014a, HSV5.014b</t>
        </is>
      </c>
    </row>
    <row r="38">
      <c r="A38" s="15" t="inlineStr">
        <is>
          <t>260219_dum.HSV5.016</t>
        </is>
      </c>
      <c r="B38" s="15" t="inlineStr">
        <is>
          <t>HSV-5 Krov + střecha</t>
        </is>
      </c>
      <c r="C38" s="15" t="inlineStr">
        <is>
          <t>Vikýře — provětrávaná fasáda min. vata + plech falcovaný hliník (4 vikýře × ~6 m² fasády)</t>
        </is>
      </c>
      <c r="D38" s="14" t="inlineStr">
        <is>
          <t>m²</t>
        </is>
      </c>
      <c r="E38" s="16" t="n">
        <v>24</v>
      </c>
      <c r="F38" s="14" t="n">
        <v>5</v>
      </c>
      <c r="G38" s="15" t="inlineStr">
        <is>
          <t>HSV5.016a, HSV5.016b, HSV5.016c, HSV5.016d, HSV5.016e</t>
        </is>
      </c>
    </row>
    <row r="39">
      <c r="A39" s="15" t="inlineStr">
        <is>
          <t>260219_dum.HSV7.002</t>
        </is>
      </c>
      <c r="B39" s="15" t="inlineStr">
        <is>
          <t>HSV-7 Fasáda ETICS</t>
        </is>
      </c>
      <c r="C39" s="15" t="inlineStr">
        <is>
          <t xml:space="preserve">ETICS kontaktní zateplení — EPS 70F grey λ=0.032 tl. 160 mm + síťka + lepidlo + zatírací stěrka (řez S01+S12a explicit, </t>
        </is>
      </c>
      <c r="D39" s="14" t="inlineStr">
        <is>
          <t>m²</t>
        </is>
      </c>
      <c r="E39" s="16" t="n">
        <v>276.7</v>
      </c>
      <c r="F39" s="14" t="n">
        <v>3</v>
      </c>
      <c r="G39" s="15" t="inlineStr">
        <is>
          <t>HSV7.002a, HSV7.002b, HSV7.002c</t>
        </is>
      </c>
    </row>
    <row r="40">
      <c r="A40" s="15" t="inlineStr">
        <is>
          <t>260219_dum.HSV7.004</t>
        </is>
      </c>
      <c r="B40" s="15" t="inlineStr">
        <is>
          <t>HSV-7 Fasáda ETICS</t>
        </is>
      </c>
      <c r="C40" s="15" t="inlineStr">
        <is>
          <t>Špalety oken — EPS přesah 35-40 mm + síťka + omítka</t>
        </is>
      </c>
      <c r="D40" s="14" t="inlineStr">
        <is>
          <t>bm</t>
        </is>
      </c>
      <c r="E40" s="16" t="n">
        <v>82.2</v>
      </c>
      <c r="F40" s="14" t="n">
        <v>2</v>
      </c>
      <c r="G40" s="15" t="inlineStr">
        <is>
          <t>HSV7.004a, HSV7.004b</t>
        </is>
      </c>
    </row>
    <row r="41">
      <c r="A41" s="15" t="inlineStr">
        <is>
          <t>260219_dum.HSV7.005</t>
        </is>
      </c>
      <c r="B41" s="15" t="inlineStr">
        <is>
          <t>HSV-7 Fasáda ETICS</t>
        </is>
      </c>
      <c r="C41" s="15" t="inlineStr">
        <is>
          <t>Profilace fasády — různé tloušťky EPS (kordony, šambrány, rámování oken) — paušál podle pohledů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HSV7.005a, HSV7.005b</t>
        </is>
      </c>
    </row>
    <row r="42">
      <c r="A42" s="15" t="inlineStr">
        <is>
          <t>260219_dum.PSV71.001</t>
        </is>
      </c>
      <c r="B42" s="15" t="inlineStr">
        <is>
          <t>PSV-71 Izolace HI</t>
        </is>
      </c>
      <c r="C42" s="15" t="inlineStr">
        <is>
          <t>Hydroizolace pod ŽB deskou 1.NP — modifikované asfaltové pásy SBS 2× (zároveň protiradonová bariéra)</t>
        </is>
      </c>
      <c r="D42" s="14" t="inlineStr">
        <is>
          <t>m²</t>
        </is>
      </c>
      <c r="E42" s="16" t="n">
        <v>80.40000000000001</v>
      </c>
      <c r="F42" s="14" t="n">
        <v>2</v>
      </c>
      <c r="G42" s="15" t="inlineStr">
        <is>
          <t>PSV71.001a, PSV71.001b</t>
        </is>
      </c>
    </row>
    <row r="43">
      <c r="A43" s="15" t="inlineStr">
        <is>
          <t>260219_dum.PSV76.001</t>
        </is>
      </c>
      <c r="B43" s="15" t="inlineStr">
        <is>
          <t>PSV-76 Výplně otvorů</t>
        </is>
      </c>
      <c r="C43" s="15" t="inlineStr">
        <is>
          <t>Plastové okno izolačním trojsklem Uw=0.85 W/m²K — typ 'okno 1.NP' velikost 1185×1600 mm × 2 ks (fasáda ulice)</t>
        </is>
      </c>
      <c r="D43" s="14" t="inlineStr">
        <is>
          <t>ks</t>
        </is>
      </c>
      <c r="E43" s="16" t="n">
        <v>2</v>
      </c>
      <c r="F43" s="14" t="n">
        <v>2</v>
      </c>
      <c r="G43" s="15" t="inlineStr">
        <is>
          <t>PSV76.001a, PSV76.001b</t>
        </is>
      </c>
    </row>
    <row r="44">
      <c r="A44" s="15" t="inlineStr">
        <is>
          <t>260219_dum.PSV76.002</t>
        </is>
      </c>
      <c r="B44" s="15" t="inlineStr">
        <is>
          <t>PSV-76 Výplně otvorů</t>
        </is>
      </c>
      <c r="C44" s="15" t="inlineStr">
        <is>
          <t>Plastové okno izolačním trojsklem Uw=0.85 W/m²K — typ 'okno 1.NP vzadu' velikost 920×1600 mm × 3 ks (fasáda zahrada)</t>
        </is>
      </c>
      <c r="D44" s="14" t="inlineStr">
        <is>
          <t>ks</t>
        </is>
      </c>
      <c r="E44" s="16" t="n">
        <v>3</v>
      </c>
      <c r="F44" s="14" t="n">
        <v>2</v>
      </c>
      <c r="G44" s="15" t="inlineStr">
        <is>
          <t>PSV76.002a, PSV76.002b</t>
        </is>
      </c>
    </row>
    <row r="45">
      <c r="A45" s="15" t="inlineStr">
        <is>
          <t>260219_dum.PSV76.003</t>
        </is>
      </c>
      <c r="B45" s="15" t="inlineStr">
        <is>
          <t>PSV-76 Výplně otvorů</t>
        </is>
      </c>
      <c r="C45" s="15" t="inlineStr">
        <is>
          <t>Plastové okno izolačním trojsklem Uw=0.85 W/m²K — typ 'okno 2.NP' velikost 1160×1480 mm × 4 ks (fasáda ulice)</t>
        </is>
      </c>
      <c r="D45" s="14" t="inlineStr">
        <is>
          <t>ks</t>
        </is>
      </c>
      <c r="E45" s="16" t="n">
        <v>4</v>
      </c>
      <c r="F45" s="14" t="n">
        <v>2</v>
      </c>
      <c r="G45" s="15" t="inlineStr">
        <is>
          <t>PSV76.003a, PSV76.003b</t>
        </is>
      </c>
    </row>
    <row r="46">
      <c r="A46" s="15" t="inlineStr">
        <is>
          <t>260219_dum.PSV76.004</t>
        </is>
      </c>
      <c r="B46" s="15" t="inlineStr">
        <is>
          <t>PSV-76 Výplně otvorů</t>
        </is>
      </c>
      <c r="C46" s="15" t="inlineStr">
        <is>
          <t>Plastové okno izolačním trojsklem Uw=0.85 W/m²K — typ 'okno 3.NP' velikost 1785×1241 mm × 3 ks (fasáda ulice)</t>
        </is>
      </c>
      <c r="D46" s="14" t="inlineStr">
        <is>
          <t>ks</t>
        </is>
      </c>
      <c r="E46" s="16" t="n">
        <v>3</v>
      </c>
      <c r="F46" s="14" t="n">
        <v>2</v>
      </c>
      <c r="G46" s="15" t="inlineStr">
        <is>
          <t>PSV76.004a, PSV76.004b</t>
        </is>
      </c>
    </row>
    <row r="47">
      <c r="A47" s="15" t="inlineStr">
        <is>
          <t>260219_dum.PSV76.005</t>
        </is>
      </c>
      <c r="B47" s="15" t="inlineStr">
        <is>
          <t>PSV-76 Výplně otvorů</t>
        </is>
      </c>
      <c r="C47" s="15" t="inlineStr">
        <is>
          <t>Plastové okno izolačním trojsklem Uw=0.85 W/m²K — typ 'okno 3.NP vzadu' velikost 2075×1241 mm × 1 ks (fasáda zahrada)</t>
        </is>
      </c>
      <c r="D47" s="14" t="inlineStr">
        <is>
          <t>ks</t>
        </is>
      </c>
      <c r="E47" s="16" t="n">
        <v>1</v>
      </c>
      <c r="F47" s="14" t="n">
        <v>2</v>
      </c>
      <c r="G47" s="15" t="inlineStr">
        <is>
          <t>PSV76.005a, PSV76.005b</t>
        </is>
      </c>
    </row>
    <row r="48">
      <c r="A48" s="15" t="inlineStr">
        <is>
          <t>260219_dum.PSV76.006</t>
        </is>
      </c>
      <c r="B48" s="15" t="inlineStr">
        <is>
          <t>PSV-76 Výplně otvorů</t>
        </is>
      </c>
      <c r="C48" s="15" t="inlineStr">
        <is>
          <t>Plastové okno izolačním trojsklem Uw=0.85 W/m²K — typ 'okno male 3.NP vzadu' velikost 800×1241 mm × 1 ks (fasáda zahrada</t>
        </is>
      </c>
      <c r="D48" s="14" t="inlineStr">
        <is>
          <t>ks</t>
        </is>
      </c>
      <c r="E48" s="16" t="n">
        <v>1</v>
      </c>
      <c r="F48" s="14" t="n">
        <v>2</v>
      </c>
      <c r="G48" s="15" t="inlineStr">
        <is>
          <t>PSV76.006a, PSV76.006b</t>
        </is>
      </c>
    </row>
    <row r="49">
      <c r="A49" s="15" t="inlineStr">
        <is>
          <t>260219_dum.PSV76.007</t>
        </is>
      </c>
      <c r="B49" s="15" t="inlineStr">
        <is>
          <t>PSV-76 Výplně otvorů</t>
        </is>
      </c>
      <c r="C49" s="15" t="inlineStr">
        <is>
          <t>Plastové okno izolačním trojsklem Uw=0.85 W/m²K — typ 'okno malé vzadu' velikost 700×800 mm × 2 ks (fasáda zahrada)</t>
        </is>
      </c>
      <c r="D49" s="14" t="inlineStr">
        <is>
          <t>ks</t>
        </is>
      </c>
      <c r="E49" s="16" t="n">
        <v>2</v>
      </c>
      <c r="F49" s="14" t="n">
        <v>2</v>
      </c>
      <c r="G49" s="15" t="inlineStr">
        <is>
          <t>PSV76.007a, PSV76.007b</t>
        </is>
      </c>
    </row>
    <row r="50">
      <c r="A50" s="15" t="inlineStr">
        <is>
          <t>260219_dum.PSV76.009</t>
        </is>
      </c>
      <c r="B50" s="15" t="inlineStr">
        <is>
          <t>PSV-76 Výplně otvorů</t>
        </is>
      </c>
      <c r="C50" s="15" t="inlineStr">
        <is>
          <t>Plastové vstupní dveře (ulice + zahrada) — 2 ks</t>
        </is>
      </c>
      <c r="D50" s="14" t="inlineStr">
        <is>
          <t>ks</t>
        </is>
      </c>
      <c r="E50" s="16" t="n">
        <v>2</v>
      </c>
      <c r="F50" s="14" t="n">
        <v>2</v>
      </c>
      <c r="G50" s="15" t="inlineStr">
        <is>
          <t>PSV76.009a, PSV76.009b</t>
        </is>
      </c>
    </row>
    <row r="51">
      <c r="A51" s="15" t="inlineStr">
        <is>
          <t>260219_dum.PSV76.010</t>
        </is>
      </c>
      <c r="B51" s="15" t="inlineStr">
        <is>
          <t>PSV-76 Výplně otvorů</t>
        </is>
      </c>
      <c r="C51" s="15" t="inlineStr">
        <is>
          <t>Vnitřní dveře DTD laminované s obložkovou zárubní — odhad 15 ks</t>
        </is>
      </c>
      <c r="D51" s="14" t="inlineStr">
        <is>
          <t>ks</t>
        </is>
      </c>
      <c r="E51" s="16" t="n">
        <v>15</v>
      </c>
      <c r="F51" s="14" t="n">
        <v>2</v>
      </c>
      <c r="G51" s="15" t="inlineStr">
        <is>
          <t>PSV76.010a, PSV76.010b</t>
        </is>
      </c>
    </row>
    <row r="52">
      <c r="A52" s="15" t="inlineStr">
        <is>
          <t>260219_dum.PSV76.101</t>
        </is>
      </c>
      <c r="B52" s="15" t="inlineStr">
        <is>
          <t>PSV-76 Klempíř</t>
        </is>
      </c>
      <c r="C52" s="15" t="inlineStr">
        <is>
          <t>Klempířské oplechování krytiny — úžlabí, hřeben, štítové lemy (Al / Pzn lakovaný 0.55 mm)</t>
        </is>
      </c>
      <c r="D52" s="14" t="inlineStr">
        <is>
          <t>bm</t>
        </is>
      </c>
      <c r="E52" s="16" t="n">
        <v>69.5</v>
      </c>
      <c r="F52" s="14" t="n">
        <v>2</v>
      </c>
      <c r="G52" s="15" t="inlineStr">
        <is>
          <t>PSV76.101a, PSV76.101b</t>
        </is>
      </c>
    </row>
    <row r="53">
      <c r="A53" s="15" t="inlineStr">
        <is>
          <t>260219_dum.PSV76.102</t>
        </is>
      </c>
      <c r="B53" s="15" t="inlineStr">
        <is>
          <t>PSV-76 Klempíř</t>
        </is>
      </c>
      <c r="C53" s="15" t="inlineStr">
        <is>
          <t>Venkovní parapety oken — Pzn plech lakovaný 250 mm × tl. 0.55 mm × 16 ks oken</t>
        </is>
      </c>
      <c r="D53" s="14" t="inlineStr">
        <is>
          <t>bm</t>
        </is>
      </c>
      <c r="E53" s="16" t="n">
        <v>20.8</v>
      </c>
      <c r="F53" s="14" t="n">
        <v>2</v>
      </c>
      <c r="G53" s="15" t="inlineStr">
        <is>
          <t>PSV76.102a, PSV76.102b</t>
        </is>
      </c>
    </row>
    <row r="54">
      <c r="A54" s="15" t="inlineStr">
        <is>
          <t>260219_dum.PSV76.103</t>
        </is>
      </c>
      <c r="B54" s="15" t="inlineStr">
        <is>
          <t>PSV-76 Klempíř</t>
        </is>
      </c>
      <c r="C54" s="15" t="inlineStr">
        <is>
          <t>Dešťové svody Pzn 100 mm + žlaby — 4 svody × ~14 m + žlaby per obvod střechy</t>
        </is>
      </c>
      <c r="D54" s="14" t="inlineStr">
        <is>
          <t>bm</t>
        </is>
      </c>
      <c r="E54" s="16" t="n">
        <v>43.5</v>
      </c>
      <c r="F54" s="14" t="n">
        <v>2</v>
      </c>
      <c r="G54" s="15" t="inlineStr">
        <is>
          <t>PSV76.103a, PSV76.103b</t>
        </is>
      </c>
    </row>
    <row r="55">
      <c r="A55" s="15" t="inlineStr">
        <is>
          <t>260219_dum.PSV76.202</t>
        </is>
      </c>
      <c r="B55" s="15" t="inlineStr">
        <is>
          <t>PSV-76 Zámečnictví</t>
        </is>
      </c>
      <c r="C55" s="15" t="inlineStr">
        <is>
          <t>Interní ocelové schodiště do spacího patra v 3.NP s dřevěnými stupni (truhlářské)</t>
        </is>
      </c>
      <c r="D55" s="14" t="inlineStr">
        <is>
          <t>kpl</t>
        </is>
      </c>
      <c r="E55" s="16" t="n">
        <v>1</v>
      </c>
      <c r="F55" s="14" t="n">
        <v>2</v>
      </c>
      <c r="G55" s="15" t="inlineStr">
        <is>
          <t>PSV76.202a, PSV76.202b</t>
        </is>
      </c>
    </row>
    <row r="56">
      <c r="A56" s="15" t="inlineStr">
        <is>
          <t>260219_dum.PSV76.203</t>
        </is>
      </c>
      <c r="B56" s="15" t="inlineStr">
        <is>
          <t>PSV-76 Zámečnictví</t>
        </is>
      </c>
      <c r="C56" s="15" t="inlineStr">
        <is>
          <t>Stříšky nad vstupy z ocelové konstrukce + Cetris desky + falcovaná krytina — 2 ks (ulice + zahrada)</t>
        </is>
      </c>
      <c r="D56" s="14" t="inlineStr">
        <is>
          <t>ks</t>
        </is>
      </c>
      <c r="E56" s="16" t="n">
        <v>2</v>
      </c>
      <c r="F56" s="14" t="n">
        <v>2</v>
      </c>
      <c r="G56" s="15" t="inlineStr">
        <is>
          <t>PSV76.203a, PSV76.203b</t>
        </is>
      </c>
    </row>
    <row r="57">
      <c r="A57" s="15" t="inlineStr">
        <is>
          <t>260219_dum.PSV76.204</t>
        </is>
      </c>
      <c r="B57" s="15" t="inlineStr">
        <is>
          <t>PSV-76 Zámečnictví</t>
        </is>
      </c>
      <c r="C57" s="15" t="inlineStr">
        <is>
          <t>Ocelové zábradlí svařované z jeklů + nerez výplň pZn antracit — schodiště interier + venkovní terasa</t>
        </is>
      </c>
      <c r="D57" s="14" t="inlineStr">
        <is>
          <t>bm</t>
        </is>
      </c>
      <c r="E57" s="16" t="n">
        <v>18</v>
      </c>
      <c r="F57" s="14" t="n">
        <v>2</v>
      </c>
      <c r="G57" s="15" t="inlineStr">
        <is>
          <t>PSV76.204a, PSV76.204b</t>
        </is>
      </c>
    </row>
    <row r="58">
      <c r="A58" s="15" t="inlineStr">
        <is>
          <t>260219_dum.PSV76.301</t>
        </is>
      </c>
      <c r="B58" s="15" t="inlineStr">
        <is>
          <t>PSV-76 Truhlář</t>
        </is>
      </c>
      <c r="C58" s="15" t="inlineStr">
        <is>
          <t>Dřevěné stupně ocelových schodišť (truhlářské, dub masiv tl. 40 mm)</t>
        </is>
      </c>
      <c r="D58" s="14" t="inlineStr">
        <is>
          <t>ks</t>
        </is>
      </c>
      <c r="E58" s="16" t="n">
        <v>16</v>
      </c>
      <c r="F58" s="14" t="n">
        <v>2</v>
      </c>
      <c r="G58" s="15" t="inlineStr">
        <is>
          <t>PSV76.301a, PSV76.301b</t>
        </is>
      </c>
    </row>
    <row r="59">
      <c r="A59" s="15" t="inlineStr">
        <is>
          <t>260219_dum.PSV76.302</t>
        </is>
      </c>
      <c r="B59" s="15" t="inlineStr">
        <is>
          <t>PSV-76 Truhlář</t>
        </is>
      </c>
      <c r="C59" s="15" t="inlineStr">
        <is>
          <t>Dřevěná terasa za opěrnou stěnou — prkna garapa 145×25 mm na dřevěném roštu z hranolů 50 mm na rektifikovatelných terčíc</t>
        </is>
      </c>
      <c r="D59" s="14" t="inlineStr">
        <is>
          <t>m²</t>
        </is>
      </c>
      <c r="E59" s="16" t="n">
        <v>9.23</v>
      </c>
      <c r="F59" s="14" t="n">
        <v>2</v>
      </c>
      <c r="G59" s="15" t="inlineStr">
        <is>
          <t>PSV76.302a, PSV76.302b</t>
        </is>
      </c>
    </row>
    <row r="60">
      <c r="A60" s="15" t="inlineStr">
        <is>
          <t>260219_dum.PSV77.002</t>
        </is>
      </c>
      <c r="B60" s="15" t="inlineStr">
        <is>
          <t>PSV-77 Podlahy</t>
        </is>
      </c>
      <c r="C60" s="15" t="inlineStr">
        <is>
          <t>Nášlapná vrstva keramická dlažba lepená — koupelny + WC + spíž + komora (NÁDRŽ NP)</t>
        </is>
      </c>
      <c r="D60" s="14" t="inlineStr">
        <is>
          <t>m²</t>
        </is>
      </c>
      <c r="E60" s="16" t="n">
        <v>13.5</v>
      </c>
      <c r="F60" s="14" t="n">
        <v>2</v>
      </c>
      <c r="G60" s="15" t="inlineStr">
        <is>
          <t>PSV77.002a, PSV77.002b</t>
        </is>
      </c>
    </row>
    <row r="61">
      <c r="A61" s="15" t="inlineStr">
        <is>
          <t>260219_dum.PSV77.003</t>
        </is>
      </c>
      <c r="B61" s="15" t="inlineStr">
        <is>
          <t>PSV-77 Podlahy</t>
        </is>
      </c>
      <c r="C61" s="15" t="inlineStr">
        <is>
          <t>Nášlapná vrstva keramická dlažba — 1.PP technické místnosti (sušárna + sklepy + schodiště + chodba)</t>
        </is>
      </c>
      <c r="D61" s="14" t="inlineStr">
        <is>
          <t>m²</t>
        </is>
      </c>
      <c r="E61" s="16" t="n">
        <v>32.4</v>
      </c>
      <c r="F61" s="14" t="n">
        <v>2</v>
      </c>
      <c r="G61" s="15" t="inlineStr">
        <is>
          <t>PSV77.003a, PSV77.003b</t>
        </is>
      </c>
    </row>
    <row r="62">
      <c r="A62" s="15" t="inlineStr">
        <is>
          <t>260219_dum.PSV77.004</t>
        </is>
      </c>
      <c r="B62" s="15" t="inlineStr">
        <is>
          <t>PSV-77 Podlahy</t>
        </is>
      </c>
      <c r="C62" s="15" t="inlineStr">
        <is>
          <t>Nášlapná vrstva biodeska (smrk masiv) nebo OSB v 3.NP spací části nad krovem</t>
        </is>
      </c>
      <c r="D62" s="14" t="inlineStr">
        <is>
          <t>m²</t>
        </is>
      </c>
      <c r="E62" s="16" t="n">
        <v>25</v>
      </c>
      <c r="F62" s="14" t="n">
        <v>2</v>
      </c>
      <c r="G62" s="15" t="inlineStr">
        <is>
          <t>PSV77.004a, PSV77.004b</t>
        </is>
      </c>
    </row>
    <row r="63">
      <c r="A63" s="15" t="inlineStr">
        <is>
          <t>260219_dum.PSV77.007</t>
        </is>
      </c>
      <c r="B63" s="15" t="inlineStr">
        <is>
          <t>PSV-77 Podlahy</t>
        </is>
      </c>
      <c r="C63" s="15" t="inlineStr">
        <is>
          <t>Soklíky keramické v místnostech s dlažbou (koupelny + WC + spíž + 1.PP)</t>
        </is>
      </c>
      <c r="D63" s="14" t="inlineStr">
        <is>
          <t>bm</t>
        </is>
      </c>
      <c r="E63" s="16" t="n">
        <v>19.28</v>
      </c>
      <c r="F63" s="14" t="n">
        <v>2</v>
      </c>
      <c r="G63" s="15" t="inlineStr">
        <is>
          <t>PSV77.007a, PSV77.007b</t>
        </is>
      </c>
    </row>
    <row r="64">
      <c r="A64" s="15" t="inlineStr">
        <is>
          <t>260219_dum.PSV78.001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1.PP (stávající vyspravené + nové zděné)</t>
        </is>
      </c>
      <c r="D64" s="14" t="inlineStr">
        <is>
          <t>m²</t>
        </is>
      </c>
      <c r="E64" s="16" t="n">
        <v>78.2</v>
      </c>
      <c r="F64" s="14" t="n">
        <v>2</v>
      </c>
      <c r="G64" s="15" t="inlineStr">
        <is>
          <t>PSV78.001a, PSV78.001b</t>
        </is>
      </c>
    </row>
    <row r="65">
      <c r="A65" s="15" t="inlineStr">
        <is>
          <t>260219_dum.PSV78.002</t>
        </is>
      </c>
      <c r="B65" s="15" t="inlineStr">
        <is>
          <t>PSV-78 Povrchové úpravy</t>
        </is>
      </c>
      <c r="C65" s="15" t="inlineStr">
        <is>
          <t>Omítka jádrová vápenocementová tl. 15 mm + štuková povrchová úprava na stěnách 1.NP (stávající vyspravené + nové zděné)</t>
        </is>
      </c>
      <c r="D65" s="14" t="inlineStr">
        <is>
          <t>m²</t>
        </is>
      </c>
      <c r="E65" s="16" t="n">
        <v>208.4</v>
      </c>
      <c r="F65" s="14" t="n">
        <v>2</v>
      </c>
      <c r="G65" s="15" t="inlineStr">
        <is>
          <t>PSV78.002a, PSV78.002b</t>
        </is>
      </c>
    </row>
    <row r="66">
      <c r="A66" s="15" t="inlineStr">
        <is>
          <t>260219_dum.PSV78.003</t>
        </is>
      </c>
      <c r="B66" s="15" t="inlineStr">
        <is>
          <t>PSV-78 Povrchové úpravy</t>
        </is>
      </c>
      <c r="C66" s="15" t="inlineStr">
        <is>
          <t>Omítka jádrová vápenocementová tl. 15 mm + štuková povrchová úprava na stěnách 2.NP (stávající vyspravené + nové zděné)</t>
        </is>
      </c>
      <c r="D66" s="14" t="inlineStr">
        <is>
          <t>m²</t>
        </is>
      </c>
      <c r="E66" s="16" t="n">
        <v>201.6</v>
      </c>
      <c r="F66" s="14" t="n">
        <v>2</v>
      </c>
      <c r="G66" s="15" t="inlineStr">
        <is>
          <t>PSV78.003a, PSV78.003b</t>
        </is>
      </c>
    </row>
    <row r="67">
      <c r="A67" s="15" t="inlineStr">
        <is>
          <t>260219_dum.PSV78.004</t>
        </is>
      </c>
      <c r="B67" s="15" t="inlineStr">
        <is>
          <t>PSV-78 Povrchové úpravy</t>
        </is>
      </c>
      <c r="C67" s="15" t="inlineStr">
        <is>
          <t>Omítka jádrová vápenocementová tl. 15 mm + štuková povrchová úprava na stěnách 3.NP (stávající vyspravené + nové zděné)</t>
        </is>
      </c>
      <c r="D67" s="14" t="inlineStr">
        <is>
          <t>m²</t>
        </is>
      </c>
      <c r="E67" s="16" t="n">
        <v>179.1</v>
      </c>
      <c r="F67" s="14" t="n">
        <v>2</v>
      </c>
      <c r="G67" s="15" t="inlineStr">
        <is>
          <t>PSV78.004a, PSV78.004b</t>
        </is>
      </c>
    </row>
    <row r="68">
      <c r="A68" s="15" t="inlineStr">
        <is>
          <t>260219_dum.PSV78.008</t>
        </is>
      </c>
      <c r="B68" s="15" t="inlineStr">
        <is>
          <t>PSV-78 Povrchové úpravy</t>
        </is>
      </c>
      <c r="C68" s="15" t="inlineStr">
        <is>
          <t>Keramický obklad stěn koupelny 1.05 1.NP — výška obkladu 1.6 m (z DXF km Obklady layer)</t>
        </is>
      </c>
      <c r="D68" s="14" t="inlineStr">
        <is>
          <t>m²</t>
        </is>
      </c>
      <c r="E68" s="16" t="n">
        <v>13.4</v>
      </c>
      <c r="F68" s="14" t="n">
        <v>2</v>
      </c>
      <c r="G68" s="15" t="inlineStr">
        <is>
          <t>PSV78.008a, PSV78.008b</t>
        </is>
      </c>
    </row>
    <row r="69">
      <c r="A69" s="15" t="inlineStr">
        <is>
          <t>260219_dum.PSV78.009</t>
        </is>
      </c>
      <c r="B69" s="15" t="inlineStr">
        <is>
          <t>PSV-78 Povrchové úpravy</t>
        </is>
      </c>
      <c r="C69" s="15" t="inlineStr">
        <is>
          <t>Keramický obklad stěn koupelny 2.03 2.NP — výška obkladu 2.45 m (z DXF km Obklady layer)</t>
        </is>
      </c>
      <c r="D69" s="14" t="inlineStr">
        <is>
          <t>m²</t>
        </is>
      </c>
      <c r="E69" s="16" t="n">
        <v>15.2</v>
      </c>
      <c r="F69" s="14" t="n">
        <v>2</v>
      </c>
      <c r="G69" s="15" t="inlineStr">
        <is>
          <t>PSV78.009a, PSV78.009b</t>
        </is>
      </c>
    </row>
    <row r="70">
      <c r="A70" s="15" t="inlineStr">
        <is>
          <t>260219_dum.PSV78.010</t>
        </is>
      </c>
      <c r="B70" s="15" t="inlineStr">
        <is>
          <t>PSV-78 Povrchové úpravy</t>
        </is>
      </c>
      <c r="C70" s="15" t="inlineStr">
        <is>
          <t>Keramický obklad stěn koupelny 3.04 3.NP — výška obkladu 2.7 m (z DXF km Obklady layer)</t>
        </is>
      </c>
      <c r="D70" s="14" t="inlineStr">
        <is>
          <t>m²</t>
        </is>
      </c>
      <c r="E70" s="16" t="n">
        <v>24.3</v>
      </c>
      <c r="F70" s="14" t="n">
        <v>2</v>
      </c>
      <c r="G70" s="15" t="inlineStr">
        <is>
          <t>PSV78.010a, PSV78.010b</t>
        </is>
      </c>
    </row>
    <row r="71">
      <c r="A71" s="15" t="inlineStr">
        <is>
          <t>260219_dum.PSV78.011</t>
        </is>
      </c>
      <c r="B71" s="15" t="inlineStr">
        <is>
          <t>PSV-78 Povrchové úpravy</t>
        </is>
      </c>
      <c r="C71" s="15" t="inlineStr">
        <is>
          <t>Keramický obklad za kuchyňskou linkou nad pracovní deskou — 2 kuchyně × ~5 m² (1.06 byt rodičů + 3.05 byt 3.NP)</t>
        </is>
      </c>
      <c r="D71" s="14" t="inlineStr">
        <is>
          <t>m²</t>
        </is>
      </c>
      <c r="E71" s="16" t="n">
        <v>10</v>
      </c>
      <c r="F71" s="14" t="n">
        <v>2</v>
      </c>
      <c r="G71" s="15" t="inlineStr">
        <is>
          <t>PSV78.011a, PSV78.011b</t>
        </is>
      </c>
    </row>
    <row r="72">
      <c r="A72" s="15" t="inlineStr">
        <is>
          <t>260219_dum.PSV95.001</t>
        </is>
      </c>
      <c r="B72" s="15" t="inlineStr">
        <is>
          <t>PSV-95 Detekce požární</t>
        </is>
      </c>
      <c r="C72" s="15" t="inlineStr">
        <is>
          <t>Autonomní hlásič kouře dle ČSN EN 14604 — 4 ks v místnostech 1.01, 1.02, 2.04, 3.03 dle PBŘ</t>
        </is>
      </c>
      <c r="D72" s="14" t="inlineStr">
        <is>
          <t>ks</t>
        </is>
      </c>
      <c r="E72" s="16" t="n">
        <v>4</v>
      </c>
      <c r="F72" s="14" t="n">
        <v>2</v>
      </c>
      <c r="G72" s="15" t="inlineStr">
        <is>
          <t>PSV95.001a, PSV95.001b</t>
        </is>
      </c>
    </row>
    <row r="73">
      <c r="A73" s="15" t="inlineStr">
        <is>
          <t>260219_dum.PSV95.002</t>
        </is>
      </c>
      <c r="B73" s="15" t="inlineStr">
        <is>
          <t>PSV-95 Detekce požární</t>
        </is>
      </c>
      <c r="C73" s="15" t="inlineStr">
        <is>
          <t>Přenosný hasicí přístroj 34A dle PBŘ — min. 1 ks na společné chodbě</t>
        </is>
      </c>
      <c r="D73" s="14" t="inlineStr">
        <is>
          <t>ks</t>
        </is>
      </c>
      <c r="E73" s="16" t="n">
        <v>1</v>
      </c>
      <c r="F73" s="14" t="n">
        <v>2</v>
      </c>
      <c r="G73" s="15" t="inlineStr">
        <is>
          <t>PSV95.002a, PSV95.002b</t>
        </is>
      </c>
    </row>
    <row r="74">
      <c r="A74" s="15" t="inlineStr">
        <is>
          <t>260217_sklad.PSV76.001</t>
        </is>
      </c>
      <c r="B74" s="15" t="inlineStr">
        <is>
          <t>PSV-76 Výplně otvorů</t>
        </is>
      </c>
      <c r="C74" s="15" t="inlineStr">
        <is>
          <t>Bezpečnostní dveře RC3 v ocelové zárubni — vrata skladu (TZ statika §1.4 RC3 certifikované)</t>
        </is>
      </c>
      <c r="D74" s="14" t="inlineStr">
        <is>
          <t>ks</t>
        </is>
      </c>
      <c r="E74" s="16" t="n">
        <v>1</v>
      </c>
      <c r="F74" s="14" t="n">
        <v>2</v>
      </c>
      <c r="G74" s="15" t="inlineStr">
        <is>
          <t>PSV76.001a, PSV76.001b</t>
        </is>
      </c>
    </row>
    <row r="75">
      <c r="A75" s="15" t="inlineStr">
        <is>
          <t>260219_dum.PSV72.002</t>
        </is>
      </c>
      <c r="B75" s="15" t="inlineStr">
        <is>
          <t>PSV-72 ZTI</t>
        </is>
      </c>
      <c r="C75" s="15" t="inlineStr">
        <is>
          <t>Nové rozvody studené + teplé vody do koupelen 1.NP + 2.NP + 3.NP a kuchyní (PEX/Cu, dimenze DN15-25)</t>
        </is>
      </c>
      <c r="D75" s="14" t="inlineStr">
        <is>
          <t>bm</t>
        </is>
      </c>
      <c r="E75" s="16" t="n">
        <v>80</v>
      </c>
      <c r="F75" s="14" t="n">
        <v>2</v>
      </c>
      <c r="G75" s="15" t="inlineStr">
        <is>
          <t>PSV72.002a, PSV72.002b</t>
        </is>
      </c>
    </row>
    <row r="76">
      <c r="A76" s="15" t="inlineStr">
        <is>
          <t>260219_dum.PSV72.003</t>
        </is>
      </c>
      <c r="B76" s="15" t="inlineStr">
        <is>
          <t>PSV-72 ZTI</t>
        </is>
      </c>
      <c r="C76" s="15" t="inlineStr">
        <is>
          <t>Nové odpadní rozvody PVC-HT DN40-DN110 ke koupelnám 1.NP, 2.NP, 3.NP a kuchyním + napojení na stávající</t>
        </is>
      </c>
      <c r="D76" s="14" t="inlineStr">
        <is>
          <t>bm</t>
        </is>
      </c>
      <c r="E76" s="16" t="n">
        <v>60</v>
      </c>
      <c r="F76" s="14" t="n">
        <v>2</v>
      </c>
      <c r="G76" s="15" t="inlineStr">
        <is>
          <t>PSV72.003a, PSV72.003b</t>
        </is>
      </c>
    </row>
    <row r="77">
      <c r="A77" s="15" t="inlineStr">
        <is>
          <t>260219_dum.PSV72.004</t>
        </is>
      </c>
      <c r="B77" s="15" t="inlineStr">
        <is>
          <t>PSV-72 ZTI</t>
        </is>
      </c>
      <c r="C77" s="15" t="inlineStr">
        <is>
          <t>Sanitární keramika dodávka + montáž v koupelně 1.05 1.NP: 1× vana (DXF) + 1× umyvadlo (DXF) + 1× WC (TZ standard)</t>
        </is>
      </c>
      <c r="D77" s="14" t="inlineStr">
        <is>
          <t>set</t>
        </is>
      </c>
      <c r="E77" s="16" t="n">
        <v>0</v>
      </c>
      <c r="F77" s="14" t="n">
        <v>3</v>
      </c>
      <c r="G77" s="15" t="inlineStr">
        <is>
          <t>PSV72.004a, PSV72.004b, PSV72.004c</t>
        </is>
      </c>
    </row>
    <row r="78">
      <c r="A78" s="15" t="inlineStr">
        <is>
          <t>260219_dum.PSV72.005</t>
        </is>
      </c>
      <c r="B78" s="15" t="inlineStr">
        <is>
          <t>PSV-72 ZTI</t>
        </is>
      </c>
      <c r="C78" s="15" t="inlineStr">
        <is>
          <t>Sanitární keramika dodávka + montáž v koupelně 2.03 2.NP: 1× umyvadlo (DXF) + 1× WC (TZ standard) + 1× sprcha (TZ standa</t>
        </is>
      </c>
      <c r="D78" s="14" t="inlineStr">
        <is>
          <t>set</t>
        </is>
      </c>
      <c r="E78" s="16" t="n">
        <v>0</v>
      </c>
      <c r="F78" s="14" t="n">
        <v>3</v>
      </c>
      <c r="G78" s="15" t="inlineStr">
        <is>
          <t>PSV72.005a, PSV72.005b, PSV72.005c</t>
        </is>
      </c>
    </row>
    <row r="79">
      <c r="A79" s="15" t="inlineStr">
        <is>
          <t>260219_dum.PSV72.006</t>
        </is>
      </c>
      <c r="B79" s="15" t="inlineStr">
        <is>
          <t>PSV-72 ZTI</t>
        </is>
      </c>
      <c r="C79" s="15" t="inlineStr">
        <is>
          <t>Sanitární keramika dodávka + montáž v koupelně 3.04 3.NP: 1× WC (DXF) + 1× umyvadlo (TZ standard) + 1× sprcha (TZ standa</t>
        </is>
      </c>
      <c r="D79" s="14" t="inlineStr">
        <is>
          <t>set</t>
        </is>
      </c>
      <c r="E79" s="16" t="n">
        <v>0</v>
      </c>
      <c r="F79" s="14" t="n">
        <v>3</v>
      </c>
      <c r="G79" s="15" t="inlineStr">
        <is>
          <t>PSV72.006a, PSV72.006b, PSV72.006c</t>
        </is>
      </c>
    </row>
    <row r="80">
      <c r="A80" s="15" t="inlineStr">
        <is>
          <t>260219_dum.PSV72.007</t>
        </is>
      </c>
      <c r="B80" s="15" t="inlineStr">
        <is>
          <t>PSV-72 ZTI</t>
        </is>
      </c>
      <c r="C80" s="15" t="inlineStr">
        <is>
          <t>Kuchyňský dřez nerez + montáž — 2 ks (kuchyně 1.06 byt rodičů + kuchyně 3.05 byt 3.NP)</t>
        </is>
      </c>
      <c r="D80" s="14" t="inlineStr">
        <is>
          <t>ks</t>
        </is>
      </c>
      <c r="E80" s="16" t="n">
        <v>2</v>
      </c>
      <c r="F80" s="14" t="n">
        <v>2</v>
      </c>
      <c r="G80" s="15" t="inlineStr">
        <is>
          <t>PSV72.007a, PSV72.007b</t>
        </is>
      </c>
    </row>
    <row r="81">
      <c r="A81" s="15" t="inlineStr">
        <is>
          <t>260219_dum.PSV72.008</t>
        </is>
      </c>
      <c r="B81" s="15" t="inlineStr">
        <is>
          <t>PSV-72 ZTI</t>
        </is>
      </c>
      <c r="C81" s="15" t="inlineStr">
        <is>
          <t>Vodovodní baterie (WC ventil + páková umyvadlová + sprchové + dřezové + termostat sprchové) — ~15 ks + drobné instalační</t>
        </is>
      </c>
      <c r="D81" s="14" t="inlineStr">
        <is>
          <t>ks</t>
        </is>
      </c>
      <c r="E81" s="16" t="n">
        <v>15</v>
      </c>
      <c r="F81" s="14" t="n">
        <v>4</v>
      </c>
      <c r="G81" s="15" t="inlineStr">
        <is>
          <t>PSV72.008a, PSV72.008b, PSV72.008c, PSV72.008d</t>
        </is>
      </c>
    </row>
    <row r="82">
      <c r="A82" s="15" t="inlineStr">
        <is>
          <t>260219_dum.PSV72.009</t>
        </is>
      </c>
      <c r="B82" s="15" t="inlineStr">
        <is>
          <t>PSV-72 ZTI</t>
        </is>
      </c>
      <c r="C82" s="15" t="inlineStr">
        <is>
          <t>Akumulační zásobník TUV ~300 l v 1.PP napojený na topný systém (sporáková kamna + krb + elektrokotel) — nepřímotop</t>
        </is>
      </c>
      <c r="D82" s="14" t="inlineStr">
        <is>
          <t>ks</t>
        </is>
      </c>
      <c r="E82" s="16" t="n">
        <v>1</v>
      </c>
      <c r="F82" s="14" t="n">
        <v>2</v>
      </c>
      <c r="G82" s="15" t="inlineStr">
        <is>
          <t>PSV72.009a, PSV72.009b</t>
        </is>
      </c>
    </row>
    <row r="83">
      <c r="A83" s="15" t="inlineStr">
        <is>
          <t>260219_dum.PSV72.010</t>
        </is>
      </c>
      <c r="B83" s="15" t="inlineStr">
        <is>
          <t>PSV-72 ZTI</t>
        </is>
      </c>
      <c r="C83" s="15" t="inlineStr">
        <is>
          <t>Elektrický bojler ~80 l v koupelně 3.NP (nezávislý zdroj pro samostatný byt)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PSV72.010a, PSV72.010b</t>
        </is>
      </c>
    </row>
    <row r="84">
      <c r="A84" s="15" t="inlineStr">
        <is>
          <t>260219_dum.PSV73.001</t>
        </is>
      </c>
      <c r="B84" s="15" t="inlineStr">
        <is>
          <t>PSV-73 Vytápění</t>
        </is>
      </c>
      <c r="C84" s="15" t="inlineStr">
        <is>
          <t>Sporáková kamna na tuhá paliva ~10 kW s akumulačním zásobníkem TUV — dodávka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PSV73.001a, PSV73.001b</t>
        </is>
      </c>
    </row>
    <row r="85">
      <c r="A85" s="15" t="inlineStr">
        <is>
          <t>260219_dum.PSV73.002</t>
        </is>
      </c>
      <c r="B85" s="15" t="inlineStr">
        <is>
          <t>PSV-73 Vytápění</t>
        </is>
      </c>
      <c r="C85" s="15" t="inlineStr">
        <is>
          <t>Sporáková kamna — montáž vč. napojení na komín + akumulační zásobník (cca 8 Nh)</t>
        </is>
      </c>
      <c r="D85" s="14" t="inlineStr">
        <is>
          <t>kpl</t>
        </is>
      </c>
      <c r="E85" s="16" t="n">
        <v>1</v>
      </c>
      <c r="F85" s="14" t="n">
        <v>2</v>
      </c>
      <c r="G85" s="15" t="inlineStr">
        <is>
          <t>PSV73.002a, PSV73.002b</t>
        </is>
      </c>
    </row>
    <row r="86">
      <c r="A86" s="15" t="inlineStr">
        <is>
          <t>260219_dum.PSV73.003</t>
        </is>
      </c>
      <c r="B86" s="15" t="inlineStr">
        <is>
          <t>PSV-73 Vytápění</t>
        </is>
      </c>
      <c r="C86" s="15" t="inlineStr">
        <is>
          <t>Elektrokotel ~8 kW pro 3.NP samostatný byt — dodávka + montáž + napojení</t>
        </is>
      </c>
      <c r="D86" s="14" t="inlineStr">
        <is>
          <t>ks</t>
        </is>
      </c>
      <c r="E86" s="16" t="n">
        <v>1</v>
      </c>
      <c r="F86" s="14" t="n">
        <v>2</v>
      </c>
      <c r="G86" s="15" t="inlineStr">
        <is>
          <t>PSV73.003a, PSV73.003b</t>
        </is>
      </c>
    </row>
    <row r="87">
      <c r="A87" s="15" t="inlineStr">
        <is>
          <t>260219_dum.PSV73.004</t>
        </is>
      </c>
      <c r="B87" s="15" t="inlineStr">
        <is>
          <t>PSV-73 Vytápění</t>
        </is>
      </c>
      <c r="C87" s="15" t="inlineStr">
        <is>
          <t>Krb na tuhá paliva v 3.NP ~6 kW — dodávka + montáž s napojením na samostatný komín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PSV73.004a, PSV73.004b</t>
        </is>
      </c>
    </row>
    <row r="88">
      <c r="A88" s="15" t="inlineStr">
        <is>
          <t>260219_dum.PSV73.005</t>
        </is>
      </c>
      <c r="B88" s="15" t="inlineStr">
        <is>
          <t>PSV-73 Vytápění</t>
        </is>
      </c>
      <c r="C88" s="15" t="inlineStr">
        <is>
          <t>Multisplit tepelné čerpadlo vzduch-vzduch — 1× venkovní jednotka ~10 kW (silent mode hl. tlaku ≤49 dBA)</t>
        </is>
      </c>
      <c r="D88" s="14" t="inlineStr">
        <is>
          <t>ks</t>
        </is>
      </c>
      <c r="E88" s="16" t="n">
        <v>1</v>
      </c>
      <c r="F88" s="14" t="n">
        <v>2</v>
      </c>
      <c r="G88" s="15" t="inlineStr">
        <is>
          <t>PSV73.005a, PSV73.005b</t>
        </is>
      </c>
    </row>
    <row r="89">
      <c r="A89" s="15" t="inlineStr">
        <is>
          <t>260219_dum.M21.005</t>
        </is>
      </c>
      <c r="B89" s="15" t="inlineStr">
        <is>
          <t>M-21 ELI silnoproud</t>
        </is>
      </c>
      <c r="C89" s="15" t="inlineStr">
        <is>
          <t>Svítidla dodávka + montáž — ~35 ks (30-40 dle vyjasnění #7) interiér + venkovní u vstupů</t>
        </is>
      </c>
      <c r="D89" s="14" t="inlineStr">
        <is>
          <t>ks</t>
        </is>
      </c>
      <c r="E89" s="16" t="n">
        <v>35</v>
      </c>
      <c r="F89" s="14" t="n">
        <v>2</v>
      </c>
      <c r="G89" s="15" t="inlineStr">
        <is>
          <t>M21.005a, M21.005b</t>
        </is>
      </c>
    </row>
    <row r="90">
      <c r="A90" s="15" t="inlineStr">
        <is>
          <t>260219_dum.PSV76.013</t>
        </is>
      </c>
      <c r="B90" s="15" t="inlineStr">
        <is>
          <t>PSV-76 Výplně otvorů</t>
        </is>
      </c>
      <c r="C90" s="15" t="inlineStr">
        <is>
          <t>Požárně odolné jednokřídlové dveře EI 30 DP3 na vrcholu schodiště mezi 1.PP a 1.NP — uzavírá otvor v REI 90 stropu klenb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PSV76.013a, PSV76.013b</t>
        </is>
      </c>
    </row>
    <row r="91">
      <c r="A91" s="15" t="inlineStr">
        <is>
          <t>260219_dum.PSV76.014</t>
        </is>
      </c>
      <c r="B91" s="15" t="inlineStr">
        <is>
          <t>PSV-76 Výplně otvorů</t>
        </is>
      </c>
      <c r="C91" s="15" t="inlineStr">
        <is>
          <t>Oplechování venkovních parapetů Pzn plech lakovaný 250 mm × tl. 0.55 mm, vč. okapnice + boční zakončení — 16 ks (per DXF</t>
        </is>
      </c>
      <c r="D91" s="14" t="inlineStr">
        <is>
          <t>ks</t>
        </is>
      </c>
      <c r="E91" s="16" t="n">
        <v>16</v>
      </c>
      <c r="F91" s="14" t="n">
        <v>2</v>
      </c>
      <c r="G91" s="15" t="inlineStr">
        <is>
          <t>PSV76.014a, PSV76.014b</t>
        </is>
      </c>
    </row>
    <row r="92">
      <c r="A92" s="15" t="inlineStr">
        <is>
          <t>260219_dum.PSV72.004.A</t>
        </is>
      </c>
      <c r="B92" s="15" t="inlineStr">
        <is>
          <t>PSV-72 ZTI</t>
        </is>
      </c>
      <c r="C92" s="15" t="inlineStr">
        <is>
          <t>Vana koupelnová obdélníková 170×70 cm — koupelna 1.05 1.NP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PSV72.004.Aa, PSV72.004.Ab</t>
        </is>
      </c>
    </row>
    <row r="93">
      <c r="A93" s="15" t="inlineStr">
        <is>
          <t>260219_dum.PSV72.004.B</t>
        </is>
      </c>
      <c r="B93" s="15" t="inlineStr">
        <is>
          <t>PSV-72 ZTI</t>
        </is>
      </c>
      <c r="C93" s="15" t="inlineStr">
        <is>
          <t>Umyvadlo bílé keramické se sloupcem 60 cm — koupelna 1.05 1.NP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PSV72.004.Ba, PSV72.004.Bb</t>
        </is>
      </c>
    </row>
    <row r="94">
      <c r="A94" s="15" t="inlineStr">
        <is>
          <t>260219_dum.PSV72.004.C</t>
        </is>
      </c>
      <c r="B94" s="15" t="inlineStr">
        <is>
          <t>PSV-72 ZTI</t>
        </is>
      </c>
      <c r="C94" s="15" t="inlineStr">
        <is>
          <t>WC kombi keramické bílé — koupelna 1.05 1.NP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PSV72.004.Ca, PSV72.004.Cb</t>
        </is>
      </c>
    </row>
    <row r="95">
      <c r="A95" s="15" t="inlineStr">
        <is>
          <t>260219_dum.PSV72.005.A</t>
        </is>
      </c>
      <c r="B95" s="15" t="inlineStr">
        <is>
          <t>PSV-72 ZTI</t>
        </is>
      </c>
      <c r="C95" s="15" t="inlineStr">
        <is>
          <t>Umyvadlo bílé keramické se sloupcem 60 cm — koupelna 2.03 2.NP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PSV72.005.Aa, PSV72.005.Ab</t>
        </is>
      </c>
    </row>
    <row r="96">
      <c r="A96" s="15" t="inlineStr">
        <is>
          <t>260219_dum.PSV72.005.B</t>
        </is>
      </c>
      <c r="B96" s="15" t="inlineStr">
        <is>
          <t>PSV-72 ZTI</t>
        </is>
      </c>
      <c r="C96" s="15" t="inlineStr">
        <is>
          <t>Sprchový kout 90×90 cm vč. vaničky + skleněných dveří — koupelna 2.03 2.NP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PSV72.005.Ba, PSV72.005.Bb</t>
        </is>
      </c>
    </row>
    <row r="97">
      <c r="A97" s="15" t="inlineStr">
        <is>
          <t>260219_dum.PSV72.005.C</t>
        </is>
      </c>
      <c r="B97" s="15" t="inlineStr">
        <is>
          <t>PSV-72 ZTI</t>
        </is>
      </c>
      <c r="C97" s="15" t="inlineStr">
        <is>
          <t>WC kombi keramické bílé — koupelna 2.03 2.NP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PSV72.005.Ca, PSV72.005.Cb</t>
        </is>
      </c>
    </row>
    <row r="98">
      <c r="A98" s="15" t="inlineStr">
        <is>
          <t>260219_dum.PSV72.006.A</t>
        </is>
      </c>
      <c r="B98" s="15" t="inlineStr">
        <is>
          <t>PSV-72 ZTI</t>
        </is>
      </c>
      <c r="C98" s="15" t="inlineStr">
        <is>
          <t>WC kombi keramické bílé — koupelna 3.04 3.NP</t>
        </is>
      </c>
      <c r="D98" s="14" t="inlineStr">
        <is>
          <t>ks</t>
        </is>
      </c>
      <c r="E98" s="16" t="n">
        <v>1</v>
      </c>
      <c r="F98" s="14" t="n">
        <v>2</v>
      </c>
      <c r="G98" s="15" t="inlineStr">
        <is>
          <t>PSV72.006.Aa, PSV72.006.Ab</t>
        </is>
      </c>
    </row>
    <row r="99">
      <c r="A99" s="15" t="inlineStr">
        <is>
          <t>260219_dum.PSV72.006.B</t>
        </is>
      </c>
      <c r="B99" s="15" t="inlineStr">
        <is>
          <t>PSV-72 ZTI</t>
        </is>
      </c>
      <c r="C99" s="15" t="inlineStr">
        <is>
          <t>Umyvadlo bílé keramické se sloupcem 60 cm — koupelna 3.04 3.NP</t>
        </is>
      </c>
      <c r="D99" s="14" t="inlineStr">
        <is>
          <t>ks</t>
        </is>
      </c>
      <c r="E99" s="16" t="n">
        <v>1</v>
      </c>
      <c r="F99" s="14" t="n">
        <v>2</v>
      </c>
      <c r="G99" s="15" t="inlineStr">
        <is>
          <t>PSV72.006.Ba, PSV72.006.Bb</t>
        </is>
      </c>
    </row>
    <row r="100">
      <c r="A100" s="15" t="inlineStr">
        <is>
          <t>260219_dum.PSV72.006.C</t>
        </is>
      </c>
      <c r="B100" s="15" t="inlineStr">
        <is>
          <t>PSV-72 ZTI</t>
        </is>
      </c>
      <c r="C100" s="15" t="inlineStr">
        <is>
          <t>Sprchový kout 90×90 cm vč. vaničky + skleněných dveří — koupelna 3.04 3.NP</t>
        </is>
      </c>
      <c r="D100" s="14" t="inlineStr">
        <is>
          <t>ks</t>
        </is>
      </c>
      <c r="E100" s="16" t="n">
        <v>1</v>
      </c>
      <c r="F100" s="14" t="n">
        <v>2</v>
      </c>
      <c r="G100" s="15" t="inlineStr">
        <is>
          <t>PSV72.006.Ca, PSV72.006.Cb</t>
        </is>
      </c>
    </row>
    <row r="101">
      <c r="A101" s="15" t="inlineStr">
        <is>
          <t>260219_dum.HSV1.015</t>
        </is>
      </c>
      <c r="B101" s="15" t="inlineStr">
        <is>
          <t>HSV-1 Zemní práce</t>
        </is>
      </c>
      <c r="C101" s="15" t="inlineStr">
        <is>
          <t>Drenáž za opěrnou stěnou (bílou vanou) — drenážní trubka DN100 vlnitá perforovaná + štěrkový obsyp 16/32 + geotextilie +</t>
        </is>
      </c>
      <c r="D101" s="14" t="inlineStr">
        <is>
          <t>m</t>
        </is>
      </c>
      <c r="E101" s="16" t="n">
        <v>12</v>
      </c>
      <c r="F101" s="14" t="n">
        <v>3</v>
      </c>
      <c r="G101" s="15" t="inlineStr">
        <is>
          <t>HSV1.015a, HSV1.015b, HSV1.015c</t>
        </is>
      </c>
    </row>
    <row r="102">
      <c r="A102" s="15" t="inlineStr">
        <is>
          <t>260219_dum.HSV5.017</t>
        </is>
      </c>
      <c r="B102" s="15" t="inlineStr">
        <is>
          <t>HSV-5 Krov + střecha</t>
        </is>
      </c>
      <c r="C102" s="15" t="inlineStr">
        <is>
          <t>Montáž svorníků / šroubů tesařských spojů krovu délky přes 150 do 300 mm — spojení kleštin 2×60/180 mm s krokvemi (svorn</t>
        </is>
      </c>
      <c r="D102" s="14" t="inlineStr">
        <is>
          <t>ks</t>
        </is>
      </c>
      <c r="E102" s="16" t="n">
        <v>50</v>
      </c>
      <c r="F102" s="14" t="n">
        <v>4</v>
      </c>
      <c r="G102" s="15" t="inlineStr">
        <is>
          <t>HSV5.017a, HSV5.017b, HSV5.017c, HSV5.017d</t>
        </is>
      </c>
    </row>
    <row r="103">
      <c r="A103" s="15" t="inlineStr">
        <is>
          <t>260219_dum.HSV4.015</t>
        </is>
      </c>
      <c r="B103" s="15" t="inlineStr">
        <is>
          <t>HSV-4 Vodorovné</t>
        </is>
      </c>
      <c r="C103" s="15" t="inlineStr">
        <is>
          <t>Desky kročejové izolace (Isover T-P) tl. 30 mm — trámový strop 1.NP/2.NP</t>
        </is>
      </c>
      <c r="D103" s="14" t="inlineStr">
        <is>
          <t>m²</t>
        </is>
      </c>
      <c r="E103" s="16" t="n">
        <v>59.5</v>
      </c>
      <c r="F103" s="14" t="n">
        <v>2</v>
      </c>
      <c r="G103" s="15" t="inlineStr">
        <is>
          <t>HSV4.015a, HSV4.015b</t>
        </is>
      </c>
    </row>
    <row r="104">
      <c r="A104" s="15" t="inlineStr">
        <is>
          <t>260219_dum.HSV4.016</t>
        </is>
      </c>
      <c r="B104" s="15" t="inlineStr">
        <is>
          <t>HSV-4 Vodorovné</t>
        </is>
      </c>
      <c r="C104" s="15" t="inlineStr">
        <is>
          <t>Separační geotextilie pod suchý podsyp — trámový strop 1.NP/2.NP</t>
        </is>
      </c>
      <c r="D104" s="14" t="inlineStr">
        <is>
          <t>m²</t>
        </is>
      </c>
      <c r="E104" s="16" t="n">
        <v>59.5</v>
      </c>
      <c r="F104" s="14" t="n">
        <v>1</v>
      </c>
      <c r="G104" s="15" t="inlineStr">
        <is>
          <t>HSV4.016a</t>
        </is>
      </c>
    </row>
    <row r="105">
      <c r="A105" s="15" t="inlineStr">
        <is>
          <t>260219_dum.HSV4.017</t>
        </is>
      </c>
      <c r="B105" s="15" t="inlineStr">
        <is>
          <t>HSV-4 Vodorovné</t>
        </is>
      </c>
      <c r="C105" s="15" t="inlineStr">
        <is>
          <t>Tepelná/akustická izolace minerální vata výplň mezi ocelové nosníky stropu 2.NP/3.NP, tl. 180/200 mm</t>
        </is>
      </c>
      <c r="D105" s="14" t="inlineStr">
        <is>
          <t>m²</t>
        </is>
      </c>
      <c r="E105" s="16" t="n">
        <v>104.4</v>
      </c>
      <c r="F105" s="14" t="n">
        <v>2</v>
      </c>
      <c r="G105" s="15" t="inlineStr">
        <is>
          <t>HSV4.017a, HSV4.017b</t>
        </is>
      </c>
    </row>
    <row r="106">
      <c r="A106" s="15" t="inlineStr">
        <is>
          <t>260219_dum.HSV4.018</t>
        </is>
      </c>
      <c r="B106" s="15" t="inlineStr">
        <is>
          <t>HSV-4 Vodorovné</t>
        </is>
      </c>
      <c r="C106" s="15" t="inlineStr">
        <is>
          <t>Roznášecí sádrovláknité dílce Fermacell 2E22 tl. 25 mm — suchá skladba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HSV4.018a</t>
        </is>
      </c>
    </row>
    <row r="107">
      <c r="A107" s="15" t="inlineStr">
        <is>
          <t>260219_dum.HSV4.019</t>
        </is>
      </c>
      <c r="B107" s="15" t="inlineStr">
        <is>
          <t>HSV-4 Vodorovné</t>
        </is>
      </c>
      <c r="C107" s="15" t="inlineStr">
        <is>
          <t>Desky kročejové izolace (Isover T-P) tl. 30 mm — suchá skladba nad klembou S08</t>
        </is>
      </c>
      <c r="D107" s="14" t="inlineStr">
        <is>
          <t>m²</t>
        </is>
      </c>
      <c r="E107" s="16" t="n"/>
      <c r="F107" s="14" t="n">
        <v>1</v>
      </c>
      <c r="G107" s="15" t="inlineStr">
        <is>
          <t>HSV4.019a</t>
        </is>
      </c>
    </row>
    <row r="108">
      <c r="A108" s="15" t="inlineStr">
        <is>
          <t>260219_dum.HSV4.020</t>
        </is>
      </c>
      <c r="B108" s="15" t="inlineStr">
        <is>
          <t>HSV-4 Vodorovné</t>
        </is>
      </c>
      <c r="C108" s="15" t="inlineStr">
        <is>
          <t>Vyrovnávací suchý podsyp keramzit/liapor + dřevěný rošt tl. 50 mm — nad klembou S08</t>
        </is>
      </c>
      <c r="D108" s="14" t="inlineStr">
        <is>
          <t>m²</t>
        </is>
      </c>
      <c r="E108" s="16" t="n"/>
      <c r="F108" s="14" t="n">
        <v>1</v>
      </c>
      <c r="G108" s="15" t="inlineStr">
        <is>
          <t>HSV4.020a</t>
        </is>
      </c>
    </row>
    <row r="109">
      <c r="A109" s="15" t="inlineStr">
        <is>
          <t>260219_dum.HSV4.021</t>
        </is>
      </c>
      <c r="B109" s="15" t="inlineStr">
        <is>
          <t>HSV-4 Vodorovné</t>
        </is>
      </c>
      <c r="C109" s="15" t="inlineStr">
        <is>
          <t>Separační vrstva pod suchý podsyp — nad cihelnou klembou S08</t>
        </is>
      </c>
      <c r="D109" s="14" t="inlineStr">
        <is>
          <t>m²</t>
        </is>
      </c>
      <c r="E109" s="16" t="n"/>
      <c r="F109" s="14" t="n">
        <v>1</v>
      </c>
      <c r="G109" s="15" t="inlineStr">
        <is>
          <t>HSV4.021a</t>
        </is>
      </c>
    </row>
    <row r="110">
      <c r="A110" s="15" t="inlineStr">
        <is>
          <t>260219_dum.HSV7.007</t>
        </is>
      </c>
      <c r="B110" s="15" t="inlineStr">
        <is>
          <t>HSV-7 Fasáda + zateplení</t>
        </is>
      </c>
      <c r="C110" s="15" t="inlineStr">
        <is>
          <t>Sanační zateplení soklu — sanační izolační deska Styrcon 200 + lepící tmel (Lepstyr plus) + armovací vrstva s tkaninou +</t>
        </is>
      </c>
      <c r="D110" s="14" t="inlineStr">
        <is>
          <t>m²</t>
        </is>
      </c>
      <c r="E110" s="16" t="n">
        <v>16</v>
      </c>
      <c r="F110" s="14" t="n">
        <v>2</v>
      </c>
      <c r="G110" s="15" t="inlineStr">
        <is>
          <t>HSV7.007a, HSV7.007b</t>
        </is>
      </c>
    </row>
    <row r="111">
      <c r="A111" s="15" t="inlineStr">
        <is>
          <t>260219_dum.HSV7.008</t>
        </is>
      </c>
      <c r="B111" s="15" t="inlineStr">
        <is>
          <t>HSV-7 Fasáda + zateplení</t>
        </is>
      </c>
      <c r="C111" s="15" t="inlineStr">
        <is>
          <t>Drenážní vrstva — nopová folie tl. 20 mm na suterénní stěnu pod úrovní terénu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HSV7.008a</t>
        </is>
      </c>
    </row>
    <row r="112">
      <c r="A112" s="15" t="inlineStr">
        <is>
          <t>260219_dum.HSV7.009</t>
        </is>
      </c>
      <c r="B112" s="15" t="inlineStr">
        <is>
          <t>HSV-7 Fasáda + zateplení</t>
        </is>
      </c>
      <c r="C112" s="15" t="inlineStr">
        <is>
          <t>Provětrávaná mezera s kotevním roštem 40 mm + keramický obklad 20 mm — sokl nad úrovní terénu</t>
        </is>
      </c>
      <c r="D112" s="14" t="inlineStr">
        <is>
          <t>m²</t>
        </is>
      </c>
      <c r="E112" s="16" t="n">
        <v>16</v>
      </c>
      <c r="F112" s="14" t="n">
        <v>2</v>
      </c>
      <c r="G112" s="15" t="inlineStr">
        <is>
          <t>HSV7.009a, HSV7.009b</t>
        </is>
      </c>
    </row>
    <row r="113">
      <c r="A113" s="15" t="inlineStr">
        <is>
          <t>260219_dum.HSV5.018</t>
        </is>
      </c>
      <c r="B113" s="15" t="inlineStr">
        <is>
          <t>HSV-5 Krov + střecha</t>
        </is>
      </c>
      <c r="C113" s="15" t="inlineStr">
        <is>
          <t>Pojistná hydroizolační folie pod hliníkovou falcovanou krytinu (nad celoplošným bedněním)</t>
        </is>
      </c>
      <c r="D113" s="14" t="inlineStr">
        <is>
          <t>m²</t>
        </is>
      </c>
      <c r="E113" s="16" t="n">
        <v>140.94</v>
      </c>
      <c r="F113" s="14" t="n">
        <v>1</v>
      </c>
      <c r="G113" s="15" t="inlineStr">
        <is>
          <t>HSV5.018a</t>
        </is>
      </c>
    </row>
    <row r="114">
      <c r="A114" s="15" t="inlineStr">
        <is>
          <t>260219_dum.HSV6.018</t>
        </is>
      </c>
      <c r="B114" s="15" t="inlineStr">
        <is>
          <t>HSV-6 Bourací práce</t>
        </is>
      </c>
      <c r="C114" s="15" t="inlineStr">
        <is>
          <t>Demontáž stávajícího vnějšího keramického obkladu suterénní stěny (sokl) tl. 20 mm</t>
        </is>
      </c>
      <c r="D114" s="14" t="inlineStr">
        <is>
          <t>m²</t>
        </is>
      </c>
      <c r="E114" s="16" t="n">
        <v>16</v>
      </c>
      <c r="F114" s="14" t="n">
        <v>1</v>
      </c>
      <c r="G114" s="15" t="inlineStr">
        <is>
          <t>HSV6.018a</t>
        </is>
      </c>
    </row>
    <row r="115">
      <c r="A115" s="15" t="inlineStr">
        <is>
          <t>260217_sklad.HSV5.002</t>
        </is>
      </c>
      <c r="B115" s="15" t="inlineStr">
        <is>
          <t>HSV-5 Komunikace + vjezd</t>
        </is>
      </c>
      <c r="C115" s="15" t="inlineStr">
        <is>
          <t>Napojení vjezdu na ulici Dvořákova — vydláždění z betonových dlaždic + spádování na pozemek investora + odvodnění dešťov</t>
        </is>
      </c>
      <c r="D115" s="14" t="inlineStr">
        <is>
          <t>m²</t>
        </is>
      </c>
      <c r="E115" s="16" t="n"/>
      <c r="F115" s="14" t="n">
        <v>3</v>
      </c>
      <c r="G115" s="15" t="inlineStr">
        <is>
          <t>HSV5.002a, HSV5.002b, HSV5.002c</t>
        </is>
      </c>
    </row>
    <row r="116">
      <c r="A116" s="15" t="inlineStr">
        <is>
          <t>260217_sklad.PSV76.002</t>
        </is>
      </c>
      <c r="B116" s="15" t="inlineStr">
        <is>
          <t>PSV-76 Zámečnictví</t>
        </is>
      </c>
      <c r="C116" s="15" t="inlineStr">
        <is>
          <t>Vjezdová brána na pozemku investora (ocelová) — dodávka + montáž</t>
        </is>
      </c>
      <c r="D116" s="14" t="inlineStr">
        <is>
          <t>ks</t>
        </is>
      </c>
      <c r="E116" s="16" t="n">
        <v>1</v>
      </c>
      <c r="F116" s="14" t="n">
        <v>1</v>
      </c>
      <c r="G116" s="15" t="inlineStr">
        <is>
          <t>PSV76.002a</t>
        </is>
      </c>
    </row>
    <row r="117">
      <c r="A117" s="15" t="inlineStr">
        <is>
          <t>260217_sklad.VRN.003</t>
        </is>
      </c>
      <c r="B117" s="15" t="inlineStr">
        <is>
          <t>VRN — Geodet / PČR</t>
        </is>
      </c>
      <c r="C117" s="15" t="inlineStr">
        <is>
          <t>Vytyčení + kontrola rozhledových trojúhelníků (Vn=40 km/h, Dz=25 m) dle požadavku DI PČR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VRN.003a</t>
        </is>
      </c>
    </row>
    <row r="118">
      <c r="A118" s="15" t="inlineStr">
        <is>
          <t>260219_dum.M24.001</t>
        </is>
      </c>
      <c r="B118" s="15" t="inlineStr">
        <is>
          <t>M-24 VZT</t>
        </is>
      </c>
      <c r="C118" s="15" t="inlineStr">
        <is>
          <t>Lokální odtah digestoří kuchyní (1.NP + 3.NP) — dodávka + montáž digestoře + prostup fasádou/střechou + zpětná klapka</t>
        </is>
      </c>
      <c r="D118" s="14" t="inlineStr">
        <is>
          <t>ks</t>
        </is>
      </c>
      <c r="E118" s="16" t="n">
        <v>2</v>
      </c>
      <c r="F118" s="14" t="n">
        <v>1</v>
      </c>
      <c r="G118" s="15" t="inlineStr">
        <is>
          <t>M24.001a</t>
        </is>
      </c>
    </row>
    <row r="119">
      <c r="A119" s="15" t="inlineStr">
        <is>
          <t>260219_dum.M21.008</t>
        </is>
      </c>
      <c r="B119" s="15" t="inlineStr">
        <is>
          <t>M-21 ELI silnoproud</t>
        </is>
      </c>
      <c r="C119" s="15" t="inlineStr">
        <is>
          <t>Hlavní vypínač elektrické energie TOTAL STOP + požární značení rozvodného zařízení a uzávěrů (voda/elektro)</t>
        </is>
      </c>
      <c r="D119" s="14" t="inlineStr">
        <is>
          <t>soubor</t>
        </is>
      </c>
      <c r="E119" s="16" t="n">
        <v>1</v>
      </c>
      <c r="F119" s="14" t="n">
        <v>2</v>
      </c>
      <c r="G119" s="15" t="inlineStr">
        <is>
          <t>M21.008a, M21.008b</t>
        </is>
      </c>
    </row>
    <row r="120">
      <c r="A120" s="15" t="inlineStr">
        <is>
          <t>260219_dum.PSV95.003</t>
        </is>
      </c>
      <c r="B120" s="15" t="inlineStr">
        <is>
          <t>PSV-95 Detekce požární</t>
        </is>
      </c>
      <c r="C120" s="15" t="inlineStr">
        <is>
          <t xml:space="preserve">Předávací protokol krbu na tuhá paliva + kontrola bezpečných vzdáleností (800 mm směr sálání / 400 mm strany, nehořlavá </t>
        </is>
      </c>
      <c r="D120" s="14" t="inlineStr">
        <is>
          <t>soubor</t>
        </is>
      </c>
      <c r="E120" s="16" t="n">
        <v>1</v>
      </c>
      <c r="F120" s="14" t="n">
        <v>1</v>
      </c>
      <c r="G120" s="15" t="inlineStr">
        <is>
          <t>PSV95.003a</t>
        </is>
      </c>
    </row>
    <row r="121">
      <c r="A121" s="15" t="inlineStr">
        <is>
          <t>260217_sklad.HSV3.004</t>
        </is>
      </c>
      <c r="B121" s="15" t="inlineStr">
        <is>
          <t>HSV-3 Svislé konstrukce</t>
        </is>
      </c>
      <c r="C121" s="15" t="inlineStr">
        <is>
          <t>Hydroizolace + protiradonová ochrana obvodových stěn (S03a) + opěrné stěny (S04) pod úrovní terénu — asfaltová penetrace</t>
        </is>
      </c>
      <c r="D121" s="14" t="inlineStr">
        <is>
          <t>m²</t>
        </is>
      </c>
      <c r="E121" s="16" t="n">
        <v>33</v>
      </c>
      <c r="F121" s="14" t="n">
        <v>2</v>
      </c>
      <c r="G121" s="15" t="inlineStr">
        <is>
          <t>HSV3.004a, HSV3.004b</t>
        </is>
      </c>
    </row>
    <row r="122">
      <c r="A122" s="15" t="inlineStr">
        <is>
          <t>260217_sklad.HSV3.005</t>
        </is>
      </c>
      <c r="B122" s="15" t="inlineStr">
        <is>
          <t>HSV-3 Svislé konstrukce</t>
        </is>
      </c>
      <c r="C122" s="15" t="inlineStr">
        <is>
          <t>Drenážní vrstva — nopová folie tl. 20 mm na obvodové stěny (S03a) + opěrnou stěnu (S04) pod úrovní terénu</t>
        </is>
      </c>
      <c r="D122" s="14" t="inlineStr">
        <is>
          <t>m²</t>
        </is>
      </c>
      <c r="E122" s="16" t="n">
        <v>33</v>
      </c>
      <c r="F122" s="14" t="n">
        <v>1</v>
      </c>
      <c r="G122" s="15" t="inlineStr">
        <is>
          <t>HSV3.005a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4" t="inlineStr">
        <is>
          <t>PM05</t>
        </is>
      </c>
      <c r="B16" s="15" t="inlineStr">
        <is>
          <t>medium</t>
        </is>
      </c>
      <c r="C16" s="15" t="inlineStr">
        <is>
          <t>Okapový chodník + obvodová drenáž domu — NOT_IN_TZ (žádná zmínka v TZ)</t>
        </is>
      </c>
      <c r="D16" s="15" t="inlineStr">
        <is>
          <t>SKIP (rekonstrukce — možná existuje)</t>
        </is>
      </c>
      <c r="E1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2026-06-01T17:49:06Z</dcterms:created>
  <dcterms:modified xmlns:dcterms="http://purl.org/dc/terms/" xmlns:xsi="http://www.w3.org/2001/XMLSchema-instance" xsi:type="dcterms:W3CDTF">2026-06-01T17:49:06Z</dcterms:modified>
</cp:coreProperties>
</file>
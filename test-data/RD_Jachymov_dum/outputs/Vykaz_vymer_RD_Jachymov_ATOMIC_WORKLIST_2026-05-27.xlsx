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228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272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36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80</v>
      </c>
    </row>
    <row r="9">
      <c r="A9" s="4" t="inlineStr">
        <is>
          <t>Items carried 1:1</t>
        </is>
      </c>
      <c r="B9" s="5" t="n">
        <v>192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29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29</v>
      </c>
    </row>
    <row r="19">
      <c r="A19" s="4" t="inlineStr">
        <is>
          <t>HSV-6 Bourací práce</t>
        </is>
      </c>
      <c r="B19" s="5" t="n">
        <v>18</v>
      </c>
    </row>
    <row r="20">
      <c r="A20" s="4" t="inlineStr">
        <is>
          <t>HSV-7 Fasáda + zateplení</t>
        </is>
      </c>
      <c r="B20" s="5" t="n">
        <v>5</v>
      </c>
    </row>
    <row r="21">
      <c r="A21" s="4" t="inlineStr">
        <is>
          <t>HSV-7 Fasáda ETICS</t>
        </is>
      </c>
      <c r="B21" s="5" t="n">
        <v>9</v>
      </c>
    </row>
    <row r="22">
      <c r="A22" s="4" t="inlineStr">
        <is>
          <t>M-21 ELI silnoproud</t>
        </is>
      </c>
      <c r="B22" s="5" t="n">
        <v>7</v>
      </c>
    </row>
    <row r="23">
      <c r="A23" s="4" t="inlineStr">
        <is>
          <t>PSV-71 Izolace HI</t>
        </is>
      </c>
      <c r="B23" s="5" t="n">
        <v>3</v>
      </c>
    </row>
    <row r="24">
      <c r="A24" s="4" t="inlineStr">
        <is>
          <t>PSV-71 Izolace TI</t>
        </is>
      </c>
      <c r="B24" s="5" t="n">
        <v>2</v>
      </c>
    </row>
    <row r="25">
      <c r="A25" s="4" t="inlineStr">
        <is>
          <t>PSV-72 ZTI</t>
        </is>
      </c>
      <c r="B25" s="5" t="n">
        <v>28</v>
      </c>
    </row>
    <row r="26">
      <c r="A26" s="4" t="inlineStr">
        <is>
          <t>PSV-73 Vytápění</t>
        </is>
      </c>
      <c r="B26" s="5" t="n">
        <v>8</v>
      </c>
    </row>
    <row r="27">
      <c r="A27" s="4" t="inlineStr">
        <is>
          <t>PSV-76 Klempíř</t>
        </is>
      </c>
      <c r="B27" s="5" t="n">
        <v>5</v>
      </c>
    </row>
    <row r="28">
      <c r="A28" s="4" t="inlineStr">
        <is>
          <t>PSV-76 Truhlář</t>
        </is>
      </c>
      <c r="B28" s="5" t="n">
        <v>3</v>
      </c>
    </row>
    <row r="29">
      <c r="A29" s="4" t="inlineStr">
        <is>
          <t>PSV-76 Výplně otvorů</t>
        </is>
      </c>
      <c r="B29" s="5" t="n">
        <v>13</v>
      </c>
    </row>
    <row r="30">
      <c r="A30" s="4" t="inlineStr">
        <is>
          <t>PSV-76 Zámečnictví</t>
        </is>
      </c>
      <c r="B30" s="5" t="n">
        <v>4</v>
      </c>
    </row>
    <row r="31">
      <c r="A31" s="4" t="inlineStr">
        <is>
          <t>PSV-77 Podlahy</t>
        </is>
      </c>
      <c r="B31" s="5" t="n">
        <v>10</v>
      </c>
    </row>
    <row r="32">
      <c r="A32" s="4" t="inlineStr">
        <is>
          <t>PSV-78 Povrchové úpravy</t>
        </is>
      </c>
      <c r="B32" s="5" t="n">
        <v>20</v>
      </c>
    </row>
    <row r="33">
      <c r="A33" s="4" t="inlineStr">
        <is>
          <t>PSV-95 Detekce požární</t>
        </is>
      </c>
      <c r="B33" s="5" t="n">
        <v>2</v>
      </c>
    </row>
    <row r="34">
      <c r="A34" s="4" t="inlineStr">
        <is>
          <t>VRN — BOZP</t>
        </is>
      </c>
      <c r="B34" s="5" t="n">
        <v>1</v>
      </c>
    </row>
    <row r="35">
      <c r="A35" s="4" t="inlineStr">
        <is>
          <t>VRN — Dokumentace</t>
        </is>
      </c>
      <c r="B35" s="5" t="n">
        <v>1</v>
      </c>
    </row>
    <row r="36">
      <c r="A36" s="4" t="inlineStr">
        <is>
          <t>VRN — Doprava + odpad</t>
        </is>
      </c>
      <c r="B36" s="5" t="n">
        <v>5</v>
      </c>
    </row>
    <row r="37">
      <c r="A37" s="4" t="inlineStr">
        <is>
          <t>VRN — Geodet</t>
        </is>
      </c>
      <c r="B37" s="5" t="n">
        <v>2</v>
      </c>
    </row>
    <row r="38">
      <c r="A38" s="4" t="inlineStr">
        <is>
          <t>VRN — Kolaudace</t>
        </is>
      </c>
      <c r="B38" s="5" t="n">
        <v>1</v>
      </c>
    </row>
    <row r="39">
      <c r="A39" s="4" t="inlineStr">
        <is>
          <t>VRN — Lešení</t>
        </is>
      </c>
      <c r="B39" s="5" t="n">
        <v>1</v>
      </c>
    </row>
    <row r="40">
      <c r="A40" s="4" t="inlineStr">
        <is>
          <t>VRN — Pojištění + zábory</t>
        </is>
      </c>
      <c r="B40" s="5" t="n">
        <v>2</v>
      </c>
    </row>
    <row r="41">
      <c r="A41" s="4" t="inlineStr">
        <is>
          <t>VRN — Průzkumy</t>
        </is>
      </c>
      <c r="B41" s="5" t="n">
        <v>2</v>
      </c>
    </row>
    <row r="42">
      <c r="A42" s="4" t="inlineStr">
        <is>
          <t>VRN — Přesun hmot</t>
        </is>
      </c>
      <c r="B42" s="5" t="n">
        <v>1</v>
      </c>
    </row>
    <row r="43">
      <c r="A43" s="4" t="inlineStr">
        <is>
          <t>VRN — Revize</t>
        </is>
      </c>
      <c r="B43" s="5" t="n">
        <v>1</v>
      </c>
    </row>
    <row r="44">
      <c r="A44" s="4" t="inlineStr">
        <is>
          <t>VRN — Společné</t>
        </is>
      </c>
      <c r="B44" s="5" t="n">
        <v>1</v>
      </c>
    </row>
    <row r="45">
      <c r="A45" s="4" t="inlineStr">
        <is>
          <t>VRN — Zařízení staveniště</t>
        </is>
      </c>
      <c r="B45" s="5" t="n">
        <v>4</v>
      </c>
    </row>
    <row r="47">
      <c r="A47" s="3" t="inlineStr">
        <is>
          <t>STAV KÓDŮ (4 tiers — práce kompletní bez ohledu na stav kódu)</t>
        </is>
      </c>
    </row>
    <row r="48">
      <c r="A48" s="4" t="inlineStr">
        <is>
          <t>✓ verified (leaf ověřen)</t>
        </is>
      </c>
      <c r="B48" s="5" t="n">
        <v>17</v>
      </c>
    </row>
    <row r="49">
      <c r="A49" s="4" t="inlineStr">
        <is>
          <t>⚠ kandidát-verify (leaf generátor, neověřen)</t>
        </is>
      </c>
      <c r="B49" s="5" t="n">
        <v>166</v>
      </c>
    </row>
    <row r="50">
      <c r="A50" s="4" t="inlineStr">
        <is>
          <t>⚠ família ??? (leaf z ÚRS online)</t>
        </is>
      </c>
      <c r="B50" s="5" t="n">
        <v>58</v>
      </c>
    </row>
    <row r="51">
      <c r="A51" s="4" t="inlineStr">
        <is>
          <t>❌ blank — ÚRS online</t>
        </is>
      </c>
      <c r="B51" s="5" t="n">
        <v>31</v>
      </c>
    </row>
    <row r="53">
      <c r="A53" s="2" t="inlineStr">
        <is>
          <t>• Kódy: leaf binding doplnit z CS ÚRS online (app.urs.cz, cenová úroveň 2026 01) dle família + popis + Vzorec.</t>
        </is>
      </c>
    </row>
    <row r="54">
      <c r="A54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5">
      <c r="A55" s="2" t="inlineStr">
        <is>
          <t>• PRÁCE JE KOMPLETNÍ bez ohledu na stav kódu — seznam (postup prací) = primary deliverable. Code = secondary, doplní se v ÚRS online / KROS.</t>
        </is>
      </c>
    </row>
    <row r="57">
      <c r="A57" s="3" t="inlineStr">
        <is>
          <t>URS FAMÍLIA DISTRIBUCE (54 distinct)</t>
        </is>
      </c>
    </row>
    <row r="58">
      <c r="A58" s="6" t="inlineStr">
        <is>
          <t>Família</t>
        </is>
      </c>
      <c r="B58" s="6" t="inlineStr">
        <is>
          <t>Počet ops</t>
        </is>
      </c>
    </row>
    <row r="59">
      <c r="A59" s="4" t="inlineStr">
        <is>
          <t>(blank)</t>
        </is>
      </c>
      <c r="B59" s="5" t="n">
        <v>31</v>
      </c>
      <c r="C59" s="2" t="inlineStr">
        <is>
          <t>❌ MANUAL LOOKUP — Pattern 26 honest blank (NE fabrikováno)</t>
        </is>
      </c>
    </row>
    <row r="60">
      <c r="A60" s="4" t="inlineStr">
        <is>
          <t>725</t>
        </is>
      </c>
      <c r="B60" s="5" t="n">
        <v>24</v>
      </c>
    </row>
    <row r="61">
      <c r="A61" s="4" t="inlineStr">
        <is>
          <t>766</t>
        </is>
      </c>
      <c r="B61" s="5" t="n">
        <v>14</v>
      </c>
    </row>
    <row r="62">
      <c r="A62" s="4" t="inlineStr">
        <is>
          <t>030</t>
        </is>
      </c>
      <c r="B62" s="5" t="n">
        <v>13</v>
      </c>
    </row>
    <row r="63">
      <c r="A63" s="4" t="inlineStr">
        <is>
          <t>762</t>
        </is>
      </c>
      <c r="B63" s="5" t="n">
        <v>13</v>
      </c>
    </row>
    <row r="64">
      <c r="A64" s="4" t="inlineStr">
        <is>
          <t>612</t>
        </is>
      </c>
      <c r="B64" s="5" t="n">
        <v>11</v>
      </c>
    </row>
    <row r="65">
      <c r="A65" s="4" t="inlineStr">
        <is>
          <t>273</t>
        </is>
      </c>
      <c r="B65" s="5" t="n">
        <v>9</v>
      </c>
    </row>
    <row r="66">
      <c r="A66" s="4" t="inlineStr">
        <is>
          <t>311</t>
        </is>
      </c>
      <c r="B66" s="5" t="n">
        <v>9</v>
      </c>
    </row>
    <row r="67">
      <c r="A67" s="4" t="inlineStr">
        <is>
          <t>411</t>
        </is>
      </c>
      <c r="B67" s="5" t="n">
        <v>9</v>
      </c>
    </row>
    <row r="68">
      <c r="A68" s="4" t="inlineStr">
        <is>
          <t>713</t>
        </is>
      </c>
      <c r="B68" s="5" t="n">
        <v>8</v>
      </c>
    </row>
    <row r="69">
      <c r="A69" s="4" t="inlineStr">
        <is>
          <t>962</t>
        </is>
      </c>
      <c r="B69" s="5" t="n">
        <v>8</v>
      </c>
    </row>
    <row r="70">
      <c r="A70" s="4" t="inlineStr">
        <is>
          <t>733</t>
        </is>
      </c>
      <c r="B70" s="5" t="n">
        <v>7</v>
      </c>
    </row>
    <row r="71">
      <c r="A71" s="4" t="inlineStr">
        <is>
          <t>781</t>
        </is>
      </c>
      <c r="B71" s="5" t="n">
        <v>7</v>
      </c>
    </row>
    <row r="72">
      <c r="A72" s="4" t="inlineStr">
        <is>
          <t>210</t>
        </is>
      </c>
      <c r="B72" s="5" t="n">
        <v>6</v>
      </c>
    </row>
    <row r="73">
      <c r="A73" s="4" t="inlineStr">
        <is>
          <t>622</t>
        </is>
      </c>
      <c r="B73" s="5" t="n">
        <v>6</v>
      </c>
    </row>
    <row r="74">
      <c r="A74" s="4" t="inlineStr">
        <is>
          <t>764</t>
        </is>
      </c>
      <c r="B74" s="5" t="n">
        <v>6</v>
      </c>
    </row>
    <row r="75">
      <c r="A75" s="4" t="inlineStr">
        <is>
          <t>771</t>
        </is>
      </c>
      <c r="B75" s="5" t="n">
        <v>6</v>
      </c>
    </row>
    <row r="76">
      <c r="A76" s="4" t="inlineStr">
        <is>
          <t>564</t>
        </is>
      </c>
      <c r="B76" s="5" t="n">
        <v>5</v>
      </c>
    </row>
    <row r="77">
      <c r="A77" s="4" t="inlineStr">
        <is>
          <t>712</t>
        </is>
      </c>
      <c r="B77" s="5" t="n">
        <v>5</v>
      </c>
    </row>
    <row r="78">
      <c r="A78" s="4" t="inlineStr">
        <is>
          <t>767</t>
        </is>
      </c>
      <c r="B78" s="5" t="n">
        <v>5</v>
      </c>
    </row>
    <row r="79">
      <c r="A79" s="4" t="inlineStr">
        <is>
          <t>784</t>
        </is>
      </c>
      <c r="B79" s="5" t="n">
        <v>5</v>
      </c>
    </row>
    <row r="80">
      <c r="A80" s="4" t="inlineStr">
        <is>
          <t>274</t>
        </is>
      </c>
      <c r="B80" s="5" t="n">
        <v>4</v>
      </c>
    </row>
    <row r="81">
      <c r="A81" s="4" t="inlineStr">
        <is>
          <t>605</t>
        </is>
      </c>
      <c r="B81" s="5" t="n">
        <v>4</v>
      </c>
    </row>
    <row r="82">
      <c r="A82" s="4" t="inlineStr">
        <is>
          <t>974</t>
        </is>
      </c>
      <c r="B82" s="5" t="n">
        <v>4</v>
      </c>
    </row>
    <row r="83">
      <c r="A83" s="4" t="inlineStr">
        <is>
          <t>997</t>
        </is>
      </c>
      <c r="B83" s="5" t="n">
        <v>4</v>
      </c>
    </row>
    <row r="84">
      <c r="A84" s="4" t="inlineStr">
        <is>
          <t>031</t>
        </is>
      </c>
      <c r="B84" s="5" t="n">
        <v>3</v>
      </c>
    </row>
    <row r="85">
      <c r="A85" s="4" t="inlineStr">
        <is>
          <t>132</t>
        </is>
      </c>
      <c r="B85" s="5" t="n">
        <v>3</v>
      </c>
    </row>
    <row r="86">
      <c r="A86" s="4" t="inlineStr">
        <is>
          <t>174</t>
        </is>
      </c>
      <c r="B86" s="5" t="n">
        <v>3</v>
      </c>
    </row>
    <row r="87">
      <c r="A87" s="4" t="inlineStr">
        <is>
          <t>342</t>
        </is>
      </c>
      <c r="B87" s="5" t="n">
        <v>3</v>
      </c>
    </row>
    <row r="88">
      <c r="A88" s="4" t="inlineStr">
        <is>
          <t>631</t>
        </is>
      </c>
      <c r="B88" s="5" t="n">
        <v>3</v>
      </c>
    </row>
    <row r="89">
      <c r="A89" s="4" t="inlineStr">
        <is>
          <t>121</t>
        </is>
      </c>
      <c r="B89" s="5" t="n">
        <v>2</v>
      </c>
    </row>
    <row r="90">
      <c r="A90" s="4" t="inlineStr">
        <is>
          <t>131</t>
        </is>
      </c>
      <c r="B90" s="5" t="n">
        <v>2</v>
      </c>
    </row>
    <row r="91">
      <c r="A91" s="4" t="inlineStr">
        <is>
          <t>212</t>
        </is>
      </c>
      <c r="B91" s="5" t="n">
        <v>2</v>
      </c>
    </row>
    <row r="92">
      <c r="A92" s="4" t="inlineStr">
        <is>
          <t>317</t>
        </is>
      </c>
      <c r="B92" s="5" t="n">
        <v>2</v>
      </c>
    </row>
    <row r="93">
      <c r="A93" s="4" t="inlineStr">
        <is>
          <t>693</t>
        </is>
      </c>
      <c r="B93" s="5" t="n">
        <v>2</v>
      </c>
    </row>
    <row r="94">
      <c r="A94" s="4" t="inlineStr">
        <is>
          <t>722</t>
        </is>
      </c>
      <c r="B94" s="5" t="n">
        <v>2</v>
      </c>
    </row>
    <row r="95">
      <c r="A95" s="4" t="inlineStr">
        <is>
          <t>732</t>
        </is>
      </c>
      <c r="B95" s="5" t="n">
        <v>2</v>
      </c>
    </row>
    <row r="96">
      <c r="A96" s="4" t="inlineStr">
        <is>
          <t>776</t>
        </is>
      </c>
      <c r="B96" s="5" t="n">
        <v>2</v>
      </c>
    </row>
    <row r="97">
      <c r="A97" s="4" t="inlineStr">
        <is>
          <t>968</t>
        </is>
      </c>
      <c r="B97" s="5" t="n">
        <v>2</v>
      </c>
    </row>
    <row r="98">
      <c r="A98" s="4" t="inlineStr">
        <is>
          <t>978</t>
        </is>
      </c>
      <c r="B98" s="5" t="n">
        <v>2</v>
      </c>
    </row>
    <row r="99">
      <c r="A99" s="4" t="inlineStr">
        <is>
          <t>012</t>
        </is>
      </c>
      <c r="B99" s="5" t="n">
        <v>1</v>
      </c>
    </row>
    <row r="100">
      <c r="A100" s="4" t="inlineStr">
        <is>
          <t>151</t>
        </is>
      </c>
      <c r="B100" s="5" t="n">
        <v>1</v>
      </c>
    </row>
    <row r="101">
      <c r="A101" s="4" t="inlineStr">
        <is>
          <t>181</t>
        </is>
      </c>
      <c r="B101" s="5" t="n">
        <v>1</v>
      </c>
    </row>
    <row r="102">
      <c r="A102" s="4" t="inlineStr">
        <is>
          <t>271</t>
        </is>
      </c>
      <c r="B102" s="5" t="n">
        <v>1</v>
      </c>
    </row>
    <row r="103">
      <c r="A103" s="4" t="inlineStr">
        <is>
          <t>279</t>
        </is>
      </c>
      <c r="B103" s="5" t="n">
        <v>1</v>
      </c>
    </row>
    <row r="104">
      <c r="A104" s="4" t="inlineStr">
        <is>
          <t>375</t>
        </is>
      </c>
      <c r="B104" s="5" t="n">
        <v>1</v>
      </c>
    </row>
    <row r="105">
      <c r="A105" s="4" t="inlineStr">
        <is>
          <t>596</t>
        </is>
      </c>
      <c r="B105" s="5" t="n">
        <v>1</v>
      </c>
    </row>
    <row r="106">
      <c r="A106" s="4" t="inlineStr">
        <is>
          <t>721</t>
        </is>
      </c>
      <c r="B106" s="5" t="n">
        <v>1</v>
      </c>
    </row>
    <row r="107">
      <c r="A107" s="4" t="inlineStr">
        <is>
          <t>734</t>
        </is>
      </c>
      <c r="B107" s="5" t="n">
        <v>1</v>
      </c>
    </row>
    <row r="108">
      <c r="A108" s="4" t="inlineStr">
        <is>
          <t>765</t>
        </is>
      </c>
      <c r="B108" s="5" t="n">
        <v>1</v>
      </c>
    </row>
    <row r="109">
      <c r="A109" s="4" t="inlineStr">
        <is>
          <t>783</t>
        </is>
      </c>
      <c r="B109" s="5" t="n">
        <v>1</v>
      </c>
    </row>
    <row r="110">
      <c r="A110" s="4" t="inlineStr">
        <is>
          <t>961</t>
        </is>
      </c>
      <c r="B110" s="5" t="n">
        <v>1</v>
      </c>
    </row>
    <row r="111">
      <c r="A111" s="4" t="inlineStr">
        <is>
          <t>966</t>
        </is>
      </c>
      <c r="B111" s="5" t="n">
        <v>1</v>
      </c>
    </row>
    <row r="112">
      <c r="A112" s="4" t="inlineStr">
        <is>
          <t>996</t>
        </is>
      </c>
      <c r="B112" s="5" t="n">
        <v>1</v>
      </c>
    </row>
    <row r="114">
      <c r="A114" s="3" t="inlineStr">
        <is>
          <t>METODIKA + PATTERN COMPLIANCE</t>
        </is>
      </c>
    </row>
    <row r="115">
      <c r="A115" s="4" t="inlineStr">
        <is>
          <t>• HK212 028a..f princip: composite → atomic codeable operace (per vrstva / per fixture)</t>
        </is>
      </c>
    </row>
    <row r="116">
      <c r="A116" s="4" t="inlineStr">
        <is>
          <t>• Pattern 15 Work-First: atomic ops = codeable units, catalog matching downstream</t>
        </is>
      </c>
    </row>
    <row r="117">
      <c r="A117" s="4" t="inlineStr">
        <is>
          <t>• Pattern 26: família-level URS kde leaf neznámý + status flag; 9 BLANK ops (NE 999/TBD)</t>
        </is>
      </c>
    </row>
    <row r="118">
      <c r="A118" s="4" t="inlineStr">
        <is>
          <t>• Pattern 28: (id, kapitola) compound key — řeší PSV76.003 ×3 + VRN.001 ×9 collisions</t>
        </is>
      </c>
    </row>
    <row r="119">
      <c r="A119" s="4" t="inlineStr">
        <is>
          <t>• Pattern 32: separate deliverable — items.json frozen + File A audit NEDOTČENO</t>
        </is>
      </c>
    </row>
    <row r="120">
      <c r="A120" s="4" t="inlineStr">
        <is>
          <t>• Traceability: každá atomic op → parent_frozen_item_id (100% coverage)</t>
        </is>
      </c>
    </row>
    <row r="121">
      <c r="A121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115:C115"/>
    <mergeCell ref="A11:C11"/>
    <mergeCell ref="A47:C47"/>
    <mergeCell ref="A116:C116"/>
    <mergeCell ref="A117:C117"/>
    <mergeCell ref="A118:C118"/>
    <mergeCell ref="A119:C119"/>
    <mergeCell ref="A120:C120"/>
    <mergeCell ref="A53:C53"/>
    <mergeCell ref="A55:C55"/>
    <mergeCell ref="A114:C114"/>
    <mergeCell ref="A4:C4"/>
    <mergeCell ref="A57:C57"/>
    <mergeCell ref="A54:C54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(23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14" t="n">
        <v>54</v>
      </c>
      <c r="B59" s="15" t="inlineStr">
        <is>
          <t>HSV-4 Vodorovné</t>
        </is>
      </c>
      <c r="C59" s="15" t="inlineStr">
        <is>
          <t>Montáž kročejové izolace Isover T-P 30 mm — strop S07</t>
        </is>
      </c>
      <c r="D59" s="14" t="inlineStr">
        <is>
          <t>m²</t>
        </is>
      </c>
      <c r="E59" s="16" t="n">
        <v>59.5</v>
      </c>
      <c r="F59" s="15">
        <f> plocha stropu S07</f>
        <v/>
      </c>
      <c r="G59" s="15" t="inlineStr">
        <is>
          <t>713191</t>
        </is>
      </c>
      <c r="H59" s="14" t="inlineStr">
        <is>
          <t>⚠ família ??? (ÚRS online)</t>
        </is>
      </c>
      <c r="I59" s="15" t="inlineStr">
        <is>
          <t>260219_dum.HSV4.015 → HSV4.015a</t>
        </is>
      </c>
      <c r="J59" s="15" t="inlineStr">
        <is>
          <t>S07</t>
        </is>
      </c>
      <c r="K59" s="15" t="inlineStr">
        <is>
          <t>Montáž izolace.  Doplnit leaf z CS ÚRS online (app.urs.cz, cen. úroveň 2026 01) dle família + popis + Vzorec.</t>
        </is>
      </c>
    </row>
    <row r="60">
      <c r="A60" s="17" t="n">
        <v>55</v>
      </c>
      <c r="B60" s="18" t="inlineStr">
        <is>
          <t>HSV-4 Vodorovné</t>
        </is>
      </c>
      <c r="C60" s="18" t="inlineStr">
        <is>
          <t>Deska kročejová Isover T-P 30 mm — materiál</t>
        </is>
      </c>
      <c r="D60" s="17" t="inlineStr">
        <is>
          <t>m²</t>
        </is>
      </c>
      <c r="E60" s="19" t="n">
        <v>62.5</v>
      </c>
      <c r="F60" s="18">
        <f> 59.5 × 1.05 prořez</f>
        <v/>
      </c>
      <c r="G60" s="18" t="inlineStr"/>
      <c r="H60" s="17" t="inlineStr">
        <is>
          <t>❌ blank — ÚRS online</t>
        </is>
      </c>
      <c r="I60" s="18" t="inlineStr">
        <is>
          <t>260219_dum.HSV4.015 → HSV4.015b</t>
        </is>
      </c>
      <c r="J60" s="18" t="inlineStr">
        <is>
          <t>S07</t>
        </is>
      </c>
      <c r="K60" s="18" t="inlineStr">
        <is>
          <t>Materiál izolace.  Doplnit leaf z CS ÚRS online (app.urs.cz, cen. úroveň 2026 01) dle família + popis + Vzorec.</t>
        </is>
      </c>
    </row>
    <row r="61">
      <c r="A61" s="17" t="n">
        <v>56</v>
      </c>
      <c r="B61" s="18" t="inlineStr">
        <is>
          <t>HSV-4 Vodorovné</t>
        </is>
      </c>
      <c r="C61" s="18" t="inlineStr">
        <is>
          <t>Separační geotextilie — dodávka + pokládka, strop S07</t>
        </is>
      </c>
      <c r="D61" s="17" t="inlineStr">
        <is>
          <t>m²</t>
        </is>
      </c>
      <c r="E61" s="19" t="n">
        <v>65.5</v>
      </c>
      <c r="F61" s="18">
        <f> 59.5 × 1.10 přesahy</f>
        <v/>
      </c>
      <c r="G61" s="18" t="inlineStr"/>
      <c r="H61" s="17" t="inlineStr">
        <is>
          <t>❌ blank — ÚRS online</t>
        </is>
      </c>
      <c r="I61" s="18" t="inlineStr">
        <is>
          <t>260219_dum.HSV4.016 → HSV4.016a</t>
        </is>
      </c>
      <c r="J61" s="18" t="inlineStr">
        <is>
          <t>S07</t>
        </is>
      </c>
      <c r="K61" s="18" t="inlineStr">
        <is>
          <t>Montáž+materiál.  Doplnit leaf z CS ÚRS online (app.urs.cz, cen. úroveň 2026 01) dle família + popis + Vzorec.</t>
        </is>
      </c>
    </row>
    <row r="62">
      <c r="A62" s="14" t="n">
        <v>57</v>
      </c>
      <c r="B62" s="15" t="inlineStr">
        <is>
          <t>HSV-4 Vodorovné</t>
        </is>
      </c>
      <c r="C62" s="15" t="inlineStr">
        <is>
          <t>Montáž min. vaty mezi ocel. nosníky — strop S09</t>
        </is>
      </c>
      <c r="D62" s="14" t="inlineStr">
        <is>
          <t>m²</t>
        </is>
      </c>
      <c r="E62" s="16" t="n">
        <v>104.4</v>
      </c>
      <c r="F62" s="15">
        <f> plocha stropu S09</f>
        <v/>
      </c>
      <c r="G62" s="15" t="inlineStr">
        <is>
          <t>713121</t>
        </is>
      </c>
      <c r="H62" s="14" t="inlineStr">
        <is>
          <t>⚠ família ??? (ÚRS online)</t>
        </is>
      </c>
      <c r="I62" s="15" t="inlineStr">
        <is>
          <t>260219_dum.HSV4.017 → HSV4.017a</t>
        </is>
      </c>
      <c r="J62" s="15" t="inlineStr">
        <is>
          <t>S09</t>
        </is>
      </c>
      <c r="K62" s="15" t="inlineStr">
        <is>
          <t>Montáž.  Doplnit leaf z CS ÚRS online (app.urs.cz, cen. úroveň 2026 01) dle família + popis + Vzorec.</t>
        </is>
      </c>
    </row>
    <row r="63">
      <c r="A63" s="17" t="n">
        <v>58</v>
      </c>
      <c r="B63" s="18" t="inlineStr">
        <is>
          <t>HSV-4 Vodorovné</t>
        </is>
      </c>
      <c r="C63" s="18" t="inlineStr">
        <is>
          <t>Minerální vata 180/200 mm — materiál</t>
        </is>
      </c>
      <c r="D63" s="17" t="inlineStr">
        <is>
          <t>m²</t>
        </is>
      </c>
      <c r="E63" s="19" t="n">
        <v>109.6</v>
      </c>
      <c r="F63" s="18">
        <f> 104.4 × 1.05</f>
        <v/>
      </c>
      <c r="G63" s="18" t="inlineStr"/>
      <c r="H63" s="17" t="inlineStr">
        <is>
          <t>❌ blank — ÚRS online</t>
        </is>
      </c>
      <c r="I63" s="18" t="inlineStr">
        <is>
          <t>260219_dum.HSV4.017 → HSV4.017b</t>
        </is>
      </c>
      <c r="J63" s="18" t="inlineStr">
        <is>
          <t>S09</t>
        </is>
      </c>
      <c r="K63" s="18" t="inlineStr">
        <is>
          <t>Materiál.  Doplnit leaf z CS ÚRS online (app.urs.cz, cen. úroveň 2026 01) dle família + popis + Vzorec.</t>
        </is>
      </c>
    </row>
    <row r="64">
      <c r="A64" s="17" t="n">
        <v>59</v>
      </c>
      <c r="B64" s="18" t="inlineStr">
        <is>
          <t>HSV-4 Vodorovné</t>
        </is>
      </c>
      <c r="C64" s="18" t="inlineStr">
        <is>
          <t>Fermacell 2E22 25 mm — montáž+materiál, S08 (plocha neurčeno)</t>
        </is>
      </c>
      <c r="D64" s="17" t="inlineStr">
        <is>
          <t>m²</t>
        </is>
      </c>
      <c r="E64" s="19" t="n"/>
      <c r="F64" s="18" t="inlineStr">
        <is>
          <t>neurčeno — V1</t>
        </is>
      </c>
      <c r="G64" s="18" t="inlineStr"/>
      <c r="H64" s="17" t="inlineStr">
        <is>
          <t>❌ blank — ÚRS online</t>
        </is>
      </c>
      <c r="I64" s="18" t="inlineStr">
        <is>
          <t>260219_dum.HSV4.018 → HSV4.018a</t>
        </is>
      </c>
      <c r="J64" s="18" t="inlineStr">
        <is>
          <t>S08</t>
        </is>
      </c>
      <c r="K64" s="18" t="inlineStr">
        <is>
          <t>VYJASNĚNÍ V1.  Doplnit leaf z CS ÚRS online (app.urs.cz, cen. úroveň 2026 01) dle família + popis + Vzorec.</t>
        </is>
      </c>
    </row>
    <row r="65">
      <c r="A65" s="14" t="n">
        <v>60</v>
      </c>
      <c r="B65" s="15" t="inlineStr">
        <is>
          <t>HSV-4 Vodorovné</t>
        </is>
      </c>
      <c r="C65" s="15" t="inlineStr">
        <is>
          <t>Kročejová izolace 30 mm — montáž+materiál, S08 (neurčeno)</t>
        </is>
      </c>
      <c r="D65" s="14" t="inlineStr">
        <is>
          <t>m²</t>
        </is>
      </c>
      <c r="E65" s="16" t="n"/>
      <c r="F65" s="15" t="inlineStr">
        <is>
          <t>neurčeno — V1</t>
        </is>
      </c>
      <c r="G65" s="15" t="inlineStr">
        <is>
          <t>713191</t>
        </is>
      </c>
      <c r="H65" s="14" t="inlineStr">
        <is>
          <t>⚠ família ??? (ÚRS online)</t>
        </is>
      </c>
      <c r="I65" s="15" t="inlineStr">
        <is>
          <t>260219_dum.HSV4.019 → HSV4.019a</t>
        </is>
      </c>
      <c r="J65" s="15" t="inlineStr">
        <is>
          <t>S08</t>
        </is>
      </c>
      <c r="K65" s="15" t="inlineStr">
        <is>
          <t>VYJASNĚNÍ V1.  Doplnit leaf z CS ÚRS online (app.urs.cz, cen. úroveň 2026 01) dle família + popis + Vzorec.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Suchý podsyp keramzit/liapor + dřevěný rošt 50 mm — S08 (neurčeno)</t>
        </is>
      </c>
      <c r="D66" s="17" t="inlineStr">
        <is>
          <t>m²</t>
        </is>
      </c>
      <c r="E66" s="19" t="n"/>
      <c r="F66" s="18" t="inlineStr">
        <is>
          <t>neurčeno — V1</t>
        </is>
      </c>
      <c r="G66" s="18" t="inlineStr"/>
      <c r="H66" s="17" t="inlineStr">
        <is>
          <t>❌ blank — ÚRS online</t>
        </is>
      </c>
      <c r="I66" s="18" t="inlineStr">
        <is>
          <t>260219_dum.HSV4.020 → HSV4.020a</t>
        </is>
      </c>
      <c r="J66" s="18" t="inlineStr">
        <is>
          <t>S08</t>
        </is>
      </c>
      <c r="K66" s="18" t="inlineStr">
        <is>
          <t>VYJASNĚNÍ V1.  Doplnit leaf z CS ÚRS online (app.urs.cz, cen. úroveň 2026 01) dle família + popis + Vzorec.</t>
        </is>
      </c>
    </row>
    <row r="67">
      <c r="A67" s="17" t="n">
        <v>62</v>
      </c>
      <c r="B67" s="18" t="inlineStr">
        <is>
          <t>HSV-4 Vodorovné</t>
        </is>
      </c>
      <c r="C67" s="18" t="inlineStr">
        <is>
          <t>Separační vrstva — S08 (neurčeno)</t>
        </is>
      </c>
      <c r="D67" s="17" t="inlineStr">
        <is>
          <t>m²</t>
        </is>
      </c>
      <c r="E67" s="19" t="n"/>
      <c r="F67" s="18" t="inlineStr">
        <is>
          <t>neurčeno — V1</t>
        </is>
      </c>
      <c r="G67" s="18" t="inlineStr"/>
      <c r="H67" s="17" t="inlineStr">
        <is>
          <t>❌ blank — ÚRS online</t>
        </is>
      </c>
      <c r="I67" s="18" t="inlineStr">
        <is>
          <t>260219_dum.HSV4.021 → HSV4.021a</t>
        </is>
      </c>
      <c r="J67" s="18" t="inlineStr">
        <is>
          <t>S08</t>
        </is>
      </c>
      <c r="K67" s="18" t="inlineStr">
        <is>
          <t>VYJASNĚNÍ V1.  Doplnit leaf z CS ÚRS online (app.urs.cz, cen. úroveň 2026 01) dle família + popis + Vzorec.</t>
        </is>
      </c>
    </row>
    <row r="68">
      <c r="A68" s="8" t="inlineStr">
        <is>
          <t>━━ HSV-5 Krov + střecha  (29 atomic operací) ━━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14" t="n">
        <v>63</v>
      </c>
      <c r="B69" s="15" t="inlineStr">
        <is>
          <t>HSV-5 Krov + střecha</t>
        </is>
      </c>
      <c r="C69" s="15" t="inlineStr">
        <is>
          <t>Montáž krokví 100/180 mm — vázaná konstrukce krovu pomocí ocelových spojek, hraněné řezivo (průřez 180 cm², přes 120 do 224)</t>
        </is>
      </c>
      <c r="D69" s="14" t="inlineStr">
        <is>
          <t>m</t>
        </is>
      </c>
      <c r="E69" s="16" t="n">
        <v>156</v>
      </c>
      <c r="F69" s="15">
        <f> HSV5.001 délka krokví 156 bm</f>
        <v/>
      </c>
      <c r="G69" s="15" t="inlineStr">
        <is>
          <t>762332122</t>
        </is>
      </c>
      <c r="H69" s="14" t="inlineStr">
        <is>
          <t>✓ verified</t>
        </is>
      </c>
      <c r="I69" s="15" t="inlineStr">
        <is>
          <t>260219_dum.HSV5.001 → HSV5.001a</t>
        </is>
      </c>
      <c r="J69" s="15" t="inlineStr"/>
      <c r="K69" s="15" t="inlineStr">
        <is>
          <t>Montáž 762332122 (266 Kč/m, KROS). Materiál = op b.</t>
        </is>
      </c>
    </row>
    <row r="70">
      <c r="A70" s="14" t="n">
        <v>64</v>
      </c>
      <c r="B70" s="15" t="inlineStr">
        <is>
          <t>HSV-5 Krov + střecha</t>
        </is>
      </c>
      <c r="C70" s="15" t="inlineStr">
        <is>
          <t>Dodávka hranolového řeziva C24 pro krokve 100/180 mm vč. 10 % prořezu (fungicidní + protihmyzí impregnace)</t>
        </is>
      </c>
      <c r="D70" s="14" t="inlineStr">
        <is>
          <t>m³</t>
        </is>
      </c>
      <c r="E70" s="16" t="n">
        <v>3.09</v>
      </c>
      <c r="F70" s="15">
        <f> 156 × 0.10 × 0.18 × 1.10 = 3.09 m³</f>
        <v/>
      </c>
      <c r="G70" s="15" t="inlineStr">
        <is>
          <t>60512136</t>
        </is>
      </c>
      <c r="H70" s="14" t="inlineStr">
        <is>
          <t>⚠ família ??? (ÚRS online)</t>
        </is>
      </c>
      <c r="I70" s="15" t="inlineStr">
        <is>
          <t>260219_dum.HSV5.001 → HSV5.001b</t>
        </is>
      </c>
      <c r="J70" s="15" t="inlineStr"/>
      <c r="K70" s="15" t="inlineStr">
        <is>
          <t>Hranol řezivo do 288 cm² (60512136). Impregnace dle TZ statika §6.2.  Doplnit leaf z CS ÚRS online (app.urs.cz, cen. úroveň 2026 01) dle família + popis + Vzorec.</t>
        </is>
      </c>
    </row>
    <row r="71">
      <c r="A71" s="14" t="n">
        <v>65</v>
      </c>
      <c r="B71" s="15" t="inlineStr">
        <is>
          <t>HSV-5 Krov + střecha</t>
        </is>
      </c>
      <c r="C71" s="15" t="inlineStr">
        <is>
          <t>Montáž kleštin 2×60/180 mm — vázaná konstrukce krovu pomocí ocelových spojek (průřez 216 cm², přes 120 do 224)</t>
        </is>
      </c>
      <c r="D71" s="14" t="inlineStr">
        <is>
          <t>m</t>
        </is>
      </c>
      <c r="E71" s="16" t="n">
        <v>110</v>
      </c>
      <c r="F71" s="15">
        <f> HSV5.002 délka kleštin 110 bm</f>
        <v/>
      </c>
      <c r="G71" s="15" t="inlineStr">
        <is>
          <t>762332122</t>
        </is>
      </c>
      <c r="H71" s="14" t="inlineStr">
        <is>
          <t>✓ verified</t>
        </is>
      </c>
      <c r="I71" s="15" t="inlineStr">
        <is>
          <t>260219_dum.HSV5.002 → HSV5.002a</t>
        </is>
      </c>
      <c r="J71" s="15" t="inlineStr"/>
      <c r="K71" s="15" t="inlineStr">
        <is>
          <t>Montáž 762332122 (266 Kč/m). Materiál = op b.</t>
        </is>
      </c>
    </row>
    <row r="72">
      <c r="A72" s="14" t="n">
        <v>66</v>
      </c>
      <c r="B72" s="15" t="inlineStr">
        <is>
          <t>HSV-5 Krov + střecha</t>
        </is>
      </c>
      <c r="C72" s="15" t="inlineStr">
        <is>
          <t>Dodávka hranolového řeziva C24 pro kleštiny 2×60/180 mm vč. 10 % prořezu + impregnace</t>
        </is>
      </c>
      <c r="D72" s="14" t="inlineStr">
        <is>
          <t>m³</t>
        </is>
      </c>
      <c r="E72" s="16" t="n">
        <v>1.31</v>
      </c>
      <c r="F72" s="15">
        <f> 110 × 0.06 × 0.18 × 1.10 = 1.31 m³</f>
        <v/>
      </c>
      <c r="G72" s="15" t="inlineStr">
        <is>
          <t>60512136</t>
        </is>
      </c>
      <c r="H72" s="14" t="inlineStr">
        <is>
          <t>⚠ família ??? (ÚRS online)</t>
        </is>
      </c>
      <c r="I72" s="15" t="inlineStr">
        <is>
          <t>260219_dum.HSV5.002 → HSV5.002b</t>
        </is>
      </c>
      <c r="J72" s="15" t="inlineStr"/>
      <c r="K72" s="15" t="inlineStr">
        <is>
          <t>Hranol řezivo (60512136).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HSV-5 Krov + střecha</t>
        </is>
      </c>
      <c r="C73" s="15" t="inlineStr">
        <is>
          <t>Montáž pozednic 140/160 mm — vázaná konstrukce krovu pomocí ocelových spojek (průřez 224 cm², přes 120 do 224)</t>
        </is>
      </c>
      <c r="D73" s="14" t="inlineStr">
        <is>
          <t>m</t>
        </is>
      </c>
      <c r="E73" s="16" t="n">
        <v>19.4</v>
      </c>
      <c r="F73" s="15">
        <f> HSV5.003 délka pozednic ~19.4 bm</f>
        <v/>
      </c>
      <c r="G73" s="15" t="inlineStr">
        <is>
          <t>762332122</t>
        </is>
      </c>
      <c r="H73" s="14" t="inlineStr">
        <is>
          <t>✓ verified</t>
        </is>
      </c>
      <c r="I73" s="15" t="inlineStr">
        <is>
          <t>260219_dum.HSV5.003 → HSV5.003a</t>
        </is>
      </c>
      <c r="J73" s="15" t="inlineStr"/>
      <c r="K73" s="15" t="inlineStr">
        <is>
          <t>Montáž 762332122. Kotvení do ŽB věnce = samostatně (CHYBÍ DETAIL — závitové tyče/kotvy).</t>
        </is>
      </c>
    </row>
    <row r="74">
      <c r="A74" s="14" t="n">
        <v>68</v>
      </c>
      <c r="B74" s="15" t="inlineStr">
        <is>
          <t>HSV-5 Krov + střecha</t>
        </is>
      </c>
      <c r="C74" s="15" t="inlineStr">
        <is>
          <t>Dodávka hranolového řeziva C24 pro pozednice 140/160 mm vč. 10 % prořezu + impregnace</t>
        </is>
      </c>
      <c r="D74" s="14" t="inlineStr">
        <is>
          <t>m³</t>
        </is>
      </c>
      <c r="E74" s="16" t="n">
        <v>0.48</v>
      </c>
      <c r="F74" s="15">
        <f> 19.4 × 0.14 × 0.16 × 1.10 = 0.48 m³</f>
        <v/>
      </c>
      <c r="G74" s="15" t="inlineStr">
        <is>
          <t>60512136</t>
        </is>
      </c>
      <c r="H74" s="14" t="inlineStr">
        <is>
          <t>⚠ família ??? (ÚRS online)</t>
        </is>
      </c>
      <c r="I74" s="15" t="inlineStr">
        <is>
          <t>260219_dum.HSV5.003 → HSV5.003b</t>
        </is>
      </c>
      <c r="J74" s="15" t="inlineStr"/>
      <c r="K74" s="15" t="inlineStr">
        <is>
          <t>Hranol řezivo (60512136).  Doplnit leaf z CS ÚRS online (app.urs.cz, cen. úroveň 2026 01) dle família + popis + Vzorec.</t>
        </is>
      </c>
    </row>
    <row r="75">
      <c r="A75" s="14" t="n">
        <v>69</v>
      </c>
      <c r="B75" s="15" t="inlineStr">
        <is>
          <t>HSV-5 Krov + střecha</t>
        </is>
      </c>
      <c r="C75" s="15" t="inlineStr">
        <is>
          <t>Montáž námětků 60/100 mm — vázaná konstrukce krovu pomocí ocelových spojek (průřez 60 cm², přes 50 do 120)</t>
        </is>
      </c>
      <c r="D75" s="14" t="inlineStr">
        <is>
          <t>m</t>
        </is>
      </c>
      <c r="E75" s="16" t="n">
        <v>19.2</v>
      </c>
      <c r="F75" s="15">
        <f> HSV5.004 délka námětků 19.2 bm</f>
        <v/>
      </c>
      <c r="G75" s="15" t="inlineStr">
        <is>
          <t>762332121</t>
        </is>
      </c>
      <c r="H75" s="14" t="inlineStr">
        <is>
          <t>✓ verified</t>
        </is>
      </c>
      <c r="I75" s="15" t="inlineStr">
        <is>
          <t>260219_dum.HSV5.004 → HSV5.004a</t>
        </is>
      </c>
      <c r="J75" s="15" t="inlineStr"/>
      <c r="K75" s="15" t="inlineStr">
        <is>
          <t>Montáž 762332121 (206 Kč/m, KROS).</t>
        </is>
      </c>
    </row>
    <row r="76">
      <c r="A76" s="14" t="n">
        <v>70</v>
      </c>
      <c r="B76" s="15" t="inlineStr">
        <is>
          <t>HSV-5 Krov + střecha</t>
        </is>
      </c>
      <c r="C76" s="15" t="inlineStr">
        <is>
          <t>Dodávka hranolového řeziva C24 pro námětky 60/100 mm vč. 10 % prořezu + impregnace</t>
        </is>
      </c>
      <c r="D76" s="14" t="inlineStr">
        <is>
          <t>m³</t>
        </is>
      </c>
      <c r="E76" s="16" t="n">
        <v>0.127</v>
      </c>
      <c r="F76" s="15">
        <f> 19.2 × 0.06 × 0.10 × 1.10 = 0.127 m³</f>
        <v/>
      </c>
      <c r="G76" s="15" t="inlineStr">
        <is>
          <t>605</t>
        </is>
      </c>
      <c r="H76" s="14" t="inlineStr">
        <is>
          <t>⚠ família ??? (ÚRS online)</t>
        </is>
      </c>
      <c r="I76" s="15" t="inlineStr">
        <is>
          <t>260219_dum.HSV5.004 → HSV5.004b</t>
        </is>
      </c>
      <c r="J76" s="15" t="inlineStr"/>
      <c r="K76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77">
      <c r="A77" s="10" t="n">
        <v>71</v>
      </c>
      <c r="B77" s="11" t="inlineStr">
        <is>
          <t>HSV-5 Krov + střecha</t>
        </is>
      </c>
      <c r="C77" s="11" t="inlineStr">
        <is>
          <t>Ocelová středová vaznice HEA160 — 2 ks × cca 10 m délka</t>
        </is>
      </c>
      <c r="D77" s="10" t="inlineStr">
        <is>
          <t>kg</t>
        </is>
      </c>
      <c r="E77" s="12" t="n">
        <v>608</v>
      </c>
      <c r="F77" s="11" t="inlineStr">
        <is>
          <t>2 × 10 × 30.4 kg/m (HEA160) = 608</t>
        </is>
      </c>
      <c r="G77" s="13" t="inlineStr">
        <is>
          <t>411321414</t>
        </is>
      </c>
      <c r="H77" s="10" t="inlineStr">
        <is>
          <t>⚠ kandidát-verify</t>
        </is>
      </c>
      <c r="I77" s="11" t="inlineStr">
        <is>
          <t>260219_dum.HSV5.005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72</v>
      </c>
      <c r="B78" s="11" t="inlineStr">
        <is>
          <t>HSV-5 Krov + střecha</t>
        </is>
      </c>
      <c r="C78" s="11" t="inlineStr">
        <is>
          <t>Ocelové sloupky uzavřený profil 100×100×4 mm pod vaznice HEA160 (~6 ks × ~2.5 m výška)</t>
        </is>
      </c>
      <c r="D78" s="10" t="inlineStr">
        <is>
          <t>kg</t>
        </is>
      </c>
      <c r="E78" s="12" t="n">
        <v>176</v>
      </c>
      <c r="F78" s="11" t="inlineStr">
        <is>
          <t>6 × 2.5 × 11.7 kg/m (RHS 100×100×4) = 176</t>
        </is>
      </c>
      <c r="G78" s="11" t="inlineStr">
        <is>
          <t>411321414</t>
        </is>
      </c>
      <c r="H78" s="10" t="inlineStr">
        <is>
          <t>⚠ kandidát-verify</t>
        </is>
      </c>
      <c r="I78" s="11" t="inlineStr">
        <is>
          <t>260219_dum.HSV5.006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73</v>
      </c>
      <c r="B79" s="11" t="inlineStr">
        <is>
          <t>HSV-5 Krov + střecha</t>
        </is>
      </c>
      <c r="C79" s="11" t="inlineStr">
        <is>
          <t>Bednění z prken tl. 20 mm pod nadkrokevní PIR (biodeska/palubka)</t>
        </is>
      </c>
      <c r="D79" s="10" t="inlineStr">
        <is>
          <t>m²</t>
        </is>
      </c>
      <c r="E79" s="12" t="n">
        <v>140.94</v>
      </c>
      <c r="F79" s="11">
        <f> 141 m² (plocha střechy včetně sklonu + přesahy)</f>
        <v/>
      </c>
      <c r="G79" s="11" t="inlineStr">
        <is>
          <t>762341711</t>
        </is>
      </c>
      <c r="H79" s="10" t="inlineStr">
        <is>
          <t>⚠ kandidát-verify</t>
        </is>
      </c>
      <c r="I79" s="11" t="inlineStr">
        <is>
          <t>260219_dum.HSV5.007</t>
        </is>
      </c>
      <c r="J79" s="11" t="inlineStr">
        <is>
          <t>S10</t>
        </is>
      </c>
      <c r="K79" s="11" t="inlineStr">
        <is>
          <t>Carried 1:1 (atomic — no decomposition needed)</t>
        </is>
      </c>
    </row>
    <row r="80">
      <c r="A80" s="10" t="n">
        <v>74</v>
      </c>
      <c r="B80" s="11" t="inlineStr">
        <is>
          <t>HSV-5 Krov + střecha</t>
        </is>
      </c>
      <c r="C80" s="11" t="inlineStr">
        <is>
          <t>Parotěsná folie nad bedněním pod nadkrokevní PIR (např. Isover Vario nebo Tyvek Air guard)</t>
        </is>
      </c>
      <c r="D80" s="10" t="inlineStr">
        <is>
          <t>m²</t>
        </is>
      </c>
      <c r="E80" s="12" t="n">
        <v>155.034</v>
      </c>
      <c r="F80" s="11" t="inlineStr">
        <is>
          <t>141 × 1.1 přesah = 155</t>
        </is>
      </c>
      <c r="G80" s="11" t="inlineStr">
        <is>
          <t>712311101</t>
        </is>
      </c>
      <c r="H80" s="10" t="inlineStr">
        <is>
          <t>⚠ kandidát-verify</t>
        </is>
      </c>
      <c r="I80" s="11" t="inlineStr">
        <is>
          <t>260219_dum.HSV5.008</t>
        </is>
      </c>
      <c r="J80" s="11" t="inlineStr">
        <is>
          <t>S10</t>
        </is>
      </c>
      <c r="K80" s="11" t="inlineStr">
        <is>
          <t>Carried 1:1 (atomic — no decomposition needed)</t>
        </is>
      </c>
    </row>
    <row r="81">
      <c r="A81" s="10" t="n">
        <v>75</v>
      </c>
      <c r="B81" s="11" t="inlineStr">
        <is>
          <t>HSV-5 Krov + střecha</t>
        </is>
      </c>
      <c r="C81" s="11" t="inlineStr">
        <is>
          <t>Nadkrokevní tepelná izolace PIR (polyisokyanurát) tl. 160 mm (λ=0,022 W/mK) — řez A-A S10 explicit</t>
        </is>
      </c>
      <c r="D81" s="10" t="inlineStr">
        <is>
          <t>m²</t>
        </is>
      </c>
      <c r="E81" s="12" t="n">
        <v>140.94</v>
      </c>
      <c r="F81" s="11">
        <f> 141 m² (plocha krytiny krov)</f>
        <v/>
      </c>
      <c r="G81" s="13" t="inlineStr">
        <is>
          <t>713131811</t>
        </is>
      </c>
      <c r="H81" s="10" t="inlineStr">
        <is>
          <t>✓ verified</t>
        </is>
      </c>
      <c r="I81" s="11" t="inlineStr">
        <is>
          <t>260219_dum.HSV5.009</t>
        </is>
      </c>
      <c r="J81" s="11" t="inlineStr">
        <is>
          <t>S10</t>
        </is>
      </c>
      <c r="K81" s="11" t="inlineStr">
        <is>
          <t>Carried 1:1 (atomic — no decomposition needed)</t>
        </is>
      </c>
    </row>
    <row r="82">
      <c r="A82" s="10" t="n">
        <v>76</v>
      </c>
      <c r="B82" s="11" t="inlineStr">
        <is>
          <t>HSV-5 Krov + střecha</t>
        </is>
      </c>
      <c r="C82" s="11" t="inlineStr">
        <is>
          <t>Doplňková hydroizolační difuzně otevřená folie nad PIR pod kontralatě</t>
        </is>
      </c>
      <c r="D82" s="10" t="inlineStr">
        <is>
          <t>m²</t>
        </is>
      </c>
      <c r="E82" s="12" t="n">
        <v>155.034</v>
      </c>
      <c r="F82" s="11" t="inlineStr">
        <is>
          <t>141 × 1.1 přesah = 155</t>
        </is>
      </c>
      <c r="G82" s="11" t="inlineStr">
        <is>
          <t>712311111</t>
        </is>
      </c>
      <c r="H82" s="10" t="inlineStr">
        <is>
          <t>⚠ kandidát-verify</t>
        </is>
      </c>
      <c r="I82" s="11" t="inlineStr">
        <is>
          <t>260219_dum.HSV5.010</t>
        </is>
      </c>
      <c r="J82" s="11" t="inlineStr">
        <is>
          <t>S10</t>
        </is>
      </c>
      <c r="K82" s="11" t="inlineStr">
        <is>
          <t>Carried 1:1 (atomic — no decomposition needed)</t>
        </is>
      </c>
    </row>
    <row r="83">
      <c r="A83" s="10" t="n">
        <v>77</v>
      </c>
      <c r="B83" s="11" t="inlineStr">
        <is>
          <t>HSV-5 Krov + střecha</t>
        </is>
      </c>
      <c r="C83" s="11" t="inlineStr">
        <is>
          <t>Distanční kontralatě 40×60 mm pro vzduchovou mezeru nad PIR</t>
        </is>
      </c>
      <c r="D83" s="10" t="inlineStr">
        <is>
          <t>m²</t>
        </is>
      </c>
      <c r="E83" s="12" t="n">
        <v>140.94</v>
      </c>
      <c r="F83" s="11">
        <f> 141 m²</f>
        <v/>
      </c>
      <c r="G83" s="11" t="inlineStr">
        <is>
          <t>762331923</t>
        </is>
      </c>
      <c r="H83" s="10" t="inlineStr">
        <is>
          <t>⚠ kandidát-verify</t>
        </is>
      </c>
      <c r="I83" s="11" t="inlineStr">
        <is>
          <t>260219_dum.HSV5.011</t>
        </is>
      </c>
      <c r="J83" s="11" t="inlineStr">
        <is>
          <t>S10</t>
        </is>
      </c>
      <c r="K83" s="11" t="inlineStr">
        <is>
          <t>Carried 1:1 (atomic — no decomposition needed)</t>
        </is>
      </c>
    </row>
    <row r="84">
      <c r="A84" s="10" t="n">
        <v>78</v>
      </c>
      <c r="B84" s="11" t="inlineStr">
        <is>
          <t>HSV-5 Krov + střecha</t>
        </is>
      </c>
      <c r="C84" s="11" t="inlineStr">
        <is>
          <t>Bednění z prken tl. 25 mm pod plechovou hliníkovou krytinu (rozsah dle technologie krytiny)</t>
        </is>
      </c>
      <c r="D84" s="10" t="inlineStr">
        <is>
          <t>m²</t>
        </is>
      </c>
      <c r="E84" s="12" t="n">
        <v>140.94</v>
      </c>
      <c r="F84" s="11">
        <f> 141 m²</f>
        <v/>
      </c>
      <c r="G84" s="13" t="inlineStr">
        <is>
          <t>762341711</t>
        </is>
      </c>
      <c r="H84" s="10" t="inlineStr">
        <is>
          <t>⚠ kandidát-verify</t>
        </is>
      </c>
      <c r="I84" s="11" t="inlineStr">
        <is>
          <t>260219_dum.HSV5.012</t>
        </is>
      </c>
      <c r="J84" s="11" t="inlineStr">
        <is>
          <t>S10</t>
        </is>
      </c>
      <c r="K84" s="11" t="inlineStr">
        <is>
          <t>Carried 1:1 (atomic — no decomposition needed)</t>
        </is>
      </c>
    </row>
    <row r="85">
      <c r="A85" s="10" t="n">
        <v>79</v>
      </c>
      <c r="B85" s="11" t="inlineStr">
        <is>
          <t>HSV-5 Krov + střecha</t>
        </is>
      </c>
      <c r="C85" s="11" t="inlineStr">
        <is>
          <t>Plechová falcovaná HLINÍKOVÁ krytina (např. PREFA, Rheinzink, Lindab) + tlumící podložka</t>
        </is>
      </c>
      <c r="D85" s="10" t="inlineStr">
        <is>
          <t>m²</t>
        </is>
      </c>
      <c r="E85" s="12" t="n">
        <v>140.94</v>
      </c>
      <c r="F85" s="11">
        <f> 141 m² (vč. vikýřů přidat ~10%)</f>
        <v/>
      </c>
      <c r="G85" s="13" t="inlineStr">
        <is>
          <t>765791121</t>
        </is>
      </c>
      <c r="H85" s="10" t="inlineStr">
        <is>
          <t>⚠ kandidát-verify</t>
        </is>
      </c>
      <c r="I85" s="11" t="inlineStr">
        <is>
          <t>260219_dum.HSV5.013</t>
        </is>
      </c>
      <c r="J85" s="11" t="inlineStr">
        <is>
          <t>S10</t>
        </is>
      </c>
      <c r="K85" s="11" t="inlineStr">
        <is>
          <t>Carried 1:1 (atomic — no decomposition needed)</t>
        </is>
      </c>
    </row>
    <row r="86">
      <c r="A86" s="10" t="n">
        <v>80</v>
      </c>
      <c r="B86" s="11" t="inlineStr">
        <is>
          <t>HSV-5 Krov + střecha</t>
        </is>
      </c>
      <c r="C86" s="11" t="inlineStr">
        <is>
          <t>Patro pro přespání v krovu — biodeska / OSB desky tl. 22 mm nad kleštinami</t>
        </is>
      </c>
      <c r="D86" s="10" t="inlineStr">
        <is>
          <t>m²</t>
        </is>
      </c>
      <c r="E86" s="12" t="n">
        <v>25</v>
      </c>
      <c r="F86" s="11" t="inlineStr">
        <is>
          <t>odhad — spací patro ~5 × 5 m</t>
        </is>
      </c>
      <c r="G86" s="11" t="inlineStr">
        <is>
          <t>762341711</t>
        </is>
      </c>
      <c r="H86" s="10" t="inlineStr">
        <is>
          <t>⚠ kandidát-verify</t>
        </is>
      </c>
      <c r="I86" s="11" t="inlineStr">
        <is>
          <t>260219_dum.HSV5.014</t>
        </is>
      </c>
      <c r="J86" s="11" t="inlineStr">
        <is>
          <t>S11</t>
        </is>
      </c>
      <c r="K86" s="11" t="inlineStr">
        <is>
          <t>Carried 1:1 (atomic — no decomposition needed)</t>
        </is>
      </c>
    </row>
    <row r="87">
      <c r="A87" s="10" t="n">
        <v>81</v>
      </c>
      <c r="B87" s="11" t="inlineStr">
        <is>
          <t>HSV-5 Krov + střecha</t>
        </is>
      </c>
      <c r="C87" s="11" t="inlineStr">
        <is>
          <t>Vikýře — zděná čela z Porotherm 30 (odhad 4 ks × ~3 m² stěna)</t>
        </is>
      </c>
      <c r="D87" s="10" t="inlineStr">
        <is>
          <t>m²</t>
        </is>
      </c>
      <c r="E87" s="12" t="n">
        <v>12</v>
      </c>
      <c r="F87" s="11" t="inlineStr">
        <is>
          <t>4 vikýře × ~3 m² zděných čel = 12</t>
        </is>
      </c>
      <c r="G87" s="11" t="inlineStr">
        <is>
          <t>311321411</t>
        </is>
      </c>
      <c r="H87" s="10" t="inlineStr">
        <is>
          <t>⚠ kandidát-verify</t>
        </is>
      </c>
      <c r="I87" s="11" t="inlineStr">
        <is>
          <t>260219_dum.HSV5.015</t>
        </is>
      </c>
      <c r="J87" s="11" t="inlineStr"/>
      <c r="K87" s="11" t="inlineStr">
        <is>
          <t>Carried 1:1 (atomic — no decomposition needed)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Fasádní minerální izolace λ0.035 180 mm + kotvy fasády — vikýře S12b</t>
        </is>
      </c>
      <c r="D88" s="14" t="inlineStr">
        <is>
          <t>m²</t>
        </is>
      </c>
      <c r="E88" s="16" t="n">
        <v>24</v>
      </c>
      <c r="F88" s="15">
        <f> 4 vikýře × ~6 m²</f>
        <v/>
      </c>
      <c r="G88" s="15" t="inlineStr">
        <is>
          <t>713</t>
        </is>
      </c>
      <c r="H88" s="14" t="inlineStr">
        <is>
          <t>⚠ família ??? (ÚRS online)</t>
        </is>
      </c>
      <c r="I88" s="15" t="inlineStr">
        <is>
          <t>260219_dum.HSV5.016 → HSV5.016a</t>
        </is>
      </c>
      <c r="J88" s="15" t="inlineStr">
        <is>
          <t>S12b</t>
        </is>
      </c>
      <c r="K88" s="15" t="inlineStr">
        <is>
          <t>Vrstva 1 izolace.  Doplnit leaf z CS ÚRS online (app.urs.cz, cen. úroveň 2026 01) dle família + popis + Vzorec.</t>
        </is>
      </c>
    </row>
    <row r="89">
      <c r="A89" s="17" t="n">
        <v>83</v>
      </c>
      <c r="B89" s="18" t="inlineStr">
        <is>
          <t>HSV-5 Krov + střecha</t>
        </is>
      </c>
      <c r="C89" s="18" t="inlineStr">
        <is>
          <t>Paropropustná fasádní folie s UV odolností — vikýře</t>
        </is>
      </c>
      <c r="D89" s="17" t="inlineStr">
        <is>
          <t>m²</t>
        </is>
      </c>
      <c r="E89" s="19" t="n">
        <v>26</v>
      </c>
      <c r="F89" s="18">
        <f> 24 × 1.10</f>
        <v/>
      </c>
      <c r="G89" s="18" t="inlineStr"/>
      <c r="H89" s="17" t="inlineStr">
        <is>
          <t>❌ blank — ÚRS online</t>
        </is>
      </c>
      <c r="I89" s="18" t="inlineStr">
        <is>
          <t>260219_dum.HSV5.016 → HSV5.016b</t>
        </is>
      </c>
      <c r="J89" s="18" t="inlineStr">
        <is>
          <t>S12b</t>
        </is>
      </c>
      <c r="K89" s="18" t="inlineStr">
        <is>
          <t>Vrstva 2 folie.  Doplnit leaf z CS ÚRS online (app.urs.cz, cen. úroveň 2026 01) dle família + popis + Vzorec.</t>
        </is>
      </c>
    </row>
    <row r="90">
      <c r="A90" s="17" t="n">
        <v>84</v>
      </c>
      <c r="B90" s="18" t="inlineStr">
        <is>
          <t>HSV-5 Krov + střecha</t>
        </is>
      </c>
      <c r="C90" s="18" t="inlineStr">
        <is>
          <t>Svislý nosný rastr 40×60 mm + ochranný nátěr — vikýře</t>
        </is>
      </c>
      <c r="D90" s="17" t="inlineStr">
        <is>
          <t>m²</t>
        </is>
      </c>
      <c r="E90" s="19" t="n">
        <v>24</v>
      </c>
      <c r="F90" s="18">
        <f> plocha fasády vikýřů</f>
        <v/>
      </c>
      <c r="G90" s="18" t="inlineStr"/>
      <c r="H90" s="17" t="inlineStr">
        <is>
          <t>❌ blank — ÚRS online</t>
        </is>
      </c>
      <c r="I90" s="18" t="inlineStr">
        <is>
          <t>260219_dum.HSV5.016 → HSV5.016c</t>
        </is>
      </c>
      <c r="J90" s="18" t="inlineStr">
        <is>
          <t>S12b</t>
        </is>
      </c>
      <c r="K90" s="18" t="inlineStr">
        <is>
          <t>Vrstva 3 rastr.  Doplnit leaf z CS ÚRS online (app.urs.cz, cen. úroveň 2026 01) dle família + popis + Vzorec.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Celoplošné bednění prkna 25 mm — vikýře</t>
        </is>
      </c>
      <c r="D91" s="17" t="inlineStr">
        <is>
          <t>m²</t>
        </is>
      </c>
      <c r="E91" s="19" t="n">
        <v>24</v>
      </c>
      <c r="F91" s="18">
        <f> plocha fasády vikýřů</f>
        <v/>
      </c>
      <c r="G91" s="18" t="inlineStr"/>
      <c r="H91" s="17" t="inlineStr">
        <is>
          <t>❌ blank — ÚRS online</t>
        </is>
      </c>
      <c r="I91" s="18" t="inlineStr">
        <is>
          <t>260219_dum.HSV5.016 → HSV5.016d</t>
        </is>
      </c>
      <c r="J91" s="18" t="inlineStr">
        <is>
          <t>S12b</t>
        </is>
      </c>
      <c r="K91" s="18" t="inlineStr">
        <is>
          <t>Vrstva 4 bednění.  Doplnit leaf z CS ÚRS online (app.urs.cz, cen. úroveň 2026 01) dle família + popis + Vzorec.</t>
        </is>
      </c>
    </row>
    <row r="92">
      <c r="A92" s="17" t="n">
        <v>86</v>
      </c>
      <c r="B92" s="18" t="inlineStr">
        <is>
          <t>HSV-5 Krov + střecha</t>
        </is>
      </c>
      <c r="C92" s="18" t="inlineStr">
        <is>
          <t>Falcovaný hliníkový plech — krycí vrstva vikýře</t>
        </is>
      </c>
      <c r="D92" s="17" t="inlineStr">
        <is>
          <t>m²</t>
        </is>
      </c>
      <c r="E92" s="19" t="n">
        <v>26</v>
      </c>
      <c r="F92" s="18">
        <f> 24 × 1.10</f>
        <v/>
      </c>
      <c r="G92" s="18" t="inlineStr"/>
      <c r="H92" s="17" t="inlineStr">
        <is>
          <t>❌ blank — ÚRS online</t>
        </is>
      </c>
      <c r="I92" s="18" t="inlineStr">
        <is>
          <t>260219_dum.HSV5.016 → HSV5.016e</t>
        </is>
      </c>
      <c r="J92" s="18" t="inlineStr">
        <is>
          <t>S12b</t>
        </is>
      </c>
      <c r="K92" s="18" t="inlineStr">
        <is>
          <t>Vrstva 5 plech.  Doplnit leaf z CS ÚRS online (app.urs.cz, cen. úroveň 2026 01) dle família + popis + Vzorec.</t>
        </is>
      </c>
    </row>
    <row r="93">
      <c r="A93" s="14" t="n">
        <v>87</v>
      </c>
      <c r="B93" s="15" t="inlineStr">
        <is>
          <t>HSV-5 Krov + střecha</t>
        </is>
      </c>
      <c r="C93" s="15" t="inlineStr">
        <is>
          <t>Montáž svorníků/šroubů tesařských spojů krovu délky přes 150 do 300 mm — spoje kleštin 2×60/180 s krokvemi</t>
        </is>
      </c>
      <c r="D93" s="14" t="inlineStr">
        <is>
          <t>ks</t>
        </is>
      </c>
      <c r="E93" s="16" t="n">
        <v>50</v>
      </c>
      <c r="F93" s="15">
        <f> HSV5.017 počet svorníků 50 ks (11 pozic × 2 konce × 2)</f>
        <v/>
      </c>
      <c r="G93" s="15" t="inlineStr">
        <is>
          <t>762085112</t>
        </is>
      </c>
      <c r="H93" s="14" t="inlineStr">
        <is>
          <t>✓ verified</t>
        </is>
      </c>
      <c r="I93" s="15" t="inlineStr">
        <is>
          <t>260219_dum.HSV5.017 → HSV5.017a</t>
        </is>
      </c>
      <c r="J93" s="15" t="inlineStr">
        <is>
          <t>Krov — spojovací prostředky</t>
        </is>
      </c>
      <c r="K93" s="15" t="inlineStr">
        <is>
          <t>Montáž 762085112. OVĚŘIT M12/M16 + délku dle statiky/tesařského detailu.</t>
        </is>
      </c>
    </row>
    <row r="94">
      <c r="A94" s="14" t="n">
        <v>88</v>
      </c>
      <c r="B94" s="15" t="inlineStr">
        <is>
          <t>HSV-5 Krov + střecha</t>
        </is>
      </c>
      <c r="C94" s="15" t="inlineStr">
        <is>
          <t>Tyč závitová Pz 4.6 M12 — materiál svorníků krovu</t>
        </is>
      </c>
      <c r="D94" s="14" t="inlineStr">
        <is>
          <t>m</t>
        </is>
      </c>
      <c r="E94" s="16" t="n">
        <v>14</v>
      </c>
      <c r="F94" s="15">
        <f> 50 ks × 0.25 m × 1.10 prořez = 13.75 → 14 m</f>
        <v/>
      </c>
      <c r="G94" s="15" t="inlineStr">
        <is>
          <t>31197004</t>
        </is>
      </c>
      <c r="H94" s="14" t="inlineStr">
        <is>
          <t>⚠ família ??? (ÚRS online)</t>
        </is>
      </c>
      <c r="I94" s="15" t="inlineStr">
        <is>
          <t>260219_dum.HSV5.017 → HSV5.017b</t>
        </is>
      </c>
      <c r="J94" s="15" t="inlineStr">
        <is>
          <t>Krov — spojovací prostředky</t>
        </is>
      </c>
      <c r="K94" s="15" t="inlineStr">
        <is>
          <t>Materiál svorníku (31197004).  Doplnit leaf z CS ÚRS online (app.urs.cz, cen. úroveň 2026 01) dle família + popis + Vzorec.</t>
        </is>
      </c>
    </row>
    <row r="95">
      <c r="A95" s="14" t="n">
        <v>89</v>
      </c>
      <c r="B95" s="15" t="inlineStr">
        <is>
          <t>HSV-5 Krov + střecha</t>
        </is>
      </c>
      <c r="C95" s="15" t="inlineStr">
        <is>
          <t>Matice přesná šestihranná Pz DIN 934-8 M12</t>
        </is>
      </c>
      <c r="D95" s="14" t="inlineStr">
        <is>
          <t>100 ks</t>
        </is>
      </c>
      <c r="E95" s="16" t="n">
        <v>1</v>
      </c>
      <c r="F95" s="15">
        <f> 50 svorníků × 2 = 100 ks = 1×100ks</f>
        <v/>
      </c>
      <c r="G95" s="15" t="inlineStr">
        <is>
          <t>3111006</t>
        </is>
      </c>
      <c r="H95" s="14" t="inlineStr">
        <is>
          <t>⚠ família ??? (ÚRS online)</t>
        </is>
      </c>
      <c r="I95" s="15" t="inlineStr">
        <is>
          <t>260219_dum.HSV5.017 → HSV5.017c</t>
        </is>
      </c>
      <c r="J95" s="15" t="inlineStr">
        <is>
          <t>Krov — spojovací prostředky</t>
        </is>
      </c>
      <c r="K95" s="15" t="inlineStr">
        <is>
          <t>Matice (3111006), 2 na svorník.  Doplnit leaf z CS ÚRS online (app.urs.cz, cen. úroveň 2026 01) dle família + popis + Vzorec.</t>
        </is>
      </c>
    </row>
    <row r="96">
      <c r="A96" s="14" t="n">
        <v>90</v>
      </c>
      <c r="B96" s="15" t="inlineStr">
        <is>
          <t>HSV-5 Krov + střecha</t>
        </is>
      </c>
      <c r="C96" s="15" t="inlineStr">
        <is>
          <t>Podložka pod dřevěnou konstrukci DIN 440 D 12 mm</t>
        </is>
      </c>
      <c r="D96" s="14" t="inlineStr">
        <is>
          <t>100 ks</t>
        </is>
      </c>
      <c r="E96" s="16" t="n">
        <v>1</v>
      </c>
      <c r="F96" s="15">
        <f> 50 svorníků × 2 = 100 ks = 1×100ks</f>
        <v/>
      </c>
      <c r="G96" s="15" t="inlineStr">
        <is>
          <t>31121004</t>
        </is>
      </c>
      <c r="H96" s="14" t="inlineStr">
        <is>
          <t>⚠ família ??? (ÚRS online)</t>
        </is>
      </c>
      <c r="I96" s="15" t="inlineStr">
        <is>
          <t>260219_dum.HSV5.017 → HSV5.017d</t>
        </is>
      </c>
      <c r="J96" s="15" t="inlineStr">
        <is>
          <t>Krov — spojovací prostředky</t>
        </is>
      </c>
      <c r="K96" s="15" t="inlineStr">
        <is>
          <t>Podložka (31121004), 2 na svorník.  Doplnit leaf z CS ÚRS online (app.urs.cz, cen. úroveň 2026 01) dle família + popis + Vzorec.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Pojistná HI folie pod Al krytinu — dodávka+montáž S10</t>
        </is>
      </c>
      <c r="D97" s="17" t="inlineStr">
        <is>
          <t>m²</t>
        </is>
      </c>
      <c r="E97" s="19" t="n">
        <v>155</v>
      </c>
      <c r="F97" s="18">
        <f> 140.94 × 1.10 přesahy</f>
        <v/>
      </c>
      <c r="G97" s="18" t="inlineStr"/>
      <c r="H97" s="17" t="inlineStr">
        <is>
          <t>❌ blank — ÚRS online</t>
        </is>
      </c>
      <c r="I97" s="18" t="inlineStr">
        <is>
          <t>260219_dum.HSV5.018 → HSV5.018a</t>
        </is>
      </c>
      <c r="J97" s="18" t="inlineStr">
        <is>
          <t>S10</t>
        </is>
      </c>
      <c r="K97" s="18" t="inlineStr">
        <is>
          <t>Montáž+materiál.  Doplnit leaf z CS ÚRS online (app.urs.cz, cen. úroveň 2026 01) dle família + popis + Vzorec.</t>
        </is>
      </c>
    </row>
    <row r="98">
      <c r="A98" s="8" t="inlineStr">
        <is>
          <t>━━ HSV-6 Bourací práce  (18 atomic operací) ━━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10" t="n">
        <v>92</v>
      </c>
      <c r="B99" s="11" t="inlineStr">
        <is>
          <t>HSV-6 Bourací práce</t>
        </is>
      </c>
      <c r="C99" s="11" t="inlineStr">
        <is>
          <t>Bourání kompletního stávajícího krovu vč. vikýřů — vaznicový s ležatou stolicí — manuálně, odvoz</t>
        </is>
      </c>
      <c r="D99" s="10" t="inlineStr">
        <is>
          <t>m³</t>
        </is>
      </c>
      <c r="E99" s="12" t="n">
        <v>12</v>
      </c>
      <c r="F99" s="11" t="inlineStr">
        <is>
          <t>TZ B m.10.e: 9 t dřeva × 0.75 t/m³ = 12 m³ dřeva</t>
        </is>
      </c>
      <c r="G99" s="13" t="inlineStr">
        <is>
          <t>962041141</t>
        </is>
      </c>
      <c r="H99" s="10" t="inlineStr">
        <is>
          <t>⚠ kandidát-verify</t>
        </is>
      </c>
      <c r="I99" s="11" t="inlineStr">
        <is>
          <t>260219_dum.HSV6.001</t>
        </is>
      </c>
      <c r="J99" s="11" t="inlineStr"/>
      <c r="K99" s="11" t="inlineStr">
        <is>
          <t>Carried 1:1 (atomic — no decomposition needed)</t>
        </is>
      </c>
    </row>
    <row r="100">
      <c r="A100" s="17" t="n">
        <v>93</v>
      </c>
      <c r="B100" s="18" t="inlineStr">
        <is>
          <t>HSV-6 Bourací práce</t>
        </is>
      </c>
      <c r="C100" s="18" t="inlineStr">
        <is>
          <t>Bourání stávající plechové krytiny (manuálně, recyklace plechu)</t>
        </is>
      </c>
      <c r="D100" s="17" t="inlineStr">
        <is>
          <t>m²</t>
        </is>
      </c>
      <c r="E100" s="19" t="n">
        <v>140.9</v>
      </c>
      <c r="F100" s="18">
        <f> plocha krytiny ~141</f>
        <v/>
      </c>
      <c r="G100" s="18" t="inlineStr"/>
      <c r="H100" s="17" t="inlineStr">
        <is>
          <t>❌ blank — ÚRS online</t>
        </is>
      </c>
      <c r="I100" s="18" t="inlineStr">
        <is>
          <t>260219_dum.HSV6.002</t>
        </is>
      </c>
      <c r="J100" s="18" t="inlineStr"/>
      <c r="K100" s="18" t="inlineStr">
        <is>
          <t>Carried 1:1 (atomic — no decomposition needed)  Doplnit leaf z CS ÚRS online (app.urs.cz, cen. úroveň 2026 01) dle família + popis + Vzorec.</t>
        </is>
      </c>
    </row>
    <row r="101">
      <c r="A101" s="10" t="n">
        <v>94</v>
      </c>
      <c r="B101" s="11" t="inlineStr">
        <is>
          <t>HSV-6 Bourací práce</t>
        </is>
      </c>
      <c r="C101" s="11" t="inlineStr">
        <is>
          <t>Bourání zděných nadezdívek nad stropem 2.NP (mimo štítových stěn) — cihla pálená</t>
        </is>
      </c>
      <c r="D101" s="10" t="inlineStr">
        <is>
          <t>m³</t>
        </is>
      </c>
      <c r="E101" s="12" t="n">
        <v>6</v>
      </c>
      <c r="F101" s="11" t="inlineStr">
        <is>
          <t>odhad — 3.NP nadezdívka půdy ~104 m² × 0.45 m výška ~6</t>
        </is>
      </c>
      <c r="G101" s="11" t="inlineStr">
        <is>
          <t>962031132</t>
        </is>
      </c>
      <c r="H101" s="10" t="inlineStr">
        <is>
          <t>⚠ kandidát-verify</t>
        </is>
      </c>
      <c r="I101" s="11" t="inlineStr">
        <is>
          <t>260219_dum.HSV6.003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95</v>
      </c>
      <c r="B102" s="11" t="inlineStr">
        <is>
          <t>HSV-6 Bourací práce</t>
        </is>
      </c>
      <c r="C102" s="11" t="inlineStr">
        <is>
          <t>Bourání trámového stropu 2.NP/podkroví — kompletně (vč. zajištění schodiště)</t>
        </is>
      </c>
      <c r="D102" s="10" t="inlineStr">
        <is>
          <t>m²</t>
        </is>
      </c>
      <c r="E102" s="12" t="n">
        <v>104.4</v>
      </c>
      <c r="F102" s="11">
        <f> zastavěna 104.4 m²</f>
        <v/>
      </c>
      <c r="G102" s="11" t="inlineStr">
        <is>
          <t>962041141</t>
        </is>
      </c>
      <c r="H102" s="10" t="inlineStr">
        <is>
          <t>⚠ kandidát-verify</t>
        </is>
      </c>
      <c r="I102" s="11" t="inlineStr">
        <is>
          <t>260219_dum.HSV6.004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96</v>
      </c>
      <c r="B103" s="11" t="inlineStr">
        <is>
          <t>HSV-6 Bourací práce</t>
        </is>
      </c>
      <c r="C103" s="11" t="inlineStr">
        <is>
          <t>Bourání stávajících lehkých příček (cihla, sádrokarton, dřevo)</t>
        </is>
      </c>
      <c r="D103" s="10" t="inlineStr">
        <is>
          <t>m²</t>
        </is>
      </c>
      <c r="E103" s="12" t="n">
        <v>80</v>
      </c>
      <c r="F103" s="11" t="inlineStr">
        <is>
          <t>odhad — interier 2 patra × ~40 m² příček = 80</t>
        </is>
      </c>
      <c r="G103" s="11" t="inlineStr">
        <is>
          <t>962031132</t>
        </is>
      </c>
      <c r="H103" s="10" t="inlineStr">
        <is>
          <t>⚠ kandidát-verify</t>
        </is>
      </c>
      <c r="I103" s="11" t="inlineStr">
        <is>
          <t>260219_dum.HSV6.005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97</v>
      </c>
      <c r="B104" s="11" t="inlineStr">
        <is>
          <t>HSV-6 Bourací práce</t>
        </is>
      </c>
      <c r="C104" s="11" t="inlineStr">
        <is>
          <t>Bourání 8 nových otvorů v nosných cihelných zdech pro dveře/okna (~1.0 × 2.1 m)</t>
        </is>
      </c>
      <c r="D104" s="10" t="inlineStr">
        <is>
          <t>ks</t>
        </is>
      </c>
      <c r="E104" s="12" t="n">
        <v>8</v>
      </c>
      <c r="F104" s="11" t="inlineStr">
        <is>
          <t>odhad počtu nových otvorů (= počet IPN160 překladů)</t>
        </is>
      </c>
      <c r="G104" s="11" t="inlineStr">
        <is>
          <t>962031132</t>
        </is>
      </c>
      <c r="H104" s="10" t="inlineStr">
        <is>
          <t>⚠ kandidát-verify</t>
        </is>
      </c>
      <c r="I104" s="11" t="inlineStr">
        <is>
          <t>260219_dum.HSV6.006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98</v>
      </c>
      <c r="B105" s="11" t="inlineStr">
        <is>
          <t>HSV-6 Bourací práce</t>
        </is>
      </c>
      <c r="C105" s="11" t="inlineStr">
        <is>
          <t>Bourání keramických obkladů a zařizovacích předmětů v koupelnách 1.NP + 2.NP</t>
        </is>
      </c>
      <c r="D105" s="10" t="inlineStr">
        <is>
          <t>m²</t>
        </is>
      </c>
      <c r="E105" s="12" t="n">
        <v>60</v>
      </c>
      <c r="F105" s="11" t="inlineStr">
        <is>
          <t>2 koupelny × ~30 m² obkladů = 60</t>
        </is>
      </c>
      <c r="G105" s="13" t="inlineStr">
        <is>
          <t>781473810</t>
        </is>
      </c>
      <c r="H105" s="10" t="inlineStr">
        <is>
          <t>⚠ kandidát-verify</t>
        </is>
      </c>
      <c r="I105" s="11" t="inlineStr">
        <is>
          <t>260219_dum.HSV6.007</t>
        </is>
      </c>
      <c r="J105" s="11" t="inlineStr"/>
      <c r="K105" s="11" t="inlineStr">
        <is>
          <t>Carried 1:1 (atomic — no decomposition needed)</t>
        </is>
      </c>
    </row>
    <row r="106">
      <c r="A106" s="10" t="n">
        <v>99</v>
      </c>
      <c r="B106" s="11" t="inlineStr">
        <is>
          <t>HSV-6 Bourací práce</t>
        </is>
      </c>
      <c r="C106" s="11" t="inlineStr">
        <is>
          <t>Sejmutí podlah 1.NP a 2.NP — vč. nášlapů, podkladních vrstev</t>
        </is>
      </c>
      <c r="D106" s="10" t="inlineStr">
        <is>
          <t>m²</t>
        </is>
      </c>
      <c r="E106" s="12" t="n">
        <v>153.51</v>
      </c>
      <c r="F106" s="11" t="inlineStr">
        <is>
          <t>podlahova × 0.7 = ~154 m² (bez 3.NP nového)</t>
        </is>
      </c>
      <c r="G106" s="11" t="inlineStr">
        <is>
          <t>974031132</t>
        </is>
      </c>
      <c r="H106" s="10" t="inlineStr">
        <is>
          <t>⚠ kandidát-verify</t>
        </is>
      </c>
      <c r="I106" s="11" t="inlineStr">
        <is>
          <t>260219_dum.HSV6.008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100</v>
      </c>
      <c r="B107" s="11" t="inlineStr">
        <is>
          <t>HSV-6 Bourací práce</t>
        </is>
      </c>
      <c r="C107" s="11" t="inlineStr">
        <is>
          <t>Demontáž záklopu a zásypů stropu 1.NP (prkenný záklop na trámech zachován)</t>
        </is>
      </c>
      <c r="D107" s="10" t="inlineStr">
        <is>
          <t>m³</t>
        </is>
      </c>
      <c r="E107" s="12" t="n">
        <v>5</v>
      </c>
      <c r="F107" s="11" t="inlineStr">
        <is>
          <t>100 m² × 0.05 m tl. zásypu = 5</t>
        </is>
      </c>
      <c r="G107" s="11" t="inlineStr">
        <is>
          <t>974041151</t>
        </is>
      </c>
      <c r="H107" s="10" t="inlineStr">
        <is>
          <t>⚠ kandidát-verify</t>
        </is>
      </c>
      <c r="I107" s="11" t="inlineStr">
        <is>
          <t>260219_dum.HSV6.009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101</v>
      </c>
      <c r="B108" s="11" t="inlineStr">
        <is>
          <t>HSV-6 Bourací práce</t>
        </is>
      </c>
      <c r="C108" s="11" t="inlineStr">
        <is>
          <t>Demontáž všech oken a dveří stávajících (recyklace)</t>
        </is>
      </c>
      <c r="D108" s="10" t="inlineStr">
        <is>
          <t>ks</t>
        </is>
      </c>
      <c r="E108" s="12" t="n">
        <v>25</v>
      </c>
      <c r="F108" s="11" t="inlineStr">
        <is>
          <t>odhad — ~10 oken + ~15 dveří (vstupní + vnitřní)</t>
        </is>
      </c>
      <c r="G108" s="11" t="inlineStr">
        <is>
          <t>968071120</t>
        </is>
      </c>
      <c r="H108" s="10" t="inlineStr">
        <is>
          <t>⚠ kandidát-verify</t>
        </is>
      </c>
      <c r="I108" s="11" t="inlineStr">
        <is>
          <t>260219_dum.HSV6.010</t>
        </is>
      </c>
      <c r="J108" s="11" t="inlineStr"/>
      <c r="K108" s="11" t="inlineStr">
        <is>
          <t>Carried 1:1 (atomic — no decomposition needed)</t>
        </is>
      </c>
    </row>
    <row r="109">
      <c r="A109" s="10" t="n">
        <v>102</v>
      </c>
      <c r="B109" s="11" t="inlineStr">
        <is>
          <t>HSV-6 Bourací práce</t>
        </is>
      </c>
      <c r="C109" s="11" t="inlineStr">
        <is>
          <t>Demontáž všech sanitárních zařizovacích předmětů (WC, umyvadla, baterie, sprcha)</t>
        </is>
      </c>
      <c r="D109" s="10" t="inlineStr">
        <is>
          <t>ks</t>
        </is>
      </c>
      <c r="E109" s="12" t="n">
        <v>12</v>
      </c>
      <c r="F109" s="11" t="inlineStr">
        <is>
          <t>odhad — 2 koupelny × ~5 ks + WC + dřez = ~12</t>
        </is>
      </c>
      <c r="G109" s="11" t="inlineStr">
        <is>
          <t>725900001</t>
        </is>
      </c>
      <c r="H109" s="10" t="inlineStr">
        <is>
          <t>⚠ kandidát-verify</t>
        </is>
      </c>
      <c r="I109" s="11" t="inlineStr">
        <is>
          <t>260219_dum.HSV6.011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103</v>
      </c>
      <c r="B110" s="11" t="inlineStr">
        <is>
          <t>HSV-6 Bourací práce</t>
        </is>
      </c>
      <c r="C110" s="11" t="inlineStr">
        <is>
          <t>Odvoz a likvidace stavební suti dle vyhl. 8/2021 Sb. — celková tonáž odpadů</t>
        </is>
      </c>
      <c r="D110" s="10" t="inlineStr">
        <is>
          <t>t</t>
        </is>
      </c>
      <c r="E110" s="12" t="n">
        <v>56.5</v>
      </c>
      <c r="F110" s="11" t="inlineStr">
        <is>
          <t>TZ B m.10.e: 46 (beton/cihly) + 9 (dřevo) + 0.1 (kov) + 0.1 (EPS) + 0.2 (sádra) + 1.0 (směs) = 56.4</t>
        </is>
      </c>
      <c r="G110" s="11" t="inlineStr">
        <is>
          <t>997013501</t>
        </is>
      </c>
      <c r="H110" s="10" t="inlineStr">
        <is>
          <t>⚠ kandidát-verify</t>
        </is>
      </c>
      <c r="I110" s="11" t="inlineStr">
        <is>
          <t>260219_dum.HSV6.012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104</v>
      </c>
      <c r="B111" s="11" t="inlineStr">
        <is>
          <t>HSV-6 Bourací práce</t>
        </is>
      </c>
      <c r="C111" s="11" t="inlineStr">
        <is>
          <t>Demontáž stávajících dřevěných oken vč. rámů a parapetů — 16 ks (návrh všechna okna nová plastová trojsklem)</t>
        </is>
      </c>
      <c r="D111" s="10" t="inlineStr">
        <is>
          <t>ks</t>
        </is>
      </c>
      <c r="E111" s="12" t="n">
        <v>16</v>
      </c>
      <c r="F111" s="11" t="inlineStr">
        <is>
          <t>DXF INSERT okno* total 16 ks (Path C Tier 4 — front 9 + back 7)</t>
        </is>
      </c>
      <c r="G111" s="13" t="inlineStr">
        <is>
          <t>978013181</t>
        </is>
      </c>
      <c r="H111" s="10" t="inlineStr">
        <is>
          <t>✓ verified</t>
        </is>
      </c>
      <c r="I111" s="11" t="inlineStr">
        <is>
          <t>260219_dum.HSV6.013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105</v>
      </c>
      <c r="B112" s="11" t="inlineStr">
        <is>
          <t>HSV-6 Bourací práce</t>
        </is>
      </c>
      <c r="C112" s="11" t="inlineStr">
        <is>
          <t>Demontáž stávajících vstupních dveří + rámů — 2 ks (1× ulice Fibichova + 1× zahrada; návrh nové plastové vstupní dveře)</t>
        </is>
      </c>
      <c r="D112" s="10" t="inlineStr">
        <is>
          <t>ks</t>
        </is>
      </c>
      <c r="E112" s="12" t="n">
        <v>2</v>
      </c>
      <c r="F112" s="11" t="inlineStr">
        <is>
          <t>DXF INSERT dveře = 2 (Path C Tier 4) + TZ ARS</t>
        </is>
      </c>
      <c r="G112" s="13" t="inlineStr">
        <is>
          <t>978013181</t>
        </is>
      </c>
      <c r="H112" s="10" t="inlineStr">
        <is>
          <t>✓ verified</t>
        </is>
      </c>
      <c r="I112" s="11" t="inlineStr">
        <is>
          <t>260219_dum.HSV6.014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106</v>
      </c>
      <c r="B113" s="11" t="inlineStr">
        <is>
          <t>HSV-6 Bourací práce</t>
        </is>
      </c>
      <c r="C113" s="11" t="inlineStr">
        <is>
          <t>Demontáž stávajících vnitřních dveří vč. ocelových/dřevěných zárubní — odhad 15 ks (3 patra × ~5 dveří/patro per DXF SM__dveře layer)</t>
        </is>
      </c>
      <c r="D113" s="10" t="inlineStr">
        <is>
          <t>ks</t>
        </is>
      </c>
      <c r="E113" s="12" t="n">
        <v>15</v>
      </c>
      <c r="F113" s="11" t="inlineStr">
        <is>
          <t>DXF SM__dveře polylines 102 / ~3 fáze / ~2.3 symbol per dveře ≈ 15 ks návrh (Path C confidence 0.65)</t>
        </is>
      </c>
      <c r="G113" s="11" t="inlineStr">
        <is>
          <t>968072456</t>
        </is>
      </c>
      <c r="H113" s="10" t="inlineStr">
        <is>
          <t>⚠ kandidát-verify</t>
        </is>
      </c>
      <c r="I113" s="11" t="inlineStr">
        <is>
          <t>260219_dum.HSV6.015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107</v>
      </c>
      <c r="B114" s="11" t="inlineStr">
        <is>
          <t>HSV-6 Bourací práce</t>
        </is>
      </c>
      <c r="C114" s="11" t="inlineStr">
        <is>
          <t>Bourání vrchní části stávajícího komínu v posledním podlaží (cihelné zdivo, ručně), vč. likvidace cihelné suti</t>
        </is>
      </c>
      <c r="D114" s="10" t="inlineStr">
        <is>
          <t>m³</t>
        </is>
      </c>
      <c r="E114" s="12" t="n">
        <v>0.6</v>
      </c>
      <c r="F114" s="11" t="inlineStr">
        <is>
          <t>průměr komín 0.50×0.50 × výška nad střechou ~2.4 m = 0.6 m³ (OPRAVA ChatGPT revize 2026-05-29: dříve 6.0 m³ = ×10 chybná inflace; skutečný objem 0.6 m³)</t>
        </is>
      </c>
      <c r="G114" s="13" t="inlineStr">
        <is>
          <t>962024141</t>
        </is>
      </c>
      <c r="H114" s="10" t="inlineStr">
        <is>
          <t>⚠ kandidát-verify</t>
        </is>
      </c>
      <c r="I114" s="11" t="inlineStr">
        <is>
          <t>260219_dum.HSV6.016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108</v>
      </c>
      <c r="B115" s="11" t="inlineStr">
        <is>
          <t>HSV-6 Bourací práce</t>
        </is>
      </c>
      <c r="C115" s="11" t="inlineStr">
        <is>
          <t>Bourání stávajících opěrných zídek a venkovního schodiště v zahradě/dvoře — částečné, dle vyznačení v půdorysech bourání</t>
        </is>
      </c>
      <c r="D115" s="10" t="inlineStr">
        <is>
          <t>m³</t>
        </is>
      </c>
      <c r="E115" s="12" t="n">
        <v>8</v>
      </c>
      <c r="F115" s="11" t="inlineStr">
        <is>
          <t>odhad ze řez A-A bourání + půdorys bourání 1.NP/1.PP, ~8 m³ celkem (opěrné zídky + venkovní schodiště zahrada/dvůr)</t>
        </is>
      </c>
      <c r="G115" s="13" t="inlineStr">
        <is>
          <t>961044111</t>
        </is>
      </c>
      <c r="H115" s="10" t="inlineStr">
        <is>
          <t>⚠ kandidát-verify</t>
        </is>
      </c>
      <c r="I115" s="11" t="inlineStr">
        <is>
          <t>260219_dum.HSV6.017</t>
        </is>
      </c>
      <c r="J115" s="11" t="inlineStr"/>
      <c r="K115" s="11" t="inlineStr">
        <is>
          <t>Carried 1:1 (atomic — no decomposition needed)</t>
        </is>
      </c>
    </row>
    <row r="116">
      <c r="A116" s="17" t="n">
        <v>109</v>
      </c>
      <c r="B116" s="18" t="inlineStr">
        <is>
          <t>HSV-6 Bourací práce</t>
        </is>
      </c>
      <c r="C116" s="18" t="inlineStr">
        <is>
          <t>Demontáž vnějšího keram. obkladu suterénu (sokl) 20 mm</t>
        </is>
      </c>
      <c r="D116" s="17" t="inlineStr">
        <is>
          <t>m²</t>
        </is>
      </c>
      <c r="E116" s="19" t="n">
        <v>23</v>
      </c>
      <c r="F116" s="18">
        <f> obvod 38.7 × 0.6 ≈ 23 (OVĚŘIT)</f>
        <v/>
      </c>
      <c r="G116" s="18" t="inlineStr"/>
      <c r="H116" s="17" t="inlineStr">
        <is>
          <t>❌ blank — ÚRS online</t>
        </is>
      </c>
      <c r="I116" s="18" t="inlineStr">
        <is>
          <t>260219_dum.HSV6.018 → HSV6.018a</t>
        </is>
      </c>
      <c r="J116" s="18" t="inlineStr">
        <is>
          <t>S03</t>
        </is>
      </c>
      <c r="K116" s="18" t="inlineStr">
        <is>
          <t>Bourání.  Doplnit leaf z CS ÚRS online (app.urs.cz, cen. úroveň 2026 01) dle família + popis + Vzorec.</t>
        </is>
      </c>
    </row>
    <row r="117">
      <c r="A117" s="8" t="inlineStr">
        <is>
          <t>━━ HSV-7 Fasáda ETICS  (9 atomic operací) ━━</t>
        </is>
      </c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>
      <c r="A118" s="10" t="n">
        <v>110</v>
      </c>
      <c r="B118" s="11" t="inlineStr">
        <is>
          <t>HSV-7 Fasáda ETICS</t>
        </is>
      </c>
      <c r="C118" s="11" t="inlineStr">
        <is>
          <t>Příprava fasádního podkladu — očištění tlakovou vodou, vyspravení omítek, fungicidní nátěr</t>
        </is>
      </c>
      <c r="D118" s="10" t="inlineStr">
        <is>
          <t>m²</t>
        </is>
      </c>
      <c r="E118" s="12" t="n">
        <v>276.7</v>
      </c>
      <c r="F118" s="11" t="inlineStr">
        <is>
          <t>obvod 38.7 m (DXF) × 0.55 (volná fasáda, štíty zachované) × výška 13.0 m = 276.7 m²</t>
        </is>
      </c>
      <c r="G118" s="11" t="inlineStr">
        <is>
          <t>622401110</t>
        </is>
      </c>
      <c r="H118" s="10" t="inlineStr">
        <is>
          <t>⚠ kandidát-verify</t>
        </is>
      </c>
      <c r="I118" s="11" t="inlineStr">
        <is>
          <t>260219_dum.HSV7.001</t>
        </is>
      </c>
      <c r="J118" s="11" t="inlineStr">
        <is>
          <t>S01</t>
        </is>
      </c>
      <c r="K118" s="11" t="inlineStr">
        <is>
          <t>Carried 1:1 (atomic — no decomposition needed)</t>
        </is>
      </c>
    </row>
    <row r="119">
      <c r="A119" s="14" t="n">
        <v>111</v>
      </c>
      <c r="B119" s="15" t="inlineStr">
        <is>
          <t>HSV-7 Fasáda ETICS</t>
        </is>
      </c>
      <c r="C119" s="15" t="inlineStr">
        <is>
          <t>Lepení + kotvení desek EPS 70F grey λ=0.032 tl. 160 mm — ETICS kontaktní zateplení fasády</t>
        </is>
      </c>
      <c r="D119" s="14" t="inlineStr">
        <is>
          <t>m²</t>
        </is>
      </c>
      <c r="E119" s="16" t="n">
        <v>276.7</v>
      </c>
      <c r="F119" s="15">
        <f> HSV7.002 plocha fasády 276.7 m²</f>
        <v/>
      </c>
      <c r="G119" s="15" t="inlineStr">
        <is>
          <t>713</t>
        </is>
      </c>
      <c r="H119" s="14" t="inlineStr">
        <is>
          <t>⚠ família ??? (ÚRS online)</t>
        </is>
      </c>
      <c r="I119" s="15" t="inlineStr">
        <is>
          <t>260219_dum.HSV7.002 → HSV7.002a</t>
        </is>
      </c>
      <c r="J119" s="15" t="inlineStr">
        <is>
          <t>S01, S12a</t>
        </is>
      </c>
      <c r="K119" s="15" t="inlineStr">
        <is>
          <t>Lepení+kotvení EPS (713/622 família). Leaf dle tl. 160 mm — verify.  Doplnit leaf z CS ÚRS online (app.urs.cz, cen. úroveň 2026 01) dle família + popis + Vzorec.</t>
        </is>
      </c>
    </row>
    <row r="120">
      <c r="A120" s="14" t="n">
        <v>112</v>
      </c>
      <c r="B120" s="15" t="inlineStr">
        <is>
          <t>HSV-7 Fasáda ETICS</t>
        </is>
      </c>
      <c r="C120" s="15" t="inlineStr">
        <is>
          <t>Armovací vrstva — výztužná síťka + lepicí stěrka (zatírací) na ETICS</t>
        </is>
      </c>
      <c r="D120" s="14" t="inlineStr">
        <is>
          <t>m²</t>
        </is>
      </c>
      <c r="E120" s="16" t="n">
        <v>276.7</v>
      </c>
      <c r="F120" s="15">
        <f> HSV7.002 plocha 276.7 m²</f>
        <v/>
      </c>
      <c r="G120" s="15" t="inlineStr">
        <is>
          <t>622</t>
        </is>
      </c>
      <c r="H120" s="14" t="inlineStr">
        <is>
          <t>⚠ família ??? (ÚRS online)</t>
        </is>
      </c>
      <c r="I120" s="15" t="inlineStr">
        <is>
          <t>260219_dum.HSV7.002 → HSV7.002b</t>
        </is>
      </c>
      <c r="J120" s="15" t="inlineStr">
        <is>
          <t>S01, S12a</t>
        </is>
      </c>
      <c r="K120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121">
      <c r="A121" s="14" t="n">
        <v>113</v>
      </c>
      <c r="B121" s="15" t="inlineStr">
        <is>
          <t>HSV-7 Fasáda ETICS</t>
        </is>
      </c>
      <c r="C121" s="15" t="inlineStr">
        <is>
          <t>Lepení + kotvení desek XPS λ=0.034 tl. 120 mm + soklový profil — ETICS sokl</t>
        </is>
      </c>
      <c r="D121" s="14" t="inlineStr">
        <is>
          <t>m²</t>
        </is>
      </c>
      <c r="E121" s="16" t="n">
        <v>13.5</v>
      </c>
      <c r="F121" s="15">
        <f> HSV7.003 plocha soklu 13.5 m²</f>
        <v/>
      </c>
      <c r="G121" s="15" t="inlineStr">
        <is>
          <t>713</t>
        </is>
      </c>
      <c r="H121" s="14" t="inlineStr">
        <is>
          <t>⚠ família ??? (ÚRS online)</t>
        </is>
      </c>
      <c r="I121" s="15" t="inlineStr">
        <is>
          <t>260219_dum.HSV7.003 → HSV7.003a</t>
        </is>
      </c>
      <c r="J121" s="15" t="inlineStr">
        <is>
          <t>S01</t>
        </is>
      </c>
      <c r="K121" s="15" t="inlineStr">
        <is>
          <t>Sokl XPS lepení + soklový profil (713/622 família).  Doplnit leaf z CS ÚRS online (app.urs.cz, cen. úroveň 2026 01) dle família + popis + Vzorec.</t>
        </is>
      </c>
    </row>
    <row r="122">
      <c r="A122" s="14" t="n">
        <v>114</v>
      </c>
      <c r="B122" s="15" t="inlineStr">
        <is>
          <t>HSV-7 Fasáda ETICS</t>
        </is>
      </c>
      <c r="C122" s="15" t="inlineStr">
        <is>
          <t>Cihelný obklad soklu spárovaný (na armovací vrstvu)</t>
        </is>
      </c>
      <c r="D122" s="14" t="inlineStr">
        <is>
          <t>m²</t>
        </is>
      </c>
      <c r="E122" s="16" t="n">
        <v>13.5</v>
      </c>
      <c r="F122" s="15">
        <f> HSV7.003 plocha soklu 13.5 m²</f>
        <v/>
      </c>
      <c r="G122" s="15" t="inlineStr">
        <is>
          <t>781</t>
        </is>
      </c>
      <c r="H122" s="14" t="inlineStr">
        <is>
          <t>⚠ família ??? (ÚRS online)</t>
        </is>
      </c>
      <c r="I122" s="15" t="inlineStr">
        <is>
          <t>260219_dum.HSV7.003 → HSV7.003b</t>
        </is>
      </c>
      <c r="J122" s="15" t="inlineStr">
        <is>
          <t>S01</t>
        </is>
      </c>
      <c r="K122" s="15" t="inlineStr">
        <is>
          <t>Cihelný obklad spárovaný (781 família obklady).  Doplnit leaf z CS ÚRS online (app.urs.cz, cen. úroveň 2026 01) dle família + popis + Vzorec.</t>
        </is>
      </c>
    </row>
    <row r="123">
      <c r="A123" s="14" t="n">
        <v>115</v>
      </c>
      <c r="B123" s="15" t="inlineStr">
        <is>
          <t>HSV-7 Fasáda ETICS</t>
        </is>
      </c>
      <c r="C123" s="15" t="inlineStr">
        <is>
          <t>Špalety oken — EPS přesah 35-40 mm lepení + kotvení</t>
        </is>
      </c>
      <c r="D123" s="14" t="inlineStr">
        <is>
          <t>bm</t>
        </is>
      </c>
      <c r="E123" s="16" t="n">
        <v>82.2</v>
      </c>
      <c r="F123" s="15">
        <f> HSV7.004 obvod špalet 82.2 bm</f>
        <v/>
      </c>
      <c r="G123" s="15" t="inlineStr">
        <is>
          <t>622</t>
        </is>
      </c>
      <c r="H123" s="14" t="inlineStr">
        <is>
          <t>⚠ família ??? (ÚRS online)</t>
        </is>
      </c>
      <c r="I123" s="15" t="inlineStr">
        <is>
          <t>260219_dum.HSV7.004 → HSV7.004a</t>
        </is>
      </c>
      <c r="J123" s="15" t="inlineStr">
        <is>
          <t>S01, S12a</t>
        </is>
      </c>
      <c r="K123" s="15" t="inlineStr">
        <is>
          <t>Špalety EPS přesah (622 família).  Doplnit leaf z CS ÚRS online (app.urs.cz, cen. úroveň 2026 01) dle família + popis + Vzorec.</t>
        </is>
      </c>
    </row>
    <row r="124">
      <c r="A124" s="14" t="n">
        <v>116</v>
      </c>
      <c r="B124" s="15" t="inlineStr">
        <is>
          <t>HSV-7 Fasáda ETICS</t>
        </is>
      </c>
      <c r="C124" s="15" t="inlineStr">
        <is>
          <t>Špalety oken — armovací vrstva síťka + omítka</t>
        </is>
      </c>
      <c r="D124" s="14" t="inlineStr">
        <is>
          <t>bm</t>
        </is>
      </c>
      <c r="E124" s="16" t="n">
        <v>82.2</v>
      </c>
      <c r="F124" s="15">
        <f> HSV7.004 obvod 82.2 bm</f>
        <v/>
      </c>
      <c r="G124" s="15" t="inlineStr">
        <is>
          <t>622</t>
        </is>
      </c>
      <c r="H124" s="14" t="inlineStr">
        <is>
          <t>⚠ família ??? (ÚRS online)</t>
        </is>
      </c>
      <c r="I124" s="15" t="inlineStr">
        <is>
          <t>260219_dum.HSV7.004 → HSV7.004b</t>
        </is>
      </c>
      <c r="J124" s="15" t="inlineStr">
        <is>
          <t>S01, S12a</t>
        </is>
      </c>
      <c r="K124" s="15" t="inlineStr">
        <is>
          <t>Armovací vrstva + omítka špalet (622 família).  Doplnit leaf z CS ÚRS online (app.urs.cz, cen. úroveň 2026 01) dle família + popis + Vzorec.</t>
        </is>
      </c>
    </row>
    <row r="125">
      <c r="A125" s="10" t="n">
        <v>117</v>
      </c>
      <c r="B125" s="11" t="inlineStr">
        <is>
          <t>HSV-7 Fasáda ETICS</t>
        </is>
      </c>
      <c r="C125" s="11" t="inlineStr">
        <is>
          <t>Profilace fasády — různé tloušťky EPS (kordony, šambrány, rámování oken) — paušál podle pohledů</t>
        </is>
      </c>
      <c r="D125" s="10" t="inlineStr">
        <is>
          <t>soubor</t>
        </is>
      </c>
      <c r="E125" s="12" t="n">
        <v>1</v>
      </c>
      <c r="F125" s="11" t="inlineStr">
        <is>
          <t>paušál — dle pohledů NCS NZÚ</t>
        </is>
      </c>
      <c r="G125" s="11" t="inlineStr">
        <is>
          <t>622221221</t>
        </is>
      </c>
      <c r="H125" s="10" t="inlineStr">
        <is>
          <t>⚠ kandidát-verify</t>
        </is>
      </c>
      <c r="I125" s="11" t="inlineStr">
        <is>
          <t>260219_dum.HSV7.005</t>
        </is>
      </c>
      <c r="J125" s="11" t="inlineStr">
        <is>
          <t>S01, S12a</t>
        </is>
      </c>
      <c r="K125" s="11" t="inlineStr">
        <is>
          <t>Carried 1:1 (atomic — no decomposition needed)</t>
        </is>
      </c>
    </row>
    <row r="126">
      <c r="A126" s="10" t="n">
        <v>118</v>
      </c>
      <c r="B126" s="11" t="inlineStr">
        <is>
          <t>HSV-7 Fasáda ETICS</t>
        </is>
      </c>
      <c r="C126" s="11" t="inlineStr">
        <is>
          <t>Tenkovrstvá pastovitá probarvená omítka, lomená bílá NCS NZÚ — finální vrstva ETICS</t>
        </is>
      </c>
      <c r="D126" s="10" t="inlineStr">
        <is>
          <t>m²</t>
        </is>
      </c>
      <c r="E126" s="12" t="n">
        <v>290.2</v>
      </c>
      <c r="F126" s="11" t="inlineStr">
        <is>
          <t>ETICS plocha 276.7 m² + sokl 13.5 m² = 290.2 m²</t>
        </is>
      </c>
      <c r="G126" s="13" t="inlineStr">
        <is>
          <t>622521111</t>
        </is>
      </c>
      <c r="H126" s="10" t="inlineStr">
        <is>
          <t>⚠ kandidát-verify</t>
        </is>
      </c>
      <c r="I126" s="11" t="inlineStr">
        <is>
          <t>260219_dum.HSV7.006</t>
        </is>
      </c>
      <c r="J126" s="11" t="inlineStr">
        <is>
          <t>S01, S12a, S12b</t>
        </is>
      </c>
      <c r="K126" s="11" t="inlineStr">
        <is>
          <t>Carried 1:1 (atomic — no decomposition needed)</t>
        </is>
      </c>
    </row>
    <row r="127">
      <c r="A127" s="8" t="inlineStr">
        <is>
          <t>━━ HSV-7 Fasáda + zateplení  (5 atomic operací) ━━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>
      <c r="A128" s="17" t="n">
        <v>119</v>
      </c>
      <c r="B128" s="18" t="inlineStr">
        <is>
          <t>HSV-7 Fasáda + zateplení</t>
        </is>
      </c>
      <c r="C128" s="18" t="inlineStr">
        <is>
          <t>Montáž sanační izolační desky Styrcon 200 + armovací — sokl S03</t>
        </is>
      </c>
      <c r="D128" s="17" t="inlineStr">
        <is>
          <t>m²</t>
        </is>
      </c>
      <c r="E128" s="19" t="n">
        <v>23</v>
      </c>
      <c r="F128" s="18">
        <f> obvod 38.7 × 0.6 ≈ 23 (OVĚŘIT)</f>
        <v/>
      </c>
      <c r="G128" s="18" t="inlineStr"/>
      <c r="H128" s="17" t="inlineStr">
        <is>
          <t>❌ blank — ÚRS online</t>
        </is>
      </c>
      <c r="I128" s="18" t="inlineStr">
        <is>
          <t>260219_dum.HSV7.007 → HSV7.007a</t>
        </is>
      </c>
      <c r="J128" s="18" t="inlineStr">
        <is>
          <t>S03</t>
        </is>
      </c>
      <c r="K128" s="18" t="inlineStr">
        <is>
          <t>Montáž.  Doplnit leaf z CS ÚRS online (app.urs.cz, cen. úroveň 2026 01) dle família + popis + Vzorec.</t>
        </is>
      </c>
    </row>
    <row r="129">
      <c r="A129" s="17" t="n">
        <v>120</v>
      </c>
      <c r="B129" s="18" t="inlineStr">
        <is>
          <t>HSV-7 Fasáda + zateplení</t>
        </is>
      </c>
      <c r="C129" s="18" t="inlineStr">
        <is>
          <t>Sanační deska Styrcon 200 + lepící tmel + armovací stěrka+tkanina — materiál</t>
        </is>
      </c>
      <c r="D129" s="17" t="inlineStr">
        <is>
          <t>m²</t>
        </is>
      </c>
      <c r="E129" s="19" t="n">
        <v>24</v>
      </c>
      <c r="F129" s="18">
        <f> 23 × 1.05</f>
        <v/>
      </c>
      <c r="G129" s="18" t="inlineStr"/>
      <c r="H129" s="17" t="inlineStr">
        <is>
          <t>❌ blank — ÚRS online</t>
        </is>
      </c>
      <c r="I129" s="18" t="inlineStr">
        <is>
          <t>260219_dum.HSV7.007 → HSV7.007b</t>
        </is>
      </c>
      <c r="J129" s="18" t="inlineStr">
        <is>
          <t>S03</t>
        </is>
      </c>
      <c r="K129" s="18" t="inlineStr">
        <is>
          <t>Materiál.  Doplnit leaf z CS ÚRS online (app.urs.cz, cen. úroveň 2026 01) dle família + popis + Vzorec.</t>
        </is>
      </c>
    </row>
    <row r="130">
      <c r="A130" s="17" t="n">
        <v>121</v>
      </c>
      <c r="B130" s="18" t="inlineStr">
        <is>
          <t>HSV-7 Fasáda + zateplení</t>
        </is>
      </c>
      <c r="C130" s="18" t="inlineStr">
        <is>
          <t>Drenážní nopová folie 20 mm — dodávka+montáž, sokl pod terénem S03a</t>
        </is>
      </c>
      <c r="D130" s="17" t="inlineStr">
        <is>
          <t>m²</t>
        </is>
      </c>
      <c r="E130" s="19" t="n">
        <v>25</v>
      </c>
      <c r="F130" s="18">
        <f> 23 × 1.10</f>
        <v/>
      </c>
      <c r="G130" s="18" t="inlineStr"/>
      <c r="H130" s="17" t="inlineStr">
        <is>
          <t>❌ blank — ÚRS online</t>
        </is>
      </c>
      <c r="I130" s="18" t="inlineStr">
        <is>
          <t>260219_dum.HSV7.008 → HSV7.008a</t>
        </is>
      </c>
      <c r="J130" s="18" t="inlineStr">
        <is>
          <t>S03</t>
        </is>
      </c>
      <c r="K130" s="18" t="inlineStr">
        <is>
          <t>Montáž+materiál.  Doplnit leaf z CS ÚRS online (app.urs.cz, cen. úroveň 2026 01) dle família + popis + Vzorec.</t>
        </is>
      </c>
    </row>
    <row r="131">
      <c r="A131" s="17" t="n">
        <v>122</v>
      </c>
      <c r="B131" s="18" t="inlineStr">
        <is>
          <t>HSV-7 Fasáda + zateplení</t>
        </is>
      </c>
      <c r="C131" s="18" t="inlineStr">
        <is>
          <t>Kotevní rošt 40 mm provětraného soklu — montáž+materiál S03b</t>
        </is>
      </c>
      <c r="D131" s="17" t="inlineStr">
        <is>
          <t>m²</t>
        </is>
      </c>
      <c r="E131" s="19" t="n">
        <v>23</v>
      </c>
      <c r="F131" s="18">
        <f> 23 (OVĚŘIT)</f>
        <v/>
      </c>
      <c r="G131" s="18" t="inlineStr"/>
      <c r="H131" s="17" t="inlineStr">
        <is>
          <t>❌ blank — ÚRS online</t>
        </is>
      </c>
      <c r="I131" s="18" t="inlineStr">
        <is>
          <t>260219_dum.HSV7.009 → HSV7.009a</t>
        </is>
      </c>
      <c r="J131" s="18" t="inlineStr">
        <is>
          <t>S03</t>
        </is>
      </c>
      <c r="K131" s="18" t="inlineStr">
        <is>
          <t>Rošt.  Doplnit leaf z CS ÚRS online (app.urs.cz, cen. úroveň 2026 01) dle família + popis + Vzorec.</t>
        </is>
      </c>
    </row>
    <row r="132">
      <c r="A132" s="14" t="n">
        <v>123</v>
      </c>
      <c r="B132" s="15" t="inlineStr">
        <is>
          <t>HSV-7 Fasáda + zateplení</t>
        </is>
      </c>
      <c r="C132" s="15" t="inlineStr">
        <is>
          <t>Keramický obklad soklu 20 mm — montáž+materiál</t>
        </is>
      </c>
      <c r="D132" s="14" t="inlineStr">
        <is>
          <t>m²</t>
        </is>
      </c>
      <c r="E132" s="16" t="n">
        <v>24</v>
      </c>
      <c r="F132" s="15">
        <f> 23 × 1.05</f>
        <v/>
      </c>
      <c r="G132" s="15" t="inlineStr">
        <is>
          <t>781</t>
        </is>
      </c>
      <c r="H132" s="14" t="inlineStr">
        <is>
          <t>⚠ família ??? (ÚRS online)</t>
        </is>
      </c>
      <c r="I132" s="15" t="inlineStr">
        <is>
          <t>260219_dum.HSV7.009 → HSV7.009b</t>
        </is>
      </c>
      <c r="J132" s="15" t="inlineStr">
        <is>
          <t>S03</t>
        </is>
      </c>
      <c r="K132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127:K127"/>
    <mergeCell ref="A2:K2"/>
    <mergeCell ref="A117:K117"/>
    <mergeCell ref="A98:K98"/>
    <mergeCell ref="A68:K68"/>
    <mergeCell ref="A44:K44"/>
    <mergeCell ref="A36:K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40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>
        <is>
          <t>S09</t>
        </is>
      </c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260219_dum.PSV76.002 → PSV76.002a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260219_dum.PSV76.002 → PSV76.002b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260219_dum.PSV76.002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260219_dum.PSV76.003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260219_dum.PSV76.004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260219_dum.HSV5.001</t>
        </is>
      </c>
      <c r="B4" s="15" t="inlineStr">
        <is>
          <t>HSV-5 Krov + střecha</t>
        </is>
      </c>
      <c r="C4" s="15" t="inlineStr">
        <is>
          <t>Tesařský krov — krokve 100/180 mm á 800 mm, rezivo C24 fungicidní + protihmyzí (cca 2×12 krokví × ~6.5 m)</t>
        </is>
      </c>
      <c r="D4" s="14" t="inlineStr">
        <is>
          <t>bm</t>
        </is>
      </c>
      <c r="E4" s="16" t="n">
        <v>156</v>
      </c>
      <c r="F4" s="14" t="n">
        <v>2</v>
      </c>
      <c r="G4" s="15" t="inlineStr">
        <is>
          <t>HSV5.001a, HSV5.001b</t>
        </is>
      </c>
    </row>
    <row r="5">
      <c r="A5" s="15" t="inlineStr">
        <is>
          <t>260219_dum.HSV5.002</t>
        </is>
      </c>
      <c r="B5" s="15" t="inlineStr">
        <is>
          <t>HSV-5 Krov + střecha</t>
        </is>
      </c>
      <c r="C5" s="15" t="inlineStr">
        <is>
          <t>Tesařský krov — kleštiny dvojfošny 60/180 mm probíhající v oblasti spací části</t>
        </is>
      </c>
      <c r="D5" s="14" t="inlineStr">
        <is>
          <t>bm</t>
        </is>
      </c>
      <c r="E5" s="16" t="n">
        <v>110</v>
      </c>
      <c r="F5" s="14" t="n">
        <v>2</v>
      </c>
      <c r="G5" s="15" t="inlineStr">
        <is>
          <t>HSV5.002a, HSV5.002b</t>
        </is>
      </c>
    </row>
    <row r="6">
      <c r="A6" s="15" t="inlineStr">
        <is>
          <t>260219_dum.HSV5.003</t>
        </is>
      </c>
      <c r="B6" s="15" t="inlineStr">
        <is>
          <t>HSV-5 Krov + střecha</t>
        </is>
      </c>
      <c r="C6" s="15" t="inlineStr">
        <is>
          <t>Tesařský krov — pozednice 140/160 mm kotvená do ŽB věnce 3.NP</t>
        </is>
      </c>
      <c r="D6" s="14" t="inlineStr">
        <is>
          <t>bm</t>
        </is>
      </c>
      <c r="E6" s="16" t="n">
        <v>19.4</v>
      </c>
      <c r="F6" s="14" t="n">
        <v>2</v>
      </c>
      <c r="G6" s="15" t="inlineStr">
        <is>
          <t>HSV5.003a, HSV5.003b</t>
        </is>
      </c>
    </row>
    <row r="7">
      <c r="A7" s="15" t="inlineStr">
        <is>
          <t>260219_dum.HSV5.004</t>
        </is>
      </c>
      <c r="B7" s="15" t="inlineStr">
        <is>
          <t>HSV-5 Krov + střecha</t>
        </is>
      </c>
      <c r="C7" s="15" t="inlineStr">
        <is>
          <t>Tesařský krov — námětky 60/100 v dolní koncové části pro přesah střechy ~500 mm</t>
        </is>
      </c>
      <c r="D7" s="14" t="inlineStr">
        <is>
          <t>bm</t>
        </is>
      </c>
      <c r="E7" s="16" t="n">
        <v>19.2</v>
      </c>
      <c r="F7" s="14" t="n">
        <v>2</v>
      </c>
      <c r="G7" s="15" t="inlineStr">
        <is>
          <t>HSV5.004a, HSV5.004b</t>
        </is>
      </c>
    </row>
    <row r="8">
      <c r="A8" s="15" t="inlineStr">
        <is>
          <t>260219_dum.HSV5.016</t>
        </is>
      </c>
      <c r="B8" s="15" t="inlineStr">
        <is>
          <t>HSV-5 Krov + střecha</t>
        </is>
      </c>
      <c r="C8" s="15" t="inlineStr">
        <is>
          <t>Vikýře — provětrávaná fasáda min. vata + plech falcovaný hliník (4 vikýře × ~6 m² fasády)</t>
        </is>
      </c>
      <c r="D8" s="14" t="inlineStr">
        <is>
          <t>m²</t>
        </is>
      </c>
      <c r="E8" s="16" t="n">
        <v>24</v>
      </c>
      <c r="F8" s="14" t="n">
        <v>5</v>
      </c>
      <c r="G8" s="15" t="inlineStr">
        <is>
          <t>HSV5.016a, HSV5.016b, HSV5.016c, HSV5.016d, HSV5.016e</t>
        </is>
      </c>
    </row>
    <row r="9">
      <c r="A9" s="15" t="inlineStr">
        <is>
          <t>260219_dum.HSV7.002</t>
        </is>
      </c>
      <c r="B9" s="15" t="inlineStr">
        <is>
          <t>HSV-7 Fasáda ETICS</t>
        </is>
      </c>
      <c r="C9" s="15" t="inlineStr">
        <is>
          <t xml:space="preserve">ETICS kontaktní zateplení — EPS 70F grey λ=0.032 tl. 160 mm + síťka + lepidlo + zatírací stěrka (řez S01+S12a explicit, </t>
        </is>
      </c>
      <c r="D9" s="14" t="inlineStr">
        <is>
          <t>m²</t>
        </is>
      </c>
      <c r="E9" s="16" t="n">
        <v>276.7</v>
      </c>
      <c r="F9" s="14" t="n">
        <v>2</v>
      </c>
      <c r="G9" s="15" t="inlineStr">
        <is>
          <t>HSV7.002a, HSV7.002b</t>
        </is>
      </c>
    </row>
    <row r="10">
      <c r="A10" s="15" t="inlineStr">
        <is>
          <t>260219_dum.HSV7.003</t>
        </is>
      </c>
      <c r="B10" s="15" t="inlineStr">
        <is>
          <t>HSV-7 Fasáda ETICS</t>
        </is>
      </c>
      <c r="C10" s="15" t="inlineStr">
        <is>
          <t>ETICS sokl — XPS λ=0.034 tl. 120 mm + soklový profil + cihelný obklad spárovaný</t>
        </is>
      </c>
      <c r="D10" s="14" t="inlineStr">
        <is>
          <t>m²</t>
        </is>
      </c>
      <c r="E10" s="16" t="n">
        <v>13.5</v>
      </c>
      <c r="F10" s="14" t="n">
        <v>2</v>
      </c>
      <c r="G10" s="15" t="inlineStr">
        <is>
          <t>HSV7.003a, HSV7.003b</t>
        </is>
      </c>
    </row>
    <row r="11">
      <c r="A11" s="15" t="inlineStr">
        <is>
          <t>260219_dum.HSV7.004</t>
        </is>
      </c>
      <c r="B11" s="15" t="inlineStr">
        <is>
          <t>HSV-7 Fasáda ETICS</t>
        </is>
      </c>
      <c r="C11" s="15" t="inlineStr">
        <is>
          <t>Špalety oken — EPS přesah 35-40 mm + síťka + omítka</t>
        </is>
      </c>
      <c r="D11" s="14" t="inlineStr">
        <is>
          <t>bm</t>
        </is>
      </c>
      <c r="E11" s="16" t="n">
        <v>82.2</v>
      </c>
      <c r="F11" s="14" t="n">
        <v>2</v>
      </c>
      <c r="G11" s="15" t="inlineStr">
        <is>
          <t>HSV7.004a, HSV7.004b</t>
        </is>
      </c>
    </row>
    <row r="12">
      <c r="A12" s="15" t="inlineStr">
        <is>
          <t>260219_dum.PSV76.003</t>
        </is>
      </c>
      <c r="B12" s="15" t="inlineStr">
        <is>
          <t>PSV-76 Klempíř</t>
        </is>
      </c>
      <c r="C12" s="15" t="inlineStr">
        <is>
          <t>Dešťové svody Pzn 100 mm + žlaby — 4 svody × ~14 m + žlaby per obvod střechy</t>
        </is>
      </c>
      <c r="D12" s="14" t="inlineStr">
        <is>
          <t>bm</t>
        </is>
      </c>
      <c r="E12" s="16" t="n">
        <v>43.5</v>
      </c>
      <c r="F12" s="14" t="n">
        <v>2</v>
      </c>
      <c r="G12" s="15" t="inlineStr">
        <is>
          <t>PSV76.003a, PSV76.003b</t>
        </is>
      </c>
    </row>
    <row r="13">
      <c r="A13" s="15" t="inlineStr">
        <is>
          <t>260219_dum.PSV76.002</t>
        </is>
      </c>
      <c r="B13" s="15" t="inlineStr">
        <is>
          <t>PSV-76 Truhlář</t>
        </is>
      </c>
      <c r="C13" s="15" t="inlineStr">
        <is>
          <t>Dřevěná terasa za opěrnou stěnou — prkna garapa 145×25 mm na dřevěném roštu z hranolů 50 mm na rektifikovatelných terčíc</t>
        </is>
      </c>
      <c r="D13" s="14" t="inlineStr">
        <is>
          <t>m²</t>
        </is>
      </c>
      <c r="E13" s="16" t="n">
        <v>9.23</v>
      </c>
      <c r="F13" s="14" t="n">
        <v>2</v>
      </c>
      <c r="G13" s="15" t="inlineStr">
        <is>
          <t>PSV76.002a, PSV76.002b</t>
        </is>
      </c>
    </row>
    <row r="14">
      <c r="A14" s="15" t="inlineStr">
        <is>
          <t>260219_dum.PSV77.002</t>
        </is>
      </c>
      <c r="B14" s="15" t="inlineStr">
        <is>
          <t>PSV-77 Podlahy</t>
        </is>
      </c>
      <c r="C14" s="15" t="inlineStr">
        <is>
          <t>Nášlapná vrstva keramická dlažba lepená — koupelny + WC + spíž + komora (NÁDRŽ NP)</t>
        </is>
      </c>
      <c r="D14" s="14" t="inlineStr">
        <is>
          <t>m²</t>
        </is>
      </c>
      <c r="E14" s="16" t="n">
        <v>13.5</v>
      </c>
      <c r="F14" s="14" t="n">
        <v>2</v>
      </c>
      <c r="G14" s="15" t="inlineStr">
        <is>
          <t>PSV77.002a, PSV77.002b</t>
        </is>
      </c>
    </row>
    <row r="15">
      <c r="A15" s="15" t="inlineStr">
        <is>
          <t>260219_dum.PSV77.003</t>
        </is>
      </c>
      <c r="B15" s="15" t="inlineStr">
        <is>
          <t>PSV-77 Podlahy</t>
        </is>
      </c>
      <c r="C15" s="15" t="inlineStr">
        <is>
          <t>Nášlapná vrstva keramická dlažba — 1.PP technické místnosti (sušárna + sklepy + schodiště + chodba)</t>
        </is>
      </c>
      <c r="D15" s="14" t="inlineStr">
        <is>
          <t>m²</t>
        </is>
      </c>
      <c r="E15" s="16" t="n">
        <v>32.4</v>
      </c>
      <c r="F15" s="14" t="n">
        <v>2</v>
      </c>
      <c r="G15" s="15" t="inlineStr">
        <is>
          <t>PSV77.003a, PSV77.003b</t>
        </is>
      </c>
    </row>
    <row r="16">
      <c r="A16" s="15" t="inlineStr">
        <is>
          <t>260219_dum.PSV78.001</t>
        </is>
      </c>
      <c r="B16" s="15" t="inlineStr">
        <is>
          <t>PSV-78 Povrchové úpravy</t>
        </is>
      </c>
      <c r="C16" s="15" t="inlineStr">
        <is>
          <t>Omítka jádrová vápenocementová tl. 15 mm + štuková povrchová úprava na stěnách 1.PP (stávající vyspravené + nové zděné)</t>
        </is>
      </c>
      <c r="D16" s="14" t="inlineStr">
        <is>
          <t>m²</t>
        </is>
      </c>
      <c r="E16" s="16" t="n">
        <v>78.2</v>
      </c>
      <c r="F16" s="14" t="n">
        <v>2</v>
      </c>
      <c r="G16" s="15" t="inlineStr">
        <is>
          <t>PSV78.001a, PSV78.001b</t>
        </is>
      </c>
    </row>
    <row r="17">
      <c r="A17" s="15" t="inlineStr">
        <is>
          <t>260219_dum.PSV78.002</t>
        </is>
      </c>
      <c r="B17" s="15" t="inlineStr">
        <is>
          <t>PSV-78 Povrchové úpravy</t>
        </is>
      </c>
      <c r="C17" s="15" t="inlineStr">
        <is>
          <t>Omítka jádrová vápenocementová tl. 15 mm + štuková povrchová úprava na stěnách 1.NP (stávající vyspravené + nové zděné)</t>
        </is>
      </c>
      <c r="D17" s="14" t="inlineStr">
        <is>
          <t>m²</t>
        </is>
      </c>
      <c r="E17" s="16" t="n">
        <v>208.4</v>
      </c>
      <c r="F17" s="14" t="n">
        <v>2</v>
      </c>
      <c r="G17" s="15" t="inlineStr">
        <is>
          <t>PSV78.002a, PSV78.002b</t>
        </is>
      </c>
    </row>
    <row r="18">
      <c r="A18" s="15" t="inlineStr">
        <is>
          <t>260219_dum.PSV78.003</t>
        </is>
      </c>
      <c r="B18" s="15" t="inlineStr">
        <is>
          <t>PSV-78 Povrchové úpravy</t>
        </is>
      </c>
      <c r="C18" s="15" t="inlineStr">
        <is>
          <t>Omítka jádrová vápenocementová tl. 15 mm + štuková povrchová úprava na stěnách 2.NP (stávající vyspravené + nové zděné)</t>
        </is>
      </c>
      <c r="D18" s="14" t="inlineStr">
        <is>
          <t>m²</t>
        </is>
      </c>
      <c r="E18" s="16" t="n">
        <v>201.6</v>
      </c>
      <c r="F18" s="14" t="n">
        <v>2</v>
      </c>
      <c r="G18" s="15" t="inlineStr">
        <is>
          <t>PSV78.003a, PSV78.003b</t>
        </is>
      </c>
    </row>
    <row r="19">
      <c r="A19" s="15" t="inlineStr">
        <is>
          <t>260219_dum.PSV78.004</t>
        </is>
      </c>
      <c r="B19" s="15" t="inlineStr">
        <is>
          <t>PSV-78 Povrchové úpravy</t>
        </is>
      </c>
      <c r="C19" s="15" t="inlineStr">
        <is>
          <t>Omítka jádrová vápenocementová tl. 15 mm + štuková povrchová úprava na stěnách 3.NP (stávající vyspravené + nové zděné)</t>
        </is>
      </c>
      <c r="D19" s="14" t="inlineStr">
        <is>
          <t>m²</t>
        </is>
      </c>
      <c r="E19" s="16" t="n">
        <v>179.1</v>
      </c>
      <c r="F19" s="14" t="n">
        <v>2</v>
      </c>
      <c r="G19" s="15" t="inlineStr">
        <is>
          <t>PSV78.004a, PSV78.004b</t>
        </is>
      </c>
    </row>
    <row r="20">
      <c r="A20" s="15" t="inlineStr">
        <is>
          <t>260219_dum.PSV72.004</t>
        </is>
      </c>
      <c r="B20" s="15" t="inlineStr">
        <is>
          <t>PSV-72 ZTI</t>
        </is>
      </c>
      <c r="C20" s="15" t="inlineStr">
        <is>
          <t>Sanitární keramika dodávka + montáž v koupelně 1.05 1.NP: 1× vana (DXF) + 1× umyvadlo (DXF) + 1× WC (TZ standard)</t>
        </is>
      </c>
      <c r="D20" s="14" t="inlineStr">
        <is>
          <t>set</t>
        </is>
      </c>
      <c r="E20" s="16" t="n">
        <v>0</v>
      </c>
      <c r="F20" s="14" t="n">
        <v>3</v>
      </c>
      <c r="G20" s="15" t="inlineStr">
        <is>
          <t>PSV72.004a, PSV72.004b, PSV72.004c</t>
        </is>
      </c>
    </row>
    <row r="21">
      <c r="A21" s="15" t="inlineStr">
        <is>
          <t>260219_dum.PSV72.005</t>
        </is>
      </c>
      <c r="B21" s="15" t="inlineStr">
        <is>
          <t>PSV-72 ZTI</t>
        </is>
      </c>
      <c r="C21" s="15" t="inlineStr">
        <is>
          <t>Sanitární keramika dodávka + montáž v koupelně 2.03 2.NP: 1× umyvadlo (DXF) + 1× WC (TZ standard) + 1× sprcha (TZ standa</t>
        </is>
      </c>
      <c r="D21" s="14" t="inlineStr">
        <is>
          <t>set</t>
        </is>
      </c>
      <c r="E21" s="16" t="n">
        <v>0</v>
      </c>
      <c r="F21" s="14" t="n">
        <v>3</v>
      </c>
      <c r="G21" s="15" t="inlineStr">
        <is>
          <t>PSV72.005a, PSV72.005b, PSV72.005c</t>
        </is>
      </c>
    </row>
    <row r="22">
      <c r="A22" s="15" t="inlineStr">
        <is>
          <t>260219_dum.PSV72.006</t>
        </is>
      </c>
      <c r="B22" s="15" t="inlineStr">
        <is>
          <t>PSV-72 ZTI</t>
        </is>
      </c>
      <c r="C22" s="15" t="inlineStr">
        <is>
          <t>Sanitární keramika dodávka + montáž v koupelně 3.04 3.NP: 1× WC (DXF) + 1× umyvadlo (TZ standard) + 1× sprcha (TZ standa</t>
        </is>
      </c>
      <c r="D22" s="14" t="inlineStr">
        <is>
          <t>set</t>
        </is>
      </c>
      <c r="E22" s="16" t="n">
        <v>0</v>
      </c>
      <c r="F22" s="14" t="n">
        <v>3</v>
      </c>
      <c r="G22" s="15" t="inlineStr">
        <is>
          <t>PSV72.006a, PSV72.006b, PSV72.006c</t>
        </is>
      </c>
    </row>
    <row r="23">
      <c r="A23" s="15" t="inlineStr">
        <is>
          <t>260219_dum.PSV72.008</t>
        </is>
      </c>
      <c r="B23" s="15" t="inlineStr">
        <is>
          <t>PSV-72 ZTI</t>
        </is>
      </c>
      <c r="C23" s="15" t="inlineStr">
        <is>
          <t>Vodovodní baterie (WC ventil + páková umyvadlová + sprchové + dřezové + termostat sprchové) — ~15 ks + drobné instalační</t>
        </is>
      </c>
      <c r="D23" s="14" t="inlineStr">
        <is>
          <t>ks</t>
        </is>
      </c>
      <c r="E23" s="16" t="n">
        <v>15</v>
      </c>
      <c r="F23" s="14" t="n">
        <v>4</v>
      </c>
      <c r="G23" s="15" t="inlineStr">
        <is>
          <t>PSV72.008a, PSV72.008b, PSV72.008c, PSV72.008d</t>
        </is>
      </c>
    </row>
    <row r="24">
      <c r="A24" s="15" t="inlineStr">
        <is>
          <t>260219_dum.HSV1.015</t>
        </is>
      </c>
      <c r="B24" s="15" t="inlineStr">
        <is>
          <t>HSV-1 Zemní práce</t>
        </is>
      </c>
      <c r="C24" s="15" t="inlineStr">
        <is>
          <t>Drenáž za opěrnou stěnou (bílou vanou) — drenážní trubka DN100 vlnitá perforovaná + štěrkový obsyp 16/32 + geotextilie +</t>
        </is>
      </c>
      <c r="D24" s="14" t="inlineStr">
        <is>
          <t>m</t>
        </is>
      </c>
      <c r="E24" s="16" t="n">
        <v>12</v>
      </c>
      <c r="F24" s="14" t="n">
        <v>3</v>
      </c>
      <c r="G24" s="15" t="inlineStr">
        <is>
          <t>HSV1.015a, HSV1.015b, HSV1.015c</t>
        </is>
      </c>
    </row>
    <row r="25">
      <c r="A25" s="15" t="inlineStr">
        <is>
          <t>260219_dum.HSV5.017</t>
        </is>
      </c>
      <c r="B25" s="15" t="inlineStr">
        <is>
          <t>HSV-5 Krov + střecha</t>
        </is>
      </c>
      <c r="C25" s="15" t="inlineStr">
        <is>
          <t>Montáž svorníků / šroubů tesařských spojů krovu délky přes 150 do 300 mm — spojení kleštin 2×60/180 mm s krokvemi (svorn</t>
        </is>
      </c>
      <c r="D25" s="14" t="inlineStr">
        <is>
          <t>ks</t>
        </is>
      </c>
      <c r="E25" s="16" t="n">
        <v>50</v>
      </c>
      <c r="F25" s="14" t="n">
        <v>4</v>
      </c>
      <c r="G25" s="15" t="inlineStr">
        <is>
          <t>HSV5.017a, HSV5.017b, HSV5.017c, HSV5.017d</t>
        </is>
      </c>
    </row>
    <row r="26">
      <c r="A26" s="15" t="inlineStr">
        <is>
          <t>260219_dum.HSV4.015</t>
        </is>
      </c>
      <c r="B26" s="15" t="inlineStr">
        <is>
          <t>HSV-4 Vodorovné</t>
        </is>
      </c>
      <c r="C26" s="15" t="inlineStr">
        <is>
          <t>Desky kročejové izolace (Isover T-P) tl. 30 mm — trámový strop 1.NP/2.NP</t>
        </is>
      </c>
      <c r="D26" s="14" t="inlineStr">
        <is>
          <t>m²</t>
        </is>
      </c>
      <c r="E26" s="16" t="n">
        <v>59.5</v>
      </c>
      <c r="F26" s="14" t="n">
        <v>2</v>
      </c>
      <c r="G26" s="15" t="inlineStr">
        <is>
          <t>HSV4.015a, HSV4.015b</t>
        </is>
      </c>
    </row>
    <row r="27">
      <c r="A27" s="15" t="inlineStr">
        <is>
          <t>260219_dum.HSV4.016</t>
        </is>
      </c>
      <c r="B27" s="15" t="inlineStr">
        <is>
          <t>HSV-4 Vodorovné</t>
        </is>
      </c>
      <c r="C27" s="15" t="inlineStr">
        <is>
          <t>Separační geotextilie pod suchý podsyp — trámový strop 1.NP/2.NP</t>
        </is>
      </c>
      <c r="D27" s="14" t="inlineStr">
        <is>
          <t>m²</t>
        </is>
      </c>
      <c r="E27" s="16" t="n">
        <v>59.5</v>
      </c>
      <c r="F27" s="14" t="n">
        <v>1</v>
      </c>
      <c r="G27" s="15" t="inlineStr">
        <is>
          <t>HSV4.016a</t>
        </is>
      </c>
    </row>
    <row r="28">
      <c r="A28" s="15" t="inlineStr">
        <is>
          <t>260219_dum.HSV4.017</t>
        </is>
      </c>
      <c r="B28" s="15" t="inlineStr">
        <is>
          <t>HSV-4 Vodorovné</t>
        </is>
      </c>
      <c r="C28" s="15" t="inlineStr">
        <is>
          <t>Tepelná/akustická izolace minerální vata výplň mezi ocelové nosníky stropu 2.NP/3.NP, tl. 180/200 mm</t>
        </is>
      </c>
      <c r="D28" s="14" t="inlineStr">
        <is>
          <t>m²</t>
        </is>
      </c>
      <c r="E28" s="16" t="n">
        <v>104.4</v>
      </c>
      <c r="F28" s="14" t="n">
        <v>2</v>
      </c>
      <c r="G28" s="15" t="inlineStr">
        <is>
          <t>HSV4.017a, HSV4.017b</t>
        </is>
      </c>
    </row>
    <row r="29">
      <c r="A29" s="15" t="inlineStr">
        <is>
          <t>260219_dum.HSV4.018</t>
        </is>
      </c>
      <c r="B29" s="15" t="inlineStr">
        <is>
          <t>HSV-4 Vodorovné</t>
        </is>
      </c>
      <c r="C29" s="15" t="inlineStr">
        <is>
          <t>Roznášecí sádrovláknité dílce Fermacell 2E22 tl. 25 mm — suchá skladba nad cihelnou klembou S08</t>
        </is>
      </c>
      <c r="D29" s="14" t="inlineStr">
        <is>
          <t>m²</t>
        </is>
      </c>
      <c r="E29" s="16" t="n"/>
      <c r="F29" s="14" t="n">
        <v>1</v>
      </c>
      <c r="G29" s="15" t="inlineStr">
        <is>
          <t>HSV4.018a</t>
        </is>
      </c>
    </row>
    <row r="30">
      <c r="A30" s="15" t="inlineStr">
        <is>
          <t>260219_dum.HSV4.019</t>
        </is>
      </c>
      <c r="B30" s="15" t="inlineStr">
        <is>
          <t>HSV-4 Vodorovné</t>
        </is>
      </c>
      <c r="C30" s="15" t="inlineStr">
        <is>
          <t>Desky kročejové izolace (Isover T-P) tl. 30 mm — suchá skladba nad klembou S08</t>
        </is>
      </c>
      <c r="D30" s="14" t="inlineStr">
        <is>
          <t>m²</t>
        </is>
      </c>
      <c r="E30" s="16" t="n"/>
      <c r="F30" s="14" t="n">
        <v>1</v>
      </c>
      <c r="G30" s="15" t="inlineStr">
        <is>
          <t>HSV4.019a</t>
        </is>
      </c>
    </row>
    <row r="31">
      <c r="A31" s="15" t="inlineStr">
        <is>
          <t>260219_dum.HSV4.020</t>
        </is>
      </c>
      <c r="B31" s="15" t="inlineStr">
        <is>
          <t>HSV-4 Vodorovné</t>
        </is>
      </c>
      <c r="C31" s="15" t="inlineStr">
        <is>
          <t>Vyrovnávací suchý podsyp keramzit/liapor + dřevěný rošt tl. 50 mm — nad klembou S08</t>
        </is>
      </c>
      <c r="D31" s="14" t="inlineStr">
        <is>
          <t>m²</t>
        </is>
      </c>
      <c r="E31" s="16" t="n"/>
      <c r="F31" s="14" t="n">
        <v>1</v>
      </c>
      <c r="G31" s="15" t="inlineStr">
        <is>
          <t>HSV4.020a</t>
        </is>
      </c>
    </row>
    <row r="32">
      <c r="A32" s="15" t="inlineStr">
        <is>
          <t>260219_dum.HSV4.021</t>
        </is>
      </c>
      <c r="B32" s="15" t="inlineStr">
        <is>
          <t>HSV-4 Vodorovné</t>
        </is>
      </c>
      <c r="C32" s="15" t="inlineStr">
        <is>
          <t>Separační vrstva pod suchý podsyp — nad cihelnou klembou S08</t>
        </is>
      </c>
      <c r="D32" s="14" t="inlineStr">
        <is>
          <t>m²</t>
        </is>
      </c>
      <c r="E32" s="16" t="n"/>
      <c r="F32" s="14" t="n">
        <v>1</v>
      </c>
      <c r="G32" s="15" t="inlineStr">
        <is>
          <t>HSV4.021a</t>
        </is>
      </c>
    </row>
    <row r="33">
      <c r="A33" s="15" t="inlineStr">
        <is>
          <t>260219_dum.HSV7.007</t>
        </is>
      </c>
      <c r="B33" s="15" t="inlineStr">
        <is>
          <t>HSV-7 Fasáda + zateplení</t>
        </is>
      </c>
      <c r="C33" s="15" t="inlineStr">
        <is>
          <t>Sanační zateplení soklu — sanační izolační deska Styrcon 200 + lepící tmel (Lepstyr plus) + armovací vrstva s tkaninou +</t>
        </is>
      </c>
      <c r="D33" s="14" t="inlineStr">
        <is>
          <t>m²</t>
        </is>
      </c>
      <c r="E33" s="16" t="n">
        <v>23</v>
      </c>
      <c r="F33" s="14" t="n">
        <v>2</v>
      </c>
      <c r="G33" s="15" t="inlineStr">
        <is>
          <t>HSV7.007a, HSV7.007b</t>
        </is>
      </c>
    </row>
    <row r="34">
      <c r="A34" s="15" t="inlineStr">
        <is>
          <t>260219_dum.HSV7.008</t>
        </is>
      </c>
      <c r="B34" s="15" t="inlineStr">
        <is>
          <t>HSV-7 Fasáda + zateplení</t>
        </is>
      </c>
      <c r="C34" s="15" t="inlineStr">
        <is>
          <t>Drenážní vrstva — nopová folie tl. 20 mm na suterénní stěnu pod úrovní terénu</t>
        </is>
      </c>
      <c r="D34" s="14" t="inlineStr">
        <is>
          <t>m²</t>
        </is>
      </c>
      <c r="E34" s="16" t="n">
        <v>23</v>
      </c>
      <c r="F34" s="14" t="n">
        <v>1</v>
      </c>
      <c r="G34" s="15" t="inlineStr">
        <is>
          <t>HSV7.008a</t>
        </is>
      </c>
    </row>
    <row r="35">
      <c r="A35" s="15" t="inlineStr">
        <is>
          <t>260219_dum.HSV7.009</t>
        </is>
      </c>
      <c r="B35" s="15" t="inlineStr">
        <is>
          <t>HSV-7 Fasáda + zateplení</t>
        </is>
      </c>
      <c r="C35" s="15" t="inlineStr">
        <is>
          <t>Provětrávaná mezera s kotevním roštem 40 mm + keramický obklad 20 mm — sokl nad úrovní terénu</t>
        </is>
      </c>
      <c r="D35" s="14" t="inlineStr">
        <is>
          <t>m²</t>
        </is>
      </c>
      <c r="E35" s="16" t="n">
        <v>23</v>
      </c>
      <c r="F35" s="14" t="n">
        <v>2</v>
      </c>
      <c r="G35" s="15" t="inlineStr">
        <is>
          <t>HSV7.009a, HSV7.009b</t>
        </is>
      </c>
    </row>
    <row r="36">
      <c r="A36" s="15" t="inlineStr">
        <is>
          <t>260219_dum.HSV5.018</t>
        </is>
      </c>
      <c r="B36" s="15" t="inlineStr">
        <is>
          <t>HSV-5 Krov + střecha</t>
        </is>
      </c>
      <c r="C36" s="15" t="inlineStr">
        <is>
          <t>Pojistná hydroizolační folie pod hliníkovou falcovanou krytinu (nad celoplošným bedněním)</t>
        </is>
      </c>
      <c r="D36" s="14" t="inlineStr">
        <is>
          <t>m²</t>
        </is>
      </c>
      <c r="E36" s="16" t="n">
        <v>140.94</v>
      </c>
      <c r="F36" s="14" t="n">
        <v>1</v>
      </c>
      <c r="G36" s="15" t="inlineStr">
        <is>
          <t>HSV5.018a</t>
        </is>
      </c>
    </row>
    <row r="37">
      <c r="A37" s="15" t="inlineStr">
        <is>
          <t>260219_dum.HSV6.018</t>
        </is>
      </c>
      <c r="B37" s="15" t="inlineStr">
        <is>
          <t>HSV-6 Bourací práce</t>
        </is>
      </c>
      <c r="C37" s="15" t="inlineStr">
        <is>
          <t>Demontáž stávajícího vnějšího keramického obkladu suterénní stěny (sokl) tl. 20 mm</t>
        </is>
      </c>
      <c r="D37" s="14" t="inlineStr">
        <is>
          <t>m²</t>
        </is>
      </c>
      <c r="E37" s="16" t="n">
        <v>23</v>
      </c>
      <c r="F37" s="14" t="n">
        <v>1</v>
      </c>
      <c r="G37" s="15" t="inlineStr">
        <is>
          <t>HSV6.018a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4" t="inlineStr">
        <is>
          <t>PM05</t>
        </is>
      </c>
      <c r="B13" s="15" t="inlineStr">
        <is>
          <t>medium</t>
        </is>
      </c>
      <c r="C13" s="15" t="inlineStr">
        <is>
          <t>Okapový chodník + obvodová drenáž domu — NOT_IN_TZ (žádná zmínka v TZ)</t>
        </is>
      </c>
      <c r="D13" s="15" t="inlineStr">
        <is>
          <t>SKIP (rekonstrukce — možná existuje)</t>
        </is>
      </c>
      <c r="E13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2026-06-01T09:13:11Z</dcterms:created>
  <dcterms:modified xmlns:dcterms="http://purl.org/dc/terms/" xmlns:xsi="http://www.w3.org/2001/XMLSchema-instance" xsi:type="dcterms:W3CDTF">2026-06-01T09:13:11Z</dcterms:modified>
</cp:coreProperties>
</file>
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260219_DUM_HSV" sheetId="2" state="visible" r:id="rId2"/>
    <sheet xmlns:r="http://schemas.openxmlformats.org/officeDocument/2006/relationships" name="260219_DUM_PSV" sheetId="3" state="visible" r:id="rId3"/>
    <sheet xmlns:r="http://schemas.openxmlformats.org/officeDocument/2006/relationships" name="260219_DUM_VRN" sheetId="4" state="visible" r:id="rId4"/>
    <sheet xmlns:r="http://schemas.openxmlformats.org/officeDocument/2006/relationships" name="260217_SKLAD" sheetId="5" state="visible" r:id="rId5"/>
    <sheet xmlns:r="http://schemas.openxmlformats.org/officeDocument/2006/relationships" name="Composite_Decomposition_Map" sheetId="6" state="visible" r:id="rId6"/>
    <sheet xmlns:r="http://schemas.openxmlformats.org/officeDocument/2006/relationships" name="PENDING_DECISIONS" sheetId="7" state="visible" r:id="rId7"/>
  </sheets>
  <definedNames>
    <definedName name="_xlnm._FilterDatabase" localSheetId="1" hidden="1">'260219_DUM_HSV'!$A$1:$K$1</definedName>
    <definedName name="_xlnm._FilterDatabase" localSheetId="2" hidden="1">'260219_DUM_PSV'!$A$1:$K$1</definedName>
    <definedName name="_xlnm._FilterDatabase" localSheetId="3" hidden="1">'260219_DUM_VRN'!$A$1:$K$1</definedName>
    <definedName name="_xlnm._FilterDatabase" localSheetId="4" hidden="1">'260217_SKLAD'!$A$1:$K$1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9"/>
    </font>
    <font>
      <name val="Calibri"/>
      <b val="1"/>
      <sz val="11"/>
    </font>
    <font>
      <name val="Calibri"/>
      <sz val="9"/>
    </font>
    <font>
      <name val="Calibri"/>
      <b val="1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6E0F0"/>
      </patternFill>
    </fill>
    <fill>
      <patternFill patternType="solid">
        <fgColor rgb="001F3A5F"/>
      </patternFill>
    </fill>
    <fill>
      <patternFill patternType="solid">
        <fgColor rgb="00E0F0E0"/>
      </patternFill>
    </fill>
    <fill>
      <patternFill patternType="solid">
        <fgColor rgb="00FFF6E0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right" vertical="top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ATOMIC WORKLIST — RD Jáchymov Fibichova 733</t>
        </is>
      </c>
    </row>
    <row r="2">
      <c r="A2" s="2" t="inlineStr">
        <is>
          <t>HK212 atomic-operation principle — composite skladby/fixtures decomposed to codeable operations</t>
        </is>
      </c>
    </row>
    <row r="4">
      <c r="A4" s="3" t="inlineStr">
        <is>
          <t>PŘEHLED STRUKTURY</t>
        </is>
      </c>
    </row>
    <row r="5">
      <c r="A5" s="4" t="inlineStr">
        <is>
          <t>Frozen items (zdroj)</t>
        </is>
      </c>
      <c r="B5" s="5" t="n">
        <v>215</v>
      </c>
      <c r="C5" s="2" t="inlineStr">
        <is>
          <t>items_rd_jachymov_complete.json — FROZEN, nedotčeno</t>
        </is>
      </c>
    </row>
    <row r="6">
      <c r="A6" s="4" t="inlineStr">
        <is>
          <t>Atomic operací celkem</t>
        </is>
      </c>
      <c r="B6" s="5" t="n">
        <v>244</v>
      </c>
      <c r="C6" s="2">
        <f> carried 1:1 + decomposed children</f>
        <v/>
      </c>
    </row>
    <row r="7">
      <c r="A7" s="4" t="inlineStr">
        <is>
          <t>Items decomposed</t>
        </is>
      </c>
      <c r="B7" s="5" t="n">
        <v>18</v>
      </c>
      <c r="C7" s="2" t="inlineStr">
        <is>
          <t>composite skladby + multi-fixture</t>
        </is>
      </c>
    </row>
    <row r="8">
      <c r="A8" s="4" t="inlineStr">
        <is>
          <t>Atomic children z dekompozice</t>
        </is>
      </c>
      <c r="B8" s="5" t="n">
        <v>47</v>
      </c>
    </row>
    <row r="9">
      <c r="A9" s="4" t="inlineStr">
        <is>
          <t>Items carried 1:1</t>
        </is>
      </c>
      <c r="B9" s="5" t="n">
        <v>197</v>
      </c>
      <c r="C9" s="2" t="inlineStr">
        <is>
          <t>atomic + VRN lump-sum</t>
        </is>
      </c>
    </row>
    <row r="11">
      <c r="A11" s="3" t="inlineStr">
        <is>
          <t>ATOMIC OPERACE PER KAPITOLA</t>
        </is>
      </c>
    </row>
    <row r="12">
      <c r="A12" s="6" t="inlineStr">
        <is>
          <t>Kapitola</t>
        </is>
      </c>
      <c r="B12" s="6" t="inlineStr">
        <is>
          <t>Počet</t>
        </is>
      </c>
    </row>
    <row r="13">
      <c r="A13" s="4" t="inlineStr">
        <is>
          <t>HSV-1 Zemní práce</t>
        </is>
      </c>
      <c r="B13" s="5" t="n">
        <v>25</v>
      </c>
    </row>
    <row r="14">
      <c r="A14" s="4" t="inlineStr">
        <is>
          <t>HSV-2 Základové a ŽB</t>
        </is>
      </c>
      <c r="B14" s="5" t="n">
        <v>19</v>
      </c>
    </row>
    <row r="15">
      <c r="A15" s="4" t="inlineStr">
        <is>
          <t>HSV-3 Svislé konstrukce</t>
        </is>
      </c>
      <c r="B15" s="5" t="n">
        <v>10</v>
      </c>
    </row>
    <row r="16">
      <c r="A16" s="4" t="inlineStr">
        <is>
          <t>HSV-4 Vodorovné</t>
        </is>
      </c>
      <c r="B16" s="5" t="n">
        <v>20</v>
      </c>
    </row>
    <row r="17">
      <c r="A17" s="4" t="inlineStr">
        <is>
          <t>HSV-5 Komunikace + schodiště</t>
        </is>
      </c>
      <c r="B17" s="5" t="n">
        <v>1</v>
      </c>
    </row>
    <row r="18">
      <c r="A18" s="4" t="inlineStr">
        <is>
          <t>HSV-5 Krov + střecha</t>
        </is>
      </c>
      <c r="B18" s="5" t="n">
        <v>16</v>
      </c>
    </row>
    <row r="19">
      <c r="A19" s="4" t="inlineStr">
        <is>
          <t>HSV-6 Bourací práce</t>
        </is>
      </c>
      <c r="B19" s="5" t="n">
        <v>17</v>
      </c>
    </row>
    <row r="20">
      <c r="A20" s="4" t="inlineStr">
        <is>
          <t>HSV-7 Fasáda ETICS</t>
        </is>
      </c>
      <c r="B20" s="5" t="n">
        <v>9</v>
      </c>
    </row>
    <row r="21">
      <c r="A21" s="4" t="inlineStr">
        <is>
          <t>M-21 ELI silnoproud</t>
        </is>
      </c>
      <c r="B21" s="5" t="n">
        <v>7</v>
      </c>
    </row>
    <row r="22">
      <c r="A22" s="4" t="inlineStr">
        <is>
          <t>PSV-71 Izolace HI</t>
        </is>
      </c>
      <c r="B22" s="5" t="n">
        <v>3</v>
      </c>
    </row>
    <row r="23">
      <c r="A23" s="4" t="inlineStr">
        <is>
          <t>PSV-71 Izolace TI</t>
        </is>
      </c>
      <c r="B23" s="5" t="n">
        <v>2</v>
      </c>
    </row>
    <row r="24">
      <c r="A24" s="4" t="inlineStr">
        <is>
          <t>PSV-72 ZTI</t>
        </is>
      </c>
      <c r="B24" s="5" t="n">
        <v>28</v>
      </c>
    </row>
    <row r="25">
      <c r="A25" s="4" t="inlineStr">
        <is>
          <t>PSV-73 Vytápění</t>
        </is>
      </c>
      <c r="B25" s="5" t="n">
        <v>8</v>
      </c>
    </row>
    <row r="26">
      <c r="A26" s="4" t="inlineStr">
        <is>
          <t>PSV-76 Klempíř</t>
        </is>
      </c>
      <c r="B26" s="5" t="n">
        <v>5</v>
      </c>
    </row>
    <row r="27">
      <c r="A27" s="4" t="inlineStr">
        <is>
          <t>PSV-76 Truhlář</t>
        </is>
      </c>
      <c r="B27" s="5" t="n">
        <v>3</v>
      </c>
    </row>
    <row r="28">
      <c r="A28" s="4" t="inlineStr">
        <is>
          <t>PSV-76 Výplně otvorů</t>
        </is>
      </c>
      <c r="B28" s="5" t="n">
        <v>13</v>
      </c>
    </row>
    <row r="29">
      <c r="A29" s="4" t="inlineStr">
        <is>
          <t>PSV-76 Zámečnictví</t>
        </is>
      </c>
      <c r="B29" s="5" t="n">
        <v>4</v>
      </c>
    </row>
    <row r="30">
      <c r="A30" s="4" t="inlineStr">
        <is>
          <t>PSV-77 Podlahy</t>
        </is>
      </c>
      <c r="B30" s="5" t="n">
        <v>10</v>
      </c>
    </row>
    <row r="31">
      <c r="A31" s="4" t="inlineStr">
        <is>
          <t>PSV-78 Povrchové úpravy</t>
        </is>
      </c>
      <c r="B31" s="5" t="n">
        <v>20</v>
      </c>
    </row>
    <row r="32">
      <c r="A32" s="4" t="inlineStr">
        <is>
          <t>PSV-95 Detekce požární</t>
        </is>
      </c>
      <c r="B32" s="5" t="n">
        <v>2</v>
      </c>
    </row>
    <row r="33">
      <c r="A33" s="4" t="inlineStr">
        <is>
          <t>VRN — BOZP</t>
        </is>
      </c>
      <c r="B33" s="5" t="n">
        <v>1</v>
      </c>
    </row>
    <row r="34">
      <c r="A34" s="4" t="inlineStr">
        <is>
          <t>VRN — Dokumentace</t>
        </is>
      </c>
      <c r="B34" s="5" t="n">
        <v>1</v>
      </c>
    </row>
    <row r="35">
      <c r="A35" s="4" t="inlineStr">
        <is>
          <t>VRN — Doprava + odpad</t>
        </is>
      </c>
      <c r="B35" s="5" t="n">
        <v>5</v>
      </c>
    </row>
    <row r="36">
      <c r="A36" s="4" t="inlineStr">
        <is>
          <t>VRN — Geodet</t>
        </is>
      </c>
      <c r="B36" s="5" t="n">
        <v>2</v>
      </c>
    </row>
    <row r="37">
      <c r="A37" s="4" t="inlineStr">
        <is>
          <t>VRN — Kolaudace</t>
        </is>
      </c>
      <c r="B37" s="5" t="n">
        <v>1</v>
      </c>
    </row>
    <row r="38">
      <c r="A38" s="4" t="inlineStr">
        <is>
          <t>VRN — Lešení</t>
        </is>
      </c>
      <c r="B38" s="5" t="n">
        <v>1</v>
      </c>
    </row>
    <row r="39">
      <c r="A39" s="4" t="inlineStr">
        <is>
          <t>VRN — Pojištění + zábory</t>
        </is>
      </c>
      <c r="B39" s="5" t="n">
        <v>2</v>
      </c>
    </row>
    <row r="40">
      <c r="A40" s="4" t="inlineStr">
        <is>
          <t>VRN — Průzkumy</t>
        </is>
      </c>
      <c r="B40" s="5" t="n">
        <v>2</v>
      </c>
    </row>
    <row r="41">
      <c r="A41" s="4" t="inlineStr">
        <is>
          <t>VRN — Přesun hmot</t>
        </is>
      </c>
      <c r="B41" s="5" t="n">
        <v>1</v>
      </c>
    </row>
    <row r="42">
      <c r="A42" s="4" t="inlineStr">
        <is>
          <t>VRN — Revize</t>
        </is>
      </c>
      <c r="B42" s="5" t="n">
        <v>1</v>
      </c>
    </row>
    <row r="43">
      <c r="A43" s="4" t="inlineStr">
        <is>
          <t>VRN — Společné</t>
        </is>
      </c>
      <c r="B43" s="5" t="n">
        <v>1</v>
      </c>
    </row>
    <row r="44">
      <c r="A44" s="4" t="inlineStr">
        <is>
          <t>VRN — Zařízení staveniště</t>
        </is>
      </c>
      <c r="B44" s="5" t="n">
        <v>4</v>
      </c>
    </row>
    <row r="46">
      <c r="A46" s="3" t="inlineStr">
        <is>
          <t>STAV KÓDŮ (4 tiers — práce kompletní bez ohledu na stav kódu)</t>
        </is>
      </c>
    </row>
    <row r="47">
      <c r="A47" s="4" t="inlineStr">
        <is>
          <t>✓ verified (leaf ověřen)</t>
        </is>
      </c>
      <c r="B47" s="5" t="n">
        <v>12</v>
      </c>
    </row>
    <row r="48">
      <c r="A48" s="4" t="inlineStr">
        <is>
          <t>⚠ kandidát-verify (leaf generátor, neověřen)</t>
        </is>
      </c>
      <c r="B48" s="5" t="n">
        <v>171</v>
      </c>
    </row>
    <row r="49">
      <c r="A49" s="4" t="inlineStr">
        <is>
          <t>⚠ família ??? (leaf z ÚRS online)</t>
        </is>
      </c>
      <c r="B49" s="5" t="n">
        <v>46</v>
      </c>
    </row>
    <row r="50">
      <c r="A50" s="4" t="inlineStr">
        <is>
          <t>❌ blank — ÚRS online</t>
        </is>
      </c>
      <c r="B50" s="5" t="n">
        <v>15</v>
      </c>
    </row>
    <row r="52">
      <c r="A52" s="2" t="inlineStr">
        <is>
          <t>• Kódy: leaf binding doplnit z CS ÚRS online (app.urs.cz, cenová úroveň 2026 01) dle família + popis + Vzorec.</t>
        </is>
      </c>
    </row>
    <row r="53">
      <c r="A53" s="2" t="inlineStr">
        <is>
          <t>• Reconciliation consensus: HSV1.004 dvorek 596811220 · HSV1.005 terasa = podkladní skladba 564 (dlaždice ROZNÁŠECÍ POD terče, ŘEZ C-C) · dřevo 762 = PSV76.002 Truhlář · HSV2.003/008 bednění 274.</t>
        </is>
      </c>
    </row>
    <row r="54">
      <c r="A54" s="2" t="inlineStr">
        <is>
          <t>• PRÁCE JE KOMPLETNÍ bez ohledu na stav kódu — seznam (postup prací) = primary deliverable. Code = secondary, doplní se v ÚRS online / KROS.</t>
        </is>
      </c>
    </row>
    <row r="56">
      <c r="A56" s="3" t="inlineStr">
        <is>
          <t>URS FAMÍLIA DISTRIBUCE (54 distinct)</t>
        </is>
      </c>
    </row>
    <row r="57">
      <c r="A57" s="6" t="inlineStr">
        <is>
          <t>Família</t>
        </is>
      </c>
      <c r="B57" s="6" t="inlineStr">
        <is>
          <t>Počet ops</t>
        </is>
      </c>
    </row>
    <row r="58">
      <c r="A58" s="4" t="inlineStr">
        <is>
          <t>725</t>
        </is>
      </c>
      <c r="B58" s="5" t="n">
        <v>24</v>
      </c>
    </row>
    <row r="59">
      <c r="A59" s="4" t="inlineStr">
        <is>
          <t>(blank)</t>
        </is>
      </c>
      <c r="B59" s="5" t="n">
        <v>15</v>
      </c>
      <c r="C59" s="2" t="inlineStr">
        <is>
          <t>❌ MANUAL LOOKUP — Pattern 26 honest blank (NE fabrikováno)</t>
        </is>
      </c>
    </row>
    <row r="60">
      <c r="A60" s="4" t="inlineStr">
        <is>
          <t>766</t>
        </is>
      </c>
      <c r="B60" s="5" t="n">
        <v>14</v>
      </c>
    </row>
    <row r="61">
      <c r="A61" s="4" t="inlineStr">
        <is>
          <t>030</t>
        </is>
      </c>
      <c r="B61" s="5" t="n">
        <v>13</v>
      </c>
    </row>
    <row r="62">
      <c r="A62" s="4" t="inlineStr">
        <is>
          <t>762</t>
        </is>
      </c>
      <c r="B62" s="5" t="n">
        <v>12</v>
      </c>
    </row>
    <row r="63">
      <c r="A63" s="4" t="inlineStr">
        <is>
          <t>612</t>
        </is>
      </c>
      <c r="B63" s="5" t="n">
        <v>11</v>
      </c>
    </row>
    <row r="64">
      <c r="A64" s="4" t="inlineStr">
        <is>
          <t>273</t>
        </is>
      </c>
      <c r="B64" s="5" t="n">
        <v>9</v>
      </c>
    </row>
    <row r="65">
      <c r="A65" s="4" t="inlineStr">
        <is>
          <t>411</t>
        </is>
      </c>
      <c r="B65" s="5" t="n">
        <v>9</v>
      </c>
    </row>
    <row r="66">
      <c r="A66" s="4" t="inlineStr">
        <is>
          <t>962</t>
        </is>
      </c>
      <c r="B66" s="5" t="n">
        <v>8</v>
      </c>
    </row>
    <row r="67">
      <c r="A67" s="4" t="inlineStr">
        <is>
          <t>733</t>
        </is>
      </c>
      <c r="B67" s="5" t="n">
        <v>7</v>
      </c>
    </row>
    <row r="68">
      <c r="A68" s="4" t="inlineStr">
        <is>
          <t>210</t>
        </is>
      </c>
      <c r="B68" s="5" t="n">
        <v>6</v>
      </c>
    </row>
    <row r="69">
      <c r="A69" s="4" t="inlineStr">
        <is>
          <t>311</t>
        </is>
      </c>
      <c r="B69" s="5" t="n">
        <v>6</v>
      </c>
    </row>
    <row r="70">
      <c r="A70" s="4" t="inlineStr">
        <is>
          <t>622</t>
        </is>
      </c>
      <c r="B70" s="5" t="n">
        <v>6</v>
      </c>
    </row>
    <row r="71">
      <c r="A71" s="4" t="inlineStr">
        <is>
          <t>764</t>
        </is>
      </c>
      <c r="B71" s="5" t="n">
        <v>6</v>
      </c>
    </row>
    <row r="72">
      <c r="A72" s="4" t="inlineStr">
        <is>
          <t>771</t>
        </is>
      </c>
      <c r="B72" s="5" t="n">
        <v>6</v>
      </c>
    </row>
    <row r="73">
      <c r="A73" s="4" t="inlineStr">
        <is>
          <t>781</t>
        </is>
      </c>
      <c r="B73" s="5" t="n">
        <v>6</v>
      </c>
    </row>
    <row r="74">
      <c r="A74" s="4" t="inlineStr">
        <is>
          <t>564</t>
        </is>
      </c>
      <c r="B74" s="5" t="n">
        <v>5</v>
      </c>
    </row>
    <row r="75">
      <c r="A75" s="4" t="inlineStr">
        <is>
          <t>712</t>
        </is>
      </c>
      <c r="B75" s="5" t="n">
        <v>5</v>
      </c>
    </row>
    <row r="76">
      <c r="A76" s="4" t="inlineStr">
        <is>
          <t>767</t>
        </is>
      </c>
      <c r="B76" s="5" t="n">
        <v>5</v>
      </c>
    </row>
    <row r="77">
      <c r="A77" s="4" t="inlineStr">
        <is>
          <t>784</t>
        </is>
      </c>
      <c r="B77" s="5" t="n">
        <v>5</v>
      </c>
    </row>
    <row r="78">
      <c r="A78" s="4" t="inlineStr">
        <is>
          <t>274</t>
        </is>
      </c>
      <c r="B78" s="5" t="n">
        <v>4</v>
      </c>
    </row>
    <row r="79">
      <c r="A79" s="4" t="inlineStr">
        <is>
          <t>713</t>
        </is>
      </c>
      <c r="B79" s="5" t="n">
        <v>4</v>
      </c>
    </row>
    <row r="80">
      <c r="A80" s="4" t="inlineStr">
        <is>
          <t>974</t>
        </is>
      </c>
      <c r="B80" s="5" t="n">
        <v>4</v>
      </c>
    </row>
    <row r="81">
      <c r="A81" s="4" t="inlineStr">
        <is>
          <t>997</t>
        </is>
      </c>
      <c r="B81" s="5" t="n">
        <v>4</v>
      </c>
    </row>
    <row r="82">
      <c r="A82" s="4" t="inlineStr">
        <is>
          <t>031</t>
        </is>
      </c>
      <c r="B82" s="5" t="n">
        <v>3</v>
      </c>
    </row>
    <row r="83">
      <c r="A83" s="4" t="inlineStr">
        <is>
          <t>132</t>
        </is>
      </c>
      <c r="B83" s="5" t="n">
        <v>3</v>
      </c>
    </row>
    <row r="84">
      <c r="A84" s="4" t="inlineStr">
        <is>
          <t>174</t>
        </is>
      </c>
      <c r="B84" s="5" t="n">
        <v>3</v>
      </c>
    </row>
    <row r="85">
      <c r="A85" s="4" t="inlineStr">
        <is>
          <t>342</t>
        </is>
      </c>
      <c r="B85" s="5" t="n">
        <v>3</v>
      </c>
    </row>
    <row r="86">
      <c r="A86" s="4" t="inlineStr">
        <is>
          <t>631</t>
        </is>
      </c>
      <c r="B86" s="5" t="n">
        <v>3</v>
      </c>
    </row>
    <row r="87">
      <c r="A87" s="4" t="inlineStr">
        <is>
          <t>121</t>
        </is>
      </c>
      <c r="B87" s="5" t="n">
        <v>2</v>
      </c>
    </row>
    <row r="88">
      <c r="A88" s="4" t="inlineStr">
        <is>
          <t>131</t>
        </is>
      </c>
      <c r="B88" s="5" t="n">
        <v>2</v>
      </c>
    </row>
    <row r="89">
      <c r="A89" s="4" t="inlineStr">
        <is>
          <t>212</t>
        </is>
      </c>
      <c r="B89" s="5" t="n">
        <v>2</v>
      </c>
    </row>
    <row r="90">
      <c r="A90" s="4" t="inlineStr">
        <is>
          <t>317</t>
        </is>
      </c>
      <c r="B90" s="5" t="n">
        <v>2</v>
      </c>
    </row>
    <row r="91">
      <c r="A91" s="4" t="inlineStr">
        <is>
          <t>693</t>
        </is>
      </c>
      <c r="B91" s="5" t="n">
        <v>2</v>
      </c>
    </row>
    <row r="92">
      <c r="A92" s="4" t="inlineStr">
        <is>
          <t>722</t>
        </is>
      </c>
      <c r="B92" s="5" t="n">
        <v>2</v>
      </c>
    </row>
    <row r="93">
      <c r="A93" s="4" t="inlineStr">
        <is>
          <t>732</t>
        </is>
      </c>
      <c r="B93" s="5" t="n">
        <v>2</v>
      </c>
    </row>
    <row r="94">
      <c r="A94" s="4" t="inlineStr">
        <is>
          <t>765</t>
        </is>
      </c>
      <c r="B94" s="5" t="n">
        <v>2</v>
      </c>
    </row>
    <row r="95">
      <c r="A95" s="4" t="inlineStr">
        <is>
          <t>776</t>
        </is>
      </c>
      <c r="B95" s="5" t="n">
        <v>2</v>
      </c>
    </row>
    <row r="96">
      <c r="A96" s="4" t="inlineStr">
        <is>
          <t>968</t>
        </is>
      </c>
      <c r="B96" s="5" t="n">
        <v>2</v>
      </c>
    </row>
    <row r="97">
      <c r="A97" s="4" t="inlineStr">
        <is>
          <t>978</t>
        </is>
      </c>
      <c r="B97" s="5" t="n">
        <v>2</v>
      </c>
    </row>
    <row r="98">
      <c r="A98" s="4" t="inlineStr">
        <is>
          <t>012</t>
        </is>
      </c>
      <c r="B98" s="5" t="n">
        <v>1</v>
      </c>
    </row>
    <row r="99">
      <c r="A99" s="4" t="inlineStr">
        <is>
          <t>151</t>
        </is>
      </c>
      <c r="B99" s="5" t="n">
        <v>1</v>
      </c>
    </row>
    <row r="100">
      <c r="A100" s="4" t="inlineStr">
        <is>
          <t>181</t>
        </is>
      </c>
      <c r="B100" s="5" t="n">
        <v>1</v>
      </c>
    </row>
    <row r="101">
      <c r="A101" s="4" t="inlineStr">
        <is>
          <t>271</t>
        </is>
      </c>
      <c r="B101" s="5" t="n">
        <v>1</v>
      </c>
    </row>
    <row r="102">
      <c r="A102" s="4" t="inlineStr">
        <is>
          <t>279</t>
        </is>
      </c>
      <c r="B102" s="5" t="n">
        <v>1</v>
      </c>
    </row>
    <row r="103">
      <c r="A103" s="4" t="inlineStr">
        <is>
          <t>375</t>
        </is>
      </c>
      <c r="B103" s="5" t="n">
        <v>1</v>
      </c>
    </row>
    <row r="104">
      <c r="A104" s="4" t="inlineStr">
        <is>
          <t>596</t>
        </is>
      </c>
      <c r="B104" s="5" t="n">
        <v>1</v>
      </c>
    </row>
    <row r="105">
      <c r="A105" s="4" t="inlineStr">
        <is>
          <t>721</t>
        </is>
      </c>
      <c r="B105" s="5" t="n">
        <v>1</v>
      </c>
    </row>
    <row r="106">
      <c r="A106" s="4" t="inlineStr">
        <is>
          <t>734</t>
        </is>
      </c>
      <c r="B106" s="5" t="n">
        <v>1</v>
      </c>
    </row>
    <row r="107">
      <c r="A107" s="4" t="inlineStr">
        <is>
          <t>783</t>
        </is>
      </c>
      <c r="B107" s="5" t="n">
        <v>1</v>
      </c>
    </row>
    <row r="108">
      <c r="A108" s="4" t="inlineStr">
        <is>
          <t>961</t>
        </is>
      </c>
      <c r="B108" s="5" t="n">
        <v>1</v>
      </c>
    </row>
    <row r="109">
      <c r="A109" s="4" t="inlineStr">
        <is>
          <t>966</t>
        </is>
      </c>
      <c r="B109" s="5" t="n">
        <v>1</v>
      </c>
    </row>
    <row r="110">
      <c r="A110" s="4" t="inlineStr">
        <is>
          <t>996</t>
        </is>
      </c>
      <c r="B110" s="5" t="n">
        <v>1</v>
      </c>
    </row>
    <row r="112">
      <c r="A112" s="3" t="inlineStr">
        <is>
          <t>METODIKA + PATTERN COMPLIANCE</t>
        </is>
      </c>
    </row>
    <row r="113">
      <c r="A113" s="4" t="inlineStr">
        <is>
          <t>• HK212 028a..f princip: composite → atomic codeable operace (per vrstva / per fixture)</t>
        </is>
      </c>
    </row>
    <row r="114">
      <c r="A114" s="4" t="inlineStr">
        <is>
          <t>• Pattern 15 Work-First: atomic ops = codeable units, catalog matching downstream</t>
        </is>
      </c>
    </row>
    <row r="115">
      <c r="A115" s="4" t="inlineStr">
        <is>
          <t>• Pattern 26: família-level URS kde leaf neznámý + status flag; 9 BLANK ops (NE 999/TBD)</t>
        </is>
      </c>
    </row>
    <row r="116">
      <c r="A116" s="4" t="inlineStr">
        <is>
          <t>• Pattern 28: (id, kapitola) compound key — řeší PSV76.003 ×3 + VRN.001 ×9 collisions</t>
        </is>
      </c>
    </row>
    <row r="117">
      <c r="A117" s="4" t="inlineStr">
        <is>
          <t>• Pattern 32: separate deliverable — items.json frozen + File A audit NEDOTČENO</t>
        </is>
      </c>
    </row>
    <row r="118">
      <c r="A118" s="4" t="inlineStr">
        <is>
          <t>• Traceability: každá atomic op → parent_frozen_item_id (100% coverage)</t>
        </is>
      </c>
    </row>
    <row r="119">
      <c r="A119" s="4" t="inlineStr">
        <is>
          <t>• Terasa ŘEZ C-C oprava: dlaždice = roznášecí vrstva POD terče (564, NE '636311 na terče'); dřevěná pochozí vrstva (762) = PSV76.002 Truhlář (split-by-trade). Plochy situace: terasa 9.23 / dvorek 16.54 m².</t>
        </is>
      </c>
    </row>
  </sheetData>
  <mergeCells count="15">
    <mergeCell ref="A115:C115"/>
    <mergeCell ref="A112:C112"/>
    <mergeCell ref="A11:C11"/>
    <mergeCell ref="A116:C116"/>
    <mergeCell ref="A117:C117"/>
    <mergeCell ref="A46:C46"/>
    <mergeCell ref="A118:C118"/>
    <mergeCell ref="A119:C119"/>
    <mergeCell ref="A56:C56"/>
    <mergeCell ref="A53:C53"/>
    <mergeCell ref="A114:C114"/>
    <mergeCell ref="A4:C4"/>
    <mergeCell ref="A113:C113"/>
    <mergeCell ref="A54:C54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7" customWidth="1" min="4" max="4"/>
    <col width="10" customWidth="1" min="5" max="5"/>
    <col width="46" customWidth="1" min="6" max="6"/>
    <col width="15" customWidth="1" min="7" max="7"/>
    <col width="20" customWidth="1" min="8" max="8"/>
    <col width="22" customWidth="1" min="9" max="9"/>
    <col width="15" customWidth="1" min="10" max="10"/>
    <col width="44" customWidth="1" min="11" max="11"/>
  </cols>
  <sheetData>
    <row r="1">
      <c r="A1" s="7" t="inlineStr">
        <is>
          <t>Poř.</t>
        </is>
      </c>
      <c r="B1" s="7" t="inlineStr">
        <is>
          <t>Kapitola</t>
        </is>
      </c>
      <c r="C1" s="7" t="inlineStr">
        <is>
          <t>Atomic operace (popis)</t>
        </is>
      </c>
      <c r="D1" s="7" t="inlineStr">
        <is>
          <t>MJ</t>
        </is>
      </c>
      <c r="E1" s="7" t="inlineStr">
        <is>
          <t>Množství</t>
        </is>
      </c>
      <c r="F1" s="7" t="inlineStr">
        <is>
          <t>Vzorec / Zdroj výměry</t>
        </is>
      </c>
      <c r="G1" s="7" t="inlineStr">
        <is>
          <t>URS kód kandidát</t>
        </is>
      </c>
      <c r="H1" s="7" t="inlineStr">
        <is>
          <t>Status</t>
        </is>
      </c>
      <c r="I1" s="7" t="inlineStr">
        <is>
          <t>Parent frozen item_id</t>
        </is>
      </c>
      <c r="J1" s="7" t="inlineStr">
        <is>
          <t>Realizuje skladbu</t>
        </is>
      </c>
      <c r="K1" s="7" t="inlineStr">
        <is>
          <t>Pozn.</t>
        </is>
      </c>
    </row>
    <row r="2">
      <c r="A2" s="8" t="inlineStr">
        <is>
          <t>━━ HSV-1 Zemní práce  (19 atomic operací) ━━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>
      <c r="A3" s="10" t="n">
        <v>1</v>
      </c>
      <c r="B3" s="11" t="inlineStr">
        <is>
          <t>HSV-1 Zemní práce</t>
        </is>
      </c>
      <c r="C3" s="11" t="inlineStr">
        <is>
          <t>Sejmutí ornice tl. 100 mm na ploše budoucí opěrné stěny a anglického dvorku</t>
        </is>
      </c>
      <c r="D3" s="10" t="inlineStr">
        <is>
          <t>m²</t>
        </is>
      </c>
      <c r="E3" s="12" t="n">
        <v>35</v>
      </c>
      <c r="F3" s="11" t="inlineStr">
        <is>
          <t>L=10 × W=3.5 (zahrada zóna pro BV + dvorek)</t>
        </is>
      </c>
      <c r="G3" s="13" t="inlineStr">
        <is>
          <t>121101101</t>
        </is>
      </c>
      <c r="H3" s="10" t="inlineStr">
        <is>
          <t>✓ verified</t>
        </is>
      </c>
      <c r="I3" s="11" t="inlineStr">
        <is>
          <t>260219_dum.HSV1.001</t>
        </is>
      </c>
      <c r="J3" s="11" t="inlineStr"/>
      <c r="K3" s="11" t="inlineStr">
        <is>
          <t>Carried 1:1 (atomic — no decomposition needed)</t>
        </is>
      </c>
    </row>
    <row r="4">
      <c r="A4" s="10" t="n">
        <v>2</v>
      </c>
      <c r="B4" s="11" t="inlineStr">
        <is>
          <t>HSV-1 Zemní práce</t>
        </is>
      </c>
      <c r="C4" s="11" t="inlineStr">
        <is>
          <t>Hloubení rýh š. do 60 cm pro pas opěrné stěny bílé vany v zemině třídy 3 (F4-CS)</t>
        </is>
      </c>
      <c r="D4" s="10" t="inlineStr">
        <is>
          <t>m³</t>
        </is>
      </c>
      <c r="E4" s="12" t="n">
        <v>12.6</v>
      </c>
      <c r="F4" s="11" t="inlineStr">
        <is>
          <t>L=10 × W=1.2 × H=1.05 (pata BV 1200 mm × hloubka pod základovou spárou)</t>
        </is>
      </c>
      <c r="G4" s="13" t="inlineStr">
        <is>
          <t>132201101</t>
        </is>
      </c>
      <c r="H4" s="10" t="inlineStr">
        <is>
          <t>⚠ kandidát-verify</t>
        </is>
      </c>
      <c r="I4" s="11" t="inlineStr">
        <is>
          <t>260219_dum.HSV1.002</t>
        </is>
      </c>
      <c r="J4" s="11" t="inlineStr"/>
      <c r="K4" s="11" t="inlineStr">
        <is>
          <t>Carried 1:1 (atomic — no decomposition needed)</t>
        </is>
      </c>
    </row>
    <row r="5">
      <c r="A5" s="10" t="n">
        <v>3</v>
      </c>
      <c r="B5" s="11" t="inlineStr">
        <is>
          <t>HSV-1 Zemní práce</t>
        </is>
      </c>
      <c r="C5" s="11" t="inlineStr">
        <is>
          <t>Hloubení jam nezapažených pro anglický dvorek a nový vstup do 1.PP ze zahrady, hornina tř. 3 (F4-CS)</t>
        </is>
      </c>
      <c r="D5" s="10" t="inlineStr">
        <is>
          <t>m³</t>
        </is>
      </c>
      <c r="E5" s="12" t="n">
        <v>6</v>
      </c>
      <c r="F5" s="11" t="inlineStr">
        <is>
          <t>L=2.5 × W=2.0 × H=1.2 (dvorek odkop)</t>
        </is>
      </c>
      <c r="G5" s="13" t="inlineStr">
        <is>
          <t>131201101</t>
        </is>
      </c>
      <c r="H5" s="10" t="inlineStr">
        <is>
          <t>⚠ kandidát-verify</t>
        </is>
      </c>
      <c r="I5" s="11" t="inlineStr">
        <is>
          <t>260219_dum.HSV1.003</t>
        </is>
      </c>
      <c r="J5" s="11" t="inlineStr"/>
      <c r="K5" s="11" t="inlineStr">
        <is>
          <t>Carried 1:1 (atomic — no decomposition needed)</t>
        </is>
      </c>
    </row>
    <row r="6">
      <c r="A6" s="14" t="n">
        <v>4</v>
      </c>
      <c r="B6" s="15" t="inlineStr">
        <is>
          <t>HSV-1 Zemní práce</t>
        </is>
      </c>
      <c r="C6" s="15" t="inlineStr">
        <is>
          <t>Kladení betonové dlažby tl. 50 mm — anglický dvorek</t>
        </is>
      </c>
      <c r="D6" s="14" t="inlineStr">
        <is>
          <t>m²</t>
        </is>
      </c>
      <c r="E6" s="16" t="n">
        <v>16.54</v>
      </c>
      <c r="F6" s="15">
        <f> HSV1.004 plocha dvorku 16.54 m² (situace 12.46 + 4.08, dlažba = brick-hatch)</f>
        <v/>
      </c>
      <c r="G6" s="15" t="inlineStr">
        <is>
          <t>596</t>
        </is>
      </c>
      <c r="H6" s="14" t="inlineStr">
        <is>
          <t>⚠ família ??? (ÚRS online)</t>
        </is>
      </c>
      <c r="I6" s="15" t="inlineStr">
        <is>
          <t>260219_dum.HSV1.004 → HSV1.004a</t>
        </is>
      </c>
      <c r="J6" s="15" t="inlineStr">
        <is>
          <t>Anglický dvorek</t>
        </is>
      </c>
      <c r="K6" s="15" t="inlineStr">
        <is>
          <t>Dlažba NA LOŽI (596 família) — ne na terče. Leaf dle typu dlažby (zámková 596211 / velkoformát 596811) — verify u dodavatele.  Doplnit leaf z CS ÚRS online (app.urs.cz, cen. úroveň 2026 01) dle família + popis + Vzorec.</t>
        </is>
      </c>
    </row>
    <row r="7">
      <c r="A7" s="14" t="n">
        <v>5</v>
      </c>
      <c r="B7" s="15" t="inlineStr">
        <is>
          <t>HSV-1 Zemní práce</t>
        </is>
      </c>
      <c r="C7" s="15" t="inlineStr">
        <is>
          <t>Kladecí vrstva z kamenné drti frakce 4-8 mm tl. 40 mm — anglický dvorek</t>
        </is>
      </c>
      <c r="D7" s="14" t="inlineStr">
        <is>
          <t>m²</t>
        </is>
      </c>
      <c r="E7" s="16" t="n">
        <v>16.54</v>
      </c>
      <c r="F7" s="15">
        <f> HSV1.004 plocha dvorku 16.54 m² (situace 12.46 + 4.08)</f>
        <v/>
      </c>
      <c r="G7" s="15" t="inlineStr">
        <is>
          <t>564</t>
        </is>
      </c>
      <c r="H7" s="14" t="inlineStr">
        <is>
          <t>⚠ família ??? (ÚRS online)</t>
        </is>
      </c>
      <c r="I7" s="15" t="inlineStr">
        <is>
          <t>260219_dum.HSV1.004 → HSV1.004b</t>
        </is>
      </c>
      <c r="J7" s="15" t="inlineStr">
        <is>
          <t>Anglický dvorek</t>
        </is>
      </c>
      <c r="K7" s="15" t="inlineStr">
        <is>
          <t>Kladecí lože pod dlažbu (564 família) — řez C-C, dříve sloučeno s dlažbou (op a).  Doplnit leaf z CS ÚRS online (app.urs.cz, cen. úroveň 2026 01) dle família + popis + Vzorec.</t>
        </is>
      </c>
    </row>
    <row r="8">
      <c r="A8" s="14" t="n">
        <v>6</v>
      </c>
      <c r="B8" s="15" t="inlineStr">
        <is>
          <t>HSV-1 Zemní práce</t>
        </is>
      </c>
      <c r="C8" s="15" t="inlineStr">
        <is>
          <t>Podkladní nosná vrstva z kamenné drti frakce 4-8 mm tl. 150 mm + zhutnění — anglický dvorek</t>
        </is>
      </c>
      <c r="D8" s="14" t="inlineStr">
        <is>
          <t>m²</t>
        </is>
      </c>
      <c r="E8" s="16" t="n">
        <v>16.54</v>
      </c>
      <c r="F8" s="15">
        <f> HSV1.004 plocha 16.54 m²</f>
        <v/>
      </c>
      <c r="G8" s="15" t="inlineStr">
        <is>
          <t>564</t>
        </is>
      </c>
      <c r="H8" s="14" t="inlineStr">
        <is>
          <t>⚠ família ??? (ÚRS online)</t>
        </is>
      </c>
      <c r="I8" s="15" t="inlineStr">
        <is>
          <t>260219_dum.HSV1.004 → HSV1.004c</t>
        </is>
      </c>
      <c r="J8" s="15" t="inlineStr">
        <is>
          <t>Anglický dvorek</t>
        </is>
      </c>
      <c r="K8" s="15" t="inlineStr">
        <is>
          <t>Podklad ze štěrkodrti (564 família).  Doplnit leaf z CS ÚRS online (app.urs.cz, cen. úroveň 2026 01) dle família + popis + Vzorec.</t>
        </is>
      </c>
    </row>
    <row r="9">
      <c r="A9" s="14" t="n">
        <v>7</v>
      </c>
      <c r="B9" s="15" t="inlineStr">
        <is>
          <t>HSV-1 Zemní práce</t>
        </is>
      </c>
      <c r="C9" s="15" t="inlineStr">
        <is>
          <t>Úprava + zhutnění zemní pláně na Edef ≥ 30 MPa — anglický dvorek</t>
        </is>
      </c>
      <c r="D9" s="14" t="inlineStr">
        <is>
          <t>m²</t>
        </is>
      </c>
      <c r="E9" s="16" t="n">
        <v>16.54</v>
      </c>
      <c r="F9" s="15">
        <f> HSV1.004 plocha 16.54 m²</f>
        <v/>
      </c>
      <c r="G9" s="15" t="inlineStr">
        <is>
          <t>181</t>
        </is>
      </c>
      <c r="H9" s="14" t="inlineStr">
        <is>
          <t>⚠ família ??? (ÚRS online)</t>
        </is>
      </c>
      <c r="I9" s="15" t="inlineStr">
        <is>
          <t>260219_dum.HSV1.004 → HSV1.004d</t>
        </is>
      </c>
      <c r="J9" s="15" t="inlineStr">
        <is>
          <t>Anglický dvorek</t>
        </is>
      </c>
      <c r="K9" s="15" t="inlineStr">
        <is>
          <t>Úprava pláně (181 família) — případně zahrnuto v zemních pracích.  Doplnit leaf z CS ÚRS online (app.urs.cz, cen. úroveň 2026 01) dle família + popis + Vzorec.</t>
        </is>
      </c>
    </row>
    <row r="10">
      <c r="A10" s="17" t="n">
        <v>8</v>
      </c>
      <c r="B10" s="18" t="inlineStr">
        <is>
          <t>HSV-1 Zemní práce</t>
        </is>
      </c>
      <c r="C10" s="18" t="inlineStr">
        <is>
          <t>Osazení rektifikovatelných terčů výšky ~50 mm na betonové dlaždice — terasa za opěrnou stěnou (nesou dřevěnou pochozí vrstvu PSV76.002)</t>
        </is>
      </c>
      <c r="D10" s="17" t="inlineStr">
        <is>
          <t>m²</t>
        </is>
      </c>
      <c r="E10" s="19" t="n">
        <v>9.23</v>
      </c>
      <c r="F10" s="18">
        <f> HSV1.005 plocha terasy 9.23 m² (situace měření, terasa = line-hatch)</f>
        <v/>
      </c>
      <c r="G10" s="18" t="inlineStr"/>
      <c r="H10" s="17" t="inlineStr">
        <is>
          <t>❌ blank — ÚRS online</t>
        </is>
      </c>
      <c r="I10" s="18" t="inlineStr">
        <is>
          <t>260219_dum.HSV1.005 → HSV1.005a</t>
        </is>
      </c>
      <c r="J10" s="18" t="inlineStr">
        <is>
          <t>Terasa</t>
        </is>
      </c>
      <c r="K10" s="18" t="inlineStr">
        <is>
          <t>Rektifikovatelné terče — spec systém (família needs_lookup). Nesou dřevěný rošt + prkna (PSV76.002 Truhlář, 762).  Doplnit leaf z CS ÚRS online (app.urs.cz, cen. úroveň 2026 01) dle família + popis + Vzorec.</t>
        </is>
      </c>
    </row>
    <row r="11">
      <c r="A11" s="14" t="n">
        <v>9</v>
      </c>
      <c r="B11" s="15" t="inlineStr">
        <is>
          <t>HSV-1 Zemní práce</t>
        </is>
      </c>
      <c r="C11" s="15" t="inlineStr">
        <is>
          <t>Betonové dlaždice tl. 50 mm jako roznášecí (nosná) vrstva POD rektifikovatelné terče — terasa</t>
        </is>
      </c>
      <c r="D11" s="14" t="inlineStr">
        <is>
          <t>m²</t>
        </is>
      </c>
      <c r="E11" s="16" t="n">
        <v>9.23</v>
      </c>
      <c r="F11" s="15">
        <f> HSV1.005 plocha terasy 9.23 m² (situace měření)</f>
        <v/>
      </c>
      <c r="G11" s="15" t="inlineStr">
        <is>
          <t>564</t>
        </is>
      </c>
      <c r="H11" s="14" t="inlineStr">
        <is>
          <t>⚠ família ??? (ÚRS online)</t>
        </is>
      </c>
      <c r="I11" s="15" t="inlineStr">
        <is>
          <t>260219_dum.HSV1.005 → HSV1.005b</t>
        </is>
      </c>
      <c r="J11" s="15" t="inlineStr">
        <is>
          <t>Terasa</t>
        </is>
      </c>
      <c r="K11" s="15" t="inlineStr">
        <is>
          <t>ŘEZ C-C OPRAVA: dlaždice = roznášecí vrstva POD terče (NE 636311 'na terče' — to byla chyba). Roznášecí betonová dlaždice na podsypu → 564/596 família. Leaf Stage 3.  Doplnit leaf z CS ÚRS online (app.urs.cz, cen. úroveň 2026 01) dle família + popis + Vzorec.</t>
        </is>
      </c>
    </row>
    <row r="12">
      <c r="A12" s="14" t="n">
        <v>10</v>
      </c>
      <c r="B12" s="15" t="inlineStr">
        <is>
          <t>HSV-1 Zemní práce</t>
        </is>
      </c>
      <c r="C12" s="15" t="inlineStr">
        <is>
          <t>Štěrkový podsyp frakce 16/32 mm tl. 100 mm — terasa</t>
        </is>
      </c>
      <c r="D12" s="14" t="inlineStr">
        <is>
          <t>m²</t>
        </is>
      </c>
      <c r="E12" s="16" t="n">
        <v>9.23</v>
      </c>
      <c r="F12" s="15">
        <f> HSV1.005 plocha 9.23 m²</f>
        <v/>
      </c>
      <c r="G12" s="15" t="inlineStr">
        <is>
          <t>564</t>
        </is>
      </c>
      <c r="H12" s="14" t="inlineStr">
        <is>
          <t>⚠ família ??? (ÚRS online)</t>
        </is>
      </c>
      <c r="I12" s="15" t="inlineStr">
        <is>
          <t>260219_dum.HSV1.005 → HSV1.005c</t>
        </is>
      </c>
      <c r="J12" s="15" t="inlineStr">
        <is>
          <t>Terasa</t>
        </is>
      </c>
      <c r="K12" s="15" t="inlineStr">
        <is>
          <t>Podklad štěrkopísek (564 família).  Doplnit leaf z CS ÚRS online (app.urs.cz, cen. úroveň 2026 01) dle família + popis + Vzorec.</t>
        </is>
      </c>
    </row>
    <row r="13">
      <c r="A13" s="14" t="n">
        <v>11</v>
      </c>
      <c r="B13" s="15" t="inlineStr">
        <is>
          <t>HSV-1 Zemní práce</t>
        </is>
      </c>
      <c r="C13" s="15" t="inlineStr">
        <is>
          <t>Hrubý podsyp z kamenné drti frakce 4/8 mm tl. 150 mm — terasa</t>
        </is>
      </c>
      <c r="D13" s="14" t="inlineStr">
        <is>
          <t>m²</t>
        </is>
      </c>
      <c r="E13" s="16" t="n">
        <v>9.23</v>
      </c>
      <c r="F13" s="15">
        <f> HSV1.005 plocha 9.23 m²</f>
        <v/>
      </c>
      <c r="G13" s="15" t="inlineStr">
        <is>
          <t>564</t>
        </is>
      </c>
      <c r="H13" s="14" t="inlineStr">
        <is>
          <t>⚠ família ??? (ÚRS online)</t>
        </is>
      </c>
      <c r="I13" s="15" t="inlineStr">
        <is>
          <t>260219_dum.HSV1.005 → HSV1.005d</t>
        </is>
      </c>
      <c r="J13" s="15" t="inlineStr">
        <is>
          <t>Terasa</t>
        </is>
      </c>
      <c r="K13" s="15" t="inlineStr">
        <is>
          <t>Podklad štěrkodrť (564 família).  Doplnit leaf z CS ÚRS online (app.urs.cz, cen. úroveň 2026 01) dle família + popis + Vzorec.</t>
        </is>
      </c>
    </row>
    <row r="14">
      <c r="A14" s="14" t="n">
        <v>12</v>
      </c>
      <c r="B14" s="15" t="inlineStr">
        <is>
          <t>HSV-1 Zemní práce</t>
        </is>
      </c>
      <c r="C14" s="15" t="inlineStr">
        <is>
          <t>Geotextilie separační pod podsyp terasy</t>
        </is>
      </c>
      <c r="D14" s="14" t="inlineStr">
        <is>
          <t>m²</t>
        </is>
      </c>
      <c r="E14" s="16" t="n">
        <v>9.23</v>
      </c>
      <c r="F14" s="15">
        <f> HSV1.005 plocha 9.23 m²</f>
        <v/>
      </c>
      <c r="G14" s="15" t="inlineStr">
        <is>
          <t>693</t>
        </is>
      </c>
      <c r="H14" s="14" t="inlineStr">
        <is>
          <t>⚠ família ??? (ÚRS online)</t>
        </is>
      </c>
      <c r="I14" s="15" t="inlineStr">
        <is>
          <t>260219_dum.HSV1.005 → HSV1.005e</t>
        </is>
      </c>
      <c r="J14" s="15" t="inlineStr">
        <is>
          <t>Terasa</t>
        </is>
      </c>
      <c r="K14" s="15" t="inlineStr">
        <is>
          <t>Geotextilie (693 família) nebo zahrnuto v 564.  Doplnit leaf z CS ÚRS online (app.urs.cz, cen. úroveň 2026 01) dle família + popis + Vzorec.</t>
        </is>
      </c>
    </row>
    <row r="15">
      <c r="A15" s="10" t="n">
        <v>13</v>
      </c>
      <c r="B15" s="11" t="inlineStr">
        <is>
          <t>HSV-1 Zemní práce</t>
        </is>
      </c>
      <c r="C15" s="11" t="inlineStr">
        <is>
          <t>Pažení a rozepření dočasných výkopů příložné, hl. do 2 m, v zemině třídy 3</t>
        </is>
      </c>
      <c r="D15" s="10" t="inlineStr">
        <is>
          <t>m²</t>
        </is>
      </c>
      <c r="E15" s="12" t="n">
        <v>36</v>
      </c>
      <c r="F15" s="11" t="inlineStr">
        <is>
          <t>obvod rýh BV 2×(10+1.2) × hloubka 1.6</t>
        </is>
      </c>
      <c r="G15" s="13" t="inlineStr">
        <is>
          <t>151101101</t>
        </is>
      </c>
      <c r="H15" s="10" t="inlineStr">
        <is>
          <t>✓ verified</t>
        </is>
      </c>
      <c r="I15" s="11" t="inlineStr">
        <is>
          <t>260219_dum.HSV1.006</t>
        </is>
      </c>
      <c r="J15" s="11" t="inlineStr"/>
      <c r="K15" s="11" t="inlineStr">
        <is>
          <t>Carried 1:1 (atomic — no decomposition needed)</t>
        </is>
      </c>
    </row>
    <row r="16">
      <c r="A16" s="17" t="n">
        <v>14</v>
      </c>
      <c r="B16" s="18" t="inlineStr">
        <is>
          <t>HSV-1 Zemní práce</t>
        </is>
      </c>
      <c r="C16" s="18" t="inlineStr">
        <is>
          <t>Vodorovné přemístění výkopku — odvoz na deponii do 8 km vč. skládkovného (zemina F4)</t>
        </is>
      </c>
      <c r="D16" s="17" t="inlineStr">
        <is>
          <t>m³</t>
        </is>
      </c>
      <c r="E16" s="19" t="n">
        <v>18.6</v>
      </c>
      <c r="F16" s="18">
        <f> V hloubení rýh BV + figura dvorek (12.6 + 6.0)</f>
        <v/>
      </c>
      <c r="G16" s="18" t="inlineStr"/>
      <c r="H16" s="17" t="inlineStr">
        <is>
          <t>❌ blank — ÚRS online</t>
        </is>
      </c>
      <c r="I16" s="18" t="inlineStr">
        <is>
          <t>260219_dum.HSV1.007</t>
        </is>
      </c>
      <c r="J16" s="18" t="inlineStr"/>
      <c r="K16" s="18" t="inlineStr">
        <is>
          <t>Carried 1:1 (atomic — no decomposition needed)  Doplnit leaf z CS ÚRS online (app.urs.cz, cen. úroveň 2026 01) dle família + popis + Vzorec.</t>
        </is>
      </c>
    </row>
    <row r="17">
      <c r="A17" s="10" t="n">
        <v>15</v>
      </c>
      <c r="B17" s="11" t="inlineStr">
        <is>
          <t>HSV-1 Zemní práce</t>
        </is>
      </c>
      <c r="C17" s="11" t="inlineStr">
        <is>
          <t>Zhutněný štěrkopískový zásyp + lože pod ŽB deskou 1.NP, Edef2 ≥ 30 MPa na pláni / 45 MPa na štěrku</t>
        </is>
      </c>
      <c r="D17" s="10" t="inlineStr">
        <is>
          <t>m³</t>
        </is>
      </c>
      <c r="E17" s="12" t="n">
        <v>12.5</v>
      </c>
      <c r="F17" s="11" t="inlineStr">
        <is>
          <t>podlahova_plocha_1NP × 0.15 m štěrkové lože (uvažovat 83 m² × 0.15)</t>
        </is>
      </c>
      <c r="G17" s="13" t="inlineStr">
        <is>
          <t>174101101</t>
        </is>
      </c>
      <c r="H17" s="10" t="inlineStr">
        <is>
          <t>⚠ kandidát-verify</t>
        </is>
      </c>
      <c r="I17" s="11" t="inlineStr">
        <is>
          <t>260219_dum.HSV1.008</t>
        </is>
      </c>
      <c r="J17" s="11" t="inlineStr"/>
      <c r="K17" s="11" t="inlineStr">
        <is>
          <t>Carried 1:1 (atomic — no decomposition needed)</t>
        </is>
      </c>
    </row>
    <row r="18">
      <c r="A18" s="14" t="n">
        <v>16</v>
      </c>
      <c r="B18" s="15" t="inlineStr">
        <is>
          <t>HSV-1 Zemní práce</t>
        </is>
      </c>
      <c r="C18" s="15" t="inlineStr">
        <is>
          <t>Drenážní trubka DN100 vlnitá perforovaná — uložení za opěrnou stěnou (bílou vanou)</t>
        </is>
      </c>
      <c r="D18" s="14" t="inlineStr">
        <is>
          <t>m</t>
        </is>
      </c>
      <c r="E18" s="16" t="n">
        <v>12</v>
      </c>
      <c r="F18" s="15">
        <f> HSV1.015 obvod BV ~10 m + napojení 2 m = 12 m</f>
        <v/>
      </c>
      <c r="G18" s="15" t="inlineStr">
        <is>
          <t>212</t>
        </is>
      </c>
      <c r="H18" s="14" t="inlineStr">
        <is>
          <t>⚠ família ??? (ÚRS online)</t>
        </is>
      </c>
      <c r="I18" s="15" t="inlineStr">
        <is>
          <t>260219_dum.HSV1.015 → HSV1.015a</t>
        </is>
      </c>
      <c r="J18" s="15" t="inlineStr"/>
      <c r="K18" s="15" t="inlineStr">
        <is>
          <t>Drenáž trubní (212 família URS zemní) NEBO 8xx ZTI vnější (items.json má 877315111 cross-discipline).  Doplnit leaf z CS ÚRS online (app.urs.cz, cen. úroveň 2026 01) dle família + popis + Vzorec.</t>
        </is>
      </c>
    </row>
    <row r="19">
      <c r="A19" s="14" t="n">
        <v>17</v>
      </c>
      <c r="B19" s="15" t="inlineStr">
        <is>
          <t>HSV-1 Zemní práce</t>
        </is>
      </c>
      <c r="C19" s="15" t="inlineStr">
        <is>
          <t>Štěrkový obsyp drenáže frakce 16/32 mm</t>
        </is>
      </c>
      <c r="D19" s="14" t="inlineStr">
        <is>
          <t>m</t>
        </is>
      </c>
      <c r="E19" s="16" t="n">
        <v>12</v>
      </c>
      <c r="F19" s="15">
        <f> HSV1.015 délka drenáže 12 m</f>
        <v/>
      </c>
      <c r="G19" s="15" t="inlineStr">
        <is>
          <t>212</t>
        </is>
      </c>
      <c r="H19" s="14" t="inlineStr">
        <is>
          <t>⚠ família ??? (ÚRS online)</t>
        </is>
      </c>
      <c r="I19" s="15" t="inlineStr">
        <is>
          <t>260219_dum.HSV1.015 → HSV1.015b</t>
        </is>
      </c>
      <c r="J19" s="15" t="inlineStr"/>
      <c r="K19" s="15" t="inlineStr">
        <is>
          <t>Obsyp drenáže (212/174 família).  Doplnit leaf z CS ÚRS online (app.urs.cz, cen. úroveň 2026 01) dle família + popis + Vzorec.</t>
        </is>
      </c>
    </row>
    <row r="20">
      <c r="A20" s="14" t="n">
        <v>18</v>
      </c>
      <c r="B20" s="15" t="inlineStr">
        <is>
          <t>HSV-1 Zemní práce</t>
        </is>
      </c>
      <c r="C20" s="15" t="inlineStr">
        <is>
          <t>Geotextilie obalení drenáže + napojení do dešťové kanalizace</t>
        </is>
      </c>
      <c r="D20" s="14" t="inlineStr">
        <is>
          <t>m</t>
        </is>
      </c>
      <c r="E20" s="16" t="n">
        <v>12</v>
      </c>
      <c r="F20" s="15">
        <f> HSV1.015 délka 12 m</f>
        <v/>
      </c>
      <c r="G20" s="15" t="inlineStr">
        <is>
          <t>693</t>
        </is>
      </c>
      <c r="H20" s="14" t="inlineStr">
        <is>
          <t>⚠ família ??? (ÚRS online)</t>
        </is>
      </c>
      <c r="I20" s="15" t="inlineStr">
        <is>
          <t>260219_dum.HSV1.015 → HSV1.015c</t>
        </is>
      </c>
      <c r="J20" s="15" t="inlineStr"/>
      <c r="K20" s="15" t="inlineStr">
        <is>
          <t>Geotextilie obal + napojení (693 família).  Doplnit leaf z CS ÚRS online (app.urs.cz, cen. úroveň 2026 01) dle família + popis + Vzorec.</t>
        </is>
      </c>
    </row>
    <row r="21">
      <c r="A21" s="17" t="n">
        <v>19</v>
      </c>
      <c r="B21" s="18" t="inlineStr">
        <is>
          <t>HSV-1 Zemní práce</t>
        </is>
      </c>
      <c r="C21" s="18" t="inlineStr">
        <is>
          <t>Venkovní schody na terénu z betonových dílců do betonového lože — rameno 1: 8×175×280 mm + rameno 2: 5×175×280 mm (13 stupňů), zahrada za opěrnou stěnou</t>
        </is>
      </c>
      <c r="D21" s="17" t="inlineStr">
        <is>
          <t>ks</t>
        </is>
      </c>
      <c r="E21" s="19" t="n">
        <v>13</v>
      </c>
      <c r="F21" s="18" t="inlineStr">
        <is>
          <t>Situace měření 2026-05-29: rameno 1 = 8 stupňů + rameno 2 = 5 stupňů = 13 stupňů (175×280 mm)</t>
        </is>
      </c>
      <c r="G21" s="18" t="inlineStr"/>
      <c r="H21" s="17" t="inlineStr">
        <is>
          <t>❌ blank — ÚRS online</t>
        </is>
      </c>
      <c r="I21" s="18" t="inlineStr">
        <is>
          <t>260219_dum.HSV1.016</t>
        </is>
      </c>
      <c r="J21" s="18" t="inlineStr">
        <is>
          <t>Venkovní schody na terénu</t>
        </is>
      </c>
      <c r="K21" s="18" t="inlineStr">
        <is>
          <t>Carried 1:1 (atomic — no decomposition needed)  Doplnit leaf z CS ÚRS online (app.urs.cz, cen. úroveň 2026 01) dle família + popis + Vzorec.</t>
        </is>
      </c>
    </row>
    <row r="22">
      <c r="A22" s="8" t="inlineStr">
        <is>
          <t>━━ HSV-2 Základové a ŽB  (13 atomic operací) ━━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10" t="n">
        <v>20</v>
      </c>
      <c r="B23" s="11" t="inlineStr">
        <is>
          <t>HSV-2 Základové a ŽB</t>
        </is>
      </c>
      <c r="C23" s="11" t="inlineStr">
        <is>
          <t>Bílá vana ČBS 02 — pata úhlové opěrné stěny 250×1200 mm × L=10 m, C25/30 XC3 XF1 XA1 CL0.4 Dmax22 S3</t>
        </is>
      </c>
      <c r="D23" s="10" t="inlineStr">
        <is>
          <t>m³</t>
        </is>
      </c>
      <c r="E23" s="12" t="n">
        <v>3</v>
      </c>
      <c r="F23" s="11" t="inlineStr">
        <is>
          <t>0.25 × 1.20 × 10 = 3.0</t>
        </is>
      </c>
      <c r="G23" s="13" t="inlineStr">
        <is>
          <t>274321321</t>
        </is>
      </c>
      <c r="H23" s="10" t="inlineStr">
        <is>
          <t>⚠ kandidát-verify</t>
        </is>
      </c>
      <c r="I23" s="11" t="inlineStr">
        <is>
          <t>260219_dum.HSV2.001</t>
        </is>
      </c>
      <c r="J23" s="11" t="inlineStr"/>
      <c r="K23" s="11" t="inlineStr">
        <is>
          <t>Carried 1:1 (atomic — no decomposition needed)</t>
        </is>
      </c>
    </row>
    <row r="24">
      <c r="A24" s="10" t="n">
        <v>21</v>
      </c>
      <c r="B24" s="11" t="inlineStr">
        <is>
          <t>HSV-2 Základové a ŽB</t>
        </is>
      </c>
      <c r="C24" s="11" t="inlineStr">
        <is>
          <t>Bílá vana ČBS 02 — stěna úhlová tl. 250 mm × výška 2050 mm × L=10 m, beton C25/30 XC3 XF1 XA1 (trhliny max 0.20 mm)</t>
        </is>
      </c>
      <c r="D24" s="10" t="inlineStr">
        <is>
          <t>m³</t>
        </is>
      </c>
      <c r="E24" s="12" t="n">
        <v>5.12</v>
      </c>
      <c r="F24" s="11" t="inlineStr">
        <is>
          <t>0.25 × 2.05 × 10 = 5.13</t>
        </is>
      </c>
      <c r="G24" s="11" t="inlineStr">
        <is>
          <t>274321321</t>
        </is>
      </c>
      <c r="H24" s="10" t="inlineStr">
        <is>
          <t>⚠ kandidát-verify</t>
        </is>
      </c>
      <c r="I24" s="11" t="inlineStr">
        <is>
          <t>260219_dum.HSV2.002</t>
        </is>
      </c>
      <c r="J24" s="11" t="inlineStr"/>
      <c r="K24" s="11" t="inlineStr">
        <is>
          <t>Carried 1:1 (atomic — no decomposition needed)</t>
        </is>
      </c>
    </row>
    <row r="25">
      <c r="A25" s="17" t="n">
        <v>22</v>
      </c>
      <c r="B25" s="18" t="inlineStr">
        <is>
          <t>HSV-2 Základové a ŽB</t>
        </is>
      </c>
      <c r="C25" s="18" t="inlineStr">
        <is>
          <t>Systémové oboustranné bednění bílé vany — DOKA Framax / PERI MAXIMO, vč. těsnění pracovních spár bobtnavý pásek bentonit (TZ §5.5)</t>
        </is>
      </c>
      <c r="D25" s="17" t="inlineStr">
        <is>
          <t>m²</t>
        </is>
      </c>
      <c r="E25" s="19" t="n">
        <v>65</v>
      </c>
      <c r="F25" s="18" t="inlineStr">
        <is>
          <t>2×2.05×10 (svislé) + 2×1.20×10 (pata) = 41 + 24 = 65</t>
        </is>
      </c>
      <c r="G25" s="18" t="inlineStr"/>
      <c r="H25" s="17" t="inlineStr">
        <is>
          <t>❌ blank — ÚRS online</t>
        </is>
      </c>
      <c r="I25" s="18" t="inlineStr">
        <is>
          <t>260219_dum.HSV2.003</t>
        </is>
      </c>
      <c r="J25" s="18" t="inlineStr"/>
      <c r="K25" s="18" t="inlineStr">
        <is>
          <t>Carried 1:1 (atomic — no decomposition needed)  Doplnit leaf z CS ÚRS online (app.urs.cz, cen. úroveň 2026 01) dle família + popis + Vzorec.</t>
        </is>
      </c>
    </row>
    <row r="26">
      <c r="A26" s="10" t="n">
        <v>23</v>
      </c>
      <c r="B26" s="11" t="inlineStr">
        <is>
          <t>HSV-2 Základové a ŽB</t>
        </is>
      </c>
      <c r="C26" s="11" t="inlineStr">
        <is>
          <t>Výztuž bílé vany B500B 120 kg/m³ (empirická sazba Methvin pro úhlové opěrné stěny W0)</t>
        </is>
      </c>
      <c r="D26" s="10" t="inlineStr">
        <is>
          <t>kg</t>
        </is>
      </c>
      <c r="E26" s="12" t="n">
        <v>975</v>
      </c>
      <c r="F26" s="11" t="inlineStr">
        <is>
          <t>(3.0+5.13) × 120 = 976</t>
        </is>
      </c>
      <c r="G26" s="13" t="inlineStr">
        <is>
          <t>273361821</t>
        </is>
      </c>
      <c r="H26" s="10" t="inlineStr">
        <is>
          <t>⚠ kandidát-verify</t>
        </is>
      </c>
      <c r="I26" s="11" t="inlineStr">
        <is>
          <t>260219_dum.HSV2.004</t>
        </is>
      </c>
      <c r="J26" s="11" t="inlineStr"/>
      <c r="K26" s="11" t="inlineStr">
        <is>
          <t>Carried 1:1 (atomic — no decomposition needed)</t>
        </is>
      </c>
    </row>
    <row r="27">
      <c r="A27" s="17" t="n">
        <v>24</v>
      </c>
      <c r="B27" s="18" t="inlineStr">
        <is>
          <t>HSV-2 Základové a ŽB</t>
        </is>
      </c>
      <c r="C27" s="18" t="inlineStr">
        <is>
          <t>Separační PE fólie pod základovou patou bílé vany (povinná dle ČBS 02)</t>
        </is>
      </c>
      <c r="D27" s="17" t="inlineStr">
        <is>
          <t>m²</t>
        </is>
      </c>
      <c r="E27" s="19" t="n">
        <v>13.2</v>
      </c>
      <c r="F27" s="18" t="inlineStr">
        <is>
          <t>1.20 × 10 × 1.10 přesah = 13.2</t>
        </is>
      </c>
      <c r="G27" s="18" t="inlineStr"/>
      <c r="H27" s="17" t="inlineStr">
        <is>
          <t>❌ blank — ÚRS online</t>
        </is>
      </c>
      <c r="I27" s="18" t="inlineStr">
        <is>
          <t>260219_dum.HSV2.005</t>
        </is>
      </c>
      <c r="J27" s="18" t="inlineStr"/>
      <c r="K27" s="18" t="inlineStr">
        <is>
          <t>Carried 1:1 (atomic — no decomposition needed)  Doplnit leaf z CS ÚRS online (app.urs.cz, cen. úroveň 2026 01) dle família + popis + Vzorec.</t>
        </is>
      </c>
    </row>
    <row r="28">
      <c r="A28" s="10" t="n">
        <v>25</v>
      </c>
      <c r="B28" s="11" t="inlineStr">
        <is>
          <t>HSV-2 Základové a ŽB</t>
        </is>
      </c>
      <c r="C28" s="11" t="inlineStr">
        <is>
          <t>Mokré ošetřování betonu bílé vany min. 7 dní dle ČSN EN 13670 + ČBS 02 (kontrola trhlin max 0.20 mm)</t>
        </is>
      </c>
      <c r="D28" s="10" t="inlineStr">
        <is>
          <t>m²</t>
        </is>
      </c>
      <c r="E28" s="12" t="n">
        <v>53</v>
      </c>
      <c r="F28" s="11" t="inlineStr">
        <is>
          <t>viditelná plocha BV pro ošetřování ~53</t>
        </is>
      </c>
      <c r="G28" s="11" t="inlineStr">
        <is>
          <t>279351102</t>
        </is>
      </c>
      <c r="H28" s="10" t="inlineStr">
        <is>
          <t>⚠ kandidát-verify</t>
        </is>
      </c>
      <c r="I28" s="11" t="inlineStr">
        <is>
          <t>260219_dum.HSV2.006</t>
        </is>
      </c>
      <c r="J28" s="11" t="inlineStr"/>
      <c r="K28" s="11" t="inlineStr">
        <is>
          <t>Carried 1:1 (atomic — no decomposition needed)</t>
        </is>
      </c>
    </row>
    <row r="29">
      <c r="A29" s="10" t="n">
        <v>26</v>
      </c>
      <c r="B29" s="11" t="inlineStr">
        <is>
          <t>HSV-2 Základové a ŽB</t>
        </is>
      </c>
      <c r="C29" s="11" t="inlineStr">
        <is>
          <t>ŽB pozední věnec 300×250 mm po obvodu nadezdívky 3.NP, beton C25/30 XC1 + výztuž 100 kg/m³</t>
        </is>
      </c>
      <c r="D29" s="10" t="inlineStr">
        <is>
          <t>m³</t>
        </is>
      </c>
      <c r="E29" s="12" t="n">
        <v>2.9</v>
      </c>
      <c r="F29" s="11" t="inlineStr">
        <is>
          <t>0.30 × 0.25 × obvod 38.7 m (DXF km_R_návrh_tlustá 2 closed polygon area 91.28 m²) = 2.9 m³</t>
        </is>
      </c>
      <c r="G29" s="13" t="inlineStr">
        <is>
          <t>274321311</t>
        </is>
      </c>
      <c r="H29" s="10" t="inlineStr">
        <is>
          <t>⚠ kandidát-verify</t>
        </is>
      </c>
      <c r="I29" s="11" t="inlineStr">
        <is>
          <t>260219_dum.HSV2.007</t>
        </is>
      </c>
      <c r="J29" s="11" t="inlineStr"/>
      <c r="K29" s="11" t="inlineStr">
        <is>
          <t>Carried 1:1 (atomic — no decomposition needed)</t>
        </is>
      </c>
    </row>
    <row r="30">
      <c r="A30" s="17" t="n">
        <v>27</v>
      </c>
      <c r="B30" s="18" t="inlineStr">
        <is>
          <t>HSV-2 Základové a ŽB</t>
        </is>
      </c>
      <c r="C30" s="18" t="inlineStr">
        <is>
          <t>Bednění pozedního věnce systémové oboustranné</t>
        </is>
      </c>
      <c r="D30" s="17" t="inlineStr">
        <is>
          <t>m²</t>
        </is>
      </c>
      <c r="E30" s="19" t="n">
        <v>19.4</v>
      </c>
      <c r="F30" s="18" t="inlineStr">
        <is>
          <t>2 (oboustranné) × 0.25 m výška × obvod 38.7 m (DXF) = 19.4 m²</t>
        </is>
      </c>
      <c r="G30" s="18" t="inlineStr"/>
      <c r="H30" s="17" t="inlineStr">
        <is>
          <t>❌ blank — ÚRS online</t>
        </is>
      </c>
      <c r="I30" s="18" t="inlineStr">
        <is>
          <t>260219_dum.HSV2.008</t>
        </is>
      </c>
      <c r="J30" s="18" t="inlineStr"/>
      <c r="K30" s="18" t="inlineStr">
        <is>
          <t>Carried 1:1 (atomic — no decomposition needed)  Doplnit leaf z CS ÚRS online (app.urs.cz, cen. úroveň 2026 01) dle família + popis + Vzorec.</t>
        </is>
      </c>
    </row>
    <row r="31">
      <c r="A31" s="10" t="n">
        <v>28</v>
      </c>
      <c r="B31" s="11" t="inlineStr">
        <is>
          <t>HSV-2 Základové a ŽB</t>
        </is>
      </c>
      <c r="C31" s="11" t="inlineStr">
        <is>
          <t>Výztuž B500B věnce 100 kg/m³ (Methvin sazba pro pozední věnce)</t>
        </is>
      </c>
      <c r="D31" s="10" t="inlineStr">
        <is>
          <t>kg</t>
        </is>
      </c>
      <c r="E31" s="12" t="n">
        <v>310</v>
      </c>
      <c r="F31" s="11" t="inlineStr">
        <is>
          <t>3.1 × 100 = 310</t>
        </is>
      </c>
      <c r="G31" s="11" t="inlineStr">
        <is>
          <t>273361821</t>
        </is>
      </c>
      <c r="H31" s="10" t="inlineStr">
        <is>
          <t>⚠ kandidát-verify</t>
        </is>
      </c>
      <c r="I31" s="11" t="inlineStr">
        <is>
          <t>260219_dum.HSV2.009</t>
        </is>
      </c>
      <c r="J31" s="11" t="inlineStr"/>
      <c r="K31" s="11" t="inlineStr">
        <is>
          <t>Carried 1:1 (atomic — no decomposition needed)</t>
        </is>
      </c>
    </row>
    <row r="32">
      <c r="A32" s="10" t="n">
        <v>29</v>
      </c>
      <c r="B32" s="11" t="inlineStr">
        <is>
          <t>HSV-2 Základové a ŽB</t>
        </is>
      </c>
      <c r="C32" s="11" t="inlineStr">
        <is>
          <t>Nabetonávka stropu 2.NP/3.NP — beton C25/30 XC1 tl. 60 mm nad vlnu trapézového plechu 40S/160</t>
        </is>
      </c>
      <c r="D32" s="10" t="inlineStr">
        <is>
          <t>m³</t>
        </is>
      </c>
      <c r="E32" s="12" t="n">
        <v>6.26</v>
      </c>
      <c r="F32" s="11" t="inlineStr">
        <is>
          <t>104.4 m² × 0.06 m = 6.26</t>
        </is>
      </c>
      <c r="G32" s="13" t="inlineStr">
        <is>
          <t>274321111</t>
        </is>
      </c>
      <c r="H32" s="10" t="inlineStr">
        <is>
          <t>⚠ kandidát-verify</t>
        </is>
      </c>
      <c r="I32" s="11" t="inlineStr">
        <is>
          <t>260219_dum.HSV2.010</t>
        </is>
      </c>
      <c r="J32" s="11" t="inlineStr">
        <is>
          <t>S09</t>
        </is>
      </c>
      <c r="K32" s="11" t="inlineStr">
        <is>
          <t>Carried 1:1 (atomic — no decomposition needed)</t>
        </is>
      </c>
    </row>
    <row r="33">
      <c r="A33" s="10" t="n">
        <v>30</v>
      </c>
      <c r="B33" s="11" t="inlineStr">
        <is>
          <t>HSV-2 Základové a ŽB</t>
        </is>
      </c>
      <c r="C33" s="11" t="inlineStr">
        <is>
          <t>Výztuž nabetonávky kari síť 5/100/100 (cca 4.4 kg/m²)</t>
        </is>
      </c>
      <c r="D33" s="10" t="inlineStr">
        <is>
          <t>kg</t>
        </is>
      </c>
      <c r="E33" s="12" t="n">
        <v>459</v>
      </c>
      <c r="F33" s="11" t="inlineStr">
        <is>
          <t>104.4 m² × 4.4 kg/m² = 459</t>
        </is>
      </c>
      <c r="G33" s="11" t="inlineStr">
        <is>
          <t>273362441</t>
        </is>
      </c>
      <c r="H33" s="10" t="inlineStr">
        <is>
          <t>⚠ kandidát-verify</t>
        </is>
      </c>
      <c r="I33" s="11" t="inlineStr">
        <is>
          <t>260219_dum.HSV2.011</t>
        </is>
      </c>
      <c r="J33" s="11" t="inlineStr">
        <is>
          <t>S09</t>
        </is>
      </c>
      <c r="K33" s="11" t="inlineStr">
        <is>
          <t>Carried 1:1 (atomic — no decomposition needed)</t>
        </is>
      </c>
    </row>
    <row r="34">
      <c r="A34" s="10" t="n">
        <v>31</v>
      </c>
      <c r="B34" s="11" t="inlineStr">
        <is>
          <t>HSV-2 Základové a ŽB</t>
        </is>
      </c>
      <c r="C34" s="11" t="inlineStr">
        <is>
          <t>ŽB deska podlahy 1.NP na terénu tl. 150 mm, C25/30 XC2 + vyztužení kari 6/150/150 + okrajové pruty</t>
        </is>
      </c>
      <c r="D34" s="10" t="inlineStr">
        <is>
          <t>m³</t>
        </is>
      </c>
      <c r="E34" s="12" t="n">
        <v>10.96</v>
      </c>
      <c r="F34" s="11" t="inlineStr">
        <is>
          <t>104.4 × 0.7 (rozsah 1.NP) × 0.15 = ~11.0</t>
        </is>
      </c>
      <c r="G34" s="13" t="inlineStr">
        <is>
          <t>273321311</t>
        </is>
      </c>
      <c r="H34" s="10" t="inlineStr">
        <is>
          <t>⚠ kandidát-verify</t>
        </is>
      </c>
      <c r="I34" s="11" t="inlineStr">
        <is>
          <t>260219_dum.HSV2.012</t>
        </is>
      </c>
      <c r="J34" s="11" t="inlineStr">
        <is>
          <t>S05</t>
        </is>
      </c>
      <c r="K34" s="11" t="inlineStr">
        <is>
          <t>Carried 1:1 (atomic — no decomposition needed)</t>
        </is>
      </c>
    </row>
    <row r="35">
      <c r="A35" s="10" t="n">
        <v>32</v>
      </c>
      <c r="B35" s="11" t="inlineStr">
        <is>
          <t>HSV-2 Základové a ŽB</t>
        </is>
      </c>
      <c r="C35" s="11" t="inlineStr">
        <is>
          <t>Výztuž ŽB desky 1.NP — kari 6/150/150 + B500B okrajové pruty (~75 kg/m³ Methvin)</t>
        </is>
      </c>
      <c r="D35" s="10" t="inlineStr">
        <is>
          <t>kg</t>
        </is>
      </c>
      <c r="E35" s="12" t="n">
        <v>825</v>
      </c>
      <c r="F35" s="11" t="inlineStr">
        <is>
          <t>11.0 × 75 = 825</t>
        </is>
      </c>
      <c r="G35" s="11" t="inlineStr">
        <is>
          <t>273361821</t>
        </is>
      </c>
      <c r="H35" s="10" t="inlineStr">
        <is>
          <t>⚠ kandidát-verify</t>
        </is>
      </c>
      <c r="I35" s="11" t="inlineStr">
        <is>
          <t>260219_dum.HSV2.013</t>
        </is>
      </c>
      <c r="J35" s="11" t="inlineStr">
        <is>
          <t>S05</t>
        </is>
      </c>
      <c r="K35" s="11" t="inlineStr">
        <is>
          <t>Carried 1:1 (atomic — no decomposition needed)</t>
        </is>
      </c>
    </row>
    <row r="36">
      <c r="A36" s="8" t="inlineStr">
        <is>
          <t>━━ HSV-3 Svislé konstrukce  (7 atomic operací) ━━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10" t="n">
        <v>33</v>
      </c>
      <c r="B37" s="11" t="inlineStr">
        <is>
          <t>HSV-3 Svislé konstrukce</t>
        </is>
      </c>
      <c r="C37" s="11" t="inlineStr">
        <is>
          <t>Lokální dozdívky a přizdívky z cihel plných pálených P10 na MVC M10 (uvedeno v TZ statika §4)</t>
        </is>
      </c>
      <c r="D37" s="10" t="inlineStr">
        <is>
          <t>m³</t>
        </is>
      </c>
      <c r="E37" s="12" t="n">
        <v>4</v>
      </c>
      <c r="F37" s="11" t="inlineStr">
        <is>
          <t>odhad — drobné dozdívky kolem nových otvorů 1.NP/2.NP</t>
        </is>
      </c>
      <c r="G37" s="11" t="inlineStr">
        <is>
          <t>311232511</t>
        </is>
      </c>
      <c r="H37" s="10" t="inlineStr">
        <is>
          <t>⚠ kandidát-verify</t>
        </is>
      </c>
      <c r="I37" s="11" t="inlineStr">
        <is>
          <t>260219_dum.HSV3.001</t>
        </is>
      </c>
      <c r="J37" s="11" t="inlineStr">
        <is>
          <t>S01, S02</t>
        </is>
      </c>
      <c r="K37" s="11" t="inlineStr">
        <is>
          <t>Carried 1:1 (atomic — no decomposition needed)</t>
        </is>
      </c>
    </row>
    <row r="38">
      <c r="A38" s="10" t="n">
        <v>34</v>
      </c>
      <c r="B38" s="11" t="inlineStr">
        <is>
          <t>HSV-3 Svislé konstrukce</t>
        </is>
      </c>
      <c r="C38" s="11" t="inlineStr">
        <is>
          <t>Nadezdívka 3.NP a čela vikýřů — Porotherm 30 Profi P10 na maltu pro tenké spáry, výška 2.65 m</t>
        </is>
      </c>
      <c r="D38" s="10" t="inlineStr">
        <is>
          <t>m²</t>
        </is>
      </c>
      <c r="E38" s="12" t="n">
        <v>71.8</v>
      </c>
      <c r="F38" s="11" t="inlineStr">
        <is>
          <t>obvod 38.7 m (DXF km_R_návrh_tlustá 2) × výška 2.65 m × 0.7 (sníženo o štíty zachované — řadovka) = 71.8 m²</t>
        </is>
      </c>
      <c r="G38" s="13" t="inlineStr">
        <is>
          <t>311321411</t>
        </is>
      </c>
      <c r="H38" s="10" t="inlineStr">
        <is>
          <t>✓ verified</t>
        </is>
      </c>
      <c r="I38" s="11" t="inlineStr">
        <is>
          <t>260219_dum.HSV3.002</t>
        </is>
      </c>
      <c r="J38" s="11" t="inlineStr">
        <is>
          <t>S12</t>
        </is>
      </c>
      <c r="K38" s="11" t="inlineStr">
        <is>
          <t>Carried 1:1 (atomic — no decomposition needed)</t>
        </is>
      </c>
    </row>
    <row r="39">
      <c r="A39" s="10" t="n">
        <v>35</v>
      </c>
      <c r="B39" s="11" t="inlineStr">
        <is>
          <t>HSV-3 Svislé konstrukce</t>
        </is>
      </c>
      <c r="C39" s="11" t="inlineStr">
        <is>
          <t>Ocelové překlady IPN160 ve dvojici nad otvory pro nové dveře/okna v 1.NP a 2.NP (8 otvorů odhad)</t>
        </is>
      </c>
      <c r="D39" s="10" t="inlineStr">
        <is>
          <t>ks</t>
        </is>
      </c>
      <c r="E39" s="12" t="n">
        <v>8</v>
      </c>
      <c r="F39" s="11" t="inlineStr">
        <is>
          <t>odhad 8 nových otvorů × 2 IPN160 (dvojice)</t>
        </is>
      </c>
      <c r="G39" s="13" t="inlineStr">
        <is>
          <t>317143112</t>
        </is>
      </c>
      <c r="H39" s="10" t="inlineStr">
        <is>
          <t>⚠ kandidát-verify</t>
        </is>
      </c>
      <c r="I39" s="11" t="inlineStr">
        <is>
          <t>260219_dum.HSV3.003</t>
        </is>
      </c>
      <c r="J39" s="11" t="inlineStr">
        <is>
          <t>S01</t>
        </is>
      </c>
      <c r="K39" s="11" t="inlineStr">
        <is>
          <t>Carried 1:1 (atomic — no decomposition needed)</t>
        </is>
      </c>
    </row>
    <row r="40">
      <c r="A40" s="10" t="n">
        <v>36</v>
      </c>
      <c r="B40" s="11" t="inlineStr">
        <is>
          <t>HSV-3 Svislé konstrukce</t>
        </is>
      </c>
      <c r="C40" s="11" t="inlineStr">
        <is>
          <t>Maltové uložení překladů IPN160 — MC25 tl. 50 mm + kari 5/100/100 (po obou stranách otvoru)</t>
        </is>
      </c>
      <c r="D40" s="10" t="inlineStr">
        <is>
          <t>kpl</t>
        </is>
      </c>
      <c r="E40" s="12" t="n">
        <v>16</v>
      </c>
      <c r="F40" s="11" t="inlineStr">
        <is>
          <t>8 otvorů × 2 strany = 16 uložení</t>
        </is>
      </c>
      <c r="G40" s="11" t="inlineStr">
        <is>
          <t>317242421</t>
        </is>
      </c>
      <c r="H40" s="10" t="inlineStr">
        <is>
          <t>⚠ kandidát-verify</t>
        </is>
      </c>
      <c r="I40" s="11" t="inlineStr">
        <is>
          <t>260219_dum.HSV3.004</t>
        </is>
      </c>
      <c r="J40" s="11" t="inlineStr">
        <is>
          <t>S01</t>
        </is>
      </c>
      <c r="K40" s="11" t="inlineStr">
        <is>
          <t>Carried 1:1 (atomic — no decomposition needed)</t>
        </is>
      </c>
    </row>
    <row r="41">
      <c r="A41" s="10" t="n">
        <v>37</v>
      </c>
      <c r="B41" s="11" t="inlineStr">
        <is>
          <t>HSV-3 Svislé konstrukce</t>
        </is>
      </c>
      <c r="C41" s="11" t="inlineStr">
        <is>
          <t>Zesílení ostění úhelníky L100/10 dvojicí u otvoru u komínového tělesa (statická limitace)</t>
        </is>
      </c>
      <c r="D41" s="10" t="inlineStr">
        <is>
          <t>ks</t>
        </is>
      </c>
      <c r="E41" s="12" t="n">
        <v>4</v>
      </c>
      <c r="F41" s="11" t="inlineStr">
        <is>
          <t>TZ statika §4 — 2× L100/10 (dvojice) na 2 strany otvoru = 4 ks</t>
        </is>
      </c>
      <c r="G41" s="11" t="inlineStr">
        <is>
          <t>767131120</t>
        </is>
      </c>
      <c r="H41" s="10" t="inlineStr">
        <is>
          <t>✓ verified</t>
        </is>
      </c>
      <c r="I41" s="11" t="inlineStr">
        <is>
          <t>260219_dum.HSV3.005</t>
        </is>
      </c>
      <c r="J41" s="11" t="inlineStr">
        <is>
          <t>S01</t>
        </is>
      </c>
      <c r="K41" s="11" t="inlineStr">
        <is>
          <t>Carried 1:1 (atomic — no decomposition needed)</t>
        </is>
      </c>
    </row>
    <row r="42">
      <c r="A42" s="10" t="n">
        <v>38</v>
      </c>
      <c r="B42" s="11" t="inlineStr">
        <is>
          <t>HSV-3 Svislé konstrukce</t>
        </is>
      </c>
      <c r="C42" s="11" t="inlineStr">
        <is>
          <t>Dočasné podstojkování stávajících přiléhajících stropů při osazování IPN překladů (8 otvorů)</t>
        </is>
      </c>
      <c r="D42" s="10" t="inlineStr">
        <is>
          <t>kpl</t>
        </is>
      </c>
      <c r="E42" s="12" t="n">
        <v>8</v>
      </c>
      <c r="F42" s="11">
        <f> počet překladů (po jednom podstojkování per otvor)</f>
        <v/>
      </c>
      <c r="G42" s="13" t="inlineStr">
        <is>
          <t>962081120</t>
        </is>
      </c>
      <c r="H42" s="10" t="inlineStr">
        <is>
          <t>⚠ kandidát-verify</t>
        </is>
      </c>
      <c r="I42" s="11" t="inlineStr">
        <is>
          <t>260219_dum.HSV3.006</t>
        </is>
      </c>
      <c r="J42" s="11" t="inlineStr"/>
      <c r="K42" s="11" t="inlineStr">
        <is>
          <t>Carried 1:1 (atomic — no decomposition needed)</t>
        </is>
      </c>
    </row>
    <row r="43">
      <c r="A43" s="10" t="n">
        <v>39</v>
      </c>
      <c r="B43" s="11" t="inlineStr">
        <is>
          <t>HSV-3 Svislé konstrukce</t>
        </is>
      </c>
      <c r="C43" s="11" t="inlineStr">
        <is>
          <t>Nové příčky z pórobetonových tvárnic 150 mm na lepidlo + dilatovány od stropu</t>
        </is>
      </c>
      <c r="D43" s="10" t="inlineStr">
        <is>
          <t>m²</t>
        </is>
      </c>
      <c r="E43" s="12" t="n">
        <v>87.7</v>
      </c>
      <c r="F43" s="11" t="inlineStr">
        <is>
          <t>podlahova_plocha × 0.4 (typický rozsah příček 30-50%)</t>
        </is>
      </c>
      <c r="G43" s="13" t="inlineStr">
        <is>
          <t>342241211</t>
        </is>
      </c>
      <c r="H43" s="10" t="inlineStr">
        <is>
          <t>⚠ kandidát-verify</t>
        </is>
      </c>
      <c r="I43" s="11" t="inlineStr">
        <is>
          <t>260219_dum.HSV3.007</t>
        </is>
      </c>
      <c r="J43" s="11" t="inlineStr">
        <is>
          <t>S02</t>
        </is>
      </c>
      <c r="K43" s="11" t="inlineStr">
        <is>
          <t>Carried 1:1 (atomic — no decomposition needed)</t>
        </is>
      </c>
    </row>
    <row r="44">
      <c r="A44" s="8" t="inlineStr">
        <is>
          <t>━━ HSV-4 Vodorovné  (14 atomic operací) ━━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>
      <c r="A45" s="10" t="n">
        <v>40</v>
      </c>
      <c r="B45" s="11" t="inlineStr">
        <is>
          <t>HSV-4 Vodorovné</t>
        </is>
      </c>
      <c r="C45" s="11" t="inlineStr">
        <is>
          <t>Ocelová stropnice IPE180 1.NP v pozici nové příčky 2.NP — dodávka + montáž (1 ks × ~5 m)</t>
        </is>
      </c>
      <c r="D45" s="10" t="inlineStr">
        <is>
          <t>kg</t>
        </is>
      </c>
      <c r="E45" s="12" t="n">
        <v>94</v>
      </c>
      <c r="F45" s="11" t="inlineStr">
        <is>
          <t>1 ks × 5 m × 18.8 kg/m (IPE180 hmotnost) = 94</t>
        </is>
      </c>
      <c r="G45" s="13" t="inlineStr">
        <is>
          <t>411321414</t>
        </is>
      </c>
      <c r="H45" s="10" t="inlineStr">
        <is>
          <t>⚠ kandidát-verify</t>
        </is>
      </c>
      <c r="I45" s="11" t="inlineStr">
        <is>
          <t>260219_dum.HSV4.001</t>
        </is>
      </c>
      <c r="J45" s="11" t="inlineStr"/>
      <c r="K45" s="11" t="inlineStr">
        <is>
          <t>Carried 1:1 (atomic — no decomposition needed)</t>
        </is>
      </c>
    </row>
    <row r="46">
      <c r="A46" s="10" t="n">
        <v>41</v>
      </c>
      <c r="B46" s="11" t="inlineStr">
        <is>
          <t>HSV-4 Vodorovné</t>
        </is>
      </c>
      <c r="C46" s="11" t="inlineStr">
        <is>
          <t>Ocelobetonový strop 2.NP/3.NP — stropnice IPE180 á 1000 mm × rozpon ~8 m × ~8 ks</t>
        </is>
      </c>
      <c r="D46" s="10" t="inlineStr">
        <is>
          <t>kg</t>
        </is>
      </c>
      <c r="E46" s="12" t="n">
        <v>1203</v>
      </c>
      <c r="F46" s="11" t="inlineStr">
        <is>
          <t>8 ks × 8 m × 18.8 kg/m = 1203</t>
        </is>
      </c>
      <c r="G46" s="13" t="inlineStr">
        <is>
          <t>411321414</t>
        </is>
      </c>
      <c r="H46" s="10" t="inlineStr">
        <is>
          <t>⚠ kandidát-verify</t>
        </is>
      </c>
      <c r="I46" s="11" t="inlineStr">
        <is>
          <t>260219_dum.HSV4.002</t>
        </is>
      </c>
      <c r="J46" s="11" t="inlineStr">
        <is>
          <t>S09</t>
        </is>
      </c>
      <c r="K46" s="11" t="inlineStr">
        <is>
          <t>Carried 1:1 (atomic — no decomposition needed)</t>
        </is>
      </c>
    </row>
    <row r="47">
      <c r="A47" s="10" t="n">
        <v>42</v>
      </c>
      <c r="B47" s="11" t="inlineStr">
        <is>
          <t>HSV-4 Vodorovné</t>
        </is>
      </c>
      <c r="C47" s="11" t="inlineStr">
        <is>
          <t>Ocelobetonový strop — výztuha 2×HEA180 trakt do ulice (Fibichova), dl. ~10 m</t>
        </is>
      </c>
      <c r="D47" s="10" t="inlineStr">
        <is>
          <t>kg</t>
        </is>
      </c>
      <c r="E47" s="12" t="n">
        <v>710</v>
      </c>
      <c r="F47" s="11" t="inlineStr">
        <is>
          <t>2 ks × 10 m × 35.5 kg/m (HEA180) = 710</t>
        </is>
      </c>
      <c r="G47" s="13" t="inlineStr">
        <is>
          <t>411321414</t>
        </is>
      </c>
      <c r="H47" s="10" t="inlineStr">
        <is>
          <t>⚠ kandidát-verify</t>
        </is>
      </c>
      <c r="I47" s="11" t="inlineStr">
        <is>
          <t>260219_dum.HSV4.003</t>
        </is>
      </c>
      <c r="J47" s="11" t="inlineStr">
        <is>
          <t>S09</t>
        </is>
      </c>
      <c r="K47" s="11" t="inlineStr">
        <is>
          <t>Carried 1:1 (atomic — no decomposition needed)</t>
        </is>
      </c>
    </row>
    <row r="48">
      <c r="A48" s="10" t="n">
        <v>43</v>
      </c>
      <c r="B48" s="11" t="inlineStr">
        <is>
          <t>HSV-4 Vodorovné</t>
        </is>
      </c>
      <c r="C48" s="11" t="inlineStr">
        <is>
          <t>Ocelobetonový strop — výztuha HEA200 dvorní trakt, dl. ~10 m</t>
        </is>
      </c>
      <c r="D48" s="10" t="inlineStr">
        <is>
          <t>kg</t>
        </is>
      </c>
      <c r="E48" s="12" t="n">
        <v>423</v>
      </c>
      <c r="F48" s="11" t="inlineStr">
        <is>
          <t>1 ks × 10 m × 42.3 kg/m (HEA200) = 423</t>
        </is>
      </c>
      <c r="G48" s="11" t="inlineStr">
        <is>
          <t>411321414</t>
        </is>
      </c>
      <c r="H48" s="10" t="inlineStr">
        <is>
          <t>⚠ kandidát-verify</t>
        </is>
      </c>
      <c r="I48" s="11" t="inlineStr">
        <is>
          <t>260219_dum.HSV4.004</t>
        </is>
      </c>
      <c r="J48" s="11" t="inlineStr">
        <is>
          <t>S09</t>
        </is>
      </c>
      <c r="K48" s="11" t="inlineStr">
        <is>
          <t>Carried 1:1 (atomic — no decomposition needed)</t>
        </is>
      </c>
    </row>
    <row r="49">
      <c r="A49" s="10" t="n">
        <v>44</v>
      </c>
      <c r="B49" s="11" t="inlineStr">
        <is>
          <t>HSV-4 Vodorovné</t>
        </is>
      </c>
      <c r="C49" s="11" t="inlineStr">
        <is>
          <t>Trapézový plech 40S/160 tl. 0.75 mm — dodávka + montáž na stropnice IPE180</t>
        </is>
      </c>
      <c r="D49" s="10" t="inlineStr">
        <is>
          <t>m²</t>
        </is>
      </c>
      <c r="E49" s="12" t="n">
        <v>104.4</v>
      </c>
      <c r="F49" s="11">
        <f> zastavěna plocha 104.4 m² (celý strop 2.NP/3.NP)</f>
        <v/>
      </c>
      <c r="G49" s="13" t="inlineStr">
        <is>
          <t>411321414</t>
        </is>
      </c>
      <c r="H49" s="10" t="inlineStr">
        <is>
          <t>⚠ kandidát-verify</t>
        </is>
      </c>
      <c r="I49" s="11" t="inlineStr">
        <is>
          <t>260219_dum.HSV4.005</t>
        </is>
      </c>
      <c r="J49" s="11" t="inlineStr">
        <is>
          <t>S09</t>
        </is>
      </c>
      <c r="K49" s="11" t="inlineStr">
        <is>
          <t>Carried 1:1 (atomic — no decomposition needed)</t>
        </is>
      </c>
    </row>
    <row r="50">
      <c r="A50" s="10" t="n">
        <v>45</v>
      </c>
      <c r="B50" s="11" t="inlineStr">
        <is>
          <t>HSV-4 Vodorovné</t>
        </is>
      </c>
      <c r="C50" s="11" t="inlineStr">
        <is>
          <t>Protipožární SDK podhled pod trapézovým plechem (EI 30 dle PBŘ — ocelobeton + SDK)</t>
        </is>
      </c>
      <c r="D50" s="10" t="inlineStr">
        <is>
          <t>m²</t>
        </is>
      </c>
      <c r="E50" s="12" t="n">
        <v>104.4</v>
      </c>
      <c r="F50" s="11">
        <f> plocha trapézu 104.4 m²</f>
        <v/>
      </c>
      <c r="G50" s="13" t="inlineStr">
        <is>
          <t>342213131</t>
        </is>
      </c>
      <c r="H50" s="10" t="inlineStr">
        <is>
          <t>⚠ kandidát-verify</t>
        </is>
      </c>
      <c r="I50" s="11" t="inlineStr">
        <is>
          <t>260219_dum.HSV4.006</t>
        </is>
      </c>
      <c r="J50" s="11" t="inlineStr">
        <is>
          <t>S09</t>
        </is>
      </c>
      <c r="K50" s="11" t="inlineStr">
        <is>
          <t>Carried 1:1 (atomic — no decomposition needed)</t>
        </is>
      </c>
    </row>
    <row r="51">
      <c r="A51" s="10" t="n">
        <v>46</v>
      </c>
      <c r="B51" s="11" t="inlineStr">
        <is>
          <t>HSV-4 Vodorovné</t>
        </is>
      </c>
      <c r="C51" s="11" t="inlineStr">
        <is>
          <t>Vyvezení původního zásypu z cihelné klenby 1.PP/1.NP — manuálně + odvoz</t>
        </is>
      </c>
      <c r="D51" s="10" t="inlineStr">
        <is>
          <t>m³</t>
        </is>
      </c>
      <c r="E51" s="12" t="n">
        <v>8</v>
      </c>
      <c r="F51" s="11" t="inlineStr">
        <is>
          <t>klenba ~50 m² × tl. zásypu 0.15 m = 7.5 (round 8)</t>
        </is>
      </c>
      <c r="G51" s="11" t="inlineStr">
        <is>
          <t>974031150</t>
        </is>
      </c>
      <c r="H51" s="10" t="inlineStr">
        <is>
          <t>✓ verified</t>
        </is>
      </c>
      <c r="I51" s="11" t="inlineStr">
        <is>
          <t>260219_dum.HSV4.007</t>
        </is>
      </c>
      <c r="J51" s="11" t="inlineStr">
        <is>
          <t>S06</t>
        </is>
      </c>
      <c r="K51" s="11" t="inlineStr">
        <is>
          <t>Carried 1:1 (atomic — no decomposition needed)</t>
        </is>
      </c>
    </row>
    <row r="52">
      <c r="A52" s="10" t="n">
        <v>47</v>
      </c>
      <c r="B52" s="11" t="inlineStr">
        <is>
          <t>HSV-4 Vodorovné</t>
        </is>
      </c>
      <c r="C52" s="11" t="inlineStr">
        <is>
          <t>Nový zásyp klenby 1.PP/1.NP — perlitbeton (lehký zásyp) tl. 100 mm</t>
        </is>
      </c>
      <c r="D52" s="10" t="inlineStr">
        <is>
          <t>m³</t>
        </is>
      </c>
      <c r="E52" s="12" t="n">
        <v>5</v>
      </c>
      <c r="F52" s="11" t="inlineStr">
        <is>
          <t>klenba 50 m² × 0.10 m perlitbeton = 5.0</t>
        </is>
      </c>
      <c r="G52" s="11" t="inlineStr">
        <is>
          <t>271223111</t>
        </is>
      </c>
      <c r="H52" s="10" t="inlineStr">
        <is>
          <t>⚠ kandidát-verify</t>
        </is>
      </c>
      <c r="I52" s="11" t="inlineStr">
        <is>
          <t>260219_dum.HSV4.008</t>
        </is>
      </c>
      <c r="J52" s="11" t="inlineStr">
        <is>
          <t>S06</t>
        </is>
      </c>
      <c r="K52" s="11" t="inlineStr">
        <is>
          <t>Carried 1:1 (atomic — no decomposition needed)</t>
        </is>
      </c>
    </row>
    <row r="53">
      <c r="A53" s="10" t="n">
        <v>48</v>
      </c>
      <c r="B53" s="11" t="inlineStr">
        <is>
          <t>HSV-4 Vodorovné</t>
        </is>
      </c>
      <c r="C53" s="11" t="inlineStr">
        <is>
          <t>Plastická perlitbetonová roznášecí vrstva tl. 50 mm nad zásypem klenby</t>
        </is>
      </c>
      <c r="D53" s="10" t="inlineStr">
        <is>
          <t>m²</t>
        </is>
      </c>
      <c r="E53" s="12" t="n">
        <v>50</v>
      </c>
      <c r="F53" s="11" t="inlineStr">
        <is>
          <t>klenba 1.PP/1.NP plocha ~50 m²</t>
        </is>
      </c>
      <c r="G53" s="11" t="inlineStr">
        <is>
          <t>631321311</t>
        </is>
      </c>
      <c r="H53" s="10" t="inlineStr">
        <is>
          <t>⚠ kandidát-verify</t>
        </is>
      </c>
      <c r="I53" s="11" t="inlineStr">
        <is>
          <t>260219_dum.HSV4.009</t>
        </is>
      </c>
      <c r="J53" s="11" t="inlineStr">
        <is>
          <t>S06</t>
        </is>
      </c>
      <c r="K53" s="11" t="inlineStr">
        <is>
          <t>Carried 1:1 (atomic — no decomposition needed)</t>
        </is>
      </c>
    </row>
    <row r="54">
      <c r="A54" s="10" t="n">
        <v>49</v>
      </c>
      <c r="B54" s="11" t="inlineStr">
        <is>
          <t>HSV-4 Vodorovné</t>
        </is>
      </c>
      <c r="C54" s="11" t="inlineStr">
        <is>
          <t>Strop trámový 1.NP/2.NP — sejmutí podlah, demontáž záklopu a zásypu shora (zachovat prkenný záklop na trámech)</t>
        </is>
      </c>
      <c r="D54" s="10" t="inlineStr">
        <is>
          <t>m²</t>
        </is>
      </c>
      <c r="E54" s="12" t="n">
        <v>100</v>
      </c>
      <c r="F54" s="11" t="inlineStr">
        <is>
          <t>podlahova_plocha_1NP+2NP ~100 m²</t>
        </is>
      </c>
      <c r="G54" s="11" t="inlineStr">
        <is>
          <t>974041141</t>
        </is>
      </c>
      <c r="H54" s="10" t="inlineStr">
        <is>
          <t>⚠ kandidát-verify</t>
        </is>
      </c>
      <c r="I54" s="11" t="inlineStr">
        <is>
          <t>260219_dum.HSV4.010</t>
        </is>
      </c>
      <c r="J54" s="11" t="inlineStr">
        <is>
          <t>S07</t>
        </is>
      </c>
      <c r="K54" s="11" t="inlineStr">
        <is>
          <t>Carried 1:1 (atomic — no decomposition needed)</t>
        </is>
      </c>
    </row>
    <row r="55">
      <c r="A55" s="10" t="n">
        <v>50</v>
      </c>
      <c r="B55" s="11" t="inlineStr">
        <is>
          <t>HSV-4 Vodorovné</t>
        </is>
      </c>
      <c r="C55" s="11" t="inlineStr">
        <is>
          <t>Tepelná izolace minerální vata mezi trámy stropu 1.NP/2.NP, tl. 180 mm (= trám 60/180)</t>
        </is>
      </c>
      <c r="D55" s="10" t="inlineStr">
        <is>
          <t>m²</t>
        </is>
      </c>
      <c r="E55" s="12" t="n">
        <v>100</v>
      </c>
      <c r="F55" s="11">
        <f> plocha stropu</f>
        <v/>
      </c>
      <c r="G55" s="13" t="inlineStr">
        <is>
          <t>713121121</t>
        </is>
      </c>
      <c r="H55" s="10" t="inlineStr">
        <is>
          <t>⚠ kandidát-verify</t>
        </is>
      </c>
      <c r="I55" s="11" t="inlineStr">
        <is>
          <t>260219_dum.HSV4.011</t>
        </is>
      </c>
      <c r="J55" s="11" t="inlineStr">
        <is>
          <t>S07</t>
        </is>
      </c>
      <c r="K55" s="11" t="inlineStr">
        <is>
          <t>Carried 1:1 (atomic — no decomposition needed)</t>
        </is>
      </c>
    </row>
    <row r="56">
      <c r="A56" s="10" t="n">
        <v>51</v>
      </c>
      <c r="B56" s="11" t="inlineStr">
        <is>
          <t>HSV-4 Vodorovné</t>
        </is>
      </c>
      <c r="C56" s="11" t="inlineStr">
        <is>
          <t>Protipožární SDK podhled zespodu trámového stropu (EI 30 dle PBŘ)</t>
        </is>
      </c>
      <c r="D56" s="10" t="inlineStr">
        <is>
          <t>m²</t>
        </is>
      </c>
      <c r="E56" s="12" t="n">
        <v>100</v>
      </c>
      <c r="F56" s="11">
        <f> plocha stropu</f>
        <v/>
      </c>
      <c r="G56" s="11" t="inlineStr">
        <is>
          <t>342213131</t>
        </is>
      </c>
      <c r="H56" s="10" t="inlineStr">
        <is>
          <t>⚠ kandidát-verify</t>
        </is>
      </c>
      <c r="I56" s="11" t="inlineStr">
        <is>
          <t>260219_dum.HSV4.012</t>
        </is>
      </c>
      <c r="J56" s="11" t="inlineStr">
        <is>
          <t>S07</t>
        </is>
      </c>
      <c r="K56" s="11" t="inlineStr">
        <is>
          <t>Carried 1:1 (atomic — no decomposition needed)</t>
        </is>
      </c>
    </row>
    <row r="57">
      <c r="A57" s="10" t="n">
        <v>52</v>
      </c>
      <c r="B57" s="11" t="inlineStr">
        <is>
          <t>HSV-4 Vodorovné</t>
        </is>
      </c>
      <c r="C57" s="11" t="inlineStr">
        <is>
          <t>Suchá podlahová skladba 1.NP/2.NP — zásyp Liapor pro vyrovnání tl. 50 mm</t>
        </is>
      </c>
      <c r="D57" s="10" t="inlineStr">
        <is>
          <t>m³</t>
        </is>
      </c>
      <c r="E57" s="12" t="n">
        <v>5</v>
      </c>
      <c r="F57" s="11" t="inlineStr">
        <is>
          <t>100 m² × 0.05 m = 5</t>
        </is>
      </c>
      <c r="G57" s="11" t="inlineStr">
        <is>
          <t>631311114</t>
        </is>
      </c>
      <c r="H57" s="10" t="inlineStr">
        <is>
          <t>⚠ kandidát-verify</t>
        </is>
      </c>
      <c r="I57" s="11" t="inlineStr">
        <is>
          <t>260219_dum.HSV4.013</t>
        </is>
      </c>
      <c r="J57" s="11" t="inlineStr">
        <is>
          <t>S07</t>
        </is>
      </c>
      <c r="K57" s="11" t="inlineStr">
        <is>
          <t>Carried 1:1 (atomic — no decomposition needed)</t>
        </is>
      </c>
    </row>
    <row r="58">
      <c r="A58" s="10" t="n">
        <v>53</v>
      </c>
      <c r="B58" s="11" t="inlineStr">
        <is>
          <t>HSV-4 Vodorovné</t>
        </is>
      </c>
      <c r="C58" s="11" t="inlineStr">
        <is>
          <t>Suchá podlahová skladba — sádrovláknité dílce Fermacell tl. 25 mm (dva 12.5 mm vrstvy)</t>
        </is>
      </c>
      <c r="D58" s="10" t="inlineStr">
        <is>
          <t>m²</t>
        </is>
      </c>
      <c r="E58" s="12" t="n">
        <v>100</v>
      </c>
      <c r="F58" s="11">
        <f> plocha stropu</f>
        <v/>
      </c>
      <c r="G58" s="11" t="inlineStr">
        <is>
          <t>771421111</t>
        </is>
      </c>
      <c r="H58" s="10" t="inlineStr">
        <is>
          <t>⚠ kandidát-verify</t>
        </is>
      </c>
      <c r="I58" s="11" t="inlineStr">
        <is>
          <t>260219_dum.HSV4.014</t>
        </is>
      </c>
      <c r="J58" s="11" t="inlineStr">
        <is>
          <t>S07</t>
        </is>
      </c>
      <c r="K58" s="11" t="inlineStr">
        <is>
          <t>Carried 1:1 (atomic — no decomposition needed)</t>
        </is>
      </c>
    </row>
    <row r="59">
      <c r="A59" s="8" t="inlineStr">
        <is>
          <t>━━ HSV-5 Krov + střecha  (16 atomic operací) ━━</t>
        </is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>
      <c r="A60" s="10" t="n">
        <v>54</v>
      </c>
      <c r="B60" s="11" t="inlineStr">
        <is>
          <t>HSV-5 Krov + střecha</t>
        </is>
      </c>
      <c r="C60" s="11" t="inlineStr">
        <is>
          <t>Tesařský krov — krokve 100/180 mm á 800 mm, rezivo C24 fungicidní + protihmyzí (cca 2×12 krokví × ~6.5 m)</t>
        </is>
      </c>
      <c r="D60" s="10" t="inlineStr">
        <is>
          <t>bm</t>
        </is>
      </c>
      <c r="E60" s="12" t="n">
        <v>156</v>
      </c>
      <c r="F60" s="11" t="inlineStr">
        <is>
          <t>(2 sklony × 12 krokví × 6.5 m délka) = 156</t>
        </is>
      </c>
      <c r="G60" s="13" t="inlineStr">
        <is>
          <t>762331911</t>
        </is>
      </c>
      <c r="H60" s="10" t="inlineStr">
        <is>
          <t>⚠ kandidát-verify</t>
        </is>
      </c>
      <c r="I60" s="11" t="inlineStr">
        <is>
          <t>260219_dum.HSV5.001</t>
        </is>
      </c>
      <c r="J60" s="11" t="inlineStr"/>
      <c r="K60" s="11" t="inlineStr">
        <is>
          <t>Carried 1:1 (atomic — no decomposition needed)</t>
        </is>
      </c>
    </row>
    <row r="61">
      <c r="A61" s="10" t="n">
        <v>55</v>
      </c>
      <c r="B61" s="11" t="inlineStr">
        <is>
          <t>HSV-5 Krov + střecha</t>
        </is>
      </c>
      <c r="C61" s="11" t="inlineStr">
        <is>
          <t>Tesařský krov — kleštiny dvojfošny 60/180 mm probíhající v oblasti spací části</t>
        </is>
      </c>
      <c r="D61" s="10" t="inlineStr">
        <is>
          <t>bm</t>
        </is>
      </c>
      <c r="E61" s="12" t="n">
        <v>110</v>
      </c>
      <c r="F61" s="11" t="inlineStr">
        <is>
          <t>11 pozic × 2 ks × ~5 m délka = 110</t>
        </is>
      </c>
      <c r="G61" s="13" t="inlineStr">
        <is>
          <t>762331912</t>
        </is>
      </c>
      <c r="H61" s="10" t="inlineStr">
        <is>
          <t>⚠ kandidát-verify</t>
        </is>
      </c>
      <c r="I61" s="11" t="inlineStr">
        <is>
          <t>260219_dum.HSV5.002</t>
        </is>
      </c>
      <c r="J61" s="11" t="inlineStr"/>
      <c r="K61" s="11" t="inlineStr">
        <is>
          <t>Carried 1:1 (atomic — no decomposition needed)</t>
        </is>
      </c>
    </row>
    <row r="62">
      <c r="A62" s="10" t="n">
        <v>56</v>
      </c>
      <c r="B62" s="11" t="inlineStr">
        <is>
          <t>HSV-5 Krov + střecha</t>
        </is>
      </c>
      <c r="C62" s="11" t="inlineStr">
        <is>
          <t>Tesařský krov — pozednice 140/160 mm kotvená do ŽB věnce 3.NP</t>
        </is>
      </c>
      <c r="D62" s="10" t="inlineStr">
        <is>
          <t>bm</t>
        </is>
      </c>
      <c r="E62" s="12" t="n">
        <v>19.4</v>
      </c>
      <c r="F62" s="11" t="inlineStr">
        <is>
          <t>polovina obvodu (2 dlouhé strany) = ~20</t>
        </is>
      </c>
      <c r="G62" s="13" t="inlineStr">
        <is>
          <t>762331923</t>
        </is>
      </c>
      <c r="H62" s="10" t="inlineStr">
        <is>
          <t>⚠ kandidát-verify</t>
        </is>
      </c>
      <c r="I62" s="11" t="inlineStr">
        <is>
          <t>260219_dum.HSV5.003</t>
        </is>
      </c>
      <c r="J62" s="11" t="inlineStr"/>
      <c r="K62" s="11" t="inlineStr">
        <is>
          <t>Carried 1:1 (atomic — no decomposition needed)</t>
        </is>
      </c>
    </row>
    <row r="63">
      <c r="A63" s="10" t="n">
        <v>57</v>
      </c>
      <c r="B63" s="11" t="inlineStr">
        <is>
          <t>HSV-5 Krov + střecha</t>
        </is>
      </c>
      <c r="C63" s="11" t="inlineStr">
        <is>
          <t>Tesařský krov — námětky 60/100 v dolní koncové části pro přesah střechy ~500 mm</t>
        </is>
      </c>
      <c r="D63" s="10" t="inlineStr">
        <is>
          <t>bm</t>
        </is>
      </c>
      <c r="E63" s="12" t="n">
        <v>19.2</v>
      </c>
      <c r="F63" s="11" t="inlineStr">
        <is>
          <t>24 krokví × 0.8 m námětek = 19.2</t>
        </is>
      </c>
      <c r="G63" s="11" t="inlineStr">
        <is>
          <t>762331911</t>
        </is>
      </c>
      <c r="H63" s="10" t="inlineStr">
        <is>
          <t>⚠ kandidát-verify</t>
        </is>
      </c>
      <c r="I63" s="11" t="inlineStr">
        <is>
          <t>260219_dum.HSV5.004</t>
        </is>
      </c>
      <c r="J63" s="11" t="inlineStr"/>
      <c r="K63" s="11" t="inlineStr">
        <is>
          <t>Carried 1:1 (atomic — no decomposition needed)</t>
        </is>
      </c>
    </row>
    <row r="64">
      <c r="A64" s="10" t="n">
        <v>58</v>
      </c>
      <c r="B64" s="11" t="inlineStr">
        <is>
          <t>HSV-5 Krov + střecha</t>
        </is>
      </c>
      <c r="C64" s="11" t="inlineStr">
        <is>
          <t>Ocelová středová vaznice HEA160 — 2 ks × cca 10 m délka</t>
        </is>
      </c>
      <c r="D64" s="10" t="inlineStr">
        <is>
          <t>kg</t>
        </is>
      </c>
      <c r="E64" s="12" t="n">
        <v>608</v>
      </c>
      <c r="F64" s="11" t="inlineStr">
        <is>
          <t>2 × 10 × 30.4 kg/m (HEA160) = 608</t>
        </is>
      </c>
      <c r="G64" s="13" t="inlineStr">
        <is>
          <t>411321414</t>
        </is>
      </c>
      <c r="H64" s="10" t="inlineStr">
        <is>
          <t>⚠ kandidát-verify</t>
        </is>
      </c>
      <c r="I64" s="11" t="inlineStr">
        <is>
          <t>260219_dum.HSV5.005</t>
        </is>
      </c>
      <c r="J64" s="11" t="inlineStr"/>
      <c r="K64" s="11" t="inlineStr">
        <is>
          <t>Carried 1:1 (atomic — no decomposition needed)</t>
        </is>
      </c>
    </row>
    <row r="65">
      <c r="A65" s="10" t="n">
        <v>59</v>
      </c>
      <c r="B65" s="11" t="inlineStr">
        <is>
          <t>HSV-5 Krov + střecha</t>
        </is>
      </c>
      <c r="C65" s="11" t="inlineStr">
        <is>
          <t>Ocelové sloupky uzavřený profil 100×100×4 mm pod vaznice HEA160 (~6 ks × ~2.5 m výška)</t>
        </is>
      </c>
      <c r="D65" s="10" t="inlineStr">
        <is>
          <t>kg</t>
        </is>
      </c>
      <c r="E65" s="12" t="n">
        <v>176</v>
      </c>
      <c r="F65" s="11" t="inlineStr">
        <is>
          <t>6 × 2.5 × 11.7 kg/m (RHS 100×100×4) = 176</t>
        </is>
      </c>
      <c r="G65" s="11" t="inlineStr">
        <is>
          <t>411321414</t>
        </is>
      </c>
      <c r="H65" s="10" t="inlineStr">
        <is>
          <t>⚠ kandidát-verify</t>
        </is>
      </c>
      <c r="I65" s="11" t="inlineStr">
        <is>
          <t>260219_dum.HSV5.006</t>
        </is>
      </c>
      <c r="J65" s="11" t="inlineStr"/>
      <c r="K65" s="11" t="inlineStr">
        <is>
          <t>Carried 1:1 (atomic — no decomposition needed)</t>
        </is>
      </c>
    </row>
    <row r="66">
      <c r="A66" s="10" t="n">
        <v>60</v>
      </c>
      <c r="B66" s="11" t="inlineStr">
        <is>
          <t>HSV-5 Krov + střecha</t>
        </is>
      </c>
      <c r="C66" s="11" t="inlineStr">
        <is>
          <t>Bednění z prken tl. 20 mm pod nadkrokevní PIR (biodeska/palubka)</t>
        </is>
      </c>
      <c r="D66" s="10" t="inlineStr">
        <is>
          <t>m²</t>
        </is>
      </c>
      <c r="E66" s="12" t="n">
        <v>140.94</v>
      </c>
      <c r="F66" s="11">
        <f> 141 m² (plocha střechy včetně sklonu + přesahy)</f>
        <v/>
      </c>
      <c r="G66" s="11" t="inlineStr">
        <is>
          <t>762341711</t>
        </is>
      </c>
      <c r="H66" s="10" t="inlineStr">
        <is>
          <t>⚠ kandidát-verify</t>
        </is>
      </c>
      <c r="I66" s="11" t="inlineStr">
        <is>
          <t>260219_dum.HSV5.007</t>
        </is>
      </c>
      <c r="J66" s="11" t="inlineStr">
        <is>
          <t>S10</t>
        </is>
      </c>
      <c r="K66" s="11" t="inlineStr">
        <is>
          <t>Carried 1:1 (atomic — no decomposition needed)</t>
        </is>
      </c>
    </row>
    <row r="67">
      <c r="A67" s="10" t="n">
        <v>61</v>
      </c>
      <c r="B67" s="11" t="inlineStr">
        <is>
          <t>HSV-5 Krov + střecha</t>
        </is>
      </c>
      <c r="C67" s="11" t="inlineStr">
        <is>
          <t>Parotěsná folie nad bedněním pod nadkrokevní PIR (např. Isover Vario nebo Tyvek Air guard)</t>
        </is>
      </c>
      <c r="D67" s="10" t="inlineStr">
        <is>
          <t>m²</t>
        </is>
      </c>
      <c r="E67" s="12" t="n">
        <v>155.034</v>
      </c>
      <c r="F67" s="11" t="inlineStr">
        <is>
          <t>141 × 1.1 přesah = 155</t>
        </is>
      </c>
      <c r="G67" s="11" t="inlineStr">
        <is>
          <t>712311101</t>
        </is>
      </c>
      <c r="H67" s="10" t="inlineStr">
        <is>
          <t>⚠ kandidát-verify</t>
        </is>
      </c>
      <c r="I67" s="11" t="inlineStr">
        <is>
          <t>260219_dum.HSV5.008</t>
        </is>
      </c>
      <c r="J67" s="11" t="inlineStr">
        <is>
          <t>S10</t>
        </is>
      </c>
      <c r="K67" s="11" t="inlineStr">
        <is>
          <t>Carried 1:1 (atomic — no decomposition needed)</t>
        </is>
      </c>
    </row>
    <row r="68">
      <c r="A68" s="10" t="n">
        <v>62</v>
      </c>
      <c r="B68" s="11" t="inlineStr">
        <is>
          <t>HSV-5 Krov + střecha</t>
        </is>
      </c>
      <c r="C68" s="11" t="inlineStr">
        <is>
          <t>Nadkrokevní tepelná izolace PIR (polyisokyanurát) tl. 160 mm (λ=0,022 W/mK) — řez A-A S10 explicit</t>
        </is>
      </c>
      <c r="D68" s="10" t="inlineStr">
        <is>
          <t>m²</t>
        </is>
      </c>
      <c r="E68" s="12" t="n">
        <v>140.94</v>
      </c>
      <c r="F68" s="11">
        <f> 141 m² (plocha krytiny krov)</f>
        <v/>
      </c>
      <c r="G68" s="13" t="inlineStr">
        <is>
          <t>713131811</t>
        </is>
      </c>
      <c r="H68" s="10" t="inlineStr">
        <is>
          <t>✓ verified</t>
        </is>
      </c>
      <c r="I68" s="11" t="inlineStr">
        <is>
          <t>260219_dum.HSV5.009</t>
        </is>
      </c>
      <c r="J68" s="11" t="inlineStr">
        <is>
          <t>S10</t>
        </is>
      </c>
      <c r="K68" s="11" t="inlineStr">
        <is>
          <t>Carried 1:1 (atomic — no decomposition needed)</t>
        </is>
      </c>
    </row>
    <row r="69">
      <c r="A69" s="10" t="n">
        <v>63</v>
      </c>
      <c r="B69" s="11" t="inlineStr">
        <is>
          <t>HSV-5 Krov + střecha</t>
        </is>
      </c>
      <c r="C69" s="11" t="inlineStr">
        <is>
          <t>Doplňková hydroizolační difuzně otevřená folie nad PIR pod kontralatě</t>
        </is>
      </c>
      <c r="D69" s="10" t="inlineStr">
        <is>
          <t>m²</t>
        </is>
      </c>
      <c r="E69" s="12" t="n">
        <v>155.034</v>
      </c>
      <c r="F69" s="11" t="inlineStr">
        <is>
          <t>141 × 1.1 přesah = 155</t>
        </is>
      </c>
      <c r="G69" s="11" t="inlineStr">
        <is>
          <t>712311111</t>
        </is>
      </c>
      <c r="H69" s="10" t="inlineStr">
        <is>
          <t>⚠ kandidát-verify</t>
        </is>
      </c>
      <c r="I69" s="11" t="inlineStr">
        <is>
          <t>260219_dum.HSV5.010</t>
        </is>
      </c>
      <c r="J69" s="11" t="inlineStr">
        <is>
          <t>S10</t>
        </is>
      </c>
      <c r="K69" s="11" t="inlineStr">
        <is>
          <t>Carried 1:1 (atomic — no decomposition needed)</t>
        </is>
      </c>
    </row>
    <row r="70">
      <c r="A70" s="10" t="n">
        <v>64</v>
      </c>
      <c r="B70" s="11" t="inlineStr">
        <is>
          <t>HSV-5 Krov + střecha</t>
        </is>
      </c>
      <c r="C70" s="11" t="inlineStr">
        <is>
          <t>Distanční kontralatě 40×60 mm pro vzduchovou mezeru nad PIR</t>
        </is>
      </c>
      <c r="D70" s="10" t="inlineStr">
        <is>
          <t>m²</t>
        </is>
      </c>
      <c r="E70" s="12" t="n">
        <v>140.94</v>
      </c>
      <c r="F70" s="11">
        <f> 141 m²</f>
        <v/>
      </c>
      <c r="G70" s="11" t="inlineStr">
        <is>
          <t>762331923</t>
        </is>
      </c>
      <c r="H70" s="10" t="inlineStr">
        <is>
          <t>⚠ kandidát-verify</t>
        </is>
      </c>
      <c r="I70" s="11" t="inlineStr">
        <is>
          <t>260219_dum.HSV5.011</t>
        </is>
      </c>
      <c r="J70" s="11" t="inlineStr">
        <is>
          <t>S10</t>
        </is>
      </c>
      <c r="K70" s="11" t="inlineStr">
        <is>
          <t>Carried 1:1 (atomic — no decomposition needed)</t>
        </is>
      </c>
    </row>
    <row r="71">
      <c r="A71" s="10" t="n">
        <v>65</v>
      </c>
      <c r="B71" s="11" t="inlineStr">
        <is>
          <t>HSV-5 Krov + střecha</t>
        </is>
      </c>
      <c r="C71" s="11" t="inlineStr">
        <is>
          <t>Bednění z prken tl. 25 mm pod plechovou hliníkovou krytinu (rozsah dle technologie krytiny)</t>
        </is>
      </c>
      <c r="D71" s="10" t="inlineStr">
        <is>
          <t>m²</t>
        </is>
      </c>
      <c r="E71" s="12" t="n">
        <v>140.94</v>
      </c>
      <c r="F71" s="11">
        <f> 141 m²</f>
        <v/>
      </c>
      <c r="G71" s="13" t="inlineStr">
        <is>
          <t>762341711</t>
        </is>
      </c>
      <c r="H71" s="10" t="inlineStr">
        <is>
          <t>⚠ kandidát-verify</t>
        </is>
      </c>
      <c r="I71" s="11" t="inlineStr">
        <is>
          <t>260219_dum.HSV5.012</t>
        </is>
      </c>
      <c r="J71" s="11" t="inlineStr">
        <is>
          <t>S10</t>
        </is>
      </c>
      <c r="K71" s="11" t="inlineStr">
        <is>
          <t>Carried 1:1 (atomic — no decomposition needed)</t>
        </is>
      </c>
    </row>
    <row r="72">
      <c r="A72" s="10" t="n">
        <v>66</v>
      </c>
      <c r="B72" s="11" t="inlineStr">
        <is>
          <t>HSV-5 Krov + střecha</t>
        </is>
      </c>
      <c r="C72" s="11" t="inlineStr">
        <is>
          <t>Plechová falcovaná HLINÍKOVÁ krytina (např. PREFA, Rheinzink, Lindab) + tlumící podložka</t>
        </is>
      </c>
      <c r="D72" s="10" t="inlineStr">
        <is>
          <t>m²</t>
        </is>
      </c>
      <c r="E72" s="12" t="n">
        <v>140.94</v>
      </c>
      <c r="F72" s="11">
        <f> 141 m² (vč. vikýřů přidat ~10%)</f>
        <v/>
      </c>
      <c r="G72" s="13" t="inlineStr">
        <is>
          <t>765791121</t>
        </is>
      </c>
      <c r="H72" s="10" t="inlineStr">
        <is>
          <t>⚠ kandidát-verify</t>
        </is>
      </c>
      <c r="I72" s="11" t="inlineStr">
        <is>
          <t>260219_dum.HSV5.013</t>
        </is>
      </c>
      <c r="J72" s="11" t="inlineStr">
        <is>
          <t>S10</t>
        </is>
      </c>
      <c r="K72" s="11" t="inlineStr">
        <is>
          <t>Carried 1:1 (atomic — no decomposition needed)</t>
        </is>
      </c>
    </row>
    <row r="73">
      <c r="A73" s="10" t="n">
        <v>67</v>
      </c>
      <c r="B73" s="11" t="inlineStr">
        <is>
          <t>HSV-5 Krov + střecha</t>
        </is>
      </c>
      <c r="C73" s="11" t="inlineStr">
        <is>
          <t>Patro pro přespání v krovu — biodeska / OSB desky tl. 22 mm nad kleštinami</t>
        </is>
      </c>
      <c r="D73" s="10" t="inlineStr">
        <is>
          <t>m²</t>
        </is>
      </c>
      <c r="E73" s="12" t="n">
        <v>25</v>
      </c>
      <c r="F73" s="11" t="inlineStr">
        <is>
          <t>odhad — spací patro ~5 × 5 m</t>
        </is>
      </c>
      <c r="G73" s="11" t="inlineStr">
        <is>
          <t>762341711</t>
        </is>
      </c>
      <c r="H73" s="10" t="inlineStr">
        <is>
          <t>⚠ kandidát-verify</t>
        </is>
      </c>
      <c r="I73" s="11" t="inlineStr">
        <is>
          <t>260219_dum.HSV5.014</t>
        </is>
      </c>
      <c r="J73" s="11" t="inlineStr">
        <is>
          <t>S11</t>
        </is>
      </c>
      <c r="K73" s="11" t="inlineStr">
        <is>
          <t>Carried 1:1 (atomic — no decomposition needed)</t>
        </is>
      </c>
    </row>
    <row r="74">
      <c r="A74" s="10" t="n">
        <v>68</v>
      </c>
      <c r="B74" s="11" t="inlineStr">
        <is>
          <t>HSV-5 Krov + střecha</t>
        </is>
      </c>
      <c r="C74" s="11" t="inlineStr">
        <is>
          <t>Vikýře — zděná čela z Porotherm 30 (odhad 4 ks × ~3 m² stěna)</t>
        </is>
      </c>
      <c r="D74" s="10" t="inlineStr">
        <is>
          <t>m²</t>
        </is>
      </c>
      <c r="E74" s="12" t="n">
        <v>12</v>
      </c>
      <c r="F74" s="11" t="inlineStr">
        <is>
          <t>4 vikýře × ~3 m² zděných čel = 12</t>
        </is>
      </c>
      <c r="G74" s="11" t="inlineStr">
        <is>
          <t>311321411</t>
        </is>
      </c>
      <c r="H74" s="10" t="inlineStr">
        <is>
          <t>⚠ kandidát-verify</t>
        </is>
      </c>
      <c r="I74" s="11" t="inlineStr">
        <is>
          <t>260219_dum.HSV5.015</t>
        </is>
      </c>
      <c r="J74" s="11" t="inlineStr"/>
      <c r="K74" s="11" t="inlineStr">
        <is>
          <t>Carried 1:1 (atomic — no decomposition needed)</t>
        </is>
      </c>
    </row>
    <row r="75">
      <c r="A75" s="10" t="n">
        <v>69</v>
      </c>
      <c r="B75" s="11" t="inlineStr">
        <is>
          <t>HSV-5 Krov + střecha</t>
        </is>
      </c>
      <c r="C75" s="11" t="inlineStr">
        <is>
          <t>Vikýře — provětrávaná fasáda min. vata + plech falcovaný hliník (4 vikýře × ~6 m² fasády)</t>
        </is>
      </c>
      <c r="D75" s="10" t="inlineStr">
        <is>
          <t>m²</t>
        </is>
      </c>
      <c r="E75" s="12" t="n">
        <v>24</v>
      </c>
      <c r="F75" s="11" t="inlineStr">
        <is>
          <t>4 vikýře × 2 strany × ~3 m² = 24</t>
        </is>
      </c>
      <c r="G75" s="11" t="inlineStr">
        <is>
          <t>765791121</t>
        </is>
      </c>
      <c r="H75" s="10" t="inlineStr">
        <is>
          <t>⚠ kandidát-verify</t>
        </is>
      </c>
      <c r="I75" s="11" t="inlineStr">
        <is>
          <t>260219_dum.HSV5.016</t>
        </is>
      </c>
      <c r="J75" s="11" t="inlineStr">
        <is>
          <t>S12b</t>
        </is>
      </c>
      <c r="K75" s="11" t="inlineStr">
        <is>
          <t>Carried 1:1 (atomic — no decomposition needed)</t>
        </is>
      </c>
    </row>
    <row r="76">
      <c r="A76" s="8" t="inlineStr">
        <is>
          <t>━━ HSV-6 Bourací práce  (17 atomic operací) ━━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>
      <c r="A77" s="10" t="n">
        <v>70</v>
      </c>
      <c r="B77" s="11" t="inlineStr">
        <is>
          <t>HSV-6 Bourací práce</t>
        </is>
      </c>
      <c r="C77" s="11" t="inlineStr">
        <is>
          <t>Bourání kompletního stávajícího krovu vč. vikýřů — vaznicový s ležatou stolicí — manuálně, odvoz</t>
        </is>
      </c>
      <c r="D77" s="10" t="inlineStr">
        <is>
          <t>m³</t>
        </is>
      </c>
      <c r="E77" s="12" t="n">
        <v>12</v>
      </c>
      <c r="F77" s="11" t="inlineStr">
        <is>
          <t>TZ B m.10.e: 9 t dřeva × 0.75 t/m³ = 12 m³ dřeva</t>
        </is>
      </c>
      <c r="G77" s="13" t="inlineStr">
        <is>
          <t>962041141</t>
        </is>
      </c>
      <c r="H77" s="10" t="inlineStr">
        <is>
          <t>⚠ kandidát-verify</t>
        </is>
      </c>
      <c r="I77" s="11" t="inlineStr">
        <is>
          <t>260219_dum.HSV6.001</t>
        </is>
      </c>
      <c r="J77" s="11" t="inlineStr"/>
      <c r="K77" s="11" t="inlineStr">
        <is>
          <t>Carried 1:1 (atomic — no decomposition needed)</t>
        </is>
      </c>
    </row>
    <row r="78">
      <c r="A78" s="17" t="n">
        <v>71</v>
      </c>
      <c r="B78" s="18" t="inlineStr">
        <is>
          <t>HSV-6 Bourací práce</t>
        </is>
      </c>
      <c r="C78" s="18" t="inlineStr">
        <is>
          <t>Bourání stávající plechové krytiny (manuálně, recyklace plechu)</t>
        </is>
      </c>
      <c r="D78" s="17" t="inlineStr">
        <is>
          <t>m²</t>
        </is>
      </c>
      <c r="E78" s="19" t="n">
        <v>140.9</v>
      </c>
      <c r="F78" s="18">
        <f> plocha krytiny ~141</f>
        <v/>
      </c>
      <c r="G78" s="18" t="inlineStr"/>
      <c r="H78" s="17" t="inlineStr">
        <is>
          <t>❌ blank — ÚRS online</t>
        </is>
      </c>
      <c r="I78" s="18" t="inlineStr">
        <is>
          <t>260219_dum.HSV6.002</t>
        </is>
      </c>
      <c r="J78" s="18" t="inlineStr"/>
      <c r="K78" s="18" t="inlineStr">
        <is>
          <t>Carried 1:1 (atomic — no decomposition needed)  Doplnit leaf z CS ÚRS online (app.urs.cz, cen. úroveň 2026 01) dle família + popis + Vzorec.</t>
        </is>
      </c>
    </row>
    <row r="79">
      <c r="A79" s="10" t="n">
        <v>72</v>
      </c>
      <c r="B79" s="11" t="inlineStr">
        <is>
          <t>HSV-6 Bourací práce</t>
        </is>
      </c>
      <c r="C79" s="11" t="inlineStr">
        <is>
          <t>Bourání zděných nadezdívek nad stropem 2.NP (mimo štítových stěn) — cihla pálená</t>
        </is>
      </c>
      <c r="D79" s="10" t="inlineStr">
        <is>
          <t>m³</t>
        </is>
      </c>
      <c r="E79" s="12" t="n">
        <v>6</v>
      </c>
      <c r="F79" s="11" t="inlineStr">
        <is>
          <t>odhad — 3.NP nadezdívka půdy ~104 m² × 0.45 m výška ~6</t>
        </is>
      </c>
      <c r="G79" s="11" t="inlineStr">
        <is>
          <t>962031132</t>
        </is>
      </c>
      <c r="H79" s="10" t="inlineStr">
        <is>
          <t>⚠ kandidát-verify</t>
        </is>
      </c>
      <c r="I79" s="11" t="inlineStr">
        <is>
          <t>260219_dum.HSV6.003</t>
        </is>
      </c>
      <c r="J79" s="11" t="inlineStr"/>
      <c r="K79" s="11" t="inlineStr">
        <is>
          <t>Carried 1:1 (atomic — no decomposition needed)</t>
        </is>
      </c>
    </row>
    <row r="80">
      <c r="A80" s="10" t="n">
        <v>73</v>
      </c>
      <c r="B80" s="11" t="inlineStr">
        <is>
          <t>HSV-6 Bourací práce</t>
        </is>
      </c>
      <c r="C80" s="11" t="inlineStr">
        <is>
          <t>Bourání trámového stropu 2.NP/podkroví — kompletně (vč. zajištění schodiště)</t>
        </is>
      </c>
      <c r="D80" s="10" t="inlineStr">
        <is>
          <t>m²</t>
        </is>
      </c>
      <c r="E80" s="12" t="n">
        <v>104.4</v>
      </c>
      <c r="F80" s="11">
        <f> zastavěna 104.4 m²</f>
        <v/>
      </c>
      <c r="G80" s="11" t="inlineStr">
        <is>
          <t>962041141</t>
        </is>
      </c>
      <c r="H80" s="10" t="inlineStr">
        <is>
          <t>⚠ kandidát-verify</t>
        </is>
      </c>
      <c r="I80" s="11" t="inlineStr">
        <is>
          <t>260219_dum.HSV6.004</t>
        </is>
      </c>
      <c r="J80" s="11" t="inlineStr"/>
      <c r="K80" s="11" t="inlineStr">
        <is>
          <t>Carried 1:1 (atomic — no decomposition needed)</t>
        </is>
      </c>
    </row>
    <row r="81">
      <c r="A81" s="10" t="n">
        <v>74</v>
      </c>
      <c r="B81" s="11" t="inlineStr">
        <is>
          <t>HSV-6 Bourací práce</t>
        </is>
      </c>
      <c r="C81" s="11" t="inlineStr">
        <is>
          <t>Bourání stávajících lehkých příček (cihla, sádrokarton, dřevo)</t>
        </is>
      </c>
      <c r="D81" s="10" t="inlineStr">
        <is>
          <t>m²</t>
        </is>
      </c>
      <c r="E81" s="12" t="n">
        <v>80</v>
      </c>
      <c r="F81" s="11" t="inlineStr">
        <is>
          <t>odhad — interier 2 patra × ~40 m² příček = 80</t>
        </is>
      </c>
      <c r="G81" s="11" t="inlineStr">
        <is>
          <t>962031132</t>
        </is>
      </c>
      <c r="H81" s="10" t="inlineStr">
        <is>
          <t>⚠ kandidát-verify</t>
        </is>
      </c>
      <c r="I81" s="11" t="inlineStr">
        <is>
          <t>260219_dum.HSV6.005</t>
        </is>
      </c>
      <c r="J81" s="11" t="inlineStr"/>
      <c r="K81" s="11" t="inlineStr">
        <is>
          <t>Carried 1:1 (atomic — no decomposition needed)</t>
        </is>
      </c>
    </row>
    <row r="82">
      <c r="A82" s="10" t="n">
        <v>75</v>
      </c>
      <c r="B82" s="11" t="inlineStr">
        <is>
          <t>HSV-6 Bourací práce</t>
        </is>
      </c>
      <c r="C82" s="11" t="inlineStr">
        <is>
          <t>Bourání 8 nových otvorů v nosných cihelných zdech pro dveře/okna (~1.0 × 2.1 m)</t>
        </is>
      </c>
      <c r="D82" s="10" t="inlineStr">
        <is>
          <t>ks</t>
        </is>
      </c>
      <c r="E82" s="12" t="n">
        <v>8</v>
      </c>
      <c r="F82" s="11" t="inlineStr">
        <is>
          <t>odhad počtu nových otvorů (= počet IPN160 překladů)</t>
        </is>
      </c>
      <c r="G82" s="11" t="inlineStr">
        <is>
          <t>962031132</t>
        </is>
      </c>
      <c r="H82" s="10" t="inlineStr">
        <is>
          <t>⚠ kandidát-verify</t>
        </is>
      </c>
      <c r="I82" s="11" t="inlineStr">
        <is>
          <t>260219_dum.HSV6.006</t>
        </is>
      </c>
      <c r="J82" s="11" t="inlineStr"/>
      <c r="K82" s="11" t="inlineStr">
        <is>
          <t>Carried 1:1 (atomic — no decomposition needed)</t>
        </is>
      </c>
    </row>
    <row r="83">
      <c r="A83" s="10" t="n">
        <v>76</v>
      </c>
      <c r="B83" s="11" t="inlineStr">
        <is>
          <t>HSV-6 Bourací práce</t>
        </is>
      </c>
      <c r="C83" s="11" t="inlineStr">
        <is>
          <t>Bourání keramických obkladů a zařizovacích předmětů v koupelnách 1.NP + 2.NP</t>
        </is>
      </c>
      <c r="D83" s="10" t="inlineStr">
        <is>
          <t>m²</t>
        </is>
      </c>
      <c r="E83" s="12" t="n">
        <v>60</v>
      </c>
      <c r="F83" s="11" t="inlineStr">
        <is>
          <t>2 koupelny × ~30 m² obkladů = 60</t>
        </is>
      </c>
      <c r="G83" s="13" t="inlineStr">
        <is>
          <t>781473810</t>
        </is>
      </c>
      <c r="H83" s="10" t="inlineStr">
        <is>
          <t>⚠ kandidát-verify</t>
        </is>
      </c>
      <c r="I83" s="11" t="inlineStr">
        <is>
          <t>260219_dum.HSV6.007</t>
        </is>
      </c>
      <c r="J83" s="11" t="inlineStr"/>
      <c r="K83" s="11" t="inlineStr">
        <is>
          <t>Carried 1:1 (atomic — no decomposition needed)</t>
        </is>
      </c>
    </row>
    <row r="84">
      <c r="A84" s="10" t="n">
        <v>77</v>
      </c>
      <c r="B84" s="11" t="inlineStr">
        <is>
          <t>HSV-6 Bourací práce</t>
        </is>
      </c>
      <c r="C84" s="11" t="inlineStr">
        <is>
          <t>Sejmutí podlah 1.NP a 2.NP — vč. nášlapů, podkladních vrstev</t>
        </is>
      </c>
      <c r="D84" s="10" t="inlineStr">
        <is>
          <t>m²</t>
        </is>
      </c>
      <c r="E84" s="12" t="n">
        <v>153.51</v>
      </c>
      <c r="F84" s="11" t="inlineStr">
        <is>
          <t>podlahova × 0.7 = ~154 m² (bez 3.NP nového)</t>
        </is>
      </c>
      <c r="G84" s="11" t="inlineStr">
        <is>
          <t>974031132</t>
        </is>
      </c>
      <c r="H84" s="10" t="inlineStr">
        <is>
          <t>⚠ kandidát-verify</t>
        </is>
      </c>
      <c r="I84" s="11" t="inlineStr">
        <is>
          <t>260219_dum.HSV6.008</t>
        </is>
      </c>
      <c r="J84" s="11" t="inlineStr"/>
      <c r="K84" s="11" t="inlineStr">
        <is>
          <t>Carried 1:1 (atomic — no decomposition needed)</t>
        </is>
      </c>
    </row>
    <row r="85">
      <c r="A85" s="10" t="n">
        <v>78</v>
      </c>
      <c r="B85" s="11" t="inlineStr">
        <is>
          <t>HSV-6 Bourací práce</t>
        </is>
      </c>
      <c r="C85" s="11" t="inlineStr">
        <is>
          <t>Demontáž záklopu a zásypů stropu 1.NP (prkenný záklop na trámech zachován)</t>
        </is>
      </c>
      <c r="D85" s="10" t="inlineStr">
        <is>
          <t>m³</t>
        </is>
      </c>
      <c r="E85" s="12" t="n">
        <v>5</v>
      </c>
      <c r="F85" s="11" t="inlineStr">
        <is>
          <t>100 m² × 0.05 m tl. zásypu = 5</t>
        </is>
      </c>
      <c r="G85" s="11" t="inlineStr">
        <is>
          <t>974041151</t>
        </is>
      </c>
      <c r="H85" s="10" t="inlineStr">
        <is>
          <t>⚠ kandidát-verify</t>
        </is>
      </c>
      <c r="I85" s="11" t="inlineStr">
        <is>
          <t>260219_dum.HSV6.009</t>
        </is>
      </c>
      <c r="J85" s="11" t="inlineStr"/>
      <c r="K85" s="11" t="inlineStr">
        <is>
          <t>Carried 1:1 (atomic — no decomposition needed)</t>
        </is>
      </c>
    </row>
    <row r="86">
      <c r="A86" s="10" t="n">
        <v>79</v>
      </c>
      <c r="B86" s="11" t="inlineStr">
        <is>
          <t>HSV-6 Bourací práce</t>
        </is>
      </c>
      <c r="C86" s="11" t="inlineStr">
        <is>
          <t>Demontáž všech oken a dveří stávajících (recyklace)</t>
        </is>
      </c>
      <c r="D86" s="10" t="inlineStr">
        <is>
          <t>ks</t>
        </is>
      </c>
      <c r="E86" s="12" t="n">
        <v>25</v>
      </c>
      <c r="F86" s="11" t="inlineStr">
        <is>
          <t>odhad — ~10 oken + ~15 dveří (vstupní + vnitřní)</t>
        </is>
      </c>
      <c r="G86" s="11" t="inlineStr">
        <is>
          <t>968071120</t>
        </is>
      </c>
      <c r="H86" s="10" t="inlineStr">
        <is>
          <t>⚠ kandidát-verify</t>
        </is>
      </c>
      <c r="I86" s="11" t="inlineStr">
        <is>
          <t>260219_dum.HSV6.010</t>
        </is>
      </c>
      <c r="J86" s="11" t="inlineStr"/>
      <c r="K86" s="11" t="inlineStr">
        <is>
          <t>Carried 1:1 (atomic — no decomposition needed)</t>
        </is>
      </c>
    </row>
    <row r="87">
      <c r="A87" s="10" t="n">
        <v>80</v>
      </c>
      <c r="B87" s="11" t="inlineStr">
        <is>
          <t>HSV-6 Bourací práce</t>
        </is>
      </c>
      <c r="C87" s="11" t="inlineStr">
        <is>
          <t>Demontáž všech sanitárních zařizovacích předmětů (WC, umyvadla, baterie, sprcha)</t>
        </is>
      </c>
      <c r="D87" s="10" t="inlineStr">
        <is>
          <t>ks</t>
        </is>
      </c>
      <c r="E87" s="12" t="n">
        <v>12</v>
      </c>
      <c r="F87" s="11" t="inlineStr">
        <is>
          <t>odhad — 2 koupelny × ~5 ks + WC + dřez = ~12</t>
        </is>
      </c>
      <c r="G87" s="11" t="inlineStr">
        <is>
          <t>725900001</t>
        </is>
      </c>
      <c r="H87" s="10" t="inlineStr">
        <is>
          <t>⚠ kandidát-verify</t>
        </is>
      </c>
      <c r="I87" s="11" t="inlineStr">
        <is>
          <t>260219_dum.HSV6.011</t>
        </is>
      </c>
      <c r="J87" s="11" t="inlineStr"/>
      <c r="K87" s="11" t="inlineStr">
        <is>
          <t>Carried 1:1 (atomic — no decomposition needed)</t>
        </is>
      </c>
    </row>
    <row r="88">
      <c r="A88" s="10" t="n">
        <v>81</v>
      </c>
      <c r="B88" s="11" t="inlineStr">
        <is>
          <t>HSV-6 Bourací práce</t>
        </is>
      </c>
      <c r="C88" s="11" t="inlineStr">
        <is>
          <t>Odvoz a likvidace stavební suti dle vyhl. 8/2021 Sb. — celková tonáž odpadů</t>
        </is>
      </c>
      <c r="D88" s="10" t="inlineStr">
        <is>
          <t>t</t>
        </is>
      </c>
      <c r="E88" s="12" t="n">
        <v>56.5</v>
      </c>
      <c r="F88" s="11" t="inlineStr">
        <is>
          <t>TZ B m.10.e: 46 (beton/cihly) + 9 (dřevo) + 0.1 (kov) + 0.1 (EPS) + 0.2 (sádra) + 1.0 (směs) = 56.4</t>
        </is>
      </c>
      <c r="G88" s="11" t="inlineStr">
        <is>
          <t>997013501</t>
        </is>
      </c>
      <c r="H88" s="10" t="inlineStr">
        <is>
          <t>⚠ kandidát-verify</t>
        </is>
      </c>
      <c r="I88" s="11" t="inlineStr">
        <is>
          <t>260219_dum.HSV6.012</t>
        </is>
      </c>
      <c r="J88" s="11" t="inlineStr"/>
      <c r="K88" s="11" t="inlineStr">
        <is>
          <t>Carried 1:1 (atomic — no decomposition needed)</t>
        </is>
      </c>
    </row>
    <row r="89">
      <c r="A89" s="10" t="n">
        <v>82</v>
      </c>
      <c r="B89" s="11" t="inlineStr">
        <is>
          <t>HSV-6 Bourací práce</t>
        </is>
      </c>
      <c r="C89" s="11" t="inlineStr">
        <is>
          <t>Demontáž stávajících dřevěných oken vč. rámů a parapetů — 16 ks (návrh všechna okna nová plastová trojsklem)</t>
        </is>
      </c>
      <c r="D89" s="10" t="inlineStr">
        <is>
          <t>ks</t>
        </is>
      </c>
      <c r="E89" s="12" t="n">
        <v>16</v>
      </c>
      <c r="F89" s="11" t="inlineStr">
        <is>
          <t>DXF INSERT okno* total 16 ks (Path C Tier 4 — front 9 + back 7)</t>
        </is>
      </c>
      <c r="G89" s="13" t="inlineStr">
        <is>
          <t>978013181</t>
        </is>
      </c>
      <c r="H89" s="10" t="inlineStr">
        <is>
          <t>✓ verified</t>
        </is>
      </c>
      <c r="I89" s="11" t="inlineStr">
        <is>
          <t>260219_dum.HSV6.013</t>
        </is>
      </c>
      <c r="J89" s="11" t="inlineStr"/>
      <c r="K89" s="11" t="inlineStr">
        <is>
          <t>Carried 1:1 (atomic — no decomposition needed)</t>
        </is>
      </c>
    </row>
    <row r="90">
      <c r="A90" s="10" t="n">
        <v>83</v>
      </c>
      <c r="B90" s="11" t="inlineStr">
        <is>
          <t>HSV-6 Bourací práce</t>
        </is>
      </c>
      <c r="C90" s="11" t="inlineStr">
        <is>
          <t>Demontáž stávajících vstupních dveří + rámů — 2 ks (1× ulice Fibichova + 1× zahrada; návrh nové plastové vstupní dveře)</t>
        </is>
      </c>
      <c r="D90" s="10" t="inlineStr">
        <is>
          <t>ks</t>
        </is>
      </c>
      <c r="E90" s="12" t="n">
        <v>2</v>
      </c>
      <c r="F90" s="11" t="inlineStr">
        <is>
          <t>DXF INSERT dveře = 2 (Path C Tier 4) + TZ ARS</t>
        </is>
      </c>
      <c r="G90" s="13" t="inlineStr">
        <is>
          <t>978013181</t>
        </is>
      </c>
      <c r="H90" s="10" t="inlineStr">
        <is>
          <t>✓ verified</t>
        </is>
      </c>
      <c r="I90" s="11" t="inlineStr">
        <is>
          <t>260219_dum.HSV6.014</t>
        </is>
      </c>
      <c r="J90" s="11" t="inlineStr"/>
      <c r="K90" s="11" t="inlineStr">
        <is>
          <t>Carried 1:1 (atomic — no decomposition needed)</t>
        </is>
      </c>
    </row>
    <row r="91">
      <c r="A91" s="10" t="n">
        <v>84</v>
      </c>
      <c r="B91" s="11" t="inlineStr">
        <is>
          <t>HSV-6 Bourací práce</t>
        </is>
      </c>
      <c r="C91" s="11" t="inlineStr">
        <is>
          <t>Demontáž stávajících vnitřních dveří vč. ocelových/dřevěných zárubní — odhad 15 ks (3 patra × ~5 dveří/patro per DXF SM__dveře layer)</t>
        </is>
      </c>
      <c r="D91" s="10" t="inlineStr">
        <is>
          <t>ks</t>
        </is>
      </c>
      <c r="E91" s="12" t="n">
        <v>15</v>
      </c>
      <c r="F91" s="11" t="inlineStr">
        <is>
          <t>DXF SM__dveře polylines 102 / ~3 fáze / ~2.3 symbol per dveře ≈ 15 ks návrh (Path C confidence 0.65)</t>
        </is>
      </c>
      <c r="G91" s="11" t="inlineStr">
        <is>
          <t>968072456</t>
        </is>
      </c>
      <c r="H91" s="10" t="inlineStr">
        <is>
          <t>⚠ kandidát-verify</t>
        </is>
      </c>
      <c r="I91" s="11" t="inlineStr">
        <is>
          <t>260219_dum.HSV6.015</t>
        </is>
      </c>
      <c r="J91" s="11" t="inlineStr"/>
      <c r="K91" s="11" t="inlineStr">
        <is>
          <t>Carried 1:1 (atomic — no decomposition needed)</t>
        </is>
      </c>
    </row>
    <row r="92">
      <c r="A92" s="10" t="n">
        <v>85</v>
      </c>
      <c r="B92" s="11" t="inlineStr">
        <is>
          <t>HSV-6 Bourací práce</t>
        </is>
      </c>
      <c r="C92" s="11" t="inlineStr">
        <is>
          <t>Bourání vrchní části stávajícího komínu v posledním podlaží (cihelné zdivo, ručně), vč. likvidace cihelné suti</t>
        </is>
      </c>
      <c r="D92" s="10" t="inlineStr">
        <is>
          <t>m³</t>
        </is>
      </c>
      <c r="E92" s="12" t="n">
        <v>0.6</v>
      </c>
      <c r="F92" s="11" t="inlineStr">
        <is>
          <t>průměr komín 0.50×0.50 × výška nad střechou ~2.4 m = 0.6 m³ (OPRAVA ChatGPT revize 2026-05-29: dříve 6.0 m³ = ×10 chybná inflace; skutečný objem 0.6 m³)</t>
        </is>
      </c>
      <c r="G92" s="13" t="inlineStr">
        <is>
          <t>962024141</t>
        </is>
      </c>
      <c r="H92" s="10" t="inlineStr">
        <is>
          <t>⚠ kandidát-verify</t>
        </is>
      </c>
      <c r="I92" s="11" t="inlineStr">
        <is>
          <t>260219_dum.HSV6.016</t>
        </is>
      </c>
      <c r="J92" s="11" t="inlineStr"/>
      <c r="K92" s="11" t="inlineStr">
        <is>
          <t>Carried 1:1 (atomic — no decomposition needed)</t>
        </is>
      </c>
    </row>
    <row r="93">
      <c r="A93" s="10" t="n">
        <v>86</v>
      </c>
      <c r="B93" s="11" t="inlineStr">
        <is>
          <t>HSV-6 Bourací práce</t>
        </is>
      </c>
      <c r="C93" s="11" t="inlineStr">
        <is>
          <t>Bourání stávajících opěrných zídek a venkovního schodiště v zahradě/dvoře — částečné, dle vyznačení v půdorysech bourání</t>
        </is>
      </c>
      <c r="D93" s="10" t="inlineStr">
        <is>
          <t>m³</t>
        </is>
      </c>
      <c r="E93" s="12" t="n">
        <v>8</v>
      </c>
      <c r="F93" s="11" t="inlineStr">
        <is>
          <t>odhad ze řez A-A bourání + půdorys bourání 1.NP/1.PP, ~8 m³ celkem (opěrné zídky + venkovní schodiště zahrada/dvůr)</t>
        </is>
      </c>
      <c r="G93" s="13" t="inlineStr">
        <is>
          <t>961044111</t>
        </is>
      </c>
      <c r="H93" s="10" t="inlineStr">
        <is>
          <t>⚠ kandidát-verify</t>
        </is>
      </c>
      <c r="I93" s="11" t="inlineStr">
        <is>
          <t>260219_dum.HSV6.017</t>
        </is>
      </c>
      <c r="J93" s="11" t="inlineStr"/>
      <c r="K93" s="11" t="inlineStr">
        <is>
          <t>Carried 1:1 (atomic — no decomposition needed)</t>
        </is>
      </c>
    </row>
    <row r="94">
      <c r="A94" s="8" t="inlineStr">
        <is>
          <t>━━ HSV-7 Fasáda ETICS  (9 atomic operací) ━━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>
      <c r="A95" s="10" t="n">
        <v>87</v>
      </c>
      <c r="B95" s="11" t="inlineStr">
        <is>
          <t>HSV-7 Fasáda ETICS</t>
        </is>
      </c>
      <c r="C95" s="11" t="inlineStr">
        <is>
          <t>Příprava fasádního podkladu — očištění tlakovou vodou, vyspravení omítek, fungicidní nátěr</t>
        </is>
      </c>
      <c r="D95" s="10" t="inlineStr">
        <is>
          <t>m²</t>
        </is>
      </c>
      <c r="E95" s="12" t="n">
        <v>276.7</v>
      </c>
      <c r="F95" s="11" t="inlineStr">
        <is>
          <t>obvod 38.7 m (DXF) × 0.55 (volná fasáda, štíty zachované) × výška 13.0 m = 276.7 m²</t>
        </is>
      </c>
      <c r="G95" s="11" t="inlineStr">
        <is>
          <t>622401110</t>
        </is>
      </c>
      <c r="H95" s="10" t="inlineStr">
        <is>
          <t>⚠ kandidát-verify</t>
        </is>
      </c>
      <c r="I95" s="11" t="inlineStr">
        <is>
          <t>260219_dum.HSV7.001</t>
        </is>
      </c>
      <c r="J95" s="11" t="inlineStr">
        <is>
          <t>S01</t>
        </is>
      </c>
      <c r="K95" s="11" t="inlineStr">
        <is>
          <t>Carried 1:1 (atomic — no decomposition needed)</t>
        </is>
      </c>
    </row>
    <row r="96">
      <c r="A96" s="14" t="n">
        <v>88</v>
      </c>
      <c r="B96" s="15" t="inlineStr">
        <is>
          <t>HSV-7 Fasáda ETICS</t>
        </is>
      </c>
      <c r="C96" s="15" t="inlineStr">
        <is>
          <t>Lepení + kotvení desek EPS 70F grey λ=0.032 tl. 160 mm — ETICS kontaktní zateplení fasády</t>
        </is>
      </c>
      <c r="D96" s="14" t="inlineStr">
        <is>
          <t>m²</t>
        </is>
      </c>
      <c r="E96" s="16" t="n">
        <v>276.7</v>
      </c>
      <c r="F96" s="15">
        <f> HSV7.002 plocha fasády 276.7 m²</f>
        <v/>
      </c>
      <c r="G96" s="15" t="inlineStr">
        <is>
          <t>713</t>
        </is>
      </c>
      <c r="H96" s="14" t="inlineStr">
        <is>
          <t>⚠ família ??? (ÚRS online)</t>
        </is>
      </c>
      <c r="I96" s="15" t="inlineStr">
        <is>
          <t>260219_dum.HSV7.002 → HSV7.002a</t>
        </is>
      </c>
      <c r="J96" s="15" t="inlineStr">
        <is>
          <t>S01, S12a</t>
        </is>
      </c>
      <c r="K96" s="15" t="inlineStr">
        <is>
          <t>Lepení+kotvení EPS (713/622 família). Leaf dle tl. 160 mm — verify.  Doplnit leaf z CS ÚRS online (app.urs.cz, cen. úroveň 2026 01) dle família + popis + Vzorec.</t>
        </is>
      </c>
    </row>
    <row r="97">
      <c r="A97" s="14" t="n">
        <v>89</v>
      </c>
      <c r="B97" s="15" t="inlineStr">
        <is>
          <t>HSV-7 Fasáda ETICS</t>
        </is>
      </c>
      <c r="C97" s="15" t="inlineStr">
        <is>
          <t>Armovací vrstva — výztužná síťka + lepicí stěrka (zatírací) na ETICS</t>
        </is>
      </c>
      <c r="D97" s="14" t="inlineStr">
        <is>
          <t>m²</t>
        </is>
      </c>
      <c r="E97" s="16" t="n">
        <v>276.7</v>
      </c>
      <c r="F97" s="15">
        <f> HSV7.002 plocha 276.7 m²</f>
        <v/>
      </c>
      <c r="G97" s="15" t="inlineStr">
        <is>
          <t>622</t>
        </is>
      </c>
      <c r="H97" s="14" t="inlineStr">
        <is>
          <t>⚠ família ??? (ÚRS online)</t>
        </is>
      </c>
      <c r="I97" s="15" t="inlineStr">
        <is>
          <t>260219_dum.HSV7.002 → HSV7.002b</t>
        </is>
      </c>
      <c r="J97" s="15" t="inlineStr">
        <is>
          <t>S01, S12a</t>
        </is>
      </c>
      <c r="K97" s="15" t="inlineStr">
        <is>
          <t>Armovací vrstva síťka+stěrka (622 família). Finální omítka je samostatně HSV7.006.  Doplnit leaf z CS ÚRS online (app.urs.cz, cen. úroveň 2026 01) dle família + popis + Vzorec.</t>
        </is>
      </c>
    </row>
    <row r="98">
      <c r="A98" s="14" t="n">
        <v>90</v>
      </c>
      <c r="B98" s="15" t="inlineStr">
        <is>
          <t>HSV-7 Fasáda ETICS</t>
        </is>
      </c>
      <c r="C98" s="15" t="inlineStr">
        <is>
          <t>Lepení + kotvení desek XPS λ=0.034 tl. 120 mm + soklový profil — ETICS sokl</t>
        </is>
      </c>
      <c r="D98" s="14" t="inlineStr">
        <is>
          <t>m²</t>
        </is>
      </c>
      <c r="E98" s="16" t="n">
        <v>13.5</v>
      </c>
      <c r="F98" s="15">
        <f> HSV7.003 plocha soklu 13.5 m²</f>
        <v/>
      </c>
      <c r="G98" s="15" t="inlineStr">
        <is>
          <t>713</t>
        </is>
      </c>
      <c r="H98" s="14" t="inlineStr">
        <is>
          <t>⚠ família ??? (ÚRS online)</t>
        </is>
      </c>
      <c r="I98" s="15" t="inlineStr">
        <is>
          <t>260219_dum.HSV7.003 → HSV7.003a</t>
        </is>
      </c>
      <c r="J98" s="15" t="inlineStr">
        <is>
          <t>S01</t>
        </is>
      </c>
      <c r="K98" s="15" t="inlineStr">
        <is>
          <t>Sokl XPS lepení + soklový profil (713/622 família).  Doplnit leaf z CS ÚRS online (app.urs.cz, cen. úroveň 2026 01) dle família + popis + Vzorec.</t>
        </is>
      </c>
    </row>
    <row r="99">
      <c r="A99" s="14" t="n">
        <v>91</v>
      </c>
      <c r="B99" s="15" t="inlineStr">
        <is>
          <t>HSV-7 Fasáda ETICS</t>
        </is>
      </c>
      <c r="C99" s="15" t="inlineStr">
        <is>
          <t>Cihelný obklad soklu spárovaný (na armovací vrstvu)</t>
        </is>
      </c>
      <c r="D99" s="14" t="inlineStr">
        <is>
          <t>m²</t>
        </is>
      </c>
      <c r="E99" s="16" t="n">
        <v>13.5</v>
      </c>
      <c r="F99" s="15">
        <f> HSV7.003 plocha soklu 13.5 m²</f>
        <v/>
      </c>
      <c r="G99" s="15" t="inlineStr">
        <is>
          <t>781</t>
        </is>
      </c>
      <c r="H99" s="14" t="inlineStr">
        <is>
          <t>⚠ família ??? (ÚRS online)</t>
        </is>
      </c>
      <c r="I99" s="15" t="inlineStr">
        <is>
          <t>260219_dum.HSV7.003 → HSV7.003b</t>
        </is>
      </c>
      <c r="J99" s="15" t="inlineStr">
        <is>
          <t>S01</t>
        </is>
      </c>
      <c r="K99" s="15" t="inlineStr">
        <is>
          <t>Cihelný obklad spárovaný (781 família obklady).  Doplnit leaf z CS ÚRS online (app.urs.cz, cen. úroveň 2026 01) dle família + popis + Vzorec.</t>
        </is>
      </c>
    </row>
    <row r="100">
      <c r="A100" s="14" t="n">
        <v>92</v>
      </c>
      <c r="B100" s="15" t="inlineStr">
        <is>
          <t>HSV-7 Fasáda ETICS</t>
        </is>
      </c>
      <c r="C100" s="15" t="inlineStr">
        <is>
          <t>Špalety oken — EPS přesah 35-40 mm lepení + kotvení</t>
        </is>
      </c>
      <c r="D100" s="14" t="inlineStr">
        <is>
          <t>bm</t>
        </is>
      </c>
      <c r="E100" s="16" t="n">
        <v>82.2</v>
      </c>
      <c r="F100" s="15">
        <f> HSV7.004 obvod špalet 82.2 bm</f>
        <v/>
      </c>
      <c r="G100" s="15" t="inlineStr">
        <is>
          <t>622</t>
        </is>
      </c>
      <c r="H100" s="14" t="inlineStr">
        <is>
          <t>⚠ família ??? (ÚRS online)</t>
        </is>
      </c>
      <c r="I100" s="15" t="inlineStr">
        <is>
          <t>260219_dum.HSV7.004 → HSV7.004a</t>
        </is>
      </c>
      <c r="J100" s="15" t="inlineStr">
        <is>
          <t>S01, S12a</t>
        </is>
      </c>
      <c r="K100" s="15" t="inlineStr">
        <is>
          <t>Špalety EPS přesah (622 família).  Doplnit leaf z CS ÚRS online (app.urs.cz, cen. úroveň 2026 01) dle família + popis + Vzorec.</t>
        </is>
      </c>
    </row>
    <row r="101">
      <c r="A101" s="14" t="n">
        <v>93</v>
      </c>
      <c r="B101" s="15" t="inlineStr">
        <is>
          <t>HSV-7 Fasáda ETICS</t>
        </is>
      </c>
      <c r="C101" s="15" t="inlineStr">
        <is>
          <t>Špalety oken — armovací vrstva síťka + omítka</t>
        </is>
      </c>
      <c r="D101" s="14" t="inlineStr">
        <is>
          <t>bm</t>
        </is>
      </c>
      <c r="E101" s="16" t="n">
        <v>82.2</v>
      </c>
      <c r="F101" s="15">
        <f> HSV7.004 obvod 82.2 bm</f>
        <v/>
      </c>
      <c r="G101" s="15" t="inlineStr">
        <is>
          <t>622</t>
        </is>
      </c>
      <c r="H101" s="14" t="inlineStr">
        <is>
          <t>⚠ família ??? (ÚRS online)</t>
        </is>
      </c>
      <c r="I101" s="15" t="inlineStr">
        <is>
          <t>260219_dum.HSV7.004 → HSV7.004b</t>
        </is>
      </c>
      <c r="J101" s="15" t="inlineStr">
        <is>
          <t>S01, S12a</t>
        </is>
      </c>
      <c r="K101" s="15" t="inlineStr">
        <is>
          <t>Armovací vrstva + omítka špalet (622 família).  Doplnit leaf z CS ÚRS online (app.urs.cz, cen. úroveň 2026 01) dle família + popis + Vzorec.</t>
        </is>
      </c>
    </row>
    <row r="102">
      <c r="A102" s="10" t="n">
        <v>94</v>
      </c>
      <c r="B102" s="11" t="inlineStr">
        <is>
          <t>HSV-7 Fasáda ETICS</t>
        </is>
      </c>
      <c r="C102" s="11" t="inlineStr">
        <is>
          <t>Profilace fasády — různé tloušťky EPS (kordony, šambrány, rámování oken) — paušál podle pohledů</t>
        </is>
      </c>
      <c r="D102" s="10" t="inlineStr">
        <is>
          <t>soubor</t>
        </is>
      </c>
      <c r="E102" s="12" t="n">
        <v>1</v>
      </c>
      <c r="F102" s="11" t="inlineStr">
        <is>
          <t>paušál — dle pohledů NCS NZÚ</t>
        </is>
      </c>
      <c r="G102" s="11" t="inlineStr">
        <is>
          <t>622221221</t>
        </is>
      </c>
      <c r="H102" s="10" t="inlineStr">
        <is>
          <t>⚠ kandidát-verify</t>
        </is>
      </c>
      <c r="I102" s="11" t="inlineStr">
        <is>
          <t>260219_dum.HSV7.005</t>
        </is>
      </c>
      <c r="J102" s="11" t="inlineStr">
        <is>
          <t>S01, S12a</t>
        </is>
      </c>
      <c r="K102" s="11" t="inlineStr">
        <is>
          <t>Carried 1:1 (atomic — no decomposition needed)</t>
        </is>
      </c>
    </row>
    <row r="103">
      <c r="A103" s="10" t="n">
        <v>95</v>
      </c>
      <c r="B103" s="11" t="inlineStr">
        <is>
          <t>HSV-7 Fasáda ETICS</t>
        </is>
      </c>
      <c r="C103" s="11" t="inlineStr">
        <is>
          <t>Tenkovrstvá pastovitá probarvená omítka, lomená bílá NCS NZÚ — finální vrstva ETICS</t>
        </is>
      </c>
      <c r="D103" s="10" t="inlineStr">
        <is>
          <t>m²</t>
        </is>
      </c>
      <c r="E103" s="12" t="n">
        <v>290.2</v>
      </c>
      <c r="F103" s="11" t="inlineStr">
        <is>
          <t>ETICS plocha 276.7 m² + sokl 13.5 m² = 290.2 m²</t>
        </is>
      </c>
      <c r="G103" s="13" t="inlineStr">
        <is>
          <t>622521111</t>
        </is>
      </c>
      <c r="H103" s="10" t="inlineStr">
        <is>
          <t>⚠ kandidát-verify</t>
        </is>
      </c>
      <c r="I103" s="11" t="inlineStr">
        <is>
          <t>260219_dum.HSV7.006</t>
        </is>
      </c>
      <c r="J103" s="11" t="inlineStr">
        <is>
          <t>S01, S12a, S12b</t>
        </is>
      </c>
      <c r="K103" s="11" t="inlineStr">
        <is>
          <t>Carried 1:1 (atomic — no decomposition needed)</t>
        </is>
      </c>
    </row>
  </sheetData>
  <autoFilter ref="A1:K1"/>
  <mergeCells count="7">
    <mergeCell ref="A22:K22"/>
    <mergeCell ref="A59:K59"/>
    <mergeCell ref="A2:K2"/>
    <mergeCell ref="A76:K76"/>
    <mergeCell ref="A36:K36"/>
    <mergeCell ref="A44:K44"/>
    <mergeCell ref="A94:K9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7" customWidth="1" min="4" max="4"/>
    <col width="10" customWidth="1" min="5" max="5"/>
    <col width="46" customWidth="1" min="6" max="6"/>
    <col width="15" customWidth="1" min="7" max="7"/>
    <col width="20" customWidth="1" min="8" max="8"/>
    <col width="22" customWidth="1" min="9" max="9"/>
    <col width="15" customWidth="1" min="10" max="10"/>
    <col width="44" customWidth="1" min="11" max="11"/>
  </cols>
  <sheetData>
    <row r="1">
      <c r="A1" s="7" t="inlineStr">
        <is>
          <t>Poř.</t>
        </is>
      </c>
      <c r="B1" s="7" t="inlineStr">
        <is>
          <t>Kapitola</t>
        </is>
      </c>
      <c r="C1" s="7" t="inlineStr">
        <is>
          <t>Atomic operace (popis)</t>
        </is>
      </c>
      <c r="D1" s="7" t="inlineStr">
        <is>
          <t>MJ</t>
        </is>
      </c>
      <c r="E1" s="7" t="inlineStr">
        <is>
          <t>Množství</t>
        </is>
      </c>
      <c r="F1" s="7" t="inlineStr">
        <is>
          <t>Vzorec / Zdroj výměry</t>
        </is>
      </c>
      <c r="G1" s="7" t="inlineStr">
        <is>
          <t>URS kód kandidát</t>
        </is>
      </c>
      <c r="H1" s="7" t="inlineStr">
        <is>
          <t>Status</t>
        </is>
      </c>
      <c r="I1" s="7" t="inlineStr">
        <is>
          <t>Parent frozen item_id</t>
        </is>
      </c>
      <c r="J1" s="7" t="inlineStr">
        <is>
          <t>Realizuje skladbu</t>
        </is>
      </c>
      <c r="K1" s="7" t="inlineStr">
        <is>
          <t>Pozn.</t>
        </is>
      </c>
    </row>
    <row r="2">
      <c r="A2" s="8" t="inlineStr">
        <is>
          <t>━━ PSV-71 Izolace HI  (3 atomic operací) ━━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>
      <c r="A3" s="10" t="n">
        <v>1</v>
      </c>
      <c r="B3" s="11" t="inlineStr">
        <is>
          <t>PSV-71 Izolace HI</t>
        </is>
      </c>
      <c r="C3" s="11" t="inlineStr">
        <is>
          <t>Hydroizolace pod ŽB deskou 1.NP — modifikované asfaltové pásy SBS 2× (zároveň protiradonová bariéra)</t>
        </is>
      </c>
      <c r="D3" s="10" t="inlineStr">
        <is>
          <t>m²</t>
        </is>
      </c>
      <c r="E3" s="12" t="n">
        <v>80.40000000000001</v>
      </c>
      <c r="F3" s="11" t="inlineStr">
        <is>
          <t>(zastavena × 0.7 rozsah 1.NP) × 1.10 přesah = 80.4</t>
        </is>
      </c>
      <c r="G3" s="13" t="inlineStr">
        <is>
          <t>712311101</t>
        </is>
      </c>
      <c r="H3" s="10" t="inlineStr">
        <is>
          <t>⚠ kandidát-verify</t>
        </is>
      </c>
      <c r="I3" s="11" t="inlineStr">
        <is>
          <t>260219_dum.PSV71.001</t>
        </is>
      </c>
      <c r="J3" s="11" t="inlineStr"/>
      <c r="K3" s="11" t="inlineStr">
        <is>
          <t>Carried 1:1 (atomic — no decomposition needed)</t>
        </is>
      </c>
    </row>
    <row r="4">
      <c r="A4" s="10" t="n">
        <v>2</v>
      </c>
      <c r="B4" s="11" t="inlineStr">
        <is>
          <t>PSV-71 Izolace HI</t>
        </is>
      </c>
      <c r="C4" s="11" t="inlineStr">
        <is>
          <t>Odvětrání radonu z podloží — perforované DN50 trubky v štěrkovém loži + výdech nad střechu</t>
        </is>
      </c>
      <c r="D4" s="10" t="inlineStr">
        <is>
          <t>bm</t>
        </is>
      </c>
      <c r="E4" s="12" t="n">
        <v>12</v>
      </c>
      <c r="F4" s="11" t="inlineStr">
        <is>
          <t>podsanační síť ~12 bm (3 řady × 4 m pod podlahou 1.NP)</t>
        </is>
      </c>
      <c r="G4" s="13" t="inlineStr">
        <is>
          <t>712381111</t>
        </is>
      </c>
      <c r="H4" s="10" t="inlineStr">
        <is>
          <t>⚠ kandidát-verify</t>
        </is>
      </c>
      <c r="I4" s="11" t="inlineStr">
        <is>
          <t>260219_dum.PSV71.002</t>
        </is>
      </c>
      <c r="J4" s="11" t="inlineStr"/>
      <c r="K4" s="11" t="inlineStr">
        <is>
          <t>Carried 1:1 (atomic — no decomposition needed)</t>
        </is>
      </c>
    </row>
    <row r="5">
      <c r="A5" s="17" t="n">
        <v>3</v>
      </c>
      <c r="B5" s="18" t="inlineStr">
        <is>
          <t>PSV-71 Izolace HI</t>
        </is>
      </c>
      <c r="C5" s="18" t="inlineStr">
        <is>
          <t>Hydroizolační stěrka koupelen 3 ks — podlaha + sokl 200 mm + sprchový kout výška 2.0 m</t>
        </is>
      </c>
      <c r="D5" s="17" t="inlineStr">
        <is>
          <t>m²</t>
        </is>
      </c>
      <c r="E5" s="19" t="n">
        <v>40.5</v>
      </c>
      <c r="F5" s="18" t="inlineStr">
        <is>
          <t>3 koupelny × (~5.5 m² podlaha + ~8 m² stěny v okolí sprchy) = 40.5</t>
        </is>
      </c>
      <c r="G5" s="18" t="inlineStr"/>
      <c r="H5" s="17" t="inlineStr">
        <is>
          <t>❌ blank — ÚRS online</t>
        </is>
      </c>
      <c r="I5" s="18" t="inlineStr">
        <is>
          <t>260219_dum.PSV71.003</t>
        </is>
      </c>
      <c r="J5" s="18" t="inlineStr"/>
      <c r="K5" s="18" t="inlineStr">
        <is>
          <t>Carried 1:1 (atomic — no decomposition needed)  Doplnit leaf z CS ÚRS online (app.urs.cz, cen. úroveň 2026 01) dle família + popis + Vzorec.</t>
        </is>
      </c>
    </row>
    <row r="6">
      <c r="A6" s="8" t="inlineStr">
        <is>
          <t>━━ PSV-71 Izolace TI  (2 atomic operací) ━━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17" t="n">
        <v>4</v>
      </c>
      <c r="B7" s="18" t="inlineStr">
        <is>
          <t>PSV-71 Izolace TI</t>
        </is>
      </c>
      <c r="C7" s="18" t="inlineStr">
        <is>
          <t>Podlahový EPS 150 λ=0.035 tl. 120 mm — pod betonový potěr 1.NP a 3.NP</t>
        </is>
      </c>
      <c r="D7" s="17" t="inlineStr">
        <is>
          <t>m²</t>
        </is>
      </c>
      <c r="E7" s="19" t="n">
        <v>177.5</v>
      </c>
      <c r="F7" s="18" t="inlineStr">
        <is>
          <t>(rozsah 1.NP 73 m²) + (3.NP nadstavba 104 m²) = ~177 m²</t>
        </is>
      </c>
      <c r="G7" s="18" t="inlineStr"/>
      <c r="H7" s="17" t="inlineStr">
        <is>
          <t>❌ blank — ÚRS online</t>
        </is>
      </c>
      <c r="I7" s="18" t="inlineStr">
        <is>
          <t>260219_dum.PSV71.001</t>
        </is>
      </c>
      <c r="J7" s="18" t="inlineStr"/>
      <c r="K7" s="18" t="inlineStr">
        <is>
          <t>Carried 1:1 (atomic — no decomposition needed)  Doplnit leaf z CS ÚRS online (app.urs.cz, cen. úroveň 2026 01) dle família + popis + Vzorec.</t>
        </is>
      </c>
    </row>
    <row r="8">
      <c r="A8" s="17" t="n">
        <v>5</v>
      </c>
      <c r="B8" s="18" t="inlineStr">
        <is>
          <t>PSV-71 Izolace TI</t>
        </is>
      </c>
      <c r="C8" s="18" t="inlineStr">
        <is>
          <t>Kročejová EPS 150 / 30 dB tl. 30 mm nad ocelobetonovým stropem 2.NP/3.NP</t>
        </is>
      </c>
      <c r="D8" s="17" t="inlineStr">
        <is>
          <t>m²</t>
        </is>
      </c>
      <c r="E8" s="19" t="n">
        <v>104.4</v>
      </c>
      <c r="F8" s="18">
        <f> zastavěna plocha 104.4 m² (strop 2.NP/3.NP)</f>
        <v/>
      </c>
      <c r="G8" s="18" t="inlineStr"/>
      <c r="H8" s="17" t="inlineStr">
        <is>
          <t>❌ blank — ÚRS online</t>
        </is>
      </c>
      <c r="I8" s="18" t="inlineStr">
        <is>
          <t>260219_dum.PSV71.002</t>
        </is>
      </c>
      <c r="J8" s="18" t="inlineStr"/>
      <c r="K8" s="18" t="inlineStr">
        <is>
          <t>Carried 1:1 (atomic — no decomposition needed)  Doplnit leaf z CS ÚRS online (app.urs.cz, cen. úroveň 2026 01) dle família + popis + Vzorec.</t>
        </is>
      </c>
    </row>
    <row r="9">
      <c r="A9" s="8" t="inlineStr">
        <is>
          <t>━━ PSV-72 ZTI  (28 atomic operací) ━━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10" t="n">
        <v>6</v>
      </c>
      <c r="B10" s="11" t="inlineStr">
        <is>
          <t>PSV-72 ZTI</t>
        </is>
      </c>
      <c r="C10" s="11" t="inlineStr">
        <is>
          <t>Revize stávajícího napojení vodovodu + kanalizace na pozemku — kontrola stavu, čištění, tlaková zkouška</t>
        </is>
      </c>
      <c r="D10" s="10" t="inlineStr">
        <is>
          <t>kpl</t>
        </is>
      </c>
      <c r="E10" s="12" t="n">
        <v>1</v>
      </c>
      <c r="F10" s="11" t="inlineStr">
        <is>
          <t>TZ ARS dům §4 — stávající přípojka zachována bez změny</t>
        </is>
      </c>
      <c r="G10" s="13" t="inlineStr">
        <is>
          <t>722290515</t>
        </is>
      </c>
      <c r="H10" s="10" t="inlineStr">
        <is>
          <t>⚠ kandidát-verify</t>
        </is>
      </c>
      <c r="I10" s="11" t="inlineStr">
        <is>
          <t>260219_dum.PSV72.001</t>
        </is>
      </c>
      <c r="J10" s="11" t="inlineStr"/>
      <c r="K10" s="11" t="inlineStr">
        <is>
          <t>Carried 1:1 (atomic — no decomposition needed)</t>
        </is>
      </c>
    </row>
    <row r="11">
      <c r="A11" s="10" t="n">
        <v>7</v>
      </c>
      <c r="B11" s="11" t="inlineStr">
        <is>
          <t>PSV-72 ZTI</t>
        </is>
      </c>
      <c r="C11" s="11" t="inlineStr">
        <is>
          <t>Nové rozvody studené + teplé vody do koupelen 1.NP + 2.NP + 3.NP a kuchyní (PEX/Cu, dimenze DN15-25)</t>
        </is>
      </c>
      <c r="D11" s="10" t="inlineStr">
        <is>
          <t>bm</t>
        </is>
      </c>
      <c r="E11" s="12" t="n">
        <v>80</v>
      </c>
      <c r="F11" s="11" t="inlineStr">
        <is>
          <t>3 patra × ~25 bm rozvodů (koupelny + kuchyně + bojler 3.NP) = 75 (round 80)</t>
        </is>
      </c>
      <c r="G11" s="13" t="inlineStr">
        <is>
          <t>722172011</t>
        </is>
      </c>
      <c r="H11" s="10" t="inlineStr">
        <is>
          <t>⚠ kandidát-verify</t>
        </is>
      </c>
      <c r="I11" s="11" t="inlineStr">
        <is>
          <t>260219_dum.PSV72.002</t>
        </is>
      </c>
      <c r="J11" s="11" t="inlineStr"/>
      <c r="K11" s="11" t="inlineStr">
        <is>
          <t>Carried 1:1 (atomic — no decomposition needed)</t>
        </is>
      </c>
    </row>
    <row r="12">
      <c r="A12" s="10" t="n">
        <v>8</v>
      </c>
      <c r="B12" s="11" t="inlineStr">
        <is>
          <t>PSV-72 ZTI</t>
        </is>
      </c>
      <c r="C12" s="11" t="inlineStr">
        <is>
          <t>Nové odpadní rozvody PVC-HT DN40-DN110 ke koupelnám 1.NP, 2.NP, 3.NP a kuchyním + napojení na stávající</t>
        </is>
      </c>
      <c r="D12" s="10" t="inlineStr">
        <is>
          <t>bm</t>
        </is>
      </c>
      <c r="E12" s="12" t="n">
        <v>60</v>
      </c>
      <c r="F12" s="11" t="inlineStr">
        <is>
          <t>3 patra × ~20 bm odpadní + svislé propojení = 60</t>
        </is>
      </c>
      <c r="G12" s="11" t="inlineStr">
        <is>
          <t>721174021</t>
        </is>
      </c>
      <c r="H12" s="10" t="inlineStr">
        <is>
          <t>⚠ kandidát-verify</t>
        </is>
      </c>
      <c r="I12" s="11" t="inlineStr">
        <is>
          <t>260219_dum.PSV72.003</t>
        </is>
      </c>
      <c r="J12" s="11" t="inlineStr"/>
      <c r="K12" s="11" t="inlineStr">
        <is>
          <t>Carried 1:1 (atomic — no decomposition needed)</t>
        </is>
      </c>
    </row>
    <row r="13">
      <c r="A13" s="14" t="n">
        <v>9</v>
      </c>
      <c r="B13" s="15" t="inlineStr">
        <is>
          <t>PSV-72 ZTI</t>
        </is>
      </c>
      <c r="C13" s="15" t="inlineStr">
        <is>
          <t>Vana — dodávka + montáž, koupelna 1.05 1.NP</t>
        </is>
      </c>
      <c r="D13" s="14" t="inlineStr">
        <is>
          <t>ks</t>
        </is>
      </c>
      <c r="E13" s="16" t="n">
        <v>1</v>
      </c>
      <c r="F13" s="15" t="inlineStr">
        <is>
          <t>1× vana (DXF sanit_vana)</t>
        </is>
      </c>
      <c r="G13" s="15" t="inlineStr">
        <is>
          <t>725</t>
        </is>
      </c>
      <c r="H13" s="14" t="inlineStr">
        <is>
          <t>⚠ família ??? (ÚRS online)</t>
        </is>
      </c>
      <c r="I13" s="15" t="inlineStr">
        <is>
          <t>260219_dum.PSV72.004 → PSV72.004a</t>
        </is>
      </c>
      <c r="J13" s="15" t="inlineStr"/>
      <c r="K13" s="15" t="inlineStr">
        <is>
          <t>Zařizovací předmět (725 família).  Doplnit leaf z CS ÚRS online (app.urs.cz, cen. úroveň 2026 01) dle família + popis + Vzorec.</t>
        </is>
      </c>
    </row>
    <row r="14">
      <c r="A14" s="14" t="n">
        <v>10</v>
      </c>
      <c r="B14" s="15" t="inlineStr">
        <is>
          <t>PSV-72 ZTI</t>
        </is>
      </c>
      <c r="C14" s="15" t="inlineStr">
        <is>
          <t>Umyvadlo — dodávka + montáž, koupelna 1.05 1.NP</t>
        </is>
      </c>
      <c r="D14" s="14" t="inlineStr">
        <is>
          <t>ks</t>
        </is>
      </c>
      <c r="E14" s="16" t="n">
        <v>1</v>
      </c>
      <c r="F14" s="15" t="inlineStr">
        <is>
          <t>1× umyvadlo (DXF sanit_umyvadlo)</t>
        </is>
      </c>
      <c r="G14" s="15" t="inlineStr">
        <is>
          <t>725</t>
        </is>
      </c>
      <c r="H14" s="14" t="inlineStr">
        <is>
          <t>⚠ família ??? (ÚRS online)</t>
        </is>
      </c>
      <c r="I14" s="15" t="inlineStr">
        <is>
          <t>260219_dum.PSV72.004 → PSV72.004b</t>
        </is>
      </c>
      <c r="J14" s="15" t="inlineStr"/>
      <c r="K14" s="15" t="inlineStr">
        <is>
          <t>Zařizovací předmět (725 família).  Doplnit leaf z CS ÚRS online (app.urs.cz, cen. úroveň 2026 01) dle família + popis + Vzorec.</t>
        </is>
      </c>
    </row>
    <row r="15">
      <c r="A15" s="14" t="n">
        <v>11</v>
      </c>
      <c r="B15" s="15" t="inlineStr">
        <is>
          <t>PSV-72 ZTI</t>
        </is>
      </c>
      <c r="C15" s="15" t="inlineStr">
        <is>
          <t>WC mísa závěsná + nádržka — dodávka + montáž, koupelna 1.05 1.NP</t>
        </is>
      </c>
      <c r="D15" s="14" t="inlineStr">
        <is>
          <t>ks</t>
        </is>
      </c>
      <c r="E15" s="16" t="n">
        <v>1</v>
      </c>
      <c r="F15" s="15" t="inlineStr">
        <is>
          <t>1× WC (TZ standard)</t>
        </is>
      </c>
      <c r="G15" s="15" t="inlineStr">
        <is>
          <t>725</t>
        </is>
      </c>
      <c r="H15" s="14" t="inlineStr">
        <is>
          <t>⚠ família ??? (ÚRS online)</t>
        </is>
      </c>
      <c r="I15" s="15" t="inlineStr">
        <is>
          <t>260219_dum.PSV72.004 → PSV72.004c</t>
        </is>
      </c>
      <c r="J15" s="15" t="inlineStr"/>
      <c r="K15" s="15" t="inlineStr">
        <is>
          <t>Zařizovací předmět (725 família).  Doplnit leaf z CS ÚRS online (app.urs.cz, cen. úroveň 2026 01) dle família + popis + Vzorec.</t>
        </is>
      </c>
    </row>
    <row r="16">
      <c r="A16" s="14" t="n">
        <v>12</v>
      </c>
      <c r="B16" s="15" t="inlineStr">
        <is>
          <t>PSV-72 ZTI</t>
        </is>
      </c>
      <c r="C16" s="15" t="inlineStr">
        <is>
          <t>Umyvadlo — dodávka + montáž, koupelna 2.03 2.NP</t>
        </is>
      </c>
      <c r="D16" s="14" t="inlineStr">
        <is>
          <t>ks</t>
        </is>
      </c>
      <c r="E16" s="16" t="n">
        <v>1</v>
      </c>
      <c r="F16" s="15" t="inlineStr">
        <is>
          <t>1× umyvadlo (DXF)</t>
        </is>
      </c>
      <c r="G16" s="15" t="inlineStr">
        <is>
          <t>725</t>
        </is>
      </c>
      <c r="H16" s="14" t="inlineStr">
        <is>
          <t>⚠ família ??? (ÚRS online)</t>
        </is>
      </c>
      <c r="I16" s="15" t="inlineStr">
        <is>
          <t>260219_dum.PSV72.005 → PSV72.005a</t>
        </is>
      </c>
      <c r="J16" s="15" t="inlineStr"/>
      <c r="K16" s="15" t="inlineStr">
        <is>
          <t>Zařizovací předmět (725 família).  Doplnit leaf z CS ÚRS online (app.urs.cz, cen. úroveň 2026 01) dle família + popis + Vzorec.</t>
        </is>
      </c>
    </row>
    <row r="17">
      <c r="A17" s="14" t="n">
        <v>13</v>
      </c>
      <c r="B17" s="15" t="inlineStr">
        <is>
          <t>PSV-72 ZTI</t>
        </is>
      </c>
      <c r="C17" s="15" t="inlineStr">
        <is>
          <t>WC mísa závěsná + nádržka — dodávka + montáž, koupelna 2.03 2.NP</t>
        </is>
      </c>
      <c r="D17" s="14" t="inlineStr">
        <is>
          <t>ks</t>
        </is>
      </c>
      <c r="E17" s="16" t="n">
        <v>1</v>
      </c>
      <c r="F17" s="15" t="inlineStr">
        <is>
          <t>1× WC (TZ standard)</t>
        </is>
      </c>
      <c r="G17" s="15" t="inlineStr">
        <is>
          <t>725</t>
        </is>
      </c>
      <c r="H17" s="14" t="inlineStr">
        <is>
          <t>⚠ família ??? (ÚRS online)</t>
        </is>
      </c>
      <c r="I17" s="15" t="inlineStr">
        <is>
          <t>260219_dum.PSV72.005 → PSV72.005b</t>
        </is>
      </c>
      <c r="J17" s="15" t="inlineStr"/>
      <c r="K17" s="15" t="inlineStr">
        <is>
          <t>Zařizovací předmět (725 família).  Doplnit leaf z CS ÚRS online (app.urs.cz, cen. úroveň 2026 01) dle família + popis + Vzorec.</t>
        </is>
      </c>
    </row>
    <row r="18">
      <c r="A18" s="14" t="n">
        <v>14</v>
      </c>
      <c r="B18" s="15" t="inlineStr">
        <is>
          <t>PSV-72 ZTI</t>
        </is>
      </c>
      <c r="C18" s="15" t="inlineStr">
        <is>
          <t>Sprchový kout + vanička — dodávka + montáž, koupelna 2.03 2.NP</t>
        </is>
      </c>
      <c r="D18" s="14" t="inlineStr">
        <is>
          <t>ks</t>
        </is>
      </c>
      <c r="E18" s="16" t="n">
        <v>1</v>
      </c>
      <c r="F18" s="15" t="inlineStr">
        <is>
          <t>1× sprcha (TZ standard)</t>
        </is>
      </c>
      <c r="G18" s="15" t="inlineStr">
        <is>
          <t>725</t>
        </is>
      </c>
      <c r="H18" s="14" t="inlineStr">
        <is>
          <t>⚠ família ??? (ÚRS online)</t>
        </is>
      </c>
      <c r="I18" s="15" t="inlineStr">
        <is>
          <t>260219_dum.PSV72.005 → PSV72.005c</t>
        </is>
      </c>
      <c r="J18" s="15" t="inlineStr"/>
      <c r="K18" s="15" t="inlineStr">
        <is>
          <t>Zařizovací předmět (725 família).  Doplnit leaf z CS ÚRS online (app.urs.cz, cen. úroveň 2026 01) dle família + popis + Vzorec.</t>
        </is>
      </c>
    </row>
    <row r="19">
      <c r="A19" s="14" t="n">
        <v>15</v>
      </c>
      <c r="B19" s="15" t="inlineStr">
        <is>
          <t>PSV-72 ZTI</t>
        </is>
      </c>
      <c r="C19" s="15" t="inlineStr">
        <is>
          <t>WC mísa závěsná + nádržka — dodávka + montáž, koupelna 3.04 3.NP</t>
        </is>
      </c>
      <c r="D19" s="14" t="inlineStr">
        <is>
          <t>ks</t>
        </is>
      </c>
      <c r="E19" s="16" t="n">
        <v>1</v>
      </c>
      <c r="F19" s="15" t="inlineStr">
        <is>
          <t>1× WC (DXF)</t>
        </is>
      </c>
      <c r="G19" s="15" t="inlineStr">
        <is>
          <t>725</t>
        </is>
      </c>
      <c r="H19" s="14" t="inlineStr">
        <is>
          <t>⚠ família ??? (ÚRS online)</t>
        </is>
      </c>
      <c r="I19" s="15" t="inlineStr">
        <is>
          <t>260219_dum.PSV72.006 → PSV72.006a</t>
        </is>
      </c>
      <c r="J19" s="15" t="inlineStr"/>
      <c r="K19" s="15" t="inlineStr">
        <is>
          <t>Zařizovací předmět (725 família).  Doplnit leaf z CS ÚRS online (app.urs.cz, cen. úroveň 2026 01) dle família + popis + Vzorec.</t>
        </is>
      </c>
    </row>
    <row r="20">
      <c r="A20" s="14" t="n">
        <v>16</v>
      </c>
      <c r="B20" s="15" t="inlineStr">
        <is>
          <t>PSV-72 ZTI</t>
        </is>
      </c>
      <c r="C20" s="15" t="inlineStr">
        <is>
          <t>Umyvadlo — dodávka + montáž, koupelna 3.04 3.NP</t>
        </is>
      </c>
      <c r="D20" s="14" t="inlineStr">
        <is>
          <t>ks</t>
        </is>
      </c>
      <c r="E20" s="16" t="n">
        <v>1</v>
      </c>
      <c r="F20" s="15" t="inlineStr">
        <is>
          <t>1× umyvadlo (TZ standard)</t>
        </is>
      </c>
      <c r="G20" s="15" t="inlineStr">
        <is>
          <t>725</t>
        </is>
      </c>
      <c r="H20" s="14" t="inlineStr">
        <is>
          <t>⚠ família ??? (ÚRS online)</t>
        </is>
      </c>
      <c r="I20" s="15" t="inlineStr">
        <is>
          <t>260219_dum.PSV72.006 → PSV72.006b</t>
        </is>
      </c>
      <c r="J20" s="15" t="inlineStr"/>
      <c r="K20" s="15" t="inlineStr">
        <is>
          <t>Zařizovací předmět (725 família).  Doplnit leaf z CS ÚRS online (app.urs.cz, cen. úroveň 2026 01) dle família + popis + Vzorec.</t>
        </is>
      </c>
    </row>
    <row r="21">
      <c r="A21" s="14" t="n">
        <v>17</v>
      </c>
      <c r="B21" s="15" t="inlineStr">
        <is>
          <t>PSV-72 ZTI</t>
        </is>
      </c>
      <c r="C21" s="15" t="inlineStr">
        <is>
          <t>Sprchový kout + vanička — dodávka + montáž, koupelna 3.04 3.NP</t>
        </is>
      </c>
      <c r="D21" s="14" t="inlineStr">
        <is>
          <t>ks</t>
        </is>
      </c>
      <c r="E21" s="16" t="n">
        <v>1</v>
      </c>
      <c r="F21" s="15" t="inlineStr">
        <is>
          <t>1× sprcha (TZ standard)</t>
        </is>
      </c>
      <c r="G21" s="15" t="inlineStr">
        <is>
          <t>725</t>
        </is>
      </c>
      <c r="H21" s="14" t="inlineStr">
        <is>
          <t>⚠ família ??? (ÚRS online)</t>
        </is>
      </c>
      <c r="I21" s="15" t="inlineStr">
        <is>
          <t>260219_dum.PSV72.006 → PSV72.006c</t>
        </is>
      </c>
      <c r="J21" s="15" t="inlineStr"/>
      <c r="K21" s="15" t="inlineStr">
        <is>
          <t>Zařizovací předmět (725 família).  Doplnit leaf z CS ÚRS online (app.urs.cz, cen. úroveň 2026 01) dle família + popis + Vzorec.</t>
        </is>
      </c>
    </row>
    <row r="22">
      <c r="A22" s="10" t="n">
        <v>18</v>
      </c>
      <c r="B22" s="11" t="inlineStr">
        <is>
          <t>PSV-72 ZTI</t>
        </is>
      </c>
      <c r="C22" s="11" t="inlineStr">
        <is>
          <t>Kuchyňský dřez nerez + montáž — 2 ks (kuchyně 1.06 byt rodičů + kuchyně 3.05 byt 3.NP)</t>
        </is>
      </c>
      <c r="D22" s="10" t="inlineStr">
        <is>
          <t>ks</t>
        </is>
      </c>
      <c r="E22" s="12" t="n">
        <v>2</v>
      </c>
      <c r="F22" s="11" t="inlineStr">
        <is>
          <t>DXF rooms 1.06 + 3.05 kuchyně MTEXT (každá obytná místnost + kuchyně) = 2 dřezy</t>
        </is>
      </c>
      <c r="G22" s="11" t="inlineStr">
        <is>
          <t>725840111</t>
        </is>
      </c>
      <c r="H22" s="10" t="inlineStr">
        <is>
          <t>⚠ kandidát-verify</t>
        </is>
      </c>
      <c r="I22" s="11" t="inlineStr">
        <is>
          <t>260219_dum.PSV72.007</t>
        </is>
      </c>
      <c r="J22" s="11" t="inlineStr"/>
      <c r="K22" s="11" t="inlineStr">
        <is>
          <t>Carried 1:1 (atomic — no decomposition needed)</t>
        </is>
      </c>
    </row>
    <row r="23">
      <c r="A23" s="14" t="n">
        <v>19</v>
      </c>
      <c r="B23" s="15" t="inlineStr">
        <is>
          <t>PSV-72 ZTI</t>
        </is>
      </c>
      <c r="C23" s="15" t="inlineStr">
        <is>
          <t>Rohový ventil WC — dodávka + montáž</t>
        </is>
      </c>
      <c r="D23" s="14" t="inlineStr">
        <is>
          <t>ks</t>
        </is>
      </c>
      <c r="E23" s="16" t="n">
        <v>3</v>
      </c>
      <c r="F23" s="15" t="inlineStr">
        <is>
          <t>3× WC (1.NP + 2.NP + 3.NP)</t>
        </is>
      </c>
      <c r="G23" s="15" t="inlineStr">
        <is>
          <t>725</t>
        </is>
      </c>
      <c r="H23" s="14" t="inlineStr">
        <is>
          <t>⚠ família ??? (ÚRS online)</t>
        </is>
      </c>
      <c r="I23" s="15" t="inlineStr">
        <is>
          <t>260219_dum.PSV72.008 → PSV72.008a</t>
        </is>
      </c>
      <c r="J23" s="15" t="inlineStr"/>
      <c r="K23" s="15" t="inlineStr">
        <is>
          <t>Armatura (725 família).  Doplnit leaf z CS ÚRS online (app.urs.cz, cen. úroveň 2026 01) dle família + popis + Vzorec.</t>
        </is>
      </c>
    </row>
    <row r="24">
      <c r="A24" s="14" t="n">
        <v>20</v>
      </c>
      <c r="B24" s="15" t="inlineStr">
        <is>
          <t>PSV-72 ZTI</t>
        </is>
      </c>
      <c r="C24" s="15" t="inlineStr">
        <is>
          <t>Páková umyvadlová baterie — dodávka + montáž</t>
        </is>
      </c>
      <c r="D24" s="14" t="inlineStr">
        <is>
          <t>ks</t>
        </is>
      </c>
      <c r="E24" s="16" t="n">
        <v>3</v>
      </c>
      <c r="F24" s="15" t="inlineStr">
        <is>
          <t>3× umyvadlo (1.NP + 2.NP + 3.NP)</t>
        </is>
      </c>
      <c r="G24" s="15" t="inlineStr">
        <is>
          <t>725</t>
        </is>
      </c>
      <c r="H24" s="14" t="inlineStr">
        <is>
          <t>⚠ família ??? (ÚRS online)</t>
        </is>
      </c>
      <c r="I24" s="15" t="inlineStr">
        <is>
          <t>260219_dum.PSV72.008 → PSV72.008b</t>
        </is>
      </c>
      <c r="J24" s="15" t="inlineStr"/>
      <c r="K24" s="15" t="inlineStr">
        <is>
          <t>Baterie (725 família).  Doplnit leaf z CS ÚRS online (app.urs.cz, cen. úroveň 2026 01) dle família + popis + Vzorec.</t>
        </is>
      </c>
    </row>
    <row r="25">
      <c r="A25" s="14" t="n">
        <v>21</v>
      </c>
      <c r="B25" s="15" t="inlineStr">
        <is>
          <t>PSV-72 ZTI</t>
        </is>
      </c>
      <c r="C25" s="15" t="inlineStr">
        <is>
          <t>Sprchová / vanová baterie termostatická — dodávka + montáž</t>
        </is>
      </c>
      <c r="D25" s="14" t="inlineStr">
        <is>
          <t>ks</t>
        </is>
      </c>
      <c r="E25" s="16" t="n">
        <v>3</v>
      </c>
      <c r="F25" s="15" t="inlineStr">
        <is>
          <t>1× vana 1.NP + 2× sprcha 2.NP+3.NP</t>
        </is>
      </c>
      <c r="G25" s="15" t="inlineStr">
        <is>
          <t>725</t>
        </is>
      </c>
      <c r="H25" s="14" t="inlineStr">
        <is>
          <t>⚠ família ??? (ÚRS online)</t>
        </is>
      </c>
      <c r="I25" s="15" t="inlineStr">
        <is>
          <t>260219_dum.PSV72.008 → PSV72.008c</t>
        </is>
      </c>
      <c r="J25" s="15" t="inlineStr"/>
      <c r="K25" s="15" t="inlineStr">
        <is>
          <t>Baterie termostat (725 família).  Doplnit leaf z CS ÚRS online (app.urs.cz, cen. úroveň 2026 01) dle família + popis + Vzorec.</t>
        </is>
      </c>
    </row>
    <row r="26">
      <c r="A26" s="14" t="n">
        <v>22</v>
      </c>
      <c r="B26" s="15" t="inlineStr">
        <is>
          <t>PSV-72 ZTI</t>
        </is>
      </c>
      <c r="C26" s="15" t="inlineStr">
        <is>
          <t>Dřezová baterie kuchyňská — dodávka + montáž</t>
        </is>
      </c>
      <c r="D26" s="14" t="inlineStr">
        <is>
          <t>ks</t>
        </is>
      </c>
      <c r="E26" s="16" t="n">
        <v>2</v>
      </c>
      <c r="F26" s="15" t="inlineStr">
        <is>
          <t>2× kuchyně (1.06 + 3.05)</t>
        </is>
      </c>
      <c r="G26" s="15" t="inlineStr">
        <is>
          <t>725</t>
        </is>
      </c>
      <c r="H26" s="14" t="inlineStr">
        <is>
          <t>⚠ família ??? (ÚRS online)</t>
        </is>
      </c>
      <c r="I26" s="15" t="inlineStr">
        <is>
          <t>260219_dum.PSV72.008 → PSV72.008d</t>
        </is>
      </c>
      <c r="J26" s="15" t="inlineStr"/>
      <c r="K26" s="15" t="inlineStr">
        <is>
          <t>Dřezová baterie (725 família).  Doplnit leaf z CS ÚRS online (app.urs.cz, cen. úroveň 2026 01) dle família + popis + Vzorec.</t>
        </is>
      </c>
    </row>
    <row r="27">
      <c r="A27" s="10" t="n">
        <v>23</v>
      </c>
      <c r="B27" s="11" t="inlineStr">
        <is>
          <t>PSV-72 ZTI</t>
        </is>
      </c>
      <c r="C27" s="11" t="inlineStr">
        <is>
          <t>Akumulační zásobník TUV ~300 l v 1.PP napojený na topný systém (sporáková kamna + krb + elektrokotel) — nepřímotop</t>
        </is>
      </c>
      <c r="D27" s="10" t="inlineStr">
        <is>
          <t>ks</t>
        </is>
      </c>
      <c r="E27" s="12" t="n">
        <v>1</v>
      </c>
      <c r="F27" s="11" t="inlineStr">
        <is>
          <t>TZ ARS — 'akumulační zásobník TUV v suterénu napojený na topný systém'</t>
        </is>
      </c>
      <c r="G27" s="11" t="inlineStr">
        <is>
          <t>732419411</t>
        </is>
      </c>
      <c r="H27" s="10" t="inlineStr">
        <is>
          <t>⚠ kandidát-verify</t>
        </is>
      </c>
      <c r="I27" s="11" t="inlineStr">
        <is>
          <t>260219_dum.PSV72.009</t>
        </is>
      </c>
      <c r="J27" s="11" t="inlineStr"/>
      <c r="K27" s="11" t="inlineStr">
        <is>
          <t>Carried 1:1 (atomic — no decomposition needed)</t>
        </is>
      </c>
    </row>
    <row r="28">
      <c r="A28" s="10" t="n">
        <v>24</v>
      </c>
      <c r="B28" s="11" t="inlineStr">
        <is>
          <t>PSV-72 ZTI</t>
        </is>
      </c>
      <c r="C28" s="11" t="inlineStr">
        <is>
          <t>Elektrický bojler ~80 l v koupelně 3.NP (nezávislý zdroj pro samostatný byt)</t>
        </is>
      </c>
      <c r="D28" s="10" t="inlineStr">
        <is>
          <t>ks</t>
        </is>
      </c>
      <c r="E28" s="12" t="n">
        <v>1</v>
      </c>
      <c r="F28" s="11" t="inlineStr">
        <is>
          <t>TZ ARS — 'elektrický bojler v koupelně 3.NP'</t>
        </is>
      </c>
      <c r="G28" s="11" t="inlineStr">
        <is>
          <t>732429211</t>
        </is>
      </c>
      <c r="H28" s="10" t="inlineStr">
        <is>
          <t>⚠ kandidát-verify</t>
        </is>
      </c>
      <c r="I28" s="11" t="inlineStr">
        <is>
          <t>260219_dum.PSV72.010</t>
        </is>
      </c>
      <c r="J28" s="11" t="inlineStr"/>
      <c r="K28" s="11" t="inlineStr">
        <is>
          <t>Carried 1:1 (atomic — no decomposition needed)</t>
        </is>
      </c>
    </row>
    <row r="29">
      <c r="A29" s="10" t="n">
        <v>25</v>
      </c>
      <c r="B29" s="11" t="inlineStr">
        <is>
          <t>PSV-72 ZTI</t>
        </is>
      </c>
      <c r="C29" s="11" t="inlineStr">
        <is>
          <t>Vana koupelnová obdélníková 170×70 cm — koupelna 1.05 1.NP</t>
        </is>
      </c>
      <c r="D29" s="10" t="inlineStr">
        <is>
          <t>ks</t>
        </is>
      </c>
      <c r="E29" s="12" t="n">
        <v>1</v>
      </c>
      <c r="F29" s="11" t="inlineStr">
        <is>
          <t>set split from 260219_dum.PSV72.004 per audit v2 GAP_005 — 1 fixture per item</t>
        </is>
      </c>
      <c r="G29" s="11" t="inlineStr">
        <is>
          <t>725211101</t>
        </is>
      </c>
      <c r="H29" s="10" t="inlineStr">
        <is>
          <t>⚠ kandidát-verify</t>
        </is>
      </c>
      <c r="I29" s="11" t="inlineStr">
        <is>
          <t>260219_dum.PSV72.004.A</t>
        </is>
      </c>
      <c r="J29" s="11" t="inlineStr"/>
      <c r="K29" s="11" t="inlineStr">
        <is>
          <t>Carried 1:1 (atomic — no decomposition needed)</t>
        </is>
      </c>
    </row>
    <row r="30">
      <c r="A30" s="10" t="n">
        <v>26</v>
      </c>
      <c r="B30" s="11" t="inlineStr">
        <is>
          <t>PSV-72 ZTI</t>
        </is>
      </c>
      <c r="C30" s="11" t="inlineStr">
        <is>
          <t>Umyvadlo bílé keramické se sloupcem 60 cm — koupelna 1.05 1.NP</t>
        </is>
      </c>
      <c r="D30" s="10" t="inlineStr">
        <is>
          <t>ks</t>
        </is>
      </c>
      <c r="E30" s="12" t="n">
        <v>1</v>
      </c>
      <c r="F30" s="11" t="inlineStr">
        <is>
          <t>set split from 260219_dum.PSV72.004 per audit v2 GAP_005 — 1 fixture per item</t>
        </is>
      </c>
      <c r="G30" s="11" t="inlineStr">
        <is>
          <t>725311111</t>
        </is>
      </c>
      <c r="H30" s="10" t="inlineStr">
        <is>
          <t>⚠ kandidát-verify</t>
        </is>
      </c>
      <c r="I30" s="11" t="inlineStr">
        <is>
          <t>260219_dum.PSV72.004.B</t>
        </is>
      </c>
      <c r="J30" s="11" t="inlineStr"/>
      <c r="K30" s="11" t="inlineStr">
        <is>
          <t>Carried 1:1 (atomic — no decomposition needed)</t>
        </is>
      </c>
    </row>
    <row r="31">
      <c r="A31" s="10" t="n">
        <v>27</v>
      </c>
      <c r="B31" s="11" t="inlineStr">
        <is>
          <t>PSV-72 ZTI</t>
        </is>
      </c>
      <c r="C31" s="11" t="inlineStr">
        <is>
          <t>WC kombi keramické bílé — koupelna 1.05 1.NP</t>
        </is>
      </c>
      <c r="D31" s="10" t="inlineStr">
        <is>
          <t>ks</t>
        </is>
      </c>
      <c r="E31" s="12" t="n">
        <v>1</v>
      </c>
      <c r="F31" s="11" t="inlineStr">
        <is>
          <t>set split from 260219_dum.PSV72.004 per audit v2 GAP_005 — 1 fixture per item</t>
        </is>
      </c>
      <c r="G31" s="11" t="inlineStr">
        <is>
          <t>725111101</t>
        </is>
      </c>
      <c r="H31" s="10" t="inlineStr">
        <is>
          <t>⚠ kandidát-verify</t>
        </is>
      </c>
      <c r="I31" s="11" t="inlineStr">
        <is>
          <t>260219_dum.PSV72.004.C</t>
        </is>
      </c>
      <c r="J31" s="11" t="inlineStr"/>
      <c r="K31" s="11" t="inlineStr">
        <is>
          <t>Carried 1:1 (atomic — no decomposition needed)</t>
        </is>
      </c>
    </row>
    <row r="32">
      <c r="A32" s="10" t="n">
        <v>28</v>
      </c>
      <c r="B32" s="11" t="inlineStr">
        <is>
          <t>PSV-72 ZTI</t>
        </is>
      </c>
      <c r="C32" s="11" t="inlineStr">
        <is>
          <t>Umyvadlo bílé keramické se sloupcem 60 cm — koupelna 2.03 2.NP</t>
        </is>
      </c>
      <c r="D32" s="10" t="inlineStr">
        <is>
          <t>ks</t>
        </is>
      </c>
      <c r="E32" s="12" t="n">
        <v>1</v>
      </c>
      <c r="F32" s="11" t="inlineStr">
        <is>
          <t>set split from 260219_dum.PSV72.005 per audit v2 GAP_005 — 1 fixture per item</t>
        </is>
      </c>
      <c r="G32" s="11" t="inlineStr">
        <is>
          <t>725311111</t>
        </is>
      </c>
      <c r="H32" s="10" t="inlineStr">
        <is>
          <t>⚠ kandidát-verify</t>
        </is>
      </c>
      <c r="I32" s="11" t="inlineStr">
        <is>
          <t>260219_dum.PSV72.005.A</t>
        </is>
      </c>
      <c r="J32" s="11" t="inlineStr"/>
      <c r="K32" s="11" t="inlineStr">
        <is>
          <t>Carried 1:1 (atomic — no decomposition needed)</t>
        </is>
      </c>
    </row>
    <row r="33">
      <c r="A33" s="10" t="n">
        <v>29</v>
      </c>
      <c r="B33" s="11" t="inlineStr">
        <is>
          <t>PSV-72 ZTI</t>
        </is>
      </c>
      <c r="C33" s="11" t="inlineStr">
        <is>
          <t>Sprchový kout 90×90 cm vč. vaničky + skleněných dveří — koupelna 2.03 2.NP</t>
        </is>
      </c>
      <c r="D33" s="10" t="inlineStr">
        <is>
          <t>ks</t>
        </is>
      </c>
      <c r="E33" s="12" t="n">
        <v>1</v>
      </c>
      <c r="F33" s="11" t="inlineStr">
        <is>
          <t>set split from 260219_dum.PSV72.005 per audit v2 GAP_005 — 1 fixture per item</t>
        </is>
      </c>
      <c r="G33" s="11" t="inlineStr">
        <is>
          <t>725221201</t>
        </is>
      </c>
      <c r="H33" s="10" t="inlineStr">
        <is>
          <t>⚠ kandidát-verify</t>
        </is>
      </c>
      <c r="I33" s="11" t="inlineStr">
        <is>
          <t>260219_dum.PSV72.005.B</t>
        </is>
      </c>
      <c r="J33" s="11" t="inlineStr"/>
      <c r="K33" s="11" t="inlineStr">
        <is>
          <t>Carried 1:1 (atomic — no decomposition needed)</t>
        </is>
      </c>
    </row>
    <row r="34">
      <c r="A34" s="10" t="n">
        <v>30</v>
      </c>
      <c r="B34" s="11" t="inlineStr">
        <is>
          <t>PSV-72 ZTI</t>
        </is>
      </c>
      <c r="C34" s="11" t="inlineStr">
        <is>
          <t>WC kombi keramické bílé — koupelna 2.03 2.NP</t>
        </is>
      </c>
      <c r="D34" s="10" t="inlineStr">
        <is>
          <t>ks</t>
        </is>
      </c>
      <c r="E34" s="12" t="n">
        <v>1</v>
      </c>
      <c r="F34" s="11" t="inlineStr">
        <is>
          <t>set split from 260219_dum.PSV72.005 per audit v2 GAP_005 — 1 fixture per item</t>
        </is>
      </c>
      <c r="G34" s="11" t="inlineStr">
        <is>
          <t>725111101</t>
        </is>
      </c>
      <c r="H34" s="10" t="inlineStr">
        <is>
          <t>⚠ kandidát-verify</t>
        </is>
      </c>
      <c r="I34" s="11" t="inlineStr">
        <is>
          <t>260219_dum.PSV72.005.C</t>
        </is>
      </c>
      <c r="J34" s="11" t="inlineStr"/>
      <c r="K34" s="11" t="inlineStr">
        <is>
          <t>Carried 1:1 (atomic — no decomposition needed)</t>
        </is>
      </c>
    </row>
    <row r="35">
      <c r="A35" s="10" t="n">
        <v>31</v>
      </c>
      <c r="B35" s="11" t="inlineStr">
        <is>
          <t>PSV-72 ZTI</t>
        </is>
      </c>
      <c r="C35" s="11" t="inlineStr">
        <is>
          <t>WC kombi keramické bílé — koupelna 3.04 3.NP</t>
        </is>
      </c>
      <c r="D35" s="10" t="inlineStr">
        <is>
          <t>ks</t>
        </is>
      </c>
      <c r="E35" s="12" t="n">
        <v>1</v>
      </c>
      <c r="F35" s="11" t="inlineStr">
        <is>
          <t>set split from 260219_dum.PSV72.006 per audit v2 GAP_005 — 1 fixture per item</t>
        </is>
      </c>
      <c r="G35" s="11" t="inlineStr">
        <is>
          <t>725111101</t>
        </is>
      </c>
      <c r="H35" s="10" t="inlineStr">
        <is>
          <t>⚠ kandidát-verify</t>
        </is>
      </c>
      <c r="I35" s="11" t="inlineStr">
        <is>
          <t>260219_dum.PSV72.006.A</t>
        </is>
      </c>
      <c r="J35" s="11" t="inlineStr"/>
      <c r="K35" s="11" t="inlineStr">
        <is>
          <t>Carried 1:1 (atomic — no decomposition needed)</t>
        </is>
      </c>
    </row>
    <row r="36">
      <c r="A36" s="10" t="n">
        <v>32</v>
      </c>
      <c r="B36" s="11" t="inlineStr">
        <is>
          <t>PSV-72 ZTI</t>
        </is>
      </c>
      <c r="C36" s="11" t="inlineStr">
        <is>
          <t>Umyvadlo bílé keramické se sloupcem 60 cm — koupelna 3.04 3.NP</t>
        </is>
      </c>
      <c r="D36" s="10" t="inlineStr">
        <is>
          <t>ks</t>
        </is>
      </c>
      <c r="E36" s="12" t="n">
        <v>1</v>
      </c>
      <c r="F36" s="11" t="inlineStr">
        <is>
          <t>set split from 260219_dum.PSV72.006 per audit v2 GAP_005 — 1 fixture per item</t>
        </is>
      </c>
      <c r="G36" s="11" t="inlineStr">
        <is>
          <t>725311111</t>
        </is>
      </c>
      <c r="H36" s="10" t="inlineStr">
        <is>
          <t>⚠ kandidát-verify</t>
        </is>
      </c>
      <c r="I36" s="11" t="inlineStr">
        <is>
          <t>260219_dum.PSV72.006.B</t>
        </is>
      </c>
      <c r="J36" s="11" t="inlineStr"/>
      <c r="K36" s="11" t="inlineStr">
        <is>
          <t>Carried 1:1 (atomic — no decomposition needed)</t>
        </is>
      </c>
    </row>
    <row r="37">
      <c r="A37" s="10" t="n">
        <v>33</v>
      </c>
      <c r="B37" s="11" t="inlineStr">
        <is>
          <t>PSV-72 ZTI</t>
        </is>
      </c>
      <c r="C37" s="11" t="inlineStr">
        <is>
          <t>Sprchový kout 90×90 cm vč. vaničky + skleněných dveří — koupelna 3.04 3.NP</t>
        </is>
      </c>
      <c r="D37" s="10" t="inlineStr">
        <is>
          <t>ks</t>
        </is>
      </c>
      <c r="E37" s="12" t="n">
        <v>1</v>
      </c>
      <c r="F37" s="11" t="inlineStr">
        <is>
          <t>set split from 260219_dum.PSV72.006 per audit v2 GAP_005 — 1 fixture per item</t>
        </is>
      </c>
      <c r="G37" s="11" t="inlineStr">
        <is>
          <t>725221201</t>
        </is>
      </c>
      <c r="H37" s="10" t="inlineStr">
        <is>
          <t>⚠ kandidát-verify</t>
        </is>
      </c>
      <c r="I37" s="11" t="inlineStr">
        <is>
          <t>260219_dum.PSV72.006.C</t>
        </is>
      </c>
      <c r="J37" s="11" t="inlineStr"/>
      <c r="K37" s="11" t="inlineStr">
        <is>
          <t>Carried 1:1 (atomic — no decomposition needed)</t>
        </is>
      </c>
    </row>
    <row r="38">
      <c r="A38" s="8" t="inlineStr">
        <is>
          <t>━━ PSV-73 Vytápění  (8 atomic operací) ━━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>
      <c r="A39" s="10" t="n">
        <v>34</v>
      </c>
      <c r="B39" s="11" t="inlineStr">
        <is>
          <t>PSV-73 Vytápění</t>
        </is>
      </c>
      <c r="C39" s="11" t="inlineStr">
        <is>
          <t>Sporáková kamna na tuhá paliva ~10 kW s akumulačním zásobníkem TUV — dodávka</t>
        </is>
      </c>
      <c r="D39" s="10" t="inlineStr">
        <is>
          <t>ks</t>
        </is>
      </c>
      <c r="E39" s="12" t="n">
        <v>1</v>
      </c>
      <c r="F39" s="11" t="inlineStr">
        <is>
          <t>TZ ARS dům §4 — sporáková kamna v 1.PP/1.NP zóně</t>
        </is>
      </c>
      <c r="G39" s="11" t="inlineStr">
        <is>
          <t>733241011</t>
        </is>
      </c>
      <c r="H39" s="10" t="inlineStr">
        <is>
          <t>⚠ kandidát-verify</t>
        </is>
      </c>
      <c r="I39" s="11" t="inlineStr">
        <is>
          <t>260219_dum.PSV73.001</t>
        </is>
      </c>
      <c r="J39" s="11" t="inlineStr"/>
      <c r="K39" s="11" t="inlineStr">
        <is>
          <t>Carried 1:1 (atomic — no decomposition needed)</t>
        </is>
      </c>
    </row>
    <row r="40">
      <c r="A40" s="10" t="n">
        <v>35</v>
      </c>
      <c r="B40" s="11" t="inlineStr">
        <is>
          <t>PSV-73 Vytápění</t>
        </is>
      </c>
      <c r="C40" s="11" t="inlineStr">
        <is>
          <t>Sporáková kamna — montáž vč. napojení na komín + akumulační zásobník (cca 8 Nh)</t>
        </is>
      </c>
      <c r="D40" s="10" t="inlineStr">
        <is>
          <t>kpl</t>
        </is>
      </c>
      <c r="E40" s="12" t="n">
        <v>1</v>
      </c>
      <c r="F40" s="11">
        <f> ks kamen</f>
        <v/>
      </c>
      <c r="G40" s="11" t="inlineStr">
        <is>
          <t>733281011</t>
        </is>
      </c>
      <c r="H40" s="10" t="inlineStr">
        <is>
          <t>⚠ kandidát-verify</t>
        </is>
      </c>
      <c r="I40" s="11" t="inlineStr">
        <is>
          <t>260219_dum.PSV73.002</t>
        </is>
      </c>
      <c r="J40" s="11" t="inlineStr"/>
      <c r="K40" s="11" t="inlineStr">
        <is>
          <t>Carried 1:1 (atomic — no decomposition needed)</t>
        </is>
      </c>
    </row>
    <row r="41">
      <c r="A41" s="10" t="n">
        <v>36</v>
      </c>
      <c r="B41" s="11" t="inlineStr">
        <is>
          <t>PSV-73 Vytápění</t>
        </is>
      </c>
      <c r="C41" s="11" t="inlineStr">
        <is>
          <t>Elektrokotel ~8 kW pro 3.NP samostatný byt — dodávka + montáž + napojení</t>
        </is>
      </c>
      <c r="D41" s="10" t="inlineStr">
        <is>
          <t>ks</t>
        </is>
      </c>
      <c r="E41" s="12" t="n">
        <v>1</v>
      </c>
      <c r="F41" s="11" t="inlineStr">
        <is>
          <t>TZ ARS — elektrokotel pro 3.NP samostatný byt</t>
        </is>
      </c>
      <c r="G41" s="11" t="inlineStr">
        <is>
          <t>733131221</t>
        </is>
      </c>
      <c r="H41" s="10" t="inlineStr">
        <is>
          <t>⚠ kandidát-verify</t>
        </is>
      </c>
      <c r="I41" s="11" t="inlineStr">
        <is>
          <t>260219_dum.PSV73.003</t>
        </is>
      </c>
      <c r="J41" s="11" t="inlineStr"/>
      <c r="K41" s="11" t="inlineStr">
        <is>
          <t>Carried 1:1 (atomic — no decomposition needed)</t>
        </is>
      </c>
    </row>
    <row r="42">
      <c r="A42" s="10" t="n">
        <v>37</v>
      </c>
      <c r="B42" s="11" t="inlineStr">
        <is>
          <t>PSV-73 Vytápění</t>
        </is>
      </c>
      <c r="C42" s="11" t="inlineStr">
        <is>
          <t>Krb na tuhá paliva v 3.NP ~6 kW — dodávka + montáž s napojením na samostatný komín</t>
        </is>
      </c>
      <c r="D42" s="10" t="inlineStr">
        <is>
          <t>ks</t>
        </is>
      </c>
      <c r="E42" s="12" t="n">
        <v>1</v>
      </c>
      <c r="F42" s="11" t="inlineStr">
        <is>
          <t>TZ ARS — 'krbem na tuhá paliva' v 3.NP</t>
        </is>
      </c>
      <c r="G42" s="11" t="inlineStr">
        <is>
          <t>733241011</t>
        </is>
      </c>
      <c r="H42" s="10" t="inlineStr">
        <is>
          <t>⚠ kandidát-verify</t>
        </is>
      </c>
      <c r="I42" s="11" t="inlineStr">
        <is>
          <t>260219_dum.PSV73.004</t>
        </is>
      </c>
      <c r="J42" s="11" t="inlineStr"/>
      <c r="K42" s="11" t="inlineStr">
        <is>
          <t>Carried 1:1 (atomic — no decomposition needed)</t>
        </is>
      </c>
    </row>
    <row r="43">
      <c r="A43" s="10" t="n">
        <v>38</v>
      </c>
      <c r="B43" s="11" t="inlineStr">
        <is>
          <t>PSV-73 Vytápění</t>
        </is>
      </c>
      <c r="C43" s="11" t="inlineStr">
        <is>
          <t>Multisplit tepelné čerpadlo vzduch-vzduch — 1× venkovní jednotka ~10 kW (silent mode hl. tlaku ≤49 dBA)</t>
        </is>
      </c>
      <c r="D43" s="10" t="inlineStr">
        <is>
          <t>ks</t>
        </is>
      </c>
      <c r="E43" s="12" t="n">
        <v>1</v>
      </c>
      <c r="F43" s="11" t="inlineStr">
        <is>
          <t>TZ ARS — multisplit TČ vzduch-vzduch</t>
        </is>
      </c>
      <c r="G43" s="11" t="inlineStr">
        <is>
          <t>733425211</t>
        </is>
      </c>
      <c r="H43" s="10" t="inlineStr">
        <is>
          <t>⚠ kandidát-verify</t>
        </is>
      </c>
      <c r="I43" s="11" t="inlineStr">
        <is>
          <t>260219_dum.PSV73.005</t>
        </is>
      </c>
      <c r="J43" s="11" t="inlineStr"/>
      <c r="K43" s="11" t="inlineStr">
        <is>
          <t>Carried 1:1 (atomic — no decomposition needed)</t>
        </is>
      </c>
    </row>
    <row r="44">
      <c r="A44" s="10" t="n">
        <v>39</v>
      </c>
      <c r="B44" s="11" t="inlineStr">
        <is>
          <t>PSV-73 Vytápění</t>
        </is>
      </c>
      <c r="C44" s="11" t="inlineStr">
        <is>
          <t>Multisplit TČ — 5× vnitřní jednotka v obytných místnostech (1.NP, 2.NP, 3.NP — chlazení + vytápění)</t>
        </is>
      </c>
      <c r="D44" s="10" t="inlineStr">
        <is>
          <t>ks</t>
        </is>
      </c>
      <c r="E44" s="12" t="n">
        <v>5</v>
      </c>
      <c r="F44" s="11" t="inlineStr">
        <is>
          <t>TZ ARS — 'vnitřní jednotky v obytných místnostech', odhad 5 ks (3 patra × ~1.7 j/patro)</t>
        </is>
      </c>
      <c r="G44" s="11" t="inlineStr">
        <is>
          <t>733425221</t>
        </is>
      </c>
      <c r="H44" s="10" t="inlineStr">
        <is>
          <t>⚠ kandidát-verify</t>
        </is>
      </c>
      <c r="I44" s="11" t="inlineStr">
        <is>
          <t>260219_dum.PSV73.006</t>
        </is>
      </c>
      <c r="J44" s="11" t="inlineStr"/>
      <c r="K44" s="11" t="inlineStr">
        <is>
          <t>Carried 1:1 (atomic — no decomposition needed)</t>
        </is>
      </c>
    </row>
    <row r="45">
      <c r="A45" s="10" t="n">
        <v>40</v>
      </c>
      <c r="B45" s="11" t="inlineStr">
        <is>
          <t>PSV-73 Vytápění</t>
        </is>
      </c>
      <c r="C45" s="11" t="inlineStr">
        <is>
          <t>Revize stávajícího komínu — kontrola, čištění, vystrojení vložkou nerez DN160 pro kamna + krb 3.NP</t>
        </is>
      </c>
      <c r="D45" s="10" t="inlineStr">
        <is>
          <t>kpl</t>
        </is>
      </c>
      <c r="E45" s="12" t="n">
        <v>1</v>
      </c>
      <c r="F45" s="11" t="inlineStr">
        <is>
          <t>TZ ARS — komín revize a úpravy stávajícího</t>
        </is>
      </c>
      <c r="G45" s="11" t="inlineStr">
        <is>
          <t>734262122</t>
        </is>
      </c>
      <c r="H45" s="10" t="inlineStr">
        <is>
          <t>⚠ kandidát-verify</t>
        </is>
      </c>
      <c r="I45" s="11" t="inlineStr">
        <is>
          <t>260219_dum.PSV73.007</t>
        </is>
      </c>
      <c r="J45" s="11" t="inlineStr"/>
      <c r="K45" s="11" t="inlineStr">
        <is>
          <t>Carried 1:1 (atomic — no decomposition needed)</t>
        </is>
      </c>
    </row>
    <row r="46">
      <c r="A46" s="10" t="n">
        <v>41</v>
      </c>
      <c r="B46" s="11" t="inlineStr">
        <is>
          <t>PSV-73 Vytápění</t>
        </is>
      </c>
      <c r="C46" s="11" t="inlineStr">
        <is>
          <t>Rozvody otopné soustavy Cu/PEX k vnitřním jednotkám TČ + radiátorům pro doplňkové (cca 100 bm odhad)</t>
        </is>
      </c>
      <c r="D46" s="10" t="inlineStr">
        <is>
          <t>bm</t>
        </is>
      </c>
      <c r="E46" s="12" t="n">
        <v>100</v>
      </c>
      <c r="F46" s="11" t="inlineStr">
        <is>
          <t>TZ ARS — vyjasnění #6 working assumption, multisplit + doplň. radiátory</t>
        </is>
      </c>
      <c r="G46" s="11" t="inlineStr">
        <is>
          <t>733111021</t>
        </is>
      </c>
      <c r="H46" s="10" t="inlineStr">
        <is>
          <t>⚠ kandidát-verify</t>
        </is>
      </c>
      <c r="I46" s="11" t="inlineStr">
        <is>
          <t>260219_dum.PSV73.008</t>
        </is>
      </c>
      <c r="J46" s="11" t="inlineStr"/>
      <c r="K46" s="11" t="inlineStr">
        <is>
          <t>Carried 1:1 (atomic — no decomposition needed)</t>
        </is>
      </c>
    </row>
    <row r="47">
      <c r="A47" s="8" t="inlineStr">
        <is>
          <t>━━ PSV-76 Klempíř  (5 atomic operací) ━━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>
      <c r="A48" s="10" t="n">
        <v>42</v>
      </c>
      <c r="B48" s="11" t="inlineStr">
        <is>
          <t>PSV-76 Klempíř</t>
        </is>
      </c>
      <c r="C48" s="11" t="inlineStr">
        <is>
          <t>Klempířské oplechování krytiny — úžlabí, hřeben, štítové lemy (Al / Pzn lakovaný 0.55 mm)</t>
        </is>
      </c>
      <c r="D48" s="10" t="inlineStr">
        <is>
          <t>bm</t>
        </is>
      </c>
      <c r="E48" s="12" t="n">
        <v>69.5</v>
      </c>
      <c r="F48" s="11" t="inlineStr">
        <is>
          <t>DXF klempířina total 173.8 m × 0.40 (oplechování+úžlabí+hřeben+lemy) = 69.5 bm</t>
        </is>
      </c>
      <c r="G48" s="13" t="inlineStr">
        <is>
          <t>764312235</t>
        </is>
      </c>
      <c r="H48" s="10" t="inlineStr">
        <is>
          <t>⚠ kandidát-verify</t>
        </is>
      </c>
      <c r="I48" s="11" t="inlineStr">
        <is>
          <t>260219_dum.PSV76.001</t>
        </is>
      </c>
      <c r="J48" s="11" t="inlineStr"/>
      <c r="K48" s="11" t="inlineStr">
        <is>
          <t>Carried 1:1 (atomic — no decomposition needed)</t>
        </is>
      </c>
    </row>
    <row r="49">
      <c r="A49" s="10" t="n">
        <v>43</v>
      </c>
      <c r="B49" s="11" t="inlineStr">
        <is>
          <t>PSV-76 Klempíř</t>
        </is>
      </c>
      <c r="C49" s="11" t="inlineStr">
        <is>
          <t>Venkovní parapety oken — Pzn plech lakovaný 250 mm × tl. 0.55 mm × 16 ks oken</t>
        </is>
      </c>
      <c r="D49" s="10" t="inlineStr">
        <is>
          <t>bm</t>
        </is>
      </c>
      <c r="E49" s="12" t="n">
        <v>20.8</v>
      </c>
      <c r="F49" s="11">
        <f> 16 oken (DXF INSERT) × průměrná šíře 1.3 m parapetu</f>
        <v/>
      </c>
      <c r="G49" s="13" t="inlineStr">
        <is>
          <t>764218201</t>
        </is>
      </c>
      <c r="H49" s="10" t="inlineStr">
        <is>
          <t>⚠ kandidát-verify</t>
        </is>
      </c>
      <c r="I49" s="11" t="inlineStr">
        <is>
          <t>260219_dum.PSV76.002</t>
        </is>
      </c>
      <c r="J49" s="11" t="inlineStr"/>
      <c r="K49" s="11" t="inlineStr">
        <is>
          <t>Carried 1:1 (atomic — no decomposition needed)</t>
        </is>
      </c>
    </row>
    <row r="50">
      <c r="A50" s="14" t="n">
        <v>44</v>
      </c>
      <c r="B50" s="15" t="inlineStr">
        <is>
          <t>PSV-76 Klempíř</t>
        </is>
      </c>
      <c r="C50" s="15" t="inlineStr">
        <is>
          <t>Dešťové svody Pzn Ø100 mm — 4 svody</t>
        </is>
      </c>
      <c r="D50" s="14" t="inlineStr">
        <is>
          <t>bm</t>
        </is>
      </c>
      <c r="E50" s="16" t="n">
        <v>28</v>
      </c>
      <c r="F50" s="15" t="inlineStr">
        <is>
          <t>4 svody × ~7 m výška = 28 bm</t>
        </is>
      </c>
      <c r="G50" s="15" t="inlineStr">
        <is>
          <t>764</t>
        </is>
      </c>
      <c r="H50" s="14" t="inlineStr">
        <is>
          <t>⚠ família ??? (ÚRS online)</t>
        </is>
      </c>
      <c r="I50" s="15" t="inlineStr">
        <is>
          <t>260219_dum.PSV76.003 → PSV76.003a</t>
        </is>
      </c>
      <c r="J50" s="15" t="inlineStr"/>
      <c r="K50" s="15" t="inlineStr">
        <is>
          <t>Klempířské svody (764 família).  Doplnit leaf z CS ÚRS online (app.urs.cz, cen. úroveň 2026 01) dle família + popis + Vzorec.</t>
        </is>
      </c>
    </row>
    <row r="51">
      <c r="A51" s="14" t="n">
        <v>45</v>
      </c>
      <c r="B51" s="15" t="inlineStr">
        <is>
          <t>PSV-76 Klempíř</t>
        </is>
      </c>
      <c r="C51" s="15" t="inlineStr">
        <is>
          <t>Podokapní žlaby Pzn — po obvodu střechy</t>
        </is>
      </c>
      <c r="D51" s="14" t="inlineStr">
        <is>
          <t>bm</t>
        </is>
      </c>
      <c r="E51" s="16" t="n">
        <v>15.5</v>
      </c>
      <c r="F51" s="15">
        <f> PSV76.003 celkem 43.5 bm − svody 28 bm = 15.5 bm žlaby</f>
        <v/>
      </c>
      <c r="G51" s="15" t="inlineStr">
        <is>
          <t>764</t>
        </is>
      </c>
      <c r="H51" s="14" t="inlineStr">
        <is>
          <t>⚠ família ??? (ÚRS online)</t>
        </is>
      </c>
      <c r="I51" s="15" t="inlineStr">
        <is>
          <t>260219_dum.PSV76.003 → PSV76.003b</t>
        </is>
      </c>
      <c r="J51" s="15" t="inlineStr"/>
      <c r="K51" s="15" t="inlineStr">
        <is>
          <t>Klempířské žlaby (764 família).  Doplnit leaf z CS ÚRS online (app.urs.cz, cen. úroveň 2026 01) dle família + popis + Vzorec.</t>
        </is>
      </c>
    </row>
    <row r="52">
      <c r="A52" s="10" t="n">
        <v>46</v>
      </c>
      <c r="B52" s="11" t="inlineStr">
        <is>
          <t>PSV-76 Klempíř</t>
        </is>
      </c>
      <c r="C52" s="11" t="inlineStr">
        <is>
          <t>Klempířské doplňky vikýřů + atika + závětrné lemy (4 vikýře komplexní detail)</t>
        </is>
      </c>
      <c r="D52" s="10" t="inlineStr">
        <is>
          <t>bm</t>
        </is>
      </c>
      <c r="E52" s="12" t="n">
        <v>26.1</v>
      </c>
      <c r="F52" s="11" t="inlineStr">
        <is>
          <t>DXF klempířina total 173.8 m × 0.15 (vikýře+atika+lemy) = 26.1 bm</t>
        </is>
      </c>
      <c r="G52" s="13" t="inlineStr">
        <is>
          <t>764315235</t>
        </is>
      </c>
      <c r="H52" s="10" t="inlineStr">
        <is>
          <t>⚠ kandidát-verify</t>
        </is>
      </c>
      <c r="I52" s="11" t="inlineStr">
        <is>
          <t>260219_dum.PSV76.004</t>
        </is>
      </c>
      <c r="J52" s="11" t="inlineStr"/>
      <c r="K52" s="11" t="inlineStr">
        <is>
          <t>Carried 1:1 (atomic — no decomposition needed)</t>
        </is>
      </c>
    </row>
    <row r="53">
      <c r="A53" s="8" t="inlineStr">
        <is>
          <t>━━ PSV-76 Truhlář  (3 atomic operací) ━━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>
      <c r="A54" s="10" t="n">
        <v>47</v>
      </c>
      <c r="B54" s="11" t="inlineStr">
        <is>
          <t>PSV-76 Truhlář</t>
        </is>
      </c>
      <c r="C54" s="11" t="inlineStr">
        <is>
          <t>Dřevěné stupně ocelových schodišť (truhlářské, dub masiv tl. 40 mm)</t>
        </is>
      </c>
      <c r="D54" s="10" t="inlineStr">
        <is>
          <t>ks</t>
        </is>
      </c>
      <c r="E54" s="12" t="n">
        <v>16</v>
      </c>
      <c r="F54" s="11" t="inlineStr">
        <is>
          <t>2 schodiště × ~8 stupňů = 16</t>
        </is>
      </c>
      <c r="G54" s="11" t="inlineStr">
        <is>
          <t>766811111</t>
        </is>
      </c>
      <c r="H54" s="10" t="inlineStr">
        <is>
          <t>⚠ kandidát-verify</t>
        </is>
      </c>
      <c r="I54" s="11" t="inlineStr">
        <is>
          <t>260219_dum.PSV76.001</t>
        </is>
      </c>
      <c r="J54" s="11" t="inlineStr"/>
      <c r="K54" s="11" t="inlineStr">
        <is>
          <t>Carried 1:1 (atomic — no decomposition needed)</t>
        </is>
      </c>
    </row>
    <row r="55">
      <c r="A55" s="14" t="n">
        <v>48</v>
      </c>
      <c r="B55" s="15" t="inlineStr">
        <is>
          <t>PSV-76 Truhlář</t>
        </is>
      </c>
      <c r="C55" s="15" t="inlineStr">
        <is>
          <t>Podkladní rošt z dřevěných hranolů 50 mm na rektifikovatelných terčích — terasa za opěrnou stěnou</t>
        </is>
      </c>
      <c r="D55" s="14" t="inlineStr">
        <is>
          <t>m²</t>
        </is>
      </c>
      <c r="E55" s="16" t="n">
        <v>9.23</v>
      </c>
      <c r="F55" s="15">
        <f> PSV76.002 plocha terasy 9.23 m² (situace měření)</f>
        <v/>
      </c>
      <c r="G55" s="15" t="inlineStr">
        <is>
          <t>762</t>
        </is>
      </c>
      <c r="H55" s="14" t="inlineStr">
        <is>
          <t>⚠ família ??? (ÚRS online)</t>
        </is>
      </c>
      <c r="I55" s="15" t="inlineStr">
        <is>
          <t>260219_dum.PSV76.002 → PSV76.002a</t>
        </is>
      </c>
      <c r="J55" s="15" t="inlineStr"/>
      <c r="K55" s="15" t="inlineStr">
        <is>
          <t>ŘEZ C-C: dřevěný rošt z hranolů (NE hliníkový — oprava). Família 762 tesařské/truhlářské. Terče viz HSV1.005a.  Doplnit leaf z CS ÚRS online (app.urs.cz, cen. úroveň 2026 01) dle família + popis + Vzorec.</t>
        </is>
      </c>
    </row>
    <row r="56">
      <c r="A56" s="14" t="n">
        <v>49</v>
      </c>
      <c r="B56" s="15" t="inlineStr">
        <is>
          <t>PSV-76 Truhlář</t>
        </is>
      </c>
      <c r="C56" s="15" t="inlineStr">
        <is>
          <t>Terasová dřevěná prkna garapa 145×25 mm — montáž na dřevěný rošt, terasa za opěrnou stěnou</t>
        </is>
      </c>
      <c r="D56" s="14" t="inlineStr">
        <is>
          <t>m²</t>
        </is>
      </c>
      <c r="E56" s="16" t="n">
        <v>9.23</v>
      </c>
      <c r="F56" s="15">
        <f> PSV76.002 plocha terasy 9.23 m² (situace měření)</f>
        <v/>
      </c>
      <c r="G56" s="15" t="inlineStr">
        <is>
          <t>762</t>
        </is>
      </c>
      <c r="H56" s="14" t="inlineStr">
        <is>
          <t>⚠ família ??? (ÚRS online)</t>
        </is>
      </c>
      <c r="I56" s="15" t="inlineStr">
        <is>
          <t>260219_dum.PSV76.002 → PSV76.002b</t>
        </is>
      </c>
      <c r="J56" s="15" t="inlineStr"/>
      <c r="K56" s="15" t="inlineStr">
        <is>
          <t>Pochozí dřevěná vrstva (garapa prkna 25 mm). Família 762. Kód 771474112 byl WRONG domain (dlaždice) — odstraněn (Pattern 26).  Doplnit leaf z CS ÚRS online (app.urs.cz, cen. úroveň 2026 01) dle família + popis + Vzorec.</t>
        </is>
      </c>
    </row>
    <row r="57">
      <c r="A57" s="8" t="inlineStr">
        <is>
          <t>━━ PSV-76 Výplně otvorů  (12 atomic operací) ━━</t>
        </is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>
      <c r="A58" s="10" t="n">
        <v>50</v>
      </c>
      <c r="B58" s="11" t="inlineStr">
        <is>
          <t>PSV-76 Výplně otvorů</t>
        </is>
      </c>
      <c r="C58" s="11" t="inlineStr">
        <is>
          <t>Plastové okno izolačním trojsklem Uw=0.85 W/m²K — typ 'okno 1.NP' velikost 1185×1600 mm × 2 ks (fasáda ulice)</t>
        </is>
      </c>
      <c r="D58" s="10" t="inlineStr">
        <is>
          <t>ks</t>
        </is>
      </c>
      <c r="E58" s="12" t="n">
        <v>2</v>
      </c>
      <c r="F58" s="11" t="inlineStr">
        <is>
          <t>DXF INSERT block name 'okno 1.NP' count = 2 ks × bbox 1185×1600 mm = 3.8 m² fasády</t>
        </is>
      </c>
      <c r="G58" s="13" t="inlineStr">
        <is>
          <t>766621011</t>
        </is>
      </c>
      <c r="H58" s="10" t="inlineStr">
        <is>
          <t>⚠ kandidát-verify</t>
        </is>
      </c>
      <c r="I58" s="11" t="inlineStr">
        <is>
          <t>260219_dum.PSV76.001</t>
        </is>
      </c>
      <c r="J58" s="11" t="inlineStr"/>
      <c r="K58" s="11" t="inlineStr">
        <is>
          <t>Carried 1:1 (atomic — no decomposition needed)</t>
        </is>
      </c>
    </row>
    <row r="59">
      <c r="A59" s="10" t="n">
        <v>51</v>
      </c>
      <c r="B59" s="11" t="inlineStr">
        <is>
          <t>PSV-76 Výplně otvorů</t>
        </is>
      </c>
      <c r="C59" s="11" t="inlineStr">
        <is>
          <t>Plastové okno izolačním trojsklem Uw=0.85 W/m²K — typ 'okno 1.NP vzadu' velikost 920×1600 mm × 3 ks (fasáda zahrada)</t>
        </is>
      </c>
      <c r="D59" s="10" t="inlineStr">
        <is>
          <t>ks</t>
        </is>
      </c>
      <c r="E59" s="12" t="n">
        <v>3</v>
      </c>
      <c r="F59" s="11" t="inlineStr">
        <is>
          <t>DXF INSERT block name 'okno 1.NP vzadu' count = 3 ks × bbox 920×1600 mm = 4.41 m² fasády</t>
        </is>
      </c>
      <c r="G59" s="11" t="inlineStr">
        <is>
          <t>766621011</t>
        </is>
      </c>
      <c r="H59" s="10" t="inlineStr">
        <is>
          <t>⚠ kandidát-verify</t>
        </is>
      </c>
      <c r="I59" s="11" t="inlineStr">
        <is>
          <t>260219_dum.PSV76.002</t>
        </is>
      </c>
      <c r="J59" s="11" t="inlineStr"/>
      <c r="K59" s="11" t="inlineStr">
        <is>
          <t>Carried 1:1 (atomic — no decomposition needed)</t>
        </is>
      </c>
    </row>
    <row r="60">
      <c r="A60" s="10" t="n">
        <v>52</v>
      </c>
      <c r="B60" s="11" t="inlineStr">
        <is>
          <t>PSV-76 Výplně otvorů</t>
        </is>
      </c>
      <c r="C60" s="11" t="inlineStr">
        <is>
          <t>Plastové okno izolačním trojsklem Uw=0.85 W/m²K — typ 'okno 2.NP' velikost 1160×1480 mm × 4 ks (fasáda ulice)</t>
        </is>
      </c>
      <c r="D60" s="10" t="inlineStr">
        <is>
          <t>ks</t>
        </is>
      </c>
      <c r="E60" s="12" t="n">
        <v>4</v>
      </c>
      <c r="F60" s="11" t="inlineStr">
        <is>
          <t>DXF INSERT block name 'okno 2.NP' count = 4 ks × bbox 1160×1480 mm = 6.88 m² fasády</t>
        </is>
      </c>
      <c r="G60" s="11" t="inlineStr">
        <is>
          <t>766621011</t>
        </is>
      </c>
      <c r="H60" s="10" t="inlineStr">
        <is>
          <t>⚠ kandidát-verify</t>
        </is>
      </c>
      <c r="I60" s="11" t="inlineStr">
        <is>
          <t>260219_dum.PSV76.003</t>
        </is>
      </c>
      <c r="J60" s="11" t="inlineStr"/>
      <c r="K60" s="11" t="inlineStr">
        <is>
          <t>Carried 1:1 (atomic — no decomposition needed)</t>
        </is>
      </c>
    </row>
    <row r="61">
      <c r="A61" s="10" t="n">
        <v>53</v>
      </c>
      <c r="B61" s="11" t="inlineStr">
        <is>
          <t>PSV-76 Výplně otvorů</t>
        </is>
      </c>
      <c r="C61" s="11" t="inlineStr">
        <is>
          <t>Plastové okno izolačním trojsklem Uw=0.85 W/m²K — typ 'okno 3.NP' velikost 1785×1241 mm × 3 ks (fasáda ulice)</t>
        </is>
      </c>
      <c r="D61" s="10" t="inlineStr">
        <is>
          <t>ks</t>
        </is>
      </c>
      <c r="E61" s="12" t="n">
        <v>3</v>
      </c>
      <c r="F61" s="11" t="inlineStr">
        <is>
          <t>DXF INSERT block name 'okno 3.NP' count = 3 ks × bbox 1785×1241 mm = 6.66 m² fasády</t>
        </is>
      </c>
      <c r="G61" s="11" t="inlineStr">
        <is>
          <t>766621011</t>
        </is>
      </c>
      <c r="H61" s="10" t="inlineStr">
        <is>
          <t>⚠ kandidát-verify</t>
        </is>
      </c>
      <c r="I61" s="11" t="inlineStr">
        <is>
          <t>260219_dum.PSV76.004</t>
        </is>
      </c>
      <c r="J61" s="11" t="inlineStr"/>
      <c r="K61" s="11" t="inlineStr">
        <is>
          <t>Carried 1:1 (atomic — no decomposition needed)</t>
        </is>
      </c>
    </row>
    <row r="62">
      <c r="A62" s="10" t="n">
        <v>54</v>
      </c>
      <c r="B62" s="11" t="inlineStr">
        <is>
          <t>PSV-76 Výplně otvorů</t>
        </is>
      </c>
      <c r="C62" s="11" t="inlineStr">
        <is>
          <t>Plastové okno izolačním trojsklem Uw=0.85 W/m²K — typ 'okno 3.NP vzadu' velikost 2075×1241 mm × 1 ks (fasáda zahrada)</t>
        </is>
      </c>
      <c r="D62" s="10" t="inlineStr">
        <is>
          <t>ks</t>
        </is>
      </c>
      <c r="E62" s="12" t="n">
        <v>1</v>
      </c>
      <c r="F62" s="11" t="inlineStr">
        <is>
          <t>DXF INSERT block name 'okno 3.NP vzadu' count = 1 ks × bbox 2075×1241 mm = 2.57 m² fasády</t>
        </is>
      </c>
      <c r="G62" s="11" t="inlineStr">
        <is>
          <t>766621011</t>
        </is>
      </c>
      <c r="H62" s="10" t="inlineStr">
        <is>
          <t>⚠ kandidát-verify</t>
        </is>
      </c>
      <c r="I62" s="11" t="inlineStr">
        <is>
          <t>260219_dum.PSV76.005</t>
        </is>
      </c>
      <c r="J62" s="11" t="inlineStr"/>
      <c r="K62" s="11" t="inlineStr">
        <is>
          <t>Carried 1:1 (atomic — no decomposition needed)</t>
        </is>
      </c>
    </row>
    <row r="63">
      <c r="A63" s="10" t="n">
        <v>55</v>
      </c>
      <c r="B63" s="11" t="inlineStr">
        <is>
          <t>PSV-76 Výplně otvorů</t>
        </is>
      </c>
      <c r="C63" s="11" t="inlineStr">
        <is>
          <t>Plastové okno izolačním trojsklem Uw=0.85 W/m²K — typ 'okno male 3.NP vzadu' velikost 800×1241 mm × 1 ks (fasáda zahrada)</t>
        </is>
      </c>
      <c r="D63" s="10" t="inlineStr">
        <is>
          <t>ks</t>
        </is>
      </c>
      <c r="E63" s="12" t="n">
        <v>1</v>
      </c>
      <c r="F63" s="11" t="inlineStr">
        <is>
          <t>DXF INSERT block name 'okno male 3.NP vzadu' count = 1 ks × bbox 800×1241 mm = 0.99 m² fasády</t>
        </is>
      </c>
      <c r="G63" s="11" t="inlineStr">
        <is>
          <t>766621011</t>
        </is>
      </c>
      <c r="H63" s="10" t="inlineStr">
        <is>
          <t>⚠ kandidát-verify</t>
        </is>
      </c>
      <c r="I63" s="11" t="inlineStr">
        <is>
          <t>260219_dum.PSV76.006</t>
        </is>
      </c>
      <c r="J63" s="11" t="inlineStr"/>
      <c r="K63" s="11" t="inlineStr">
        <is>
          <t>Carried 1:1 (atomic — no decomposition needed)</t>
        </is>
      </c>
    </row>
    <row r="64">
      <c r="A64" s="10" t="n">
        <v>56</v>
      </c>
      <c r="B64" s="11" t="inlineStr">
        <is>
          <t>PSV-76 Výplně otvorů</t>
        </is>
      </c>
      <c r="C64" s="11" t="inlineStr">
        <is>
          <t>Plastové okno izolačním trojsklem Uw=0.85 W/m²K — typ 'okno malé vzadu' velikost 700×800 mm × 2 ks (fasáda zahrada)</t>
        </is>
      </c>
      <c r="D64" s="10" t="inlineStr">
        <is>
          <t>ks</t>
        </is>
      </c>
      <c r="E64" s="12" t="n">
        <v>2</v>
      </c>
      <c r="F64" s="11" t="inlineStr">
        <is>
          <t>DXF INSERT block name 'okno malé vzadu' count = 2 ks × bbox 700×800 mm = 1.12 m² fasády</t>
        </is>
      </c>
      <c r="G64" s="11" t="inlineStr">
        <is>
          <t>766621011</t>
        </is>
      </c>
      <c r="H64" s="10" t="inlineStr">
        <is>
          <t>⚠ kandidát-verify</t>
        </is>
      </c>
      <c r="I64" s="11" t="inlineStr">
        <is>
          <t>260219_dum.PSV76.007</t>
        </is>
      </c>
      <c r="J64" s="11" t="inlineStr"/>
      <c r="K64" s="11" t="inlineStr">
        <is>
          <t>Carried 1:1 (atomic — no decomposition needed)</t>
        </is>
      </c>
    </row>
    <row r="65">
      <c r="A65" s="10" t="n">
        <v>57</v>
      </c>
      <c r="B65" s="11" t="inlineStr">
        <is>
          <t>PSV-76 Výplně otvorů</t>
        </is>
      </c>
      <c r="C65" s="11" t="inlineStr">
        <is>
          <t>Integrované stínící venkovní žaluzie v kastlíku pod omítkou s purenitovou izolací — uliční fasáda Fibichova (9 ks)</t>
        </is>
      </c>
      <c r="D65" s="10" t="inlineStr">
        <is>
          <t>ks</t>
        </is>
      </c>
      <c r="E65" s="12" t="n">
        <v>9</v>
      </c>
      <c r="F65" s="11" t="inlineStr">
        <is>
          <t>Σ uličních oken (block names bez 'vzadu' = okno 1.NP 2 + okno 2.NP 4 + okno 3.NP 3) = 9 ks</t>
        </is>
      </c>
      <c r="G65" s="11" t="inlineStr">
        <is>
          <t>766631211</t>
        </is>
      </c>
      <c r="H65" s="10" t="inlineStr">
        <is>
          <t>⚠ kandidát-verify</t>
        </is>
      </c>
      <c r="I65" s="11" t="inlineStr">
        <is>
          <t>260219_dum.PSV76.008</t>
        </is>
      </c>
      <c r="J65" s="11" t="inlineStr"/>
      <c r="K65" s="11" t="inlineStr">
        <is>
          <t>Carried 1:1 (atomic — no decomposition needed)</t>
        </is>
      </c>
    </row>
    <row r="66">
      <c r="A66" s="10" t="n">
        <v>58</v>
      </c>
      <c r="B66" s="11" t="inlineStr">
        <is>
          <t>PSV-76 Výplně otvorů</t>
        </is>
      </c>
      <c r="C66" s="11" t="inlineStr">
        <is>
          <t>Plastové vstupní dveře (ulice + zahrada) — 2 ks</t>
        </is>
      </c>
      <c r="D66" s="10" t="inlineStr">
        <is>
          <t>ks</t>
        </is>
      </c>
      <c r="E66" s="12" t="n">
        <v>2</v>
      </c>
      <c r="F66" s="11" t="inlineStr">
        <is>
          <t>TZ ARS — vstupní plastové dveře</t>
        </is>
      </c>
      <c r="G66" s="11" t="inlineStr">
        <is>
          <t>766682111</t>
        </is>
      </c>
      <c r="H66" s="10" t="inlineStr">
        <is>
          <t>⚠ kandidát-verify</t>
        </is>
      </c>
      <c r="I66" s="11" t="inlineStr">
        <is>
          <t>260219_dum.PSV76.009</t>
        </is>
      </c>
      <c r="J66" s="11" t="inlineStr"/>
      <c r="K66" s="11" t="inlineStr">
        <is>
          <t>Carried 1:1 (atomic — no decomposition needed)</t>
        </is>
      </c>
    </row>
    <row r="67">
      <c r="A67" s="10" t="n">
        <v>59</v>
      </c>
      <c r="B67" s="11" t="inlineStr">
        <is>
          <t>PSV-76 Výplně otvorů</t>
        </is>
      </c>
      <c r="C67" s="11" t="inlineStr">
        <is>
          <t>Vnitřní dveře DTD laminované s obložkovou zárubní — odhad 15 ks</t>
        </is>
      </c>
      <c r="D67" s="10" t="inlineStr">
        <is>
          <t>ks</t>
        </is>
      </c>
      <c r="E67" s="12" t="n">
        <v>15</v>
      </c>
      <c r="F67" s="11" t="inlineStr">
        <is>
          <t>3 patra × ~5 dveří (4 pokoje + chodba): 1.NP byt + 2.NP děti + 3.NP nový byt</t>
        </is>
      </c>
      <c r="G67" s="11" t="inlineStr">
        <is>
          <t>766660035</t>
        </is>
      </c>
      <c r="H67" s="10" t="inlineStr">
        <is>
          <t>⚠ kandidát-verify</t>
        </is>
      </c>
      <c r="I67" s="11" t="inlineStr">
        <is>
          <t>260219_dum.PSV76.010</t>
        </is>
      </c>
      <c r="J67" s="11" t="inlineStr"/>
      <c r="K67" s="11" t="inlineStr">
        <is>
          <t>Carried 1:1 (atomic — no decomposition needed)</t>
        </is>
      </c>
    </row>
    <row r="68">
      <c r="A68" s="10" t="n">
        <v>60</v>
      </c>
      <c r="B68" s="11" t="inlineStr">
        <is>
          <t>PSV-76 Výplně otvorů</t>
        </is>
      </c>
      <c r="C68" s="11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D68" s="10" t="inlineStr">
        <is>
          <t>ks</t>
        </is>
      </c>
      <c r="E68" s="12" t="n">
        <v>1</v>
      </c>
      <c r="F68" s="11" t="inlineStr">
        <is>
          <t>1× dveře na vrcholu schodiště 1.PP/1.NP (room 1.08 → 0.01) per PBŘ TUSPO</t>
        </is>
      </c>
      <c r="G68" s="11" t="inlineStr">
        <is>
          <t>766694112</t>
        </is>
      </c>
      <c r="H68" s="10" t="inlineStr">
        <is>
          <t>⚠ kandidát-verify</t>
        </is>
      </c>
      <c r="I68" s="11" t="inlineStr">
        <is>
          <t>260219_dum.PSV76.013</t>
        </is>
      </c>
      <c r="J68" s="11" t="inlineStr"/>
      <c r="K68" s="11" t="inlineStr">
        <is>
          <t>Carried 1:1 (atomic — no decomposition needed)</t>
        </is>
      </c>
    </row>
    <row r="69">
      <c r="A69" s="10" t="n">
        <v>61</v>
      </c>
      <c r="B69" s="11" t="inlineStr">
        <is>
          <t>PSV-76 Výplně otvorů</t>
        </is>
      </c>
      <c r="C69" s="11" t="inlineStr">
        <is>
          <t>Oplechování venkovních parapetů Pzn plech lakovaný 250 mm × tl. 0.55 mm, vč. okapnice + boční zakončení — 16 ks (per DXF INSERT okno × 16)</t>
        </is>
      </c>
      <c r="D69" s="10" t="inlineStr">
        <is>
          <t>ks</t>
        </is>
      </c>
      <c r="E69" s="12" t="n">
        <v>16</v>
      </c>
      <c r="F69" s="11" t="inlineStr">
        <is>
          <t>DXF okno × 16 ks (Path C Tier 4) = 16 parapetů</t>
        </is>
      </c>
      <c r="G69" s="11" t="inlineStr">
        <is>
          <t>764811112</t>
        </is>
      </c>
      <c r="H69" s="10" t="inlineStr">
        <is>
          <t>⚠ kandidát-verify</t>
        </is>
      </c>
      <c r="I69" s="11" t="inlineStr">
        <is>
          <t>260219_dum.PSV76.014</t>
        </is>
      </c>
      <c r="J69" s="11" t="inlineStr"/>
      <c r="K69" s="11" t="inlineStr">
        <is>
          <t>Carried 1:1 (atomic — no decomposition needed)</t>
        </is>
      </c>
    </row>
    <row r="70">
      <c r="A70" s="8" t="inlineStr">
        <is>
          <t>━━ PSV-76 Zámečnictví  (4 atomic operací) ━━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>
      <c r="A71" s="10" t="n">
        <v>62</v>
      </c>
      <c r="B71" s="11" t="inlineStr">
        <is>
          <t>PSV-76 Zámečnictví</t>
        </is>
      </c>
      <c r="C71" s="11" t="inlineStr">
        <is>
          <t>Ocelové schodiště ze zahrady na mezipodestu — UPE200 schodnice + dřevěné nášlapy, kotvené do koruny opěrné stěny a zdiva (TZ statika §4)</t>
        </is>
      </c>
      <c r="D71" s="10" t="inlineStr">
        <is>
          <t>kpl</t>
        </is>
      </c>
      <c r="E71" s="12" t="n">
        <v>1</v>
      </c>
      <c r="F71" s="11" t="inlineStr">
        <is>
          <t>1 schodiště (~8 stupňů × ~3 m výška)</t>
        </is>
      </c>
      <c r="G71" s="13" t="inlineStr">
        <is>
          <t>767531111</t>
        </is>
      </c>
      <c r="H71" s="10" t="inlineStr">
        <is>
          <t>⚠ kandidát-verify</t>
        </is>
      </c>
      <c r="I71" s="11" t="inlineStr">
        <is>
          <t>260219_dum.PSV76.001</t>
        </is>
      </c>
      <c r="J71" s="11" t="inlineStr"/>
      <c r="K71" s="11" t="inlineStr">
        <is>
          <t>Carried 1:1 (atomic — no decomposition needed)</t>
        </is>
      </c>
    </row>
    <row r="72">
      <c r="A72" s="10" t="n">
        <v>63</v>
      </c>
      <c r="B72" s="11" t="inlineStr">
        <is>
          <t>PSV-76 Zámečnictví</t>
        </is>
      </c>
      <c r="C72" s="11" t="inlineStr">
        <is>
          <t>Interní ocelové schodiště do spacího patra v 3.NP s dřevěnými stupni (truhlářské)</t>
        </is>
      </c>
      <c r="D72" s="10" t="inlineStr">
        <is>
          <t>kpl</t>
        </is>
      </c>
      <c r="E72" s="12" t="n">
        <v>1</v>
      </c>
      <c r="F72" s="11" t="inlineStr">
        <is>
          <t>1 schodiště do podkroví (TZ ARS)</t>
        </is>
      </c>
      <c r="G72" s="13" t="inlineStr">
        <is>
          <t>767531111</t>
        </is>
      </c>
      <c r="H72" s="10" t="inlineStr">
        <is>
          <t>⚠ kandidát-verify</t>
        </is>
      </c>
      <c r="I72" s="11" t="inlineStr">
        <is>
          <t>260219_dum.PSV76.002</t>
        </is>
      </c>
      <c r="J72" s="11" t="inlineStr"/>
      <c r="K72" s="11" t="inlineStr">
        <is>
          <t>Carried 1:1 (atomic — no decomposition needed)</t>
        </is>
      </c>
    </row>
    <row r="73">
      <c r="A73" s="10" t="n">
        <v>64</v>
      </c>
      <c r="B73" s="11" t="inlineStr">
        <is>
          <t>PSV-76 Zámečnictví</t>
        </is>
      </c>
      <c r="C73" s="11" t="inlineStr">
        <is>
          <t>Stříšky nad vstupy z ocelové konstrukce + Cetris desky + falcovaná krytina — 2 ks (ulice + zahrada)</t>
        </is>
      </c>
      <c r="D73" s="10" t="inlineStr">
        <is>
          <t>ks</t>
        </is>
      </c>
      <c r="E73" s="12" t="n">
        <v>2</v>
      </c>
      <c r="F73" s="11" t="inlineStr">
        <is>
          <t>2 vstupy</t>
        </is>
      </c>
      <c r="G73" s="11" t="inlineStr">
        <is>
          <t>767532111</t>
        </is>
      </c>
      <c r="H73" s="10" t="inlineStr">
        <is>
          <t>⚠ kandidát-verify</t>
        </is>
      </c>
      <c r="I73" s="11" t="inlineStr">
        <is>
          <t>260219_dum.PSV76.003</t>
        </is>
      </c>
      <c r="J73" s="11" t="inlineStr"/>
      <c r="K73" s="11" t="inlineStr">
        <is>
          <t>Carried 1:1 (atomic — no decomposition needed)</t>
        </is>
      </c>
    </row>
    <row r="74">
      <c r="A74" s="10" t="n">
        <v>65</v>
      </c>
      <c r="B74" s="11" t="inlineStr">
        <is>
          <t>PSV-76 Zámečnictví</t>
        </is>
      </c>
      <c r="C74" s="11" t="inlineStr">
        <is>
          <t>Ocelové zábradlí svařované z jeklů + nerez výplň pZn antracit — schodiště interier + venkovní terasa</t>
        </is>
      </c>
      <c r="D74" s="10" t="inlineStr">
        <is>
          <t>bm</t>
        </is>
      </c>
      <c r="E74" s="12" t="n">
        <v>18</v>
      </c>
      <c r="F74" s="11" t="inlineStr">
        <is>
          <t>odhad 12 m interier (2 schodiště × 6 m) + 6 m terasa</t>
        </is>
      </c>
      <c r="G74" s="11" t="inlineStr">
        <is>
          <t>767163115</t>
        </is>
      </c>
      <c r="H74" s="10" t="inlineStr">
        <is>
          <t>⚠ kandidát-verify</t>
        </is>
      </c>
      <c r="I74" s="11" t="inlineStr">
        <is>
          <t>260219_dum.PSV76.004</t>
        </is>
      </c>
      <c r="J74" s="11" t="inlineStr"/>
      <c r="K74" s="11" t="inlineStr">
        <is>
          <t>Carried 1:1 (atomic — no decomposition needed)</t>
        </is>
      </c>
    </row>
    <row r="75">
      <c r="A75" s="8" t="inlineStr">
        <is>
          <t>━━ PSV-77 Podlahy  (9 atomic operací) ━━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>
      <c r="A76" s="10" t="n">
        <v>66</v>
      </c>
      <c r="B76" s="11" t="inlineStr">
        <is>
          <t>PSV-77 Podlahy</t>
        </is>
      </c>
      <c r="C76" s="11" t="inlineStr">
        <is>
          <t>Nášlapná vrstva vinyl tl. 4 mm na suchou skladbu — obytné místnosti (ložnice, obývák, kuchyně, chodby)</t>
        </is>
      </c>
      <c r="D76" s="10" t="inlineStr">
        <is>
          <t>m²</t>
        </is>
      </c>
      <c r="E76" s="12" t="n">
        <v>171.5</v>
      </c>
      <c r="F76" s="11" t="inlineStr">
        <is>
          <t>1.01=12.4 + 1.02=3.6 + 1.06=24.0 + 1.07=9.4 + 1.08=3.8 + 2.01=7.3 + 2.02=5.9 + 2.04=15.5 + 2.05=14.1 + 2.06=15.8 + 3.01=7.6 + 3.02=4.1 + 3.03=2.4 + 3.05=32.8 + 3.06=12.8 = 171.5 m²</t>
        </is>
      </c>
      <c r="G76" s="13" t="inlineStr">
        <is>
          <t>776511820</t>
        </is>
      </c>
      <c r="H76" s="10" t="inlineStr">
        <is>
          <t>⚠ kandidát-verify</t>
        </is>
      </c>
      <c r="I76" s="11" t="inlineStr">
        <is>
          <t>260219_dum.PSV77.001</t>
        </is>
      </c>
      <c r="J76" s="11" t="inlineStr"/>
      <c r="K76" s="11" t="inlineStr">
        <is>
          <t>Carried 1:1 (atomic — no decomposition needed)</t>
        </is>
      </c>
    </row>
    <row r="77">
      <c r="A77" s="14" t="n">
        <v>67</v>
      </c>
      <c r="B77" s="15" t="inlineStr">
        <is>
          <t>PSV-77 Podlahy</t>
        </is>
      </c>
      <c r="C77" s="15" t="inlineStr">
        <is>
          <t>Kladení keramické dlažby lepené + penetrace podkladu — koupelny + WC + spíž + komora</t>
        </is>
      </c>
      <c r="D77" s="14" t="inlineStr">
        <is>
          <t>m²</t>
        </is>
      </c>
      <c r="E77" s="16" t="n">
        <v>13.5</v>
      </c>
      <c r="F77" s="15">
        <f> PSV77.002 plocha 13.5 m²</f>
        <v/>
      </c>
      <c r="G77" s="15" t="inlineStr">
        <is>
          <t>771</t>
        </is>
      </c>
      <c r="H77" s="14" t="inlineStr">
        <is>
          <t>⚠ família ??? (ÚRS online)</t>
        </is>
      </c>
      <c r="I77" s="15" t="inlineStr">
        <is>
          <t>260219_dum.PSV77.002 → PSV77.002a</t>
        </is>
      </c>
      <c r="J77" s="15" t="inlineStr"/>
      <c r="K77" s="15" t="inlineStr">
        <is>
          <t>Dlažba lepená vč. lepidla (771 família).  Doplnit leaf z CS ÚRS online (app.urs.cz, cen. úroveň 2026 01) dle família + popis + Vzorec.</t>
        </is>
      </c>
    </row>
    <row r="78">
      <c r="A78" s="14" t="n">
        <v>68</v>
      </c>
      <c r="B78" s="15" t="inlineStr">
        <is>
          <t>PSV-77 Podlahy</t>
        </is>
      </c>
      <c r="C78" s="15" t="inlineStr">
        <is>
          <t>Spárování keramické dlažby + úklid — koupelny + WC + spíž + komora</t>
        </is>
      </c>
      <c r="D78" s="14" t="inlineStr">
        <is>
          <t>m²</t>
        </is>
      </c>
      <c r="E78" s="16" t="n">
        <v>13.5</v>
      </c>
      <c r="F78" s="15">
        <f> PSV77.002 plocha 13.5 m²</f>
        <v/>
      </c>
      <c r="G78" s="15" t="inlineStr">
        <is>
          <t>771</t>
        </is>
      </c>
      <c r="H78" s="14" t="inlineStr">
        <is>
          <t>⚠ família ??? (ÚRS online)</t>
        </is>
      </c>
      <c r="I78" s="15" t="inlineStr">
        <is>
          <t>260219_dum.PSV77.002 → PSV77.002b</t>
        </is>
      </c>
      <c r="J78" s="15" t="inlineStr"/>
      <c r="K78" s="15" t="inlineStr">
        <is>
          <t>Spárování (771 família) — často zahrnuto v kladení.  Doplnit leaf z CS ÚRS online (app.urs.cz, cen. úroveň 2026 01) dle família + popis + Vzorec.</t>
        </is>
      </c>
    </row>
    <row r="79">
      <c r="A79" s="14" t="n">
        <v>69</v>
      </c>
      <c r="B79" s="15" t="inlineStr">
        <is>
          <t>PSV-77 Podlahy</t>
        </is>
      </c>
      <c r="C79" s="15" t="inlineStr">
        <is>
          <t>Kladení keramické dlažby lepené + penetrace — 1.PP technické místnosti</t>
        </is>
      </c>
      <c r="D79" s="14" t="inlineStr">
        <is>
          <t>m²</t>
        </is>
      </c>
      <c r="E79" s="16" t="n">
        <v>32.4</v>
      </c>
      <c r="F79" s="15">
        <f> PSV77.003 plocha 32.4 m²</f>
        <v/>
      </c>
      <c r="G79" s="15" t="inlineStr">
        <is>
          <t>771</t>
        </is>
      </c>
      <c r="H79" s="14" t="inlineStr">
        <is>
          <t>⚠ família ??? (ÚRS online)</t>
        </is>
      </c>
      <c r="I79" s="15" t="inlineStr">
        <is>
          <t>260219_dum.PSV77.003 → PSV77.003a</t>
        </is>
      </c>
      <c r="J79" s="15" t="inlineStr"/>
      <c r="K79" s="15" t="inlineStr">
        <is>
          <t>Dlažba lepená (771 família).  Doplnit leaf z CS ÚRS online (app.urs.cz, cen. úroveň 2026 01) dle família + popis + Vzorec.</t>
        </is>
      </c>
    </row>
    <row r="80">
      <c r="A80" s="14" t="n">
        <v>70</v>
      </c>
      <c r="B80" s="15" t="inlineStr">
        <is>
          <t>PSV-77 Podlahy</t>
        </is>
      </c>
      <c r="C80" s="15" t="inlineStr">
        <is>
          <t>Spárování keramické dlažby + úklid — 1.PP</t>
        </is>
      </c>
      <c r="D80" s="14" t="inlineStr">
        <is>
          <t>m²</t>
        </is>
      </c>
      <c r="E80" s="16" t="n">
        <v>32.4</v>
      </c>
      <c r="F80" s="15">
        <f> PSV77.003 plocha 32.4 m²</f>
        <v/>
      </c>
      <c r="G80" s="15" t="inlineStr">
        <is>
          <t>771</t>
        </is>
      </c>
      <c r="H80" s="14" t="inlineStr">
        <is>
          <t>⚠ família ??? (ÚRS online)</t>
        </is>
      </c>
      <c r="I80" s="15" t="inlineStr">
        <is>
          <t>260219_dum.PSV77.003 → PSV77.003b</t>
        </is>
      </c>
      <c r="J80" s="15" t="inlineStr"/>
      <c r="K80" s="15" t="inlineStr">
        <is>
          <t>Spárování (771 família).  Doplnit leaf z CS ÚRS online (app.urs.cz, cen. úroveň 2026 01) dle família + popis + Vzorec.</t>
        </is>
      </c>
    </row>
    <row r="81">
      <c r="A81" s="10" t="n">
        <v>71</v>
      </c>
      <c r="B81" s="11" t="inlineStr">
        <is>
          <t>PSV-77 Podlahy</t>
        </is>
      </c>
      <c r="C81" s="11" t="inlineStr">
        <is>
          <t>Nášlapná vrstva biodeska (smrk masiv) nebo OSB v 3.NP spací části nad krovem</t>
        </is>
      </c>
      <c r="D81" s="10" t="inlineStr">
        <is>
          <t>m²</t>
        </is>
      </c>
      <c r="E81" s="12" t="n">
        <v>25</v>
      </c>
      <c r="F81" s="11" t="inlineStr">
        <is>
          <t>TZ ARS dům §3.2.3 — 'patro pro přespání z biodesky nad kleštinami'; DXF dum_DPZ NEMÁ samostatnou místnost s biodeska klasifikací (PLOT_DREVENY_04=0 v dum_DPZ, ten block je terasa v situaci). Fallback TZ.</t>
        </is>
      </c>
      <c r="G81" s="11" t="inlineStr">
        <is>
          <t>766411111</t>
        </is>
      </c>
      <c r="H81" s="10" t="inlineStr">
        <is>
          <t>⚠ kandidát-verify</t>
        </is>
      </c>
      <c r="I81" s="11" t="inlineStr">
        <is>
          <t>260219_dum.PSV77.004</t>
        </is>
      </c>
      <c r="J81" s="11" t="inlineStr"/>
      <c r="K81" s="11" t="inlineStr">
        <is>
          <t>Carried 1:1 (atomic — no decomposition needed)</t>
        </is>
      </c>
    </row>
    <row r="82">
      <c r="A82" s="10" t="n">
        <v>72</v>
      </c>
      <c r="B82" s="11" t="inlineStr">
        <is>
          <t>PSV-77 Podlahy</t>
        </is>
      </c>
      <c r="C82" s="11" t="inlineStr">
        <is>
          <t>Mokrá podlahová skladba — betonový potěr s kari síťkou 4/100/100 tl. 50 mm + samonivelační stěrka</t>
        </is>
      </c>
      <c r="D82" s="10" t="inlineStr">
        <is>
          <t>m²</t>
        </is>
      </c>
      <c r="E82" s="12" t="n">
        <v>126.4</v>
      </c>
      <c r="F82" s="11" t="inlineStr">
        <is>
          <t>vinyl 1.NP+3.NP + dlažba mokré (vyňato 2.NP suchá skladba) = 126.4 m²</t>
        </is>
      </c>
      <c r="G82" s="11" t="inlineStr">
        <is>
          <t>631321311</t>
        </is>
      </c>
      <c r="H82" s="10" t="inlineStr">
        <is>
          <t>⚠ kandidát-verify</t>
        </is>
      </c>
      <c r="I82" s="11" t="inlineStr">
        <is>
          <t>260219_dum.PSV77.005</t>
        </is>
      </c>
      <c r="J82" s="11" t="inlineStr"/>
      <c r="K82" s="11" t="inlineStr">
        <is>
          <t>Carried 1:1 (atomic — no decomposition needed)</t>
        </is>
      </c>
    </row>
    <row r="83">
      <c r="A83" s="10" t="n">
        <v>73</v>
      </c>
      <c r="B83" s="11" t="inlineStr">
        <is>
          <t>PSV-77 Podlahy</t>
        </is>
      </c>
      <c r="C83" s="11" t="inlineStr">
        <is>
          <t>Soklíky podlahové laminátové (dub) v obytných místnostech s vinyl podlahou</t>
        </is>
      </c>
      <c r="D83" s="10" t="inlineStr">
        <is>
          <t>bm</t>
        </is>
      </c>
      <c r="E83" s="12" t="n">
        <v>72.03</v>
      </c>
      <c r="F83" s="11" t="inlineStr">
        <is>
          <t>vinyl plocha 171.5 m² × 0.42 m soklíku/m² (typ. obvod/plocha ratio v Czech RD místnosti) = 72.03 bm</t>
        </is>
      </c>
      <c r="G83" s="11" t="inlineStr">
        <is>
          <t>776511831</t>
        </is>
      </c>
      <c r="H83" s="10" t="inlineStr">
        <is>
          <t>⚠ kandidát-verify</t>
        </is>
      </c>
      <c r="I83" s="11" t="inlineStr">
        <is>
          <t>260219_dum.PSV77.006</t>
        </is>
      </c>
      <c r="J83" s="11" t="inlineStr"/>
      <c r="K83" s="11" t="inlineStr">
        <is>
          <t>Carried 1:1 (atomic — no decomposition needed)</t>
        </is>
      </c>
    </row>
    <row r="84">
      <c r="A84" s="10" t="n">
        <v>74</v>
      </c>
      <c r="B84" s="11" t="inlineStr">
        <is>
          <t>PSV-77 Podlahy</t>
        </is>
      </c>
      <c r="C84" s="11" t="inlineStr">
        <is>
          <t>Soklíky keramické v místnostech s dlažbou (koupelny + WC + spíž + 1.PP)</t>
        </is>
      </c>
      <c r="D84" s="10" t="inlineStr">
        <is>
          <t>bm</t>
        </is>
      </c>
      <c r="E84" s="12" t="n">
        <v>19.28</v>
      </c>
      <c r="F84" s="11" t="inlineStr">
        <is>
          <t>(dlažba mokré 13.5 + dlažba sklep 32.4) × 0.42 m soklíku/m² = 19.28 bm</t>
        </is>
      </c>
      <c r="G84" s="11" t="inlineStr">
        <is>
          <t>771274107</t>
        </is>
      </c>
      <c r="H84" s="10" t="inlineStr">
        <is>
          <t>⚠ kandidát-verify</t>
        </is>
      </c>
      <c r="I84" s="11" t="inlineStr">
        <is>
          <t>260219_dum.PSV77.007</t>
        </is>
      </c>
      <c r="J84" s="11" t="inlineStr"/>
      <c r="K84" s="11" t="inlineStr">
        <is>
          <t>Carried 1:1 (atomic — no decomposition needed)</t>
        </is>
      </c>
    </row>
    <row r="85">
      <c r="A85" s="8" t="inlineStr">
        <is>
          <t>━━ PSV-78 Povrchové úpravy  (20 atomic operací) ━━</t>
        </is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>
      <c r="A86" s="14" t="n">
        <v>75</v>
      </c>
      <c r="B86" s="15" t="inlineStr">
        <is>
          <t>PSV-78 Povrchové úpravy</t>
        </is>
      </c>
      <c r="C86" s="15" t="inlineStr">
        <is>
          <t>Omítka jádrová vápenocementová tl. 15 mm na stěnách 1.PP (vč. vyspravení stávajících)</t>
        </is>
      </c>
      <c r="D86" s="14" t="inlineStr">
        <is>
          <t>m²</t>
        </is>
      </c>
      <c r="E86" s="16" t="n">
        <v>78.2</v>
      </c>
      <c r="F86" s="15">
        <f> PSV78.001 plocha stěn 1.PP 78.2 m²</f>
        <v/>
      </c>
      <c r="G86" s="15" t="inlineStr">
        <is>
          <t>612</t>
        </is>
      </c>
      <c r="H86" s="14" t="inlineStr">
        <is>
          <t>⚠ família ??? (ÚRS online)</t>
        </is>
      </c>
      <c r="I86" s="15" t="inlineStr">
        <is>
          <t>260219_dum.PSV78.001 → PSV78.001a</t>
        </is>
      </c>
      <c r="J86" s="15" t="inlineStr"/>
      <c r="K86" s="15" t="inlineStr">
        <is>
          <t>Jádrová omítka VC (612 família).  Doplnit leaf z CS ÚRS online (app.urs.cz, cen. úroveň 2026 01) dle família + popis + Vzorec.</t>
        </is>
      </c>
    </row>
    <row r="87">
      <c r="A87" s="14" t="n">
        <v>76</v>
      </c>
      <c r="B87" s="15" t="inlineStr">
        <is>
          <t>PSV-78 Povrchové úpravy</t>
        </is>
      </c>
      <c r="C87" s="15" t="inlineStr">
        <is>
          <t>Štuková povrchová úprava (štuk) na jádrové omítce — stěny 1.PP</t>
        </is>
      </c>
      <c r="D87" s="14" t="inlineStr">
        <is>
          <t>m²</t>
        </is>
      </c>
      <c r="E87" s="16" t="n">
        <v>78.2</v>
      </c>
      <c r="F87" s="15">
        <f> PSV78.001 plocha 78.2 m²</f>
        <v/>
      </c>
      <c r="G87" s="15" t="inlineStr">
        <is>
          <t>612</t>
        </is>
      </c>
      <c r="H87" s="14" t="inlineStr">
        <is>
          <t>⚠ família ??? (ÚRS online)</t>
        </is>
      </c>
      <c r="I87" s="15" t="inlineStr">
        <is>
          <t>260219_dum.PSV78.001 → PSV78.001b</t>
        </is>
      </c>
      <c r="J87" s="15" t="inlineStr"/>
      <c r="K87" s="15" t="inlineStr">
        <is>
          <t>Štuková omítka (612 família).  Doplnit leaf z CS ÚRS online (app.urs.cz, cen. úroveň 2026 01) dle família + popis + Vzorec.</t>
        </is>
      </c>
    </row>
    <row r="88">
      <c r="A88" s="14" t="n">
        <v>77</v>
      </c>
      <c r="B88" s="15" t="inlineStr">
        <is>
          <t>PSV-78 Povrchové úpravy</t>
        </is>
      </c>
      <c r="C88" s="15" t="inlineStr">
        <is>
          <t>Omítka jádrová vápenocementová tl. 15 mm na stěnách 1.NP</t>
        </is>
      </c>
      <c r="D88" s="14" t="inlineStr">
        <is>
          <t>m²</t>
        </is>
      </c>
      <c r="E88" s="16" t="n">
        <v>208.4</v>
      </c>
      <c r="F88" s="15">
        <f> PSV78.002 plocha stěn 1.NP 208.4 m²</f>
        <v/>
      </c>
      <c r="G88" s="15" t="inlineStr">
        <is>
          <t>612</t>
        </is>
      </c>
      <c r="H88" s="14" t="inlineStr">
        <is>
          <t>⚠ família ??? (ÚRS online)</t>
        </is>
      </c>
      <c r="I88" s="15" t="inlineStr">
        <is>
          <t>260219_dum.PSV78.002 → PSV78.002a</t>
        </is>
      </c>
      <c r="J88" s="15" t="inlineStr"/>
      <c r="K88" s="15" t="inlineStr">
        <is>
          <t>Jádrová omítka VC (612 família).  Doplnit leaf z CS ÚRS online (app.urs.cz, cen. úroveň 2026 01) dle família + popis + Vzorec.</t>
        </is>
      </c>
    </row>
    <row r="89">
      <c r="A89" s="14" t="n">
        <v>78</v>
      </c>
      <c r="B89" s="15" t="inlineStr">
        <is>
          <t>PSV-78 Povrchové úpravy</t>
        </is>
      </c>
      <c r="C89" s="15" t="inlineStr">
        <is>
          <t>Štuková povrchová úprava na jádrové omítce — stěny 1.NP</t>
        </is>
      </c>
      <c r="D89" s="14" t="inlineStr">
        <is>
          <t>m²</t>
        </is>
      </c>
      <c r="E89" s="16" t="n">
        <v>208.4</v>
      </c>
      <c r="F89" s="15">
        <f> PSV78.002 plocha 208.4 m²</f>
        <v/>
      </c>
      <c r="G89" s="15" t="inlineStr">
        <is>
          <t>612</t>
        </is>
      </c>
      <c r="H89" s="14" t="inlineStr">
        <is>
          <t>⚠ família ??? (ÚRS online)</t>
        </is>
      </c>
      <c r="I89" s="15" t="inlineStr">
        <is>
          <t>260219_dum.PSV78.002 → PSV78.002b</t>
        </is>
      </c>
      <c r="J89" s="15" t="inlineStr"/>
      <c r="K89" s="15" t="inlineStr">
        <is>
          <t>Štuková omítka (612 família).  Doplnit leaf z CS ÚRS online (app.urs.cz, cen. úroveň 2026 01) dle família + popis + Vzorec.</t>
        </is>
      </c>
    </row>
    <row r="90">
      <c r="A90" s="14" t="n">
        <v>79</v>
      </c>
      <c r="B90" s="15" t="inlineStr">
        <is>
          <t>PSV-78 Povrchové úpravy</t>
        </is>
      </c>
      <c r="C90" s="15" t="inlineStr">
        <is>
          <t>Omítka jádrová vápenocementová tl. 15 mm na stěnách 2.NP</t>
        </is>
      </c>
      <c r="D90" s="14" t="inlineStr">
        <is>
          <t>m²</t>
        </is>
      </c>
      <c r="E90" s="16" t="n">
        <v>201.6</v>
      </c>
      <c r="F90" s="15">
        <f> PSV78.003 plocha stěn 2.NP 201.6 m²</f>
        <v/>
      </c>
      <c r="G90" s="15" t="inlineStr">
        <is>
          <t>612</t>
        </is>
      </c>
      <c r="H90" s="14" t="inlineStr">
        <is>
          <t>⚠ família ??? (ÚRS online)</t>
        </is>
      </c>
      <c r="I90" s="15" t="inlineStr">
        <is>
          <t>260219_dum.PSV78.003 → PSV78.003a</t>
        </is>
      </c>
      <c r="J90" s="15" t="inlineStr"/>
      <c r="K90" s="15" t="inlineStr">
        <is>
          <t>Jádrová omítka VC (612 família).  Doplnit leaf z CS ÚRS online (app.urs.cz, cen. úroveň 2026 01) dle família + popis + Vzorec.</t>
        </is>
      </c>
    </row>
    <row r="91">
      <c r="A91" s="14" t="n">
        <v>80</v>
      </c>
      <c r="B91" s="15" t="inlineStr">
        <is>
          <t>PSV-78 Povrchové úpravy</t>
        </is>
      </c>
      <c r="C91" s="15" t="inlineStr">
        <is>
          <t>Štuková povrchová úprava na jádrové omítce — stěny 2.NP</t>
        </is>
      </c>
      <c r="D91" s="14" t="inlineStr">
        <is>
          <t>m²</t>
        </is>
      </c>
      <c r="E91" s="16" t="n">
        <v>201.6</v>
      </c>
      <c r="F91" s="15">
        <f> PSV78.003 plocha 201.6 m²</f>
        <v/>
      </c>
      <c r="G91" s="15" t="inlineStr">
        <is>
          <t>612</t>
        </is>
      </c>
      <c r="H91" s="14" t="inlineStr">
        <is>
          <t>⚠ família ??? (ÚRS online)</t>
        </is>
      </c>
      <c r="I91" s="15" t="inlineStr">
        <is>
          <t>260219_dum.PSV78.003 → PSV78.003b</t>
        </is>
      </c>
      <c r="J91" s="15" t="inlineStr"/>
      <c r="K91" s="15" t="inlineStr">
        <is>
          <t>Štuková omítka (612 família).  Doplnit leaf z CS ÚRS online (app.urs.cz, cen. úroveň 2026 01) dle família + popis + Vzorec.</t>
        </is>
      </c>
    </row>
    <row r="92">
      <c r="A92" s="14" t="n">
        <v>81</v>
      </c>
      <c r="B92" s="15" t="inlineStr">
        <is>
          <t>PSV-78 Povrchové úpravy</t>
        </is>
      </c>
      <c r="C92" s="15" t="inlineStr">
        <is>
          <t>Omítka jádrová vápenocementová tl. 15 mm na stěnách 3.NP</t>
        </is>
      </c>
      <c r="D92" s="14" t="inlineStr">
        <is>
          <t>m²</t>
        </is>
      </c>
      <c r="E92" s="16" t="n">
        <v>179.1</v>
      </c>
      <c r="F92" s="15">
        <f> PSV78.004 plocha stěn 3.NP 179.1 m²</f>
        <v/>
      </c>
      <c r="G92" s="15" t="inlineStr">
        <is>
          <t>612</t>
        </is>
      </c>
      <c r="H92" s="14" t="inlineStr">
        <is>
          <t>⚠ família ??? (ÚRS online)</t>
        </is>
      </c>
      <c r="I92" s="15" t="inlineStr">
        <is>
          <t>260219_dum.PSV78.004 → PSV78.004a</t>
        </is>
      </c>
      <c r="J92" s="15" t="inlineStr"/>
      <c r="K92" s="15" t="inlineStr">
        <is>
          <t>Jádrová omítka VC (612 família).  Doplnit leaf z CS ÚRS online (app.urs.cz, cen. úroveň 2026 01) dle família + popis + Vzorec.</t>
        </is>
      </c>
    </row>
    <row r="93">
      <c r="A93" s="14" t="n">
        <v>82</v>
      </c>
      <c r="B93" s="15" t="inlineStr">
        <is>
          <t>PSV-78 Povrchové úpravy</t>
        </is>
      </c>
      <c r="C93" s="15" t="inlineStr">
        <is>
          <t>Štuková povrchová úprava na jádrové omítce — stěny 3.NP</t>
        </is>
      </c>
      <c r="D93" s="14" t="inlineStr">
        <is>
          <t>m²</t>
        </is>
      </c>
      <c r="E93" s="16" t="n">
        <v>179.1</v>
      </c>
      <c r="F93" s="15">
        <f> PSV78.004 plocha 179.1 m²</f>
        <v/>
      </c>
      <c r="G93" s="15" t="inlineStr">
        <is>
          <t>612</t>
        </is>
      </c>
      <c r="H93" s="14" t="inlineStr">
        <is>
          <t>⚠ família ??? (ÚRS online)</t>
        </is>
      </c>
      <c r="I93" s="15" t="inlineStr">
        <is>
          <t>260219_dum.PSV78.004 → PSV78.004b</t>
        </is>
      </c>
      <c r="J93" s="15" t="inlineStr"/>
      <c r="K93" s="15" t="inlineStr">
        <is>
          <t>Štuková omítka (612 família).  Doplnit leaf z CS ÚRS online (app.urs.cz, cen. úroveň 2026 01) dle família + popis + Vzorec.</t>
        </is>
      </c>
    </row>
    <row r="94">
      <c r="A94" s="10" t="n">
        <v>83</v>
      </c>
      <c r="B94" s="11" t="inlineStr">
        <is>
          <t>PSV-78 Povrchové úpravy</t>
        </is>
      </c>
      <c r="C94" s="11" t="inlineStr">
        <is>
          <t>SDK podhled + případné předstěny — tmelení spojů Q3 + povrchová úprava před výmalbou (1.NP)</t>
        </is>
      </c>
      <c r="D94" s="10" t="inlineStr">
        <is>
          <t>m²</t>
        </is>
      </c>
      <c r="E94" s="12" t="n">
        <v>59.5</v>
      </c>
      <c r="F94" s="11" t="inlineStr">
        <is>
          <t>1.01=12.4 + 1.02=3.6 + 1.03=0.7 + 1.04=1.5 + 1.05=4.1 + 1.06=24.0 + 1.07=9.4 + 1.08=3.8 = 59.5 m²</t>
        </is>
      </c>
      <c r="G94" s="11" t="inlineStr">
        <is>
          <t>612471141</t>
        </is>
      </c>
      <c r="H94" s="10" t="inlineStr">
        <is>
          <t>⚠ kandidát-verify</t>
        </is>
      </c>
      <c r="I94" s="11" t="inlineStr">
        <is>
          <t>260219_dum.PSV78.005</t>
        </is>
      </c>
      <c r="J94" s="11" t="inlineStr"/>
      <c r="K94" s="11" t="inlineStr">
        <is>
          <t>Carried 1:1 (atomic — no decomposition needed)</t>
        </is>
      </c>
    </row>
    <row r="95">
      <c r="A95" s="10" t="n">
        <v>84</v>
      </c>
      <c r="B95" s="11" t="inlineStr">
        <is>
          <t>PSV-78 Povrchové úpravy</t>
        </is>
      </c>
      <c r="C95" s="11" t="inlineStr">
        <is>
          <t>SDK podhled + případné předstěny — tmelení spojů Q3 + povrchová úprava před výmalbou (2.NP)</t>
        </is>
      </c>
      <c r="D95" s="10" t="inlineStr">
        <is>
          <t>m²</t>
        </is>
      </c>
      <c r="E95" s="12" t="n">
        <v>61.1</v>
      </c>
      <c r="F95" s="11" t="inlineStr">
        <is>
          <t>2.01=7.3 + 2.02=5.9 + 2.03=2.4 + 2.04=15.5 + 2.05=14.1 + 2.06=15.8 = 61.1 m²</t>
        </is>
      </c>
      <c r="G95" s="11" t="inlineStr">
        <is>
          <t>612471141</t>
        </is>
      </c>
      <c r="H95" s="10" t="inlineStr">
        <is>
          <t>⚠ kandidát-verify</t>
        </is>
      </c>
      <c r="I95" s="11" t="inlineStr">
        <is>
          <t>260219_dum.PSV78.006</t>
        </is>
      </c>
      <c r="J95" s="11" t="inlineStr"/>
      <c r="K95" s="11" t="inlineStr">
        <is>
          <t>Carried 1:1 (atomic — no decomposition needed)</t>
        </is>
      </c>
    </row>
    <row r="96">
      <c r="A96" s="10" t="n">
        <v>85</v>
      </c>
      <c r="B96" s="11" t="inlineStr">
        <is>
          <t>PSV-78 Povrchové úpravy</t>
        </is>
      </c>
      <c r="C96" s="11" t="inlineStr">
        <is>
          <t>SDK podhled + případné předstěny — tmelení spojů Q3 + povrchová úprava před výmalbou (3.NP)</t>
        </is>
      </c>
      <c r="D96" s="10" t="inlineStr">
        <is>
          <t>m²</t>
        </is>
      </c>
      <c r="E96" s="12" t="n">
        <v>64.5</v>
      </c>
      <c r="F96" s="11" t="inlineStr">
        <is>
          <t>3.01=7.6 + 3.02=4.1 + 3.03=2.4 + 3.04=4.8 + 3.05=32.8 + 3.06=12.8 = 64.5 m²</t>
        </is>
      </c>
      <c r="G96" s="11" t="inlineStr">
        <is>
          <t>612471141</t>
        </is>
      </c>
      <c r="H96" s="10" t="inlineStr">
        <is>
          <t>⚠ kandidát-verify</t>
        </is>
      </c>
      <c r="I96" s="11" t="inlineStr">
        <is>
          <t>260219_dum.PSV78.007</t>
        </is>
      </c>
      <c r="J96" s="11" t="inlineStr"/>
      <c r="K96" s="11" t="inlineStr">
        <is>
          <t>Carried 1:1 (atomic — no decomposition needed)</t>
        </is>
      </c>
    </row>
    <row r="97">
      <c r="A97" s="10" t="n">
        <v>86</v>
      </c>
      <c r="B97" s="11" t="inlineStr">
        <is>
          <t>PSV-78 Povrchové úpravy</t>
        </is>
      </c>
      <c r="C97" s="11" t="inlineStr">
        <is>
          <t>Keramický obklad stěn koupelny 1.05 1.NP — výška obkladu 1.6 m (z DXF km Obklady layer)</t>
        </is>
      </c>
      <c r="D97" s="10" t="inlineStr">
        <is>
          <t>m²</t>
        </is>
      </c>
      <c r="E97" s="12" t="n">
        <v>13.4</v>
      </c>
      <c r="F97" s="11" t="inlineStr">
        <is>
          <t>DXF IP_obrysy místností room 1.05 perimeter 8.4 bm × DXF km Obklady layer výška 1.6 m (per-koupelna explicit, NE uniform 2.0 m fallback) = 13.4 m²</t>
        </is>
      </c>
      <c r="G97" s="11" t="inlineStr">
        <is>
          <t>781447001</t>
        </is>
      </c>
      <c r="H97" s="10" t="inlineStr">
        <is>
          <t>⚠ kandidát-verify</t>
        </is>
      </c>
      <c r="I97" s="11" t="inlineStr">
        <is>
          <t>260219_dum.PSV78.008</t>
        </is>
      </c>
      <c r="J97" s="11" t="inlineStr"/>
      <c r="K97" s="11" t="inlineStr">
        <is>
          <t>Carried 1:1 (atomic — no decomposition needed)</t>
        </is>
      </c>
    </row>
    <row r="98">
      <c r="A98" s="10" t="n">
        <v>87</v>
      </c>
      <c r="B98" s="11" t="inlineStr">
        <is>
          <t>PSV-78 Povrchové úpravy</t>
        </is>
      </c>
      <c r="C98" s="11" t="inlineStr">
        <is>
          <t>Keramický obklad stěn koupelny 2.03 2.NP — výška obkladu 2.45 m (z DXF km Obklady layer)</t>
        </is>
      </c>
      <c r="D98" s="10" t="inlineStr">
        <is>
          <t>m²</t>
        </is>
      </c>
      <c r="E98" s="12" t="n">
        <v>15.2</v>
      </c>
      <c r="F98" s="11" t="inlineStr">
        <is>
          <t>DXF IP_obrysy místností room 2.03 perimeter 6.2 bm × DXF km Obklady layer výška 2.45 m (per-koupelna explicit, NE uniform 2.0 m fallback) = 15.2 m²</t>
        </is>
      </c>
      <c r="G98" s="11" t="inlineStr">
        <is>
          <t>781447001</t>
        </is>
      </c>
      <c r="H98" s="10" t="inlineStr">
        <is>
          <t>⚠ kandidát-verify</t>
        </is>
      </c>
      <c r="I98" s="11" t="inlineStr">
        <is>
          <t>260219_dum.PSV78.009</t>
        </is>
      </c>
      <c r="J98" s="11" t="inlineStr"/>
      <c r="K98" s="11" t="inlineStr">
        <is>
          <t>Carried 1:1 (atomic — no decomposition needed)</t>
        </is>
      </c>
    </row>
    <row r="99">
      <c r="A99" s="10" t="n">
        <v>88</v>
      </c>
      <c r="B99" s="11" t="inlineStr">
        <is>
          <t>PSV-78 Povrchové úpravy</t>
        </is>
      </c>
      <c r="C99" s="11" t="inlineStr">
        <is>
          <t>Keramický obklad stěn koupelny 3.04 3.NP — výška obkladu 2.7 m (z DXF km Obklady layer)</t>
        </is>
      </c>
      <c r="D99" s="10" t="inlineStr">
        <is>
          <t>m²</t>
        </is>
      </c>
      <c r="E99" s="12" t="n">
        <v>24.3</v>
      </c>
      <c r="F99" s="11" t="inlineStr">
        <is>
          <t>DXF IP_obrysy místností room 3.04 perimeter 9.0 bm × DXF km Obklady layer výška 2.7 m (per-koupelna explicit, NE uniform 2.0 m fallback) = 24.3 m²</t>
        </is>
      </c>
      <c r="G99" s="11" t="inlineStr">
        <is>
          <t>781447001</t>
        </is>
      </c>
      <c r="H99" s="10" t="inlineStr">
        <is>
          <t>⚠ kandidát-verify</t>
        </is>
      </c>
      <c r="I99" s="11" t="inlineStr">
        <is>
          <t>260219_dum.PSV78.010</t>
        </is>
      </c>
      <c r="J99" s="11" t="inlineStr"/>
      <c r="K99" s="11" t="inlineStr">
        <is>
          <t>Carried 1:1 (atomic — no decomposition needed)</t>
        </is>
      </c>
    </row>
    <row r="100">
      <c r="A100" s="10" t="n">
        <v>89</v>
      </c>
      <c r="B100" s="11" t="inlineStr">
        <is>
          <t>PSV-78 Povrchové úpravy</t>
        </is>
      </c>
      <c r="C100" s="11" t="inlineStr">
        <is>
          <t>Keramický obklad za kuchyňskou linkou nad pracovní deskou — 2 kuchyně × ~5 m² (1.06 byt rodičů + 3.05 byt 3.NP)</t>
        </is>
      </c>
      <c r="D100" s="10" t="inlineStr">
        <is>
          <t>m²</t>
        </is>
      </c>
      <c r="E100" s="12" t="n">
        <v>10</v>
      </c>
      <c r="F100" s="11" t="inlineStr">
        <is>
          <t>DXF dum_DPZ 2× kuchyně MTEXT (rooms 1.06 obyt+kuchyně + 3.05 obyt+kuchyně) × 5 m² obklad za linkou = 10 m²</t>
        </is>
      </c>
      <c r="G100" s="11" t="inlineStr">
        <is>
          <t>781447001</t>
        </is>
      </c>
      <c r="H100" s="10" t="inlineStr">
        <is>
          <t>⚠ kandidát-verify</t>
        </is>
      </c>
      <c r="I100" s="11" t="inlineStr">
        <is>
          <t>260219_dum.PSV78.011</t>
        </is>
      </c>
      <c r="J100" s="11" t="inlineStr"/>
      <c r="K100" s="11" t="inlineStr">
        <is>
          <t>Carried 1:1 (atomic — no decomposition needed)</t>
        </is>
      </c>
    </row>
    <row r="101">
      <c r="A101" s="10" t="n">
        <v>90</v>
      </c>
      <c r="B101" s="11" t="inlineStr">
        <is>
          <t>PSV-78 Povrchové úpravy</t>
        </is>
      </c>
      <c r="C101" s="11" t="inlineStr">
        <is>
          <t>Interiérová výmalba akrylátová bílá 2× — všechny stěny + podhledy mimo obklad</t>
        </is>
      </c>
      <c r="D101" s="10" t="inlineStr">
        <is>
          <t>m²</t>
        </is>
      </c>
      <c r="E101" s="12" t="n">
        <v>0</v>
      </c>
      <c r="F101" s="11" t="inlineStr">
        <is>
          <t>Σ ploch 1.NP+2.NP+3.NP × 2.5 (stěny per ratio) − obklady 70 + SDK podhledy = ~628 m²</t>
        </is>
      </c>
      <c r="G101" s="11" t="inlineStr">
        <is>
          <t>784121011</t>
        </is>
      </c>
      <c r="H101" s="10" t="inlineStr">
        <is>
          <t>⚠ kandidát-verify</t>
        </is>
      </c>
      <c r="I101" s="11" t="inlineStr">
        <is>
          <t>260219_dum.PSV78.012</t>
        </is>
      </c>
      <c r="J101" s="11" t="inlineStr"/>
      <c r="K101" s="11" t="inlineStr">
        <is>
          <t>Carried 1:1 (atomic — no decomposition needed)</t>
        </is>
      </c>
    </row>
    <row r="102">
      <c r="A102" s="10" t="n">
        <v>91</v>
      </c>
      <c r="B102" s="11" t="inlineStr">
        <is>
          <t>PSV-78 Povrchové úpravy</t>
        </is>
      </c>
      <c r="C102" s="11" t="inlineStr">
        <is>
          <t>Interiérová výmalba 1.PP — sklep stěny + klenba bílá vápenná 2×</t>
        </is>
      </c>
      <c r="D102" s="10" t="inlineStr">
        <is>
          <t>m²</t>
        </is>
      </c>
      <c r="E102" s="12" t="n">
        <v>78.2</v>
      </c>
      <c r="F102" s="11" t="inlineStr">
        <is>
          <t>omítka 1.PP 78.2 m² + SDK podhled 0 m² − obklad 0 m² = 78.2 m² (per-podlaží split per audit v2 GAP_007)</t>
        </is>
      </c>
      <c r="G102" s="11" t="inlineStr">
        <is>
          <t>784121011</t>
        </is>
      </c>
      <c r="H102" s="10" t="inlineStr">
        <is>
          <t>⚠ kandidát-verify</t>
        </is>
      </c>
      <c r="I102" s="11" t="inlineStr">
        <is>
          <t>260219_dum.PSV78.012.1_PP</t>
        </is>
      </c>
      <c r="J102" s="11" t="inlineStr"/>
      <c r="K102" s="11" t="inlineStr">
        <is>
          <t>Carried 1:1 (atomic — no decomposition needed)</t>
        </is>
      </c>
    </row>
    <row r="103">
      <c r="A103" s="10" t="n">
        <v>92</v>
      </c>
      <c r="B103" s="11" t="inlineStr">
        <is>
          <t>PSV-78 Povrchové úpravy</t>
        </is>
      </c>
      <c r="C103" s="11" t="inlineStr">
        <is>
          <t>Interiérová výmalba 1.NP — stěny + SDK podhled − obklad koupelny 1.05 (1.6 m výška)</t>
        </is>
      </c>
      <c r="D103" s="10" t="inlineStr">
        <is>
          <t>m²</t>
        </is>
      </c>
      <c r="E103" s="12" t="n">
        <v>254.5</v>
      </c>
      <c r="F103" s="11" t="inlineStr">
        <is>
          <t>omítka 1.NP 208.4 m² + SDK podhled 59.5 m² − obklad 13.4 m² = 254.5 m² (per-podlaží split per audit v2 GAP_007)</t>
        </is>
      </c>
      <c r="G103" s="11" t="inlineStr">
        <is>
          <t>784121011</t>
        </is>
      </c>
      <c r="H103" s="10" t="inlineStr">
        <is>
          <t>⚠ kandidát-verify</t>
        </is>
      </c>
      <c r="I103" s="11" t="inlineStr">
        <is>
          <t>260219_dum.PSV78.012.1_NP</t>
        </is>
      </c>
      <c r="J103" s="11" t="inlineStr"/>
      <c r="K103" s="11" t="inlineStr">
        <is>
          <t>Carried 1:1 (atomic — no decomposition needed)</t>
        </is>
      </c>
    </row>
    <row r="104">
      <c r="A104" s="10" t="n">
        <v>93</v>
      </c>
      <c r="B104" s="11" t="inlineStr">
        <is>
          <t>PSV-78 Povrchové úpravy</t>
        </is>
      </c>
      <c r="C104" s="11" t="inlineStr">
        <is>
          <t>Interiérová výmalba 2.NP — stěny + SDK podhled − obklad koupelny 2.03 (2.45 m výška)</t>
        </is>
      </c>
      <c r="D104" s="10" t="inlineStr">
        <is>
          <t>m²</t>
        </is>
      </c>
      <c r="E104" s="12" t="n">
        <v>247.5</v>
      </c>
      <c r="F104" s="11" t="inlineStr">
        <is>
          <t>omítka 2.NP 201.6 m² + SDK podhled 61.1 m² − obklad 15.2 m² = 247.5 m² (per-podlaží split per audit v2 GAP_007)</t>
        </is>
      </c>
      <c r="G104" s="11" t="inlineStr">
        <is>
          <t>784121011</t>
        </is>
      </c>
      <c r="H104" s="10" t="inlineStr">
        <is>
          <t>⚠ kandidát-verify</t>
        </is>
      </c>
      <c r="I104" s="11" t="inlineStr">
        <is>
          <t>260219_dum.PSV78.012.2_NP</t>
        </is>
      </c>
      <c r="J104" s="11" t="inlineStr"/>
      <c r="K104" s="11" t="inlineStr">
        <is>
          <t>Carried 1:1 (atomic — no decomposition needed)</t>
        </is>
      </c>
    </row>
    <row r="105">
      <c r="A105" s="10" t="n">
        <v>94</v>
      </c>
      <c r="B105" s="11" t="inlineStr">
        <is>
          <t>PSV-78 Povrchové úpravy</t>
        </is>
      </c>
      <c r="C105" s="11" t="inlineStr">
        <is>
          <t>Interiérová výmalba 3.NP — stěny + SDK podhled − obklad koupelny 3.04 (2.7 m výška)</t>
        </is>
      </c>
      <c r="D105" s="10" t="inlineStr">
        <is>
          <t>m²</t>
        </is>
      </c>
      <c r="E105" s="12" t="n">
        <v>219.3</v>
      </c>
      <c r="F105" s="11" t="inlineStr">
        <is>
          <t>omítka 3.NP 179.1 m² + SDK podhled 64.5 m² − obklad 24.3 m² = 219.3 m² (per-podlaží split per audit v2 GAP_007)</t>
        </is>
      </c>
      <c r="G105" s="11" t="inlineStr">
        <is>
          <t>784121011</t>
        </is>
      </c>
      <c r="H105" s="10" t="inlineStr">
        <is>
          <t>⚠ kandidát-verify</t>
        </is>
      </c>
      <c r="I105" s="11" t="inlineStr">
        <is>
          <t>260219_dum.PSV78.012.3_NP</t>
        </is>
      </c>
      <c r="J105" s="11" t="inlineStr"/>
      <c r="K105" s="11" t="inlineStr">
        <is>
          <t>Carried 1:1 (atomic — no decomposition needed)</t>
        </is>
      </c>
    </row>
    <row r="106">
      <c r="A106" s="8" t="inlineStr">
        <is>
          <t>━━ PSV-95 Detekce požární  (2 atomic operací) ━━</t>
        </is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>
      <c r="A107" s="10" t="n">
        <v>95</v>
      </c>
      <c r="B107" s="11" t="inlineStr">
        <is>
          <t>PSV-95 Detekce požární</t>
        </is>
      </c>
      <c r="C107" s="11" t="inlineStr">
        <is>
          <t>Autonomní hlásič kouře dle ČSN EN 14604 — 4 ks v místnostech 1.01, 1.02, 2.04, 3.03 dle PBŘ</t>
        </is>
      </c>
      <c r="D107" s="10" t="inlineStr">
        <is>
          <t>ks</t>
        </is>
      </c>
      <c r="E107" s="12" t="n">
        <v>4</v>
      </c>
      <c r="F107" s="11" t="inlineStr">
        <is>
          <t>TZ PBŘ — 4 hlásiče v daných místnostech</t>
        </is>
      </c>
      <c r="G107" s="13" t="inlineStr">
        <is>
          <t>375211101</t>
        </is>
      </c>
      <c r="H107" s="10" t="inlineStr">
        <is>
          <t>⚠ kandidát-verify</t>
        </is>
      </c>
      <c r="I107" s="11" t="inlineStr">
        <is>
          <t>260219_dum.PSV95.001</t>
        </is>
      </c>
      <c r="J107" s="11" t="inlineStr"/>
      <c r="K107" s="11" t="inlineStr">
        <is>
          <t>Carried 1:1 (atomic — no decomposition needed)</t>
        </is>
      </c>
    </row>
    <row r="108">
      <c r="A108" s="10" t="n">
        <v>96</v>
      </c>
      <c r="B108" s="11" t="inlineStr">
        <is>
          <t>PSV-95 Detekce požární</t>
        </is>
      </c>
      <c r="C108" s="11" t="inlineStr">
        <is>
          <t>Přenosný hasicí přístroj 34A dle PBŘ — min. 1 ks na společné chodbě</t>
        </is>
      </c>
      <c r="D108" s="10" t="inlineStr">
        <is>
          <t>ks</t>
        </is>
      </c>
      <c r="E108" s="12" t="n">
        <v>1</v>
      </c>
      <c r="F108" s="11" t="inlineStr">
        <is>
          <t>TZ PBŘ — min. 1 ks 34A</t>
        </is>
      </c>
      <c r="G108" s="11" t="inlineStr">
        <is>
          <t>966067121</t>
        </is>
      </c>
      <c r="H108" s="10" t="inlineStr">
        <is>
          <t>⚠ kandidát-verify</t>
        </is>
      </c>
      <c r="I108" s="11" t="inlineStr">
        <is>
          <t>260219_dum.PSV95.002</t>
        </is>
      </c>
      <c r="J108" s="11" t="inlineStr"/>
      <c r="K108" s="11" t="inlineStr">
        <is>
          <t>Carried 1:1 (atomic — no decomposition needed)</t>
        </is>
      </c>
    </row>
    <row r="109">
      <c r="A109" s="8" t="inlineStr">
        <is>
          <t>━━ M-21 ELI silnoproud  (7 atomic operací) ━━</t>
        </is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</row>
    <row r="110">
      <c r="A110" s="10" t="n">
        <v>97</v>
      </c>
      <c r="B110" s="11" t="inlineStr">
        <is>
          <t>M-21 ELI silnoproud</t>
        </is>
      </c>
      <c r="C110" s="11" t="inlineStr">
        <is>
          <t>Demontáž stávající elektroinstalace v celém domě (vodiče, rozvaděč, zásuvky, svítidla) — recyklace mědi</t>
        </is>
      </c>
      <c r="D110" s="10" t="inlineStr">
        <is>
          <t>kpl</t>
        </is>
      </c>
      <c r="E110" s="12" t="n">
        <v>1</v>
      </c>
      <c r="F110" s="11" t="inlineStr">
        <is>
          <t>TZ ARS — stávající ELI plně bourána; B m.10.e — 0.1 t kovů celkem</t>
        </is>
      </c>
      <c r="G110" s="11" t="inlineStr">
        <is>
          <t>210010011</t>
        </is>
      </c>
      <c r="H110" s="10" t="inlineStr">
        <is>
          <t>⚠ kandidát-verify</t>
        </is>
      </c>
      <c r="I110" s="11" t="inlineStr">
        <is>
          <t>260219_dum.M21.001</t>
        </is>
      </c>
      <c r="J110" s="11" t="inlineStr"/>
      <c r="K110" s="11" t="inlineStr">
        <is>
          <t>Carried 1:1 (atomic — no decomposition needed)</t>
        </is>
      </c>
    </row>
    <row r="111">
      <c r="A111" s="10" t="n">
        <v>98</v>
      </c>
      <c r="B111" s="11" t="inlineStr">
        <is>
          <t>M-21 ELI silnoproud</t>
        </is>
      </c>
      <c r="C111" s="11" t="inlineStr">
        <is>
          <t>Nová pojistková skříň + 3× podružný rozvaděč pro každé patro (1.NP, 2.NP, 3.NP) s podružným měřením</t>
        </is>
      </c>
      <c r="D111" s="10" t="inlineStr">
        <is>
          <t>ks</t>
        </is>
      </c>
      <c r="E111" s="12" t="n">
        <v>4</v>
      </c>
      <c r="F111" s="11" t="inlineStr">
        <is>
          <t>1 hlavní + 3 podružné = 4 rozvaděče</t>
        </is>
      </c>
      <c r="G111" s="11" t="inlineStr">
        <is>
          <t>210110023</t>
        </is>
      </c>
      <c r="H111" s="10" t="inlineStr">
        <is>
          <t>⚠ kandidát-verify</t>
        </is>
      </c>
      <c r="I111" s="11" t="inlineStr">
        <is>
          <t>260219_dum.M21.002</t>
        </is>
      </c>
      <c r="J111" s="11" t="inlineStr"/>
      <c r="K111" s="11" t="inlineStr">
        <is>
          <t>Carried 1:1 (atomic — no decomposition needed)</t>
        </is>
      </c>
    </row>
    <row r="112">
      <c r="A112" s="10" t="n">
        <v>99</v>
      </c>
      <c r="B112" s="11" t="inlineStr">
        <is>
          <t>M-21 ELI silnoproud</t>
        </is>
      </c>
      <c r="C112" s="11" t="inlineStr">
        <is>
          <t>Nové silnoproudé rozvody — vodiče CYKY 3×1.5 / 3×2.5 / 5×2.5 / 5×6 + krabice + instalační trubky</t>
        </is>
      </c>
      <c r="D112" s="10" t="inlineStr">
        <is>
          <t>bm</t>
        </is>
      </c>
      <c r="E112" s="12" t="n">
        <v>700</v>
      </c>
      <c r="F112" s="11" t="inlineStr">
        <is>
          <t>RD 219 m² × ~3.2 bm/m² standard ELI = 700 bm; vyjasnění #7 working assumption</t>
        </is>
      </c>
      <c r="G112" s="11" t="inlineStr">
        <is>
          <t>210800012</t>
        </is>
      </c>
      <c r="H112" s="10" t="inlineStr">
        <is>
          <t>⚠ kandidát-verify</t>
        </is>
      </c>
      <c r="I112" s="11" t="inlineStr">
        <is>
          <t>260219_dum.M21.003</t>
        </is>
      </c>
      <c r="J112" s="11" t="inlineStr"/>
      <c r="K112" s="11" t="inlineStr">
        <is>
          <t>Carried 1:1 (atomic — no decomposition needed)</t>
        </is>
      </c>
    </row>
    <row r="113">
      <c r="A113" s="10" t="n">
        <v>100</v>
      </c>
      <c r="B113" s="11" t="inlineStr">
        <is>
          <t>M-21 ELI silnoproud</t>
        </is>
      </c>
      <c r="C113" s="11" t="inlineStr">
        <is>
          <t>Zásuvky a vypínače dodávka + montáž — ~70 ks (60-80 dle vyjasnění #7)</t>
        </is>
      </c>
      <c r="D113" s="10" t="inlineStr">
        <is>
          <t>ks</t>
        </is>
      </c>
      <c r="E113" s="12" t="n">
        <v>70</v>
      </c>
      <c r="F113" s="11" t="inlineStr">
        <is>
          <t>RD 219 m² × ~0.3 ks/m² standard 3-byt. dispozice = 70 ks</t>
        </is>
      </c>
      <c r="G113" s="11" t="inlineStr">
        <is>
          <t>210810050</t>
        </is>
      </c>
      <c r="H113" s="10" t="inlineStr">
        <is>
          <t>⚠ kandidát-verify</t>
        </is>
      </c>
      <c r="I113" s="11" t="inlineStr">
        <is>
          <t>260219_dum.M21.004</t>
        </is>
      </c>
      <c r="J113" s="11" t="inlineStr"/>
      <c r="K113" s="11" t="inlineStr">
        <is>
          <t>Carried 1:1 (atomic — no decomposition needed)</t>
        </is>
      </c>
    </row>
    <row r="114">
      <c r="A114" s="10" t="n">
        <v>101</v>
      </c>
      <c r="B114" s="11" t="inlineStr">
        <is>
          <t>M-21 ELI silnoproud</t>
        </is>
      </c>
      <c r="C114" s="11" t="inlineStr">
        <is>
          <t>Svítidla dodávka + montáž — ~35 ks (30-40 dle vyjasnění #7) interiér + venkovní u vstupů</t>
        </is>
      </c>
      <c r="D114" s="10" t="inlineStr">
        <is>
          <t>ks</t>
        </is>
      </c>
      <c r="E114" s="12" t="n">
        <v>35</v>
      </c>
      <c r="F114" s="11" t="inlineStr">
        <is>
          <t>standard RD 220 m² = ~35 ks svítidel</t>
        </is>
      </c>
      <c r="G114" s="11" t="inlineStr">
        <is>
          <t>210820002</t>
        </is>
      </c>
      <c r="H114" s="10" t="inlineStr">
        <is>
          <t>⚠ kandidát-verify</t>
        </is>
      </c>
      <c r="I114" s="11" t="inlineStr">
        <is>
          <t>260219_dum.M21.005</t>
        </is>
      </c>
      <c r="J114" s="11" t="inlineStr"/>
      <c r="K114" s="11" t="inlineStr">
        <is>
          <t>Carried 1:1 (atomic — no decomposition needed)</t>
        </is>
      </c>
    </row>
    <row r="115">
      <c r="A115" s="10" t="n">
        <v>102</v>
      </c>
      <c r="B115" s="11" t="inlineStr">
        <is>
          <t>M-21 ELI silnoproud</t>
        </is>
      </c>
      <c r="C115" s="11" t="inlineStr">
        <is>
          <t>Příprava na osazení FVE — rezerva v rozvaděči (jistič + zásuvka pro střídač) + trasy do střechy</t>
        </is>
      </c>
      <c r="D115" s="10" t="inlineStr">
        <is>
          <t>kpl</t>
        </is>
      </c>
      <c r="E115" s="12" t="n">
        <v>1</v>
      </c>
      <c r="F115" s="11" t="inlineStr">
        <is>
          <t>TZ ARS — 'příprava na osazení FVE'</t>
        </is>
      </c>
      <c r="G115" s="11" t="inlineStr">
        <is>
          <t>210800099</t>
        </is>
      </c>
      <c r="H115" s="10" t="inlineStr">
        <is>
          <t>⚠ kandidát-verify</t>
        </is>
      </c>
      <c r="I115" s="11" t="inlineStr">
        <is>
          <t>260219_dum.M21.006</t>
        </is>
      </c>
      <c r="J115" s="11" t="inlineStr"/>
      <c r="K115" s="11" t="inlineStr">
        <is>
          <t>Carried 1:1 (atomic — no decomposition needed)</t>
        </is>
      </c>
    </row>
    <row r="116">
      <c r="A116" s="10" t="n">
        <v>103</v>
      </c>
      <c r="B116" s="11" t="inlineStr">
        <is>
          <t>M-21 ELI silnoproud</t>
        </is>
      </c>
      <c r="C116" s="11" t="inlineStr">
        <is>
          <t>Výchozí revize elektrické instalace dle ČSN 33 2000-6 + revizní zpráva pro kolaudaci</t>
        </is>
      </c>
      <c r="D116" s="10" t="inlineStr">
        <is>
          <t>kpl</t>
        </is>
      </c>
      <c r="E116" s="12" t="n">
        <v>1</v>
      </c>
      <c r="F116" s="11" t="inlineStr">
        <is>
          <t>ČSN 33 2000-6 — povinná revize před kolaudací</t>
        </is>
      </c>
      <c r="G116" s="11" t="inlineStr">
        <is>
          <t>996019011</t>
        </is>
      </c>
      <c r="H116" s="10" t="inlineStr">
        <is>
          <t>⚠ kandidát-verify</t>
        </is>
      </c>
      <c r="I116" s="11" t="inlineStr">
        <is>
          <t>260219_dum.M21.007</t>
        </is>
      </c>
      <c r="J116" s="11" t="inlineStr"/>
      <c r="K116" s="11" t="inlineStr">
        <is>
          <t>Carried 1:1 (atomic — no decomposition needed)</t>
        </is>
      </c>
    </row>
  </sheetData>
  <autoFilter ref="A1:K1"/>
  <mergeCells count="12">
    <mergeCell ref="A6:K6"/>
    <mergeCell ref="A53:K53"/>
    <mergeCell ref="A70:K70"/>
    <mergeCell ref="A109:K109"/>
    <mergeCell ref="A57:K57"/>
    <mergeCell ref="A38:K38"/>
    <mergeCell ref="A2:K2"/>
    <mergeCell ref="A47:K47"/>
    <mergeCell ref="A85:K85"/>
    <mergeCell ref="A75:K75"/>
    <mergeCell ref="A9:K9"/>
    <mergeCell ref="A106:K10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7" customWidth="1" min="4" max="4"/>
    <col width="10" customWidth="1" min="5" max="5"/>
    <col width="46" customWidth="1" min="6" max="6"/>
    <col width="15" customWidth="1" min="7" max="7"/>
    <col width="20" customWidth="1" min="8" max="8"/>
    <col width="22" customWidth="1" min="9" max="9"/>
    <col width="15" customWidth="1" min="10" max="10"/>
    <col width="44" customWidth="1" min="11" max="11"/>
  </cols>
  <sheetData>
    <row r="1">
      <c r="A1" s="7" t="inlineStr">
        <is>
          <t>Poř.</t>
        </is>
      </c>
      <c r="B1" s="7" t="inlineStr">
        <is>
          <t>Kapitola</t>
        </is>
      </c>
      <c r="C1" s="7" t="inlineStr">
        <is>
          <t>Atomic operace (popis)</t>
        </is>
      </c>
      <c r="D1" s="7" t="inlineStr">
        <is>
          <t>MJ</t>
        </is>
      </c>
      <c r="E1" s="7" t="inlineStr">
        <is>
          <t>Množství</t>
        </is>
      </c>
      <c r="F1" s="7" t="inlineStr">
        <is>
          <t>Vzorec / Zdroj výměry</t>
        </is>
      </c>
      <c r="G1" s="7" t="inlineStr">
        <is>
          <t>URS kód kandidát</t>
        </is>
      </c>
      <c r="H1" s="7" t="inlineStr">
        <is>
          <t>Status</t>
        </is>
      </c>
      <c r="I1" s="7" t="inlineStr">
        <is>
          <t>Parent frozen item_id</t>
        </is>
      </c>
      <c r="J1" s="7" t="inlineStr">
        <is>
          <t>Realizuje skladbu</t>
        </is>
      </c>
      <c r="K1" s="7" t="inlineStr">
        <is>
          <t>Pozn.</t>
        </is>
      </c>
    </row>
    <row r="2">
      <c r="A2" s="8" t="inlineStr">
        <is>
          <t>━━ VRN — Zařízení staveniště  (4 atomic operací) ━━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>
      <c r="A3" s="10" t="n">
        <v>1</v>
      </c>
      <c r="B3" s="11" t="inlineStr">
        <is>
          <t>VRN — Zařízení staveniště</t>
        </is>
      </c>
      <c r="C3" s="11" t="inlineStr">
        <is>
          <t>Zařízení staveniště — buňka kancelář + sociální buňka (WC + šatna), pronájem ~8 měsíců</t>
        </is>
      </c>
      <c r="D3" s="10" t="inlineStr">
        <is>
          <t>kpl-měs</t>
        </is>
      </c>
      <c r="E3" s="12" t="n">
        <v>8</v>
      </c>
      <c r="F3" s="11" t="inlineStr">
        <is>
          <t>realizace odhad 8 měs (demolice 1.5 + hrubá 2.5 + dokončování 4)</t>
        </is>
      </c>
      <c r="G3" s="11" t="inlineStr">
        <is>
          <t>030011000</t>
        </is>
      </c>
      <c r="H3" s="10" t="inlineStr">
        <is>
          <t>⚠ kandidát-verify</t>
        </is>
      </c>
      <c r="I3" s="11" t="inlineStr">
        <is>
          <t>260219_dum.VRN.001</t>
        </is>
      </c>
      <c r="J3" s="11" t="inlineStr"/>
      <c r="K3" s="11" t="inlineStr">
        <is>
          <t>Carried 1:1 (atomic — no decomposition needed)</t>
        </is>
      </c>
    </row>
    <row r="4">
      <c r="A4" s="10" t="n">
        <v>2</v>
      </c>
      <c r="B4" s="11" t="inlineStr">
        <is>
          <t>VRN — Zařízení staveniště</t>
        </is>
      </c>
      <c r="C4" s="11" t="inlineStr">
        <is>
          <t>Mobilní chemické WC TOI TOI pro pracovníky — pronájem ~8 měsíců</t>
        </is>
      </c>
      <c r="D4" s="10" t="inlineStr">
        <is>
          <t>ks-měs</t>
        </is>
      </c>
      <c r="E4" s="12" t="n">
        <v>8</v>
      </c>
      <c r="F4" s="11" t="inlineStr">
        <is>
          <t>1 ks × 8 měs realizace</t>
        </is>
      </c>
      <c r="G4" s="11" t="inlineStr">
        <is>
          <t>030013000</t>
        </is>
      </c>
      <c r="H4" s="10" t="inlineStr">
        <is>
          <t>⚠ kandidát-verify</t>
        </is>
      </c>
      <c r="I4" s="11" t="inlineStr">
        <is>
          <t>260219_dum.VRN.002</t>
        </is>
      </c>
      <c r="J4" s="11" t="inlineStr"/>
      <c r="K4" s="11" t="inlineStr">
        <is>
          <t>Carried 1:1 (atomic — no decomposition needed)</t>
        </is>
      </c>
    </row>
    <row r="5">
      <c r="A5" s="10" t="n">
        <v>3</v>
      </c>
      <c r="B5" s="11" t="inlineStr">
        <is>
          <t>VRN — Zařízení staveniště</t>
        </is>
      </c>
      <c r="C5" s="11" t="inlineStr">
        <is>
          <t>El. odběr stavby (zřízení staveništního rozvaděče + měřič) + vodovodní odběr (zřízení staveništní přípojky + vodoměr) — ~8 měsíců</t>
        </is>
      </c>
      <c r="D5" s="10" t="inlineStr">
        <is>
          <t>kpl</t>
        </is>
      </c>
      <c r="E5" s="12" t="n">
        <v>1</v>
      </c>
      <c r="F5" s="11" t="inlineStr">
        <is>
          <t>Komplexní zřízení + provoz po dobu stavby</t>
        </is>
      </c>
      <c r="G5" s="11" t="inlineStr">
        <is>
          <t>031011000</t>
        </is>
      </c>
      <c r="H5" s="10" t="inlineStr">
        <is>
          <t>⚠ kandidát-verify</t>
        </is>
      </c>
      <c r="I5" s="11" t="inlineStr">
        <is>
          <t>260219_dum.VRN.003</t>
        </is>
      </c>
      <c r="J5" s="11" t="inlineStr"/>
      <c r="K5" s="11" t="inlineStr">
        <is>
          <t>Carried 1:1 (atomic — no decomposition needed)</t>
        </is>
      </c>
    </row>
    <row r="6">
      <c r="A6" s="10" t="n">
        <v>4</v>
      </c>
      <c r="B6" s="11" t="inlineStr">
        <is>
          <t>VRN — Zařízení staveniště</t>
        </is>
      </c>
      <c r="C6" s="11" t="inlineStr">
        <is>
          <t>Voda staveniště — napojení na stávající vodovodní přípojku, dočasné rozvody na staveništi (mísení malt, čištění, soc. zázemí), paušál pro dobu výstavby ~18 měs.</t>
        </is>
      </c>
      <c r="D6" s="10" t="inlineStr">
        <is>
          <t>kpl</t>
        </is>
      </c>
      <c r="E6" s="12" t="n">
        <v>1</v>
      </c>
      <c r="F6" s="11" t="inlineStr">
        <is>
          <t>1 paušál pro dobu výstavby (TZ B m.5 'Zásobování stavby vodou: stávající')</t>
        </is>
      </c>
      <c r="G6" s="11" t="inlineStr">
        <is>
          <t>012103101</t>
        </is>
      </c>
      <c r="H6" s="10" t="inlineStr">
        <is>
          <t>⚠ kandidát-verify</t>
        </is>
      </c>
      <c r="I6" s="11" t="inlineStr">
        <is>
          <t>260219_dum.VRN.020</t>
        </is>
      </c>
      <c r="J6" s="11" t="inlineStr"/>
      <c r="K6" s="11" t="inlineStr">
        <is>
          <t>Carried 1:1 (atomic — no decomposition needed)</t>
        </is>
      </c>
    </row>
    <row r="7">
      <c r="A7" s="8" t="inlineStr">
        <is>
          <t>━━ VRN — Doprava + odpad  (3 atomic operací) ━━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10" t="n">
        <v>5</v>
      </c>
      <c r="B8" s="11" t="inlineStr">
        <is>
          <t>VRN — Doprava + odpad</t>
        </is>
      </c>
      <c r="C8" s="11" t="inlineStr">
        <is>
          <t>Kontejnery na suť tříděnou velkoobjemové (beton/cihly, dřevo, kovy, EPS, sádra, směs) — pronájem + svozy</t>
        </is>
      </c>
      <c r="D8" s="10" t="inlineStr">
        <is>
          <t>ks</t>
        </is>
      </c>
      <c r="E8" s="12" t="n">
        <v>7</v>
      </c>
      <c r="F8" s="11" t="inlineStr">
        <is>
          <t>TZ B m.10.e: 56.9 t celkem → ~7 kontejnerů 8 m³ (beton/cihly hlavní hmota)</t>
        </is>
      </c>
      <c r="G8" s="11" t="inlineStr">
        <is>
          <t>997013211</t>
        </is>
      </c>
      <c r="H8" s="10" t="inlineStr">
        <is>
          <t>⚠ kandidát-verify</t>
        </is>
      </c>
      <c r="I8" s="11" t="inlineStr">
        <is>
          <t>260219_dum.VRN.001</t>
        </is>
      </c>
      <c r="J8" s="11" t="inlineStr"/>
      <c r="K8" s="11" t="inlineStr">
        <is>
          <t>Carried 1:1 (atomic — no decomposition needed)</t>
        </is>
      </c>
    </row>
    <row r="9">
      <c r="A9" s="10" t="n">
        <v>6</v>
      </c>
      <c r="B9" s="11" t="inlineStr">
        <is>
          <t>VRN — Doprava + odpad</t>
        </is>
      </c>
      <c r="C9" s="11" t="inlineStr">
        <is>
          <t>Doprava materiálu na stavbu (centrální koordinace) — paušál ~2-3 % z PN materiál</t>
        </is>
      </c>
      <c r="D9" s="10" t="inlineStr">
        <is>
          <t>paušál</t>
        </is>
      </c>
      <c r="E9" s="12" t="n">
        <v>1</v>
      </c>
      <c r="F9" s="11" t="inlineStr">
        <is>
          <t>Standard paušální koeficient pro RD městská zástavba 2-3 % z PN</t>
        </is>
      </c>
      <c r="G9" s="11" t="inlineStr">
        <is>
          <t>031031000</t>
        </is>
      </c>
      <c r="H9" s="10" t="inlineStr">
        <is>
          <t>⚠ kandidát-verify</t>
        </is>
      </c>
      <c r="I9" s="11" t="inlineStr">
        <is>
          <t>260219_dum.VRN.002</t>
        </is>
      </c>
      <c r="J9" s="11" t="inlineStr"/>
      <c r="K9" s="11" t="inlineStr">
        <is>
          <t>Carried 1:1 (atomic — no decomposition needed)</t>
        </is>
      </c>
    </row>
    <row r="10">
      <c r="A10" s="10" t="n">
        <v>7</v>
      </c>
      <c r="B10" s="11" t="inlineStr">
        <is>
          <t>VRN — Doprava + odpad</t>
        </is>
      </c>
      <c r="C10" s="11" t="inlineStr">
        <is>
          <t>Likvidace stavební suti dle vyhl. 8/2021 Sb. — skládkovné + recyklace + třídění (56.9 t celkem per TZ B m.10.e)</t>
        </is>
      </c>
      <c r="D10" s="10" t="inlineStr">
        <is>
          <t>t</t>
        </is>
      </c>
      <c r="E10" s="12" t="n">
        <v>56.9</v>
      </c>
      <c r="F10" s="11" t="inlineStr">
        <is>
          <t>TZ B m.10.e bilance: 46+9+0.1+0.1+0.2+1.0 = 56.4 t (round 56.9 vč. drobných)</t>
        </is>
      </c>
      <c r="G10" s="11" t="inlineStr">
        <is>
          <t>997013211</t>
        </is>
      </c>
      <c r="H10" s="10" t="inlineStr">
        <is>
          <t>⚠ kandidát-verify</t>
        </is>
      </c>
      <c r="I10" s="11" t="inlineStr">
        <is>
          <t>260219_dum.VRN.003</t>
        </is>
      </c>
      <c r="J10" s="11" t="inlineStr"/>
      <c r="K10" s="11" t="inlineStr">
        <is>
          <t>Carried 1:1 (atomic — no decomposition needed)</t>
        </is>
      </c>
    </row>
    <row r="11">
      <c r="A11" s="8" t="inlineStr">
        <is>
          <t>━━ VRN — BOZP  (1 atomic operací) ━━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10" t="n">
        <v>8</v>
      </c>
      <c r="B12" s="11" t="inlineStr">
        <is>
          <t>VRN — BOZP</t>
        </is>
      </c>
      <c r="C12" s="11" t="inlineStr">
        <is>
          <t>Koordinátor BOZP na staveništi dle zákona 309/2006 Sb. — pro stavbu s více než jedním zhotovitelem</t>
        </is>
      </c>
      <c r="D12" s="10" t="inlineStr">
        <is>
          <t>kpl</t>
        </is>
      </c>
      <c r="E12" s="12" t="n">
        <v>1</v>
      </c>
      <c r="F12" s="11" t="inlineStr">
        <is>
          <t>realizace ~8 měs</t>
        </is>
      </c>
      <c r="G12" s="11" t="inlineStr">
        <is>
          <t>030091000</t>
        </is>
      </c>
      <c r="H12" s="10" t="inlineStr">
        <is>
          <t>⚠ kandidát-verify</t>
        </is>
      </c>
      <c r="I12" s="11" t="inlineStr">
        <is>
          <t>260219_dum.VRN.001</t>
        </is>
      </c>
      <c r="J12" s="11" t="inlineStr"/>
      <c r="K12" s="11" t="inlineStr">
        <is>
          <t>Carried 1:1 (atomic — no decomposition needed)</t>
        </is>
      </c>
    </row>
    <row r="13">
      <c r="A13" s="8" t="inlineStr">
        <is>
          <t>━━ VRN — Pojištění + zábory  (2 atomic operací) ━━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10" t="n">
        <v>9</v>
      </c>
      <c r="B14" s="11" t="inlineStr">
        <is>
          <t>VRN — Pojištění + zábory</t>
        </is>
      </c>
      <c r="C14" s="11" t="inlineStr">
        <is>
          <t>Montážní pojištění stavby (CAR) + pojištění odpovědnosti za škodu (zhotovitel) — paušál cca 0.3-0.5 % z PN</t>
        </is>
      </c>
      <c r="D14" s="10" t="inlineStr">
        <is>
          <t>paušál</t>
        </is>
      </c>
      <c r="E14" s="12" t="n">
        <v>1</v>
      </c>
      <c r="F14" s="11" t="inlineStr">
        <is>
          <t>Standard pojistná sazba 0.3-0.5 % z přímých nákladů</t>
        </is>
      </c>
      <c r="G14" s="11" t="inlineStr">
        <is>
          <t>030081000</t>
        </is>
      </c>
      <c r="H14" s="10" t="inlineStr">
        <is>
          <t>⚠ kandidát-verify</t>
        </is>
      </c>
      <c r="I14" s="11" t="inlineStr">
        <is>
          <t>260219_dum.VRN.001</t>
        </is>
      </c>
      <c r="J14" s="11" t="inlineStr"/>
      <c r="K14" s="11" t="inlineStr">
        <is>
          <t>Carried 1:1 (atomic — no decomposition needed)</t>
        </is>
      </c>
    </row>
    <row r="15">
      <c r="A15" s="10" t="n">
        <v>10</v>
      </c>
      <c r="B15" s="11" t="inlineStr">
        <is>
          <t>VRN — Pojištění + zábory</t>
        </is>
      </c>
      <c r="C15" s="11" t="inlineStr">
        <is>
          <t>Krátkodobé zábory ulice Fibichova pro materiál a kontejnery (povolení MU Jáchymov + DI) — odhad 30 dnů kumulativně</t>
        </is>
      </c>
      <c r="D15" s="10" t="inlineStr">
        <is>
          <t>kpl</t>
        </is>
      </c>
      <c r="E15" s="12" t="n">
        <v>1</v>
      </c>
      <c r="F15" s="11" t="inlineStr">
        <is>
          <t>Řadová zástavba úzká ulice — opakované krátkodobé zábory cumulative ~30 dnů</t>
        </is>
      </c>
      <c r="G15" s="11" t="inlineStr">
        <is>
          <t>030083000</t>
        </is>
      </c>
      <c r="H15" s="10" t="inlineStr">
        <is>
          <t>⚠ kandidát-verify</t>
        </is>
      </c>
      <c r="I15" s="11" t="inlineStr">
        <is>
          <t>260219_dum.VRN.002</t>
        </is>
      </c>
      <c r="J15" s="11" t="inlineStr"/>
      <c r="K15" s="11" t="inlineStr">
        <is>
          <t>Carried 1:1 (atomic — no decomposition needed)</t>
        </is>
      </c>
    </row>
    <row r="16">
      <c r="A16" s="8" t="inlineStr">
        <is>
          <t>━━ VRN — Průzkumy  (2 atomic operací) ━━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10" t="n">
        <v>11</v>
      </c>
      <c r="B17" s="11" t="inlineStr">
        <is>
          <t>VRN — Průzkumy</t>
        </is>
      </c>
      <c r="C17" s="11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D17" s="10" t="inlineStr">
        <is>
          <t>kpl</t>
        </is>
      </c>
      <c r="E17" s="12" t="n">
        <v>1</v>
      </c>
      <c r="F17" s="11" t="inlineStr">
        <is>
          <t>TZ ARS §3.2.3 — 'při bourání bude proveden mykologický průzkum dřev. trámů (zhlaví)'</t>
        </is>
      </c>
      <c r="G17" s="11" t="inlineStr">
        <is>
          <t>030131000</t>
        </is>
      </c>
      <c r="H17" s="10" t="inlineStr">
        <is>
          <t>⚠ kandidát-verify</t>
        </is>
      </c>
      <c r="I17" s="11" t="inlineStr">
        <is>
          <t>260219_dum.VRN.001</t>
        </is>
      </c>
      <c r="J17" s="11" t="inlineStr"/>
      <c r="K17" s="11" t="inlineStr">
        <is>
          <t>Carried 1:1 (atomic — no decomposition needed)</t>
        </is>
      </c>
    </row>
    <row r="18">
      <c r="A18" s="10" t="n">
        <v>12</v>
      </c>
      <c r="B18" s="11" t="inlineStr">
        <is>
          <t>VRN — Průzkumy</t>
        </is>
      </c>
      <c r="C18" s="11" t="inlineStr">
        <is>
          <t>Azbestový průzkum podrobný před demolicí — laboratorní vzorky a posudek (B kap. m.7.a předběžně negativní, ale podrobný před bouráním povinný)</t>
        </is>
      </c>
      <c r="D18" s="10" t="inlineStr">
        <is>
          <t>kpl</t>
        </is>
      </c>
      <c r="E18" s="12" t="n">
        <v>1</v>
      </c>
      <c r="F18" s="11" t="inlineStr">
        <is>
          <t>TZ B m.7.a — 'předběžné ohledání negativní, podrobný průzkum před bouráním'</t>
        </is>
      </c>
      <c r="G18" s="11" t="inlineStr">
        <is>
          <t>030133000</t>
        </is>
      </c>
      <c r="H18" s="10" t="inlineStr">
        <is>
          <t>⚠ kandidát-verify</t>
        </is>
      </c>
      <c r="I18" s="11" t="inlineStr">
        <is>
          <t>260219_dum.VRN.002</t>
        </is>
      </c>
      <c r="J18" s="11" t="inlineStr"/>
      <c r="K18" s="11" t="inlineStr">
        <is>
          <t>Carried 1:1 (atomic — no decomposition needed)</t>
        </is>
      </c>
    </row>
    <row r="19">
      <c r="A19" s="8" t="inlineStr">
        <is>
          <t>━━ VRN — Geodet  (1 atomic operací) ━━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10" t="n">
        <v>13</v>
      </c>
      <c r="B20" s="11" t="inlineStr">
        <is>
          <t>VRN — Geodet</t>
        </is>
      </c>
      <c r="C20" s="11" t="inlineStr">
        <is>
          <t>Geodetické zaměření před realizací (verifikace polohopis + výškopis) + po dokončení (zaměření skutečného provedení pro kolaudaci)</t>
        </is>
      </c>
      <c r="D20" s="10" t="inlineStr">
        <is>
          <t>kpl</t>
        </is>
      </c>
      <c r="E20" s="12" t="n">
        <v>2</v>
      </c>
      <c r="F20" s="11" t="inlineStr">
        <is>
          <t>2 etapy geodet × 1 kpl</t>
        </is>
      </c>
      <c r="G20" s="11" t="inlineStr">
        <is>
          <t>030141000</t>
        </is>
      </c>
      <c r="H20" s="10" t="inlineStr">
        <is>
          <t>⚠ kandidát-verify</t>
        </is>
      </c>
      <c r="I20" s="11" t="inlineStr">
        <is>
          <t>260219_dum.VRN.001</t>
        </is>
      </c>
      <c r="J20" s="11" t="inlineStr"/>
      <c r="K20" s="11" t="inlineStr">
        <is>
          <t>Carried 1:1 (atomic — no decomposition needed)</t>
        </is>
      </c>
    </row>
    <row r="21">
      <c r="A21" s="8" t="inlineStr">
        <is>
          <t>━━ VRN — Dokumentace  (1 atomic operací) ━━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10" t="n">
        <v>14</v>
      </c>
      <c r="B22" s="11" t="inlineStr">
        <is>
          <t>VRN — Dokumentace</t>
        </is>
      </c>
      <c r="C22" s="11" t="inlineStr">
        <is>
          <t>Předávací protokoly + Dokumentace skutečného provedení (DSP) — sestavení, vázání, dodávka 2× tiskem + elektronická verze</t>
        </is>
      </c>
      <c r="D22" s="10" t="inlineStr">
        <is>
          <t>kpl</t>
        </is>
      </c>
      <c r="E22" s="12" t="n">
        <v>1</v>
      </c>
      <c r="F22" s="11" t="inlineStr">
        <is>
          <t>Standard — DSP pro kolaudaci</t>
        </is>
      </c>
      <c r="G22" s="11" t="inlineStr">
        <is>
          <t>030151000</t>
        </is>
      </c>
      <c r="H22" s="10" t="inlineStr">
        <is>
          <t>⚠ kandidát-verify</t>
        </is>
      </c>
      <c r="I22" s="11" t="inlineStr">
        <is>
          <t>260219_dum.VRN.001</t>
        </is>
      </c>
      <c r="J22" s="11" t="inlineStr"/>
      <c r="K22" s="11" t="inlineStr">
        <is>
          <t>Carried 1:1 (atomic — no decomposition needed)</t>
        </is>
      </c>
    </row>
    <row r="23">
      <c r="A23" s="8" t="inlineStr">
        <is>
          <t>━━ VRN — Revize  (1 atomic operací) ━━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10" t="n">
        <v>15</v>
      </c>
      <c r="B24" s="11" t="inlineStr">
        <is>
          <t>VRN — Revize</t>
        </is>
      </c>
      <c r="C24" s="11" t="inlineStr">
        <is>
          <t>Revize vnějšího hydrantu pro požární zabezpečení (DN min. 80, vzdálenost 100 m dle TZ PBŘ) — periodická kontrola</t>
        </is>
      </c>
      <c r="D24" s="10" t="inlineStr">
        <is>
          <t>kpl</t>
        </is>
      </c>
      <c r="E24" s="12" t="n">
        <v>1</v>
      </c>
      <c r="F24" s="11" t="inlineStr">
        <is>
          <t>TZ PBŘ dům — vnější hydrant DN min. 80, vzdálenost 100 m</t>
        </is>
      </c>
      <c r="G24" s="11" t="inlineStr">
        <is>
          <t>030161000</t>
        </is>
      </c>
      <c r="H24" s="10" t="inlineStr">
        <is>
          <t>⚠ kandidát-verify</t>
        </is>
      </c>
      <c r="I24" s="11" t="inlineStr">
        <is>
          <t>260219_dum.VRN.001</t>
        </is>
      </c>
      <c r="J24" s="11" t="inlineStr"/>
      <c r="K24" s="11" t="inlineStr">
        <is>
          <t>Carried 1:1 (atomic — no decomposition needed)</t>
        </is>
      </c>
    </row>
    <row r="25">
      <c r="A25" s="8" t="inlineStr">
        <is>
          <t>━━ VRN — Kolaudace  (1 atomic operací) ━━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10" t="n">
        <v>16</v>
      </c>
      <c r="B26" s="11" t="inlineStr">
        <is>
          <t>VRN — Kolaudace</t>
        </is>
      </c>
      <c r="C26" s="11" t="inlineStr">
        <is>
          <t>Kolaudační řízení — paušál (správní poplatky + součinnost) dle zákona 183/2006 Sb.</t>
        </is>
      </c>
      <c r="D26" s="10" t="inlineStr">
        <is>
          <t>paušál</t>
        </is>
      </c>
      <c r="E26" s="12" t="n">
        <v>1</v>
      </c>
      <c r="F26" s="11" t="inlineStr">
        <is>
          <t>Standard — paušál kolaudace</t>
        </is>
      </c>
      <c r="G26" s="11" t="inlineStr">
        <is>
          <t>030171000</t>
        </is>
      </c>
      <c r="H26" s="10" t="inlineStr">
        <is>
          <t>⚠ kandidát-verify</t>
        </is>
      </c>
      <c r="I26" s="11" t="inlineStr">
        <is>
          <t>260219_dum.VRN.001</t>
        </is>
      </c>
      <c r="J26" s="11" t="inlineStr"/>
      <c r="K26" s="11" t="inlineStr">
        <is>
          <t>Carried 1:1 (atomic — no decomposition needed)</t>
        </is>
      </c>
    </row>
    <row r="27">
      <c r="A27" s="8" t="inlineStr">
        <is>
          <t>━━ VRN — Přesun hmot  (1 atomic operací) ━━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17" t="n">
        <v>17</v>
      </c>
      <c r="B28" s="18" t="inlineStr">
        <is>
          <t>VRN — Přesun hmot</t>
        </is>
      </c>
      <c r="C28" s="18" t="inlineStr">
        <is>
          <t>Přesun hmot pro budovu — vnitrostaveništní vertikální + horizontální doprava materiálu a hmot (rekonstrukce vícepodlažní RD + nástavba 3.NP)</t>
        </is>
      </c>
      <c r="D28" s="17" t="inlineStr">
        <is>
          <t>t</t>
        </is>
      </c>
      <c r="E28" s="19" t="n">
        <v>0</v>
      </c>
      <c r="F28" s="18" t="inlineStr">
        <is>
          <t>TBD — buď % z HSV nákladů (běžně 2-4 %) nebo dle celkové tonáže přesouvaných hmot; množství doplní rozpočtář při cenotvorbě</t>
        </is>
      </c>
      <c r="G28" s="18" t="inlineStr"/>
      <c r="H28" s="17" t="inlineStr">
        <is>
          <t>❌ blank — ÚRS online</t>
        </is>
      </c>
      <c r="I28" s="18" t="inlineStr">
        <is>
          <t>260219_dum.VRN.PM01</t>
        </is>
      </c>
      <c r="J28" s="18" t="inlineStr"/>
      <c r="K28" s="18" t="inlineStr">
        <is>
          <t>Carried 1:1 (atomic — no decomposition needed)  Doplnit leaf z CS ÚRS online (app.urs.cz, cen. úroveň 2026 01) dle família + popis + Vzorec.</t>
        </is>
      </c>
    </row>
    <row r="29">
      <c r="A29" s="8" t="inlineStr">
        <is>
          <t>━━ VRN — Lešení  (1 atomic operací) ━━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17" t="n">
        <v>18</v>
      </c>
      <c r="B30" s="18" t="inlineStr">
        <is>
          <t>VRN — Lešení</t>
        </is>
      </c>
      <c r="C30" s="18" t="inlineStr">
        <is>
          <t>Fasádní lešení trubkové/rámové vč. montáže + pronájmu + demontáže — pro provedení ETICS fasády, krovu a klempířiny po obvodu domu (výška 13 m)</t>
        </is>
      </c>
      <c r="D30" s="17" t="inlineStr">
        <is>
          <t>m²</t>
        </is>
      </c>
      <c r="E30" s="19" t="n">
        <v>503.1</v>
      </c>
      <c r="F30" s="18" t="inlineStr">
        <is>
          <t>obvod domu 38.7 m × výška 13.0 m = 503.1 m² lešenné plochy (pro ETICS fasádu 276.7 m² + krov + klempířinu)</t>
        </is>
      </c>
      <c r="G30" s="18" t="inlineStr"/>
      <c r="H30" s="17" t="inlineStr">
        <is>
          <t>❌ blank — ÚRS online</t>
        </is>
      </c>
      <c r="I30" s="18" t="inlineStr">
        <is>
          <t>260219_dum.VRN.PM02</t>
        </is>
      </c>
      <c r="J30" s="18" t="inlineStr"/>
      <c r="K30" s="18" t="inlineStr">
        <is>
          <t>Carried 1:1 (atomic — no decomposition needed)  Doplnit leaf z CS ÚRS online (app.urs.cz, cen. úroveň 2026 01) dle família + popis + Vzorec.</t>
        </is>
      </c>
    </row>
  </sheetData>
  <autoFilter ref="A1:K1"/>
  <mergeCells count="11">
    <mergeCell ref="A21:K21"/>
    <mergeCell ref="A29:K29"/>
    <mergeCell ref="A7:K7"/>
    <mergeCell ref="A25:K25"/>
    <mergeCell ref="A2:K2"/>
    <mergeCell ref="A11:K11"/>
    <mergeCell ref="A16:K16"/>
    <mergeCell ref="A19:K19"/>
    <mergeCell ref="A13:K13"/>
    <mergeCell ref="A23:K23"/>
    <mergeCell ref="A27:K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7" customWidth="1" min="4" max="4"/>
    <col width="10" customWidth="1" min="5" max="5"/>
    <col width="46" customWidth="1" min="6" max="6"/>
    <col width="15" customWidth="1" min="7" max="7"/>
    <col width="20" customWidth="1" min="8" max="8"/>
    <col width="22" customWidth="1" min="9" max="9"/>
    <col width="15" customWidth="1" min="10" max="10"/>
    <col width="44" customWidth="1" min="11" max="11"/>
  </cols>
  <sheetData>
    <row r="1">
      <c r="A1" s="7" t="inlineStr">
        <is>
          <t>Poř.</t>
        </is>
      </c>
      <c r="B1" s="7" t="inlineStr">
        <is>
          <t>Kapitola</t>
        </is>
      </c>
      <c r="C1" s="7" t="inlineStr">
        <is>
          <t>Atomic operace (popis)</t>
        </is>
      </c>
      <c r="D1" s="7" t="inlineStr">
        <is>
          <t>MJ</t>
        </is>
      </c>
      <c r="E1" s="7" t="inlineStr">
        <is>
          <t>Množství</t>
        </is>
      </c>
      <c r="F1" s="7" t="inlineStr">
        <is>
          <t>Vzorec / Zdroj výměry</t>
        </is>
      </c>
      <c r="G1" s="7" t="inlineStr">
        <is>
          <t>URS kód kandidát</t>
        </is>
      </c>
      <c r="H1" s="7" t="inlineStr">
        <is>
          <t>Status</t>
        </is>
      </c>
      <c r="I1" s="7" t="inlineStr">
        <is>
          <t>Parent frozen item_id</t>
        </is>
      </c>
      <c r="J1" s="7" t="inlineStr">
        <is>
          <t>Realizuje skladbu</t>
        </is>
      </c>
      <c r="K1" s="7" t="inlineStr">
        <is>
          <t>Pozn.</t>
        </is>
      </c>
    </row>
    <row r="2">
      <c r="A2" s="8" t="inlineStr">
        <is>
          <t>━━ HSV-1 Zemní práce  (6 atomic operací) ━━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>
      <c r="A3" s="10" t="n">
        <v>1</v>
      </c>
      <c r="B3" s="11" t="inlineStr">
        <is>
          <t>HSV-1 Zemní práce</t>
        </is>
      </c>
      <c r="C3" s="11" t="inlineStr">
        <is>
          <t>Sejmutí ornice a demolice stávajících kamenných zídek a schodiště v místě nového skladu+parkingu</t>
        </is>
      </c>
      <c r="D3" s="10" t="inlineStr">
        <is>
          <t>m³</t>
        </is>
      </c>
      <c r="E3" s="12" t="n">
        <v>8</v>
      </c>
      <c r="F3" s="11" t="inlineStr">
        <is>
          <t>TZ ARS sklad §3 — odstranění stávajících kamenných prvků (odhad)</t>
        </is>
      </c>
      <c r="G3" s="11" t="inlineStr">
        <is>
          <t>962031132</t>
        </is>
      </c>
      <c r="H3" s="10" t="inlineStr">
        <is>
          <t>✓ verified</t>
        </is>
      </c>
      <c r="I3" s="11" t="inlineStr">
        <is>
          <t>260217_sklad.HSV1.001</t>
        </is>
      </c>
      <c r="J3" s="11" t="inlineStr"/>
      <c r="K3" s="11" t="inlineStr">
        <is>
          <t>Carried 1:1 (atomic — no decomposition needed)</t>
        </is>
      </c>
    </row>
    <row r="4">
      <c r="A4" s="10" t="n">
        <v>2</v>
      </c>
      <c r="B4" s="11" t="inlineStr">
        <is>
          <t>HSV-1 Zemní práce</t>
        </is>
      </c>
      <c r="C4" s="11" t="inlineStr">
        <is>
          <t>Hloubení jam nezapažených pro objekt skladu v lichoběžníku 6,35 × 3,34 m, hl. do 1,2 m, hornina tř. 3</t>
        </is>
      </c>
      <c r="D4" s="10" t="inlineStr">
        <is>
          <t>m³</t>
        </is>
      </c>
      <c r="E4" s="12" t="n">
        <v>25.5</v>
      </c>
      <c r="F4" s="11" t="inlineStr">
        <is>
          <t>DXF: L=6.350 × W=3.340 × H=1.2 (DXF DIMENSION ověřeno)</t>
        </is>
      </c>
      <c r="G4" s="13" t="inlineStr">
        <is>
          <t>131201101</t>
        </is>
      </c>
      <c r="H4" s="10" t="inlineStr">
        <is>
          <t>✓ verified</t>
        </is>
      </c>
      <c r="I4" s="11" t="inlineStr">
        <is>
          <t>260217_sklad.HSV1.002</t>
        </is>
      </c>
      <c r="J4" s="11" t="inlineStr"/>
      <c r="K4" s="11" t="inlineStr">
        <is>
          <t>Carried 1:1 (atomic — no decomposition needed)</t>
        </is>
      </c>
    </row>
    <row r="5">
      <c r="A5" s="10" t="n">
        <v>3</v>
      </c>
      <c r="B5" s="11" t="inlineStr">
        <is>
          <t>HSV-1 Zemní práce</t>
        </is>
      </c>
      <c r="C5" s="11" t="inlineStr">
        <is>
          <t>Hloubení rýh pro betonové základové pasy 500×500 mm po obvodu skladu (nezámrzná hl. 1.0 m)</t>
        </is>
      </c>
      <c r="D5" s="10" t="inlineStr">
        <is>
          <t>m³</t>
        </is>
      </c>
      <c r="E5" s="12" t="n">
        <v>4.85</v>
      </c>
      <c r="F5" s="11" t="inlineStr">
        <is>
          <t>obvod 2×(6.35+3.34) × W=0.5 × H=0.5</t>
        </is>
      </c>
      <c r="G5" s="13" t="inlineStr">
        <is>
          <t>132201101</t>
        </is>
      </c>
      <c r="H5" s="10" t="inlineStr">
        <is>
          <t>✓ verified</t>
        </is>
      </c>
      <c r="I5" s="11" t="inlineStr">
        <is>
          <t>260217_sklad.HSV1.003</t>
        </is>
      </c>
      <c r="J5" s="11" t="inlineStr"/>
      <c r="K5" s="11" t="inlineStr">
        <is>
          <t>Carried 1:1 (atomic — no decomposition needed)</t>
        </is>
      </c>
    </row>
    <row r="6">
      <c r="A6" s="10" t="n">
        <v>4</v>
      </c>
      <c r="B6" s="11" t="inlineStr">
        <is>
          <t>HSV-1 Zemní práce</t>
        </is>
      </c>
      <c r="C6" s="11" t="inlineStr">
        <is>
          <t>Hloubení patek pro stojky IPE180 zastřešení parkingu, 500×500 mm × 1.0 m hl. × 7 ks</t>
        </is>
      </c>
      <c r="D6" s="10" t="inlineStr">
        <is>
          <t>m³</t>
        </is>
      </c>
      <c r="E6" s="12" t="n">
        <v>1.75</v>
      </c>
      <c r="F6" s="11" t="inlineStr">
        <is>
          <t>DXF: 7 patek × 0.5 × 0.5 × 1.0 (TZ rozteč 1000 mm × 7 m parking)</t>
        </is>
      </c>
      <c r="G6" s="11" t="inlineStr">
        <is>
          <t>132211101</t>
        </is>
      </c>
      <c r="H6" s="10" t="inlineStr">
        <is>
          <t>⚠ kandidát-verify</t>
        </is>
      </c>
      <c r="I6" s="11" t="inlineStr">
        <is>
          <t>260217_sklad.HSV1.004</t>
        </is>
      </c>
      <c r="J6" s="11" t="inlineStr"/>
      <c r="K6" s="11" t="inlineStr">
        <is>
          <t>Carried 1:1 (atomic — no decomposition needed)</t>
        </is>
      </c>
    </row>
    <row r="7">
      <c r="A7" s="10" t="n">
        <v>5</v>
      </c>
      <c r="B7" s="11" t="inlineStr">
        <is>
          <t>HSV-1 Zemní práce</t>
        </is>
      </c>
      <c r="C7" s="11" t="inlineStr">
        <is>
          <t>Zhutněný štěrkopískový násyp pod podlahu skladu + štěrkopísek pro IPE patky</t>
        </is>
      </c>
      <c r="D7" s="10" t="inlineStr">
        <is>
          <t>m³</t>
        </is>
      </c>
      <c r="E7" s="12" t="n">
        <v>3.2</v>
      </c>
      <c r="F7" s="11" t="inlineStr">
        <is>
          <t>podlaha sklad 21.2 m² × 0.15 m štěrku</t>
        </is>
      </c>
      <c r="G7" s="11" t="inlineStr">
        <is>
          <t>174101101</t>
        </is>
      </c>
      <c r="H7" s="10" t="inlineStr">
        <is>
          <t>⚠ kandidát-verify</t>
        </is>
      </c>
      <c r="I7" s="11" t="inlineStr">
        <is>
          <t>260217_sklad.HSV1.005</t>
        </is>
      </c>
      <c r="J7" s="11" t="inlineStr">
        <is>
          <t>S01_sklad</t>
        </is>
      </c>
      <c r="K7" s="11" t="inlineStr">
        <is>
          <t>Carried 1:1 (atomic — no decomposition needed)</t>
        </is>
      </c>
    </row>
    <row r="8">
      <c r="A8" s="17" t="n">
        <v>6</v>
      </c>
      <c r="B8" s="18" t="inlineStr">
        <is>
          <t>HSV-1 Zemní práce</t>
        </is>
      </c>
      <c r="C8" s="18" t="inlineStr">
        <is>
          <t>Odvoz výkopku z hloubení skladu + figur + patek na deponii do 8 km</t>
        </is>
      </c>
      <c r="D8" s="17" t="inlineStr">
        <is>
          <t>m³</t>
        </is>
      </c>
      <c r="E8" s="19" t="n">
        <v>32.1</v>
      </c>
      <c r="F8" s="18">
        <f> součet hloubení sklad + figura + patky (25.5+4.85+1.75)</f>
        <v/>
      </c>
      <c r="G8" s="18" t="inlineStr"/>
      <c r="H8" s="17" t="inlineStr">
        <is>
          <t>❌ blank — ÚRS online</t>
        </is>
      </c>
      <c r="I8" s="18" t="inlineStr">
        <is>
          <t>260217_sklad.HSV1.006</t>
        </is>
      </c>
      <c r="J8" s="18" t="inlineStr"/>
      <c r="K8" s="18" t="inlineStr">
        <is>
          <t>Carried 1:1 (atomic — no decomposition needed)  Doplnit leaf z CS ÚRS online (app.urs.cz, cen. úroveň 2026 01) dle família + popis + Vzorec.</t>
        </is>
      </c>
    </row>
    <row r="9">
      <c r="A9" s="8" t="inlineStr">
        <is>
          <t>━━ HSV-2 Základové a ŽB  (6 atomic operací) ━━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17" t="n">
        <v>7</v>
      </c>
      <c r="B10" s="18" t="inlineStr">
        <is>
          <t>HSV-2 Základové a ŽB</t>
        </is>
      </c>
      <c r="C10" s="18" t="inlineStr">
        <is>
          <t>Základové pasy z prostého betonu C16/20 XC0, 500×500 mm po obvodu skladu (nezámrzná hl.)</t>
        </is>
      </c>
      <c r="D10" s="17" t="inlineStr">
        <is>
          <t>m³</t>
        </is>
      </c>
      <c r="E10" s="19" t="n">
        <v>4.84</v>
      </c>
      <c r="F10" s="18" t="inlineStr">
        <is>
          <t>0.5 × 0.5 × 19.4 obvod = 4.85</t>
        </is>
      </c>
      <c r="G10" s="18" t="inlineStr"/>
      <c r="H10" s="17" t="inlineStr">
        <is>
          <t>❌ blank — ÚRS online</t>
        </is>
      </c>
      <c r="I10" s="18" t="inlineStr">
        <is>
          <t>260217_sklad.HSV2.001</t>
        </is>
      </c>
      <c r="J10" s="18" t="inlineStr">
        <is>
          <t>S03a_sklad, S03b_sklad</t>
        </is>
      </c>
      <c r="K10" s="18" t="inlineStr">
        <is>
          <t>Carried 1:1 (atomic — no decomposition needed)  Doplnit leaf z CS ÚRS online (app.urs.cz, cen. úroveň 2026 01) dle família + popis + Vzorec.</t>
        </is>
      </c>
    </row>
    <row r="11">
      <c r="A11" s="10" t="n">
        <v>8</v>
      </c>
      <c r="B11" s="11" t="inlineStr">
        <is>
          <t>HSV-2 Základové a ŽB</t>
        </is>
      </c>
      <c r="C11" s="11" t="inlineStr">
        <is>
          <t>Dvoustupňové patky pro IPE180 zastřešení parkingu — spodní část prostý beton C16/20 500×500×500 mm × 7 ks</t>
        </is>
      </c>
      <c r="D11" s="10" t="inlineStr">
        <is>
          <t>ks</t>
        </is>
      </c>
      <c r="E11" s="12" t="n">
        <v>7</v>
      </c>
      <c r="F11" s="11" t="inlineStr">
        <is>
          <t>DXF: 7 ks (rozteč 1000 mm × 7000 mm parking délka)</t>
        </is>
      </c>
      <c r="G11" s="13" t="inlineStr">
        <is>
          <t>273313811</t>
        </is>
      </c>
      <c r="H11" s="10" t="inlineStr">
        <is>
          <t>⚠ kandidát-verify</t>
        </is>
      </c>
      <c r="I11" s="11" t="inlineStr">
        <is>
          <t>260217_sklad.HSV2.002</t>
        </is>
      </c>
      <c r="J11" s="11" t="inlineStr"/>
      <c r="K11" s="11" t="inlineStr">
        <is>
          <t>Carried 1:1 (atomic — no decomposition needed)</t>
        </is>
      </c>
    </row>
    <row r="12">
      <c r="A12" s="10" t="n">
        <v>9</v>
      </c>
      <c r="B12" s="11" t="inlineStr">
        <is>
          <t>HSV-2 Základové a ŽB</t>
        </is>
      </c>
      <c r="C12" s="11" t="inlineStr">
        <is>
          <t>Dvoustupňové patky pro IPE180 — horní část z tvarovek ztraceného bednění 300×300 mm × 7 ks</t>
        </is>
      </c>
      <c r="D12" s="10" t="inlineStr">
        <is>
          <t>ks</t>
        </is>
      </c>
      <c r="E12" s="12" t="n">
        <v>7</v>
      </c>
      <c r="F12" s="11" t="inlineStr">
        <is>
          <t>7 ks (= spodní)</t>
        </is>
      </c>
      <c r="G12" s="11" t="inlineStr">
        <is>
          <t>311233812</t>
        </is>
      </c>
      <c r="H12" s="10" t="inlineStr">
        <is>
          <t>⚠ kandidát-verify</t>
        </is>
      </c>
      <c r="I12" s="11" t="inlineStr">
        <is>
          <t>260217_sklad.HSV2.003</t>
        </is>
      </c>
      <c r="J12" s="11" t="inlineStr"/>
      <c r="K12" s="11" t="inlineStr">
        <is>
          <t>Carried 1:1 (atomic — no decomposition needed)</t>
        </is>
      </c>
    </row>
    <row r="13">
      <c r="A13" s="10" t="n">
        <v>10</v>
      </c>
      <c r="B13" s="11" t="inlineStr">
        <is>
          <t>HSV-2 Základové a ŽB</t>
        </is>
      </c>
      <c r="C13" s="11" t="inlineStr">
        <is>
          <t>Beton C25/30 XC3 XF1 XA1 pro zalití tvarovek ZB patek + lemujících zídek parkingu</t>
        </is>
      </c>
      <c r="D13" s="10" t="inlineStr">
        <is>
          <t>m³</t>
        </is>
      </c>
      <c r="E13" s="12" t="n">
        <v>1.8</v>
      </c>
      <c r="F13" s="11" t="inlineStr">
        <is>
          <t>patky horní (0.3×0.3×0.5×7) + zídka (odhad ~1 m³)</t>
        </is>
      </c>
      <c r="G13" s="11" t="inlineStr">
        <is>
          <t>273321321</t>
        </is>
      </c>
      <c r="H13" s="10" t="inlineStr">
        <is>
          <t>⚠ kandidát-verify</t>
        </is>
      </c>
      <c r="I13" s="11" t="inlineStr">
        <is>
          <t>260217_sklad.HSV2.004</t>
        </is>
      </c>
      <c r="J13" s="11" t="inlineStr"/>
      <c r="K13" s="11" t="inlineStr">
        <is>
          <t>Carried 1:1 (atomic — no decomposition needed)</t>
        </is>
      </c>
    </row>
    <row r="14">
      <c r="A14" s="10" t="n">
        <v>11</v>
      </c>
      <c r="B14" s="11" t="inlineStr">
        <is>
          <t>HSV-2 Základové a ŽB</t>
        </is>
      </c>
      <c r="C14" s="11" t="inlineStr">
        <is>
          <t>Štěrkopískové lože pod podlahu skladu + pod schodišťovou desku</t>
        </is>
      </c>
      <c r="D14" s="10" t="inlineStr">
        <is>
          <t>m³</t>
        </is>
      </c>
      <c r="E14" s="12" t="n">
        <v>2.12</v>
      </c>
      <c r="F14" s="11" t="inlineStr">
        <is>
          <t>21.2 × 0.10 = 2.12</t>
        </is>
      </c>
      <c r="G14" s="11" t="inlineStr">
        <is>
          <t>174101101</t>
        </is>
      </c>
      <c r="H14" s="10" t="inlineStr">
        <is>
          <t>✓ verified</t>
        </is>
      </c>
      <c r="I14" s="11" t="inlineStr">
        <is>
          <t>260217_sklad.HSV2.005</t>
        </is>
      </c>
      <c r="J14" s="11" t="inlineStr">
        <is>
          <t>S01_sklad, S05_sklad</t>
        </is>
      </c>
      <c r="K14" s="11" t="inlineStr">
        <is>
          <t>Carried 1:1 (atomic — no decomposition needed)</t>
        </is>
      </c>
    </row>
    <row r="15">
      <c r="A15" s="10" t="n">
        <v>12</v>
      </c>
      <c r="B15" s="11" t="inlineStr">
        <is>
          <t>HSV-2 Základové a ŽB</t>
        </is>
      </c>
      <c r="C15" s="11" t="inlineStr">
        <is>
          <t>ŽB schodišťová deska ve sklonu + základový pas — beton C25/30 XC3 (terén ke skladu)</t>
        </is>
      </c>
      <c r="D15" s="10" t="inlineStr">
        <is>
          <t>m³</t>
        </is>
      </c>
      <c r="E15" s="12" t="n">
        <v>0.8</v>
      </c>
      <c r="F15" s="11" t="inlineStr">
        <is>
          <t>odhad 3 m schodů × 0.8 × 0.30 = 0.72 (ručně)</t>
        </is>
      </c>
      <c r="G15" s="11" t="inlineStr">
        <is>
          <t>273361821</t>
        </is>
      </c>
      <c r="H15" s="10" t="inlineStr">
        <is>
          <t>⚠ kandidát-verify</t>
        </is>
      </c>
      <c r="I15" s="11" t="inlineStr">
        <is>
          <t>260217_sklad.HSV2.006</t>
        </is>
      </c>
      <c r="J15" s="11" t="inlineStr">
        <is>
          <t>S05_sklad</t>
        </is>
      </c>
      <c r="K15" s="11" t="inlineStr">
        <is>
          <t>Carried 1:1 (atomic — no decomposition needed)</t>
        </is>
      </c>
    </row>
    <row r="16">
      <c r="A16" s="8" t="inlineStr">
        <is>
          <t>━━ HSV-3 Svislé konstrukce  (3 atomic operací) ━━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10" t="n">
        <v>13</v>
      </c>
      <c r="B17" s="11" t="inlineStr">
        <is>
          <t>HSV-3 Svislé konstrukce</t>
        </is>
      </c>
      <c r="C17" s="11" t="inlineStr">
        <is>
          <t>Zadní opěrná stěna — prefabrikované betonové bloky Herkul H-BLOK Standard, vazba běhounová s posunem 0.5</t>
        </is>
      </c>
      <c r="D17" s="10" t="inlineStr">
        <is>
          <t>ks</t>
        </is>
      </c>
      <c r="E17" s="12" t="n">
        <v>60</v>
      </c>
      <c r="F17" s="11" t="inlineStr">
        <is>
          <t>odhad — výška ~1.6 m × šíře 6.35 m / blok 0.8×0.4 = ~32 bloků × 2 řady = 64; round 60</t>
        </is>
      </c>
      <c r="G17" s="11" t="inlineStr">
        <is>
          <t>311233815</t>
        </is>
      </c>
      <c r="H17" s="10" t="inlineStr">
        <is>
          <t>⚠ kandidát-verify</t>
        </is>
      </c>
      <c r="I17" s="11" t="inlineStr">
        <is>
          <t>260217_sklad.HSV3.001</t>
        </is>
      </c>
      <c r="J17" s="11" t="inlineStr">
        <is>
          <t>S04_sklad</t>
        </is>
      </c>
      <c r="K17" s="11" t="inlineStr">
        <is>
          <t>Carried 1:1 (atomic — no decomposition needed)</t>
        </is>
      </c>
    </row>
    <row r="18">
      <c r="A18" s="10" t="n">
        <v>14</v>
      </c>
      <c r="B18" s="11" t="inlineStr">
        <is>
          <t>HSV-3 Svislé konstrukce</t>
        </is>
      </c>
      <c r="C18" s="11" t="inlineStr">
        <is>
          <t>Obvodové stěny skladu — tvarovky ztraceného bednění tl. 250 mm × výška 2.4 m + zalití C25/30</t>
        </is>
      </c>
      <c r="D18" s="10" t="inlineStr">
        <is>
          <t>m²</t>
        </is>
      </c>
      <c r="E18" s="12" t="n">
        <v>46.5</v>
      </c>
      <c r="F18" s="11" t="inlineStr">
        <is>
          <t>obvod 19.4 m × výška 2.4 m = 46.6</t>
        </is>
      </c>
      <c r="G18" s="11" t="inlineStr">
        <is>
          <t>311233811</t>
        </is>
      </c>
      <c r="H18" s="10" t="inlineStr">
        <is>
          <t>⚠ kandidát-verify</t>
        </is>
      </c>
      <c r="I18" s="11" t="inlineStr">
        <is>
          <t>260217_sklad.HSV3.002</t>
        </is>
      </c>
      <c r="J18" s="11" t="inlineStr">
        <is>
          <t>S03a_sklad, S03b_sklad</t>
        </is>
      </c>
      <c r="K18" s="11" t="inlineStr">
        <is>
          <t>Carried 1:1 (atomic — no decomposition needed)</t>
        </is>
      </c>
    </row>
    <row r="19">
      <c r="A19" s="10" t="n">
        <v>15</v>
      </c>
      <c r="B19" s="11" t="inlineStr">
        <is>
          <t>HSV-3 Svislé konstrukce</t>
        </is>
      </c>
      <c r="C19" s="11" t="inlineStr">
        <is>
          <t>Výztuž B500B do tvarovek ztraceného bednění (~30 kg/m² stěny při zalití C25/30)</t>
        </is>
      </c>
      <c r="D19" s="10" t="inlineStr">
        <is>
          <t>kg</t>
        </is>
      </c>
      <c r="E19" s="12" t="n">
        <v>1398</v>
      </c>
      <c r="F19" s="11" t="inlineStr">
        <is>
          <t>46.6 × 30 kg/m² = 1398</t>
        </is>
      </c>
      <c r="G19" s="13" t="inlineStr">
        <is>
          <t>273361821</t>
        </is>
      </c>
      <c r="H19" s="10" t="inlineStr">
        <is>
          <t>⚠ kandidát-verify</t>
        </is>
      </c>
      <c r="I19" s="11" t="inlineStr">
        <is>
          <t>260217_sklad.HSV3.003</t>
        </is>
      </c>
      <c r="J19" s="11" t="inlineStr">
        <is>
          <t>S03a_sklad, S03b_sklad</t>
        </is>
      </c>
      <c r="K19" s="11" t="inlineStr">
        <is>
          <t>Carried 1:1 (atomic — no decomposition needed)</t>
        </is>
      </c>
    </row>
    <row r="20">
      <c r="A20" s="8" t="inlineStr">
        <is>
          <t>━━ HSV-4 Vodorovné  (6 atomic operací) ━━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10" t="n">
        <v>16</v>
      </c>
      <c r="B21" s="11" t="inlineStr">
        <is>
          <t>HSV-4 Vodorovné</t>
        </is>
      </c>
      <c r="C21" s="11" t="inlineStr">
        <is>
          <t>Dřevěné stropnice 100/160 mm á 625 mm primární zastřešení skladu — rezivo C24 fungicidní</t>
        </is>
      </c>
      <c r="D21" s="10" t="inlineStr">
        <is>
          <t>bm</t>
        </is>
      </c>
      <c r="E21" s="12" t="n">
        <v>33.9</v>
      </c>
      <c r="F21" s="11" t="inlineStr">
        <is>
          <t>rozpon 3.34 × počet stropnic (6.35/0.625 = 10) = ~10 ks × 3.34 = 33.4</t>
        </is>
      </c>
      <c r="G21" s="11" t="inlineStr">
        <is>
          <t>762341110</t>
        </is>
      </c>
      <c r="H21" s="10" t="inlineStr">
        <is>
          <t>⚠ kandidát-verify</t>
        </is>
      </c>
      <c r="I21" s="11" t="inlineStr">
        <is>
          <t>260217_sklad.HSV4.001</t>
        </is>
      </c>
      <c r="J21" s="11" t="inlineStr">
        <is>
          <t>S02_sklad</t>
        </is>
      </c>
      <c r="K21" s="11" t="inlineStr">
        <is>
          <t>Carried 1:1 (atomic — no decomposition needed)</t>
        </is>
      </c>
    </row>
    <row r="22">
      <c r="A22" s="10" t="n">
        <v>17</v>
      </c>
      <c r="B22" s="11" t="inlineStr">
        <is>
          <t>HSV-4 Vodorovné</t>
        </is>
      </c>
      <c r="C22" s="11" t="inlineStr">
        <is>
          <t>Prkenný záklop stropnic skladu tl. 20 mm + impregnace</t>
        </is>
      </c>
      <c r="D22" s="10" t="inlineStr">
        <is>
          <t>m²</t>
        </is>
      </c>
      <c r="E22" s="12" t="n">
        <v>21.209</v>
      </c>
      <c r="F22" s="11">
        <f> 21.2 m² strop skladu</f>
        <v/>
      </c>
      <c r="G22" s="11" t="inlineStr">
        <is>
          <t>762331110</t>
        </is>
      </c>
      <c r="H22" s="10" t="inlineStr">
        <is>
          <t>⚠ kandidát-verify</t>
        </is>
      </c>
      <c r="I22" s="11" t="inlineStr">
        <is>
          <t>260217_sklad.HSV4.002</t>
        </is>
      </c>
      <c r="J22" s="11" t="inlineStr">
        <is>
          <t>S02_sklad</t>
        </is>
      </c>
      <c r="K22" s="11" t="inlineStr">
        <is>
          <t>Carried 1:1 (atomic — no decomposition needed)</t>
        </is>
      </c>
    </row>
    <row r="23">
      <c r="A23" s="10" t="n">
        <v>18</v>
      </c>
      <c r="B23" s="11" t="inlineStr">
        <is>
          <t>HSV-4 Vodorovné</t>
        </is>
      </c>
      <c r="C23" s="11" t="inlineStr">
        <is>
          <t>Hydroizolační střešní souvrství skladu (modifikovaný asfaltový pás SBS + ochranná vrstva)</t>
        </is>
      </c>
      <c r="D23" s="10" t="inlineStr">
        <is>
          <t>m²</t>
        </is>
      </c>
      <c r="E23" s="12" t="n">
        <v>22.26945</v>
      </c>
      <c r="F23" s="11" t="inlineStr">
        <is>
          <t>21.2 × 1.05 přesah</t>
        </is>
      </c>
      <c r="G23" s="11" t="inlineStr">
        <is>
          <t>712331101</t>
        </is>
      </c>
      <c r="H23" s="10" t="inlineStr">
        <is>
          <t>⚠ kandidát-verify</t>
        </is>
      </c>
      <c r="I23" s="11" t="inlineStr">
        <is>
          <t>260217_sklad.HSV4.003</t>
        </is>
      </c>
      <c r="J23" s="11" t="inlineStr">
        <is>
          <t>S02_sklad</t>
        </is>
      </c>
      <c r="K23" s="11" t="inlineStr">
        <is>
          <t>Carried 1:1 (atomic — no decomposition needed)</t>
        </is>
      </c>
    </row>
    <row r="24">
      <c r="A24" s="10" t="n">
        <v>19</v>
      </c>
      <c r="B24" s="11" t="inlineStr">
        <is>
          <t>HSV-4 Vodorovné</t>
        </is>
      </c>
      <c r="C24" s="11" t="inlineStr">
        <is>
          <t>Sekundární zastřešení parkingu — IPE180 v rozteči 1000 mm × délka 7 m × 7 ks</t>
        </is>
      </c>
      <c r="D24" s="10" t="inlineStr">
        <is>
          <t>kg</t>
        </is>
      </c>
      <c r="E24" s="12" t="n">
        <v>921</v>
      </c>
      <c r="F24" s="11" t="inlineStr">
        <is>
          <t>7 ks × 7 m × 18.8 kg/m = 921</t>
        </is>
      </c>
      <c r="G24" s="11" t="inlineStr">
        <is>
          <t>411321414</t>
        </is>
      </c>
      <c r="H24" s="10" t="inlineStr">
        <is>
          <t>⚠ kandidát-verify</t>
        </is>
      </c>
      <c r="I24" s="11" t="inlineStr">
        <is>
          <t>260217_sklad.HSV4.004</t>
        </is>
      </c>
      <c r="J24" s="11" t="inlineStr">
        <is>
          <t>S02_sklad</t>
        </is>
      </c>
      <c r="K24" s="11" t="inlineStr">
        <is>
          <t>Carried 1:1 (atomic — no decomposition needed)</t>
        </is>
      </c>
    </row>
    <row r="25">
      <c r="A25" s="10" t="n">
        <v>20</v>
      </c>
      <c r="B25" s="11" t="inlineStr">
        <is>
          <t>HSV-4 Vodorovné</t>
        </is>
      </c>
      <c r="C25" s="11" t="inlineStr">
        <is>
          <t>Pojezdové ocelové pororošty demontovatelné — povrch parkingu (žárově zinkováno)</t>
        </is>
      </c>
      <c r="D25" s="10" t="inlineStr">
        <is>
          <t>m²</t>
        </is>
      </c>
      <c r="E25" s="12" t="n">
        <v>44.6</v>
      </c>
      <c r="F25" s="11" t="inlineStr">
        <is>
          <t>DXF sklad_DPZ km_tabulka místností room 1.01 (stání pororošt) = 44.60 m². Prior rough estimate 21.0 m² (7×3) under-counted by 112.4% — actual parking footprint covers full sklad+access zone 2 cars + manoeuvring strip.</t>
        </is>
      </c>
      <c r="G25" s="13" t="inlineStr">
        <is>
          <t>411321515</t>
        </is>
      </c>
      <c r="H25" s="10" t="inlineStr">
        <is>
          <t>⚠ kandidát-verify</t>
        </is>
      </c>
      <c r="I25" s="11" t="inlineStr">
        <is>
          <t>260217_sklad.HSV4.005</t>
        </is>
      </c>
      <c r="J25" s="11" t="inlineStr">
        <is>
          <t>S02_sklad</t>
        </is>
      </c>
      <c r="K25" s="11" t="inlineStr">
        <is>
          <t>Carried 1:1 (atomic — no decomposition needed)</t>
        </is>
      </c>
    </row>
    <row r="26">
      <c r="A26" s="10" t="n">
        <v>21</v>
      </c>
      <c r="B26" s="11" t="inlineStr">
        <is>
          <t>HSV-4 Vodorovné</t>
        </is>
      </c>
      <c r="C26" s="11" t="inlineStr">
        <is>
          <t>Žárově zinková povrchová úprava IPE180 + pororoštů dle ČSN EN ISO 12944 (C3 prostředí)</t>
        </is>
      </c>
      <c r="D26" s="10" t="inlineStr">
        <is>
          <t>kg</t>
        </is>
      </c>
      <c r="E26" s="12" t="n">
        <v>1551</v>
      </c>
      <c r="F26" s="11">
        <f> hmotnost IPE180 (921 kg) + odhad pororoštů (21 m² × 30 kg/m²) = ~1551</f>
        <v/>
      </c>
      <c r="G26" s="11" t="inlineStr">
        <is>
          <t>783201001</t>
        </is>
      </c>
      <c r="H26" s="10" t="inlineStr">
        <is>
          <t>⚠ kandidát-verify</t>
        </is>
      </c>
      <c r="I26" s="11" t="inlineStr">
        <is>
          <t>260217_sklad.HSV4.006</t>
        </is>
      </c>
      <c r="J26" s="11" t="inlineStr">
        <is>
          <t>S02_sklad</t>
        </is>
      </c>
      <c r="K26" s="11" t="inlineStr">
        <is>
          <t>Carried 1:1 (atomic — no decomposition needed)</t>
        </is>
      </c>
    </row>
    <row r="27">
      <c r="A27" s="8" t="inlineStr">
        <is>
          <t>━━ HSV-5 Komunikace + schodiště  (1 atomic operací) ━━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10" t="n">
        <v>22</v>
      </c>
      <c r="B28" s="11" t="inlineStr">
        <is>
          <t>HSV-5 Komunikace + schodiště</t>
        </is>
      </c>
      <c r="C28" s="11" t="inlineStr">
        <is>
          <t>Sklad mezipodesta schodiště — prefa betonové stupně (9 ks × 179.5×250 mm) + kladecí vrstva zavlhlého betonu nad ŽB podkladní deskou (S05 sklad skladba)</t>
        </is>
      </c>
      <c r="D28" s="10" t="inlineStr">
        <is>
          <t>m²</t>
        </is>
      </c>
      <c r="E28" s="12" t="n">
        <v>5.5</v>
      </c>
      <c r="F28" s="11" t="inlineStr">
        <is>
          <t>DXF sklad_DPZ km_tabulka místností: room 1.02 schodiště plocha = 5.50 m². 9 stupňů 179.5×250 mm vyznačené v půdoryse parking sheet (Phase 3.5 cross-check)</t>
        </is>
      </c>
      <c r="G28" s="11" t="inlineStr">
        <is>
          <t>121301101</t>
        </is>
      </c>
      <c r="H28" s="10" t="inlineStr">
        <is>
          <t>⚠ kandidát-verify</t>
        </is>
      </c>
      <c r="I28" s="11" t="inlineStr">
        <is>
          <t>260217_sklad.HSV5.001</t>
        </is>
      </c>
      <c r="J28" s="11" t="inlineStr">
        <is>
          <t>S05_sklad</t>
        </is>
      </c>
      <c r="K28" s="11" t="inlineStr">
        <is>
          <t>Carried 1:1 (atomic — no decomposition needed)</t>
        </is>
      </c>
    </row>
    <row r="29">
      <c r="A29" s="8" t="inlineStr">
        <is>
          <t>━━ PSV-76 Výplně otvorů  (1 atomic operací) ━━</t>
        </is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10" t="n">
        <v>23</v>
      </c>
      <c r="B30" s="11" t="inlineStr">
        <is>
          <t>PSV-76 Výplně otvorů</t>
        </is>
      </c>
      <c r="C30" s="11" t="inlineStr">
        <is>
          <t>Bezpečnostní dveře RC3 v ocelové zárubni — vrata skladu (TZ statika §1.4 RC3 certifikované)</t>
        </is>
      </c>
      <c r="D30" s="10" t="inlineStr">
        <is>
          <t>ks</t>
        </is>
      </c>
      <c r="E30" s="12" t="n">
        <v>1</v>
      </c>
      <c r="F30" s="11" t="inlineStr">
        <is>
          <t>1 ks vstupní dveře skladu</t>
        </is>
      </c>
      <c r="G30" s="11" t="inlineStr">
        <is>
          <t>766682111</t>
        </is>
      </c>
      <c r="H30" s="10" t="inlineStr">
        <is>
          <t>⚠ kandidát-verify</t>
        </is>
      </c>
      <c r="I30" s="11" t="inlineStr">
        <is>
          <t>260217_sklad.PSV76.001</t>
        </is>
      </c>
      <c r="J30" s="11" t="inlineStr"/>
      <c r="K30" s="11" t="inlineStr">
        <is>
          <t>Carried 1:1 (atomic — no decomposition needed)</t>
        </is>
      </c>
    </row>
    <row r="31">
      <c r="A31" s="8" t="inlineStr">
        <is>
          <t>━━ PSV-77 Podlahy  (1 atomic operací) ━━</t>
        </is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>
      <c r="A32" s="17" t="n">
        <v>24</v>
      </c>
      <c r="B32" s="18" t="inlineStr">
        <is>
          <t>PSV-77 Podlahy</t>
        </is>
      </c>
      <c r="C32" s="18" t="inlineStr">
        <is>
          <t>Betonová dlažba do pískového lože — povrch podlahy skladu (~21 m²)</t>
        </is>
      </c>
      <c r="D32" s="17" t="inlineStr">
        <is>
          <t>m²</t>
        </is>
      </c>
      <c r="E32" s="19" t="n">
        <v>17.6</v>
      </c>
      <c r="F32" s="18" t="inlineStr">
        <is>
          <t>DXF sklad_DPZ km_tabulka místností room 0.01 (sklad zahradní techniky) = 17.60 m² (inner usable area per DXF room table, walls excluded). Prior estimate 21.209 m² (outer 6.35×3.34) over-counted by 17.0% — walls of tvarovky ZB tl. 250 mm take ~3.6 m² of outer footprint.</t>
        </is>
      </c>
      <c r="G32" s="18" t="inlineStr"/>
      <c r="H32" s="17" t="inlineStr">
        <is>
          <t>❌ blank — ÚRS online</t>
        </is>
      </c>
      <c r="I32" s="18" t="inlineStr">
        <is>
          <t>260217_sklad.PSV77.001</t>
        </is>
      </c>
      <c r="J32" s="18" t="inlineStr">
        <is>
          <t>S01_sklad</t>
        </is>
      </c>
      <c r="K32" s="18" t="inlineStr">
        <is>
          <t>Carried 1:1 (atomic — no decomposition needed)  Doplnit leaf z CS ÚRS online (app.urs.cz, cen. úroveň 2026 01) dle família + popis + Vzorec.</t>
        </is>
      </c>
    </row>
    <row r="33">
      <c r="A33" s="8" t="inlineStr">
        <is>
          <t>━━ VRN — Doprava + odpad  (2 atomic operací) ━━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>
      <c r="A34" s="10" t="n">
        <v>25</v>
      </c>
      <c r="B34" s="11" t="inlineStr">
        <is>
          <t>VRN — Doprava + odpad</t>
        </is>
      </c>
      <c r="C34" s="11" t="inlineStr">
        <is>
          <t>Doprava prefa H-BLOK Standard z výrobny Herkul (Obrnice) auto s hydraulickou rukou — celkem ~60 ks bloků</t>
        </is>
      </c>
      <c r="D34" s="10" t="inlineStr">
        <is>
          <t>kpl</t>
        </is>
      </c>
      <c r="E34" s="12" t="n">
        <v>1</v>
      </c>
      <c r="F34" s="11" t="inlineStr">
        <is>
          <t>Standard doprava prefa Herkul autem s hyd. rukou pro lokální distribuci</t>
        </is>
      </c>
      <c r="G34" s="11" t="inlineStr">
        <is>
          <t>031032000</t>
        </is>
      </c>
      <c r="H34" s="10" t="inlineStr">
        <is>
          <t>⚠ kandidát-verify</t>
        </is>
      </c>
      <c r="I34" s="11" t="inlineStr">
        <is>
          <t>260217_sklad.VRN.001</t>
        </is>
      </c>
      <c r="J34" s="11" t="inlineStr"/>
      <c r="K34" s="11" t="inlineStr">
        <is>
          <t>Carried 1:1 (atomic — no decomposition needed)</t>
        </is>
      </c>
    </row>
    <row r="35">
      <c r="A35" s="10" t="n">
        <v>26</v>
      </c>
      <c r="B35" s="11" t="inlineStr">
        <is>
          <t>VRN — Doprava + odpad</t>
        </is>
      </c>
      <c r="C35" s="11" t="inlineStr">
        <is>
          <t>Likvidace odpadu sklad — kameny ze zídek + výkop + dřevo (drobné množství)</t>
        </is>
      </c>
      <c r="D35" s="10" t="inlineStr">
        <is>
          <t>t</t>
        </is>
      </c>
      <c r="E35" s="12" t="n">
        <v>8</v>
      </c>
      <c r="F35" s="11" t="inlineStr">
        <is>
          <t>Odhad: kamenné zídky ~6 t + dřevo+výkop ~2 t = 8 t</t>
        </is>
      </c>
      <c r="G35" s="11" t="inlineStr">
        <is>
          <t>997013211</t>
        </is>
      </c>
      <c r="H35" s="10" t="inlineStr">
        <is>
          <t>⚠ kandidát-verify</t>
        </is>
      </c>
      <c r="I35" s="11" t="inlineStr">
        <is>
          <t>260217_sklad.VRN.002</t>
        </is>
      </c>
      <c r="J35" s="11" t="inlineStr"/>
      <c r="K35" s="11" t="inlineStr">
        <is>
          <t>Carried 1:1 (atomic — no decomposition needed)</t>
        </is>
      </c>
    </row>
    <row r="36">
      <c r="A36" s="8" t="inlineStr">
        <is>
          <t>━━ VRN — Geodet  (1 atomic operací) ━━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10" t="n">
        <v>27</v>
      </c>
      <c r="B37" s="11" t="inlineStr">
        <is>
          <t>VRN — Geodet</t>
        </is>
      </c>
      <c r="C37" s="11" t="inlineStr">
        <is>
          <t>Geodetické vytýčení sklad+parking+schodiště ze situace (před realizací)</t>
        </is>
      </c>
      <c r="D37" s="10" t="inlineStr">
        <is>
          <t>kpl</t>
        </is>
      </c>
      <c r="E37" s="12" t="n">
        <v>1</v>
      </c>
      <c r="F37" s="11" t="inlineStr">
        <is>
          <t>Standard geodet vytýčení pro nový objekt</t>
        </is>
      </c>
      <c r="G37" s="11" t="inlineStr">
        <is>
          <t>030141000</t>
        </is>
      </c>
      <c r="H37" s="10" t="inlineStr">
        <is>
          <t>⚠ kandidát-verify</t>
        </is>
      </c>
      <c r="I37" s="11" t="inlineStr">
        <is>
          <t>260217_sklad.VRN.001</t>
        </is>
      </c>
      <c r="J37" s="11" t="inlineStr"/>
      <c r="K37" s="11" t="inlineStr">
        <is>
          <t>Carried 1:1 (atomic — no decomposition needed)</t>
        </is>
      </c>
    </row>
    <row r="38">
      <c r="A38" s="8" t="inlineStr">
        <is>
          <t>━━ VRN — Společné  (1 atomic operací) ━━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>
      <c r="A39" s="10" t="n">
        <v>28</v>
      </c>
      <c r="B39" s="11" t="inlineStr">
        <is>
          <t>VRN — Společné</t>
        </is>
      </c>
      <c r="C39" s="11" t="inlineStr">
        <is>
          <t>Podíl na obecných VRN domu (buňky, BOZP, pojištění, kolaudace) — paušál ~10 % nákladů sklad nebo % alokace</t>
        </is>
      </c>
      <c r="D39" s="10" t="inlineStr">
        <is>
          <t>paušál</t>
        </is>
      </c>
      <c r="E39" s="12" t="n">
        <v>1</v>
      </c>
      <c r="F39" s="11" t="inlineStr">
        <is>
          <t>Standard paušální alokace VRN pro paralelně realizovaný menší objekt</t>
        </is>
      </c>
      <c r="G39" s="11" t="inlineStr">
        <is>
          <t>030001000</t>
        </is>
      </c>
      <c r="H39" s="10" t="inlineStr">
        <is>
          <t>⚠ kandidát-verify</t>
        </is>
      </c>
      <c r="I39" s="11" t="inlineStr">
        <is>
          <t>260217_sklad.VRN.001</t>
        </is>
      </c>
      <c r="J39" s="11" t="inlineStr"/>
      <c r="K39" s="11" t="inlineStr">
        <is>
          <t>Carried 1:1 (atomic — no decomposition needed)</t>
        </is>
      </c>
    </row>
  </sheetData>
  <autoFilter ref="A1:K1"/>
  <mergeCells count="10">
    <mergeCell ref="A20:K20"/>
    <mergeCell ref="A29:K29"/>
    <mergeCell ref="A38:K38"/>
    <mergeCell ref="A2:K2"/>
    <mergeCell ref="A16:K16"/>
    <mergeCell ref="A33:K33"/>
    <mergeCell ref="A36:K36"/>
    <mergeCell ref="A9:K9"/>
    <mergeCell ref="A27:K27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50" customWidth="1" min="3" max="3"/>
    <col width="8" customWidth="1" min="4" max="4"/>
    <col width="10" customWidth="1" min="5" max="5"/>
    <col width="11" customWidth="1" min="6" max="6"/>
    <col width="40" customWidth="1" min="7" max="7"/>
  </cols>
  <sheetData>
    <row r="1">
      <c r="A1" s="7" t="inlineStr">
        <is>
          <t>Parent frozen item_id</t>
        </is>
      </c>
      <c r="B1" s="7" t="inlineStr">
        <is>
          <t>Kapitola</t>
        </is>
      </c>
      <c r="C1" s="7" t="inlineStr">
        <is>
          <t>Parent popis</t>
        </is>
      </c>
      <c r="D1" s="7" t="inlineStr">
        <is>
          <t>Parent MJ</t>
        </is>
      </c>
      <c r="E1" s="7" t="inlineStr">
        <is>
          <t>Parent qty</t>
        </is>
      </c>
      <c r="F1" s="7" t="inlineStr">
        <is>
          <t>N children</t>
        </is>
      </c>
      <c r="G1" s="7" t="inlineStr">
        <is>
          <t>Atomic children IDs</t>
        </is>
      </c>
    </row>
    <row r="2">
      <c r="A2" s="15" t="inlineStr">
        <is>
          <t>260219_dum.HSV1.004</t>
        </is>
      </c>
      <c r="B2" s="15" t="inlineStr">
        <is>
          <t>HSV-1 Zemní práce</t>
        </is>
      </c>
      <c r="C2" s="15" t="inlineStr">
        <is>
          <t>Anglický dvorek: betonová dlažba 50 mm + kladecí vrstva kamenná drť 4-8 mm tl. 40 mm + podkladní nosná vrstva kamenná dr</t>
        </is>
      </c>
      <c r="D2" s="14" t="inlineStr">
        <is>
          <t>m²</t>
        </is>
      </c>
      <c r="E2" s="16" t="n">
        <v>16.54</v>
      </c>
      <c r="F2" s="14" t="n">
        <v>4</v>
      </c>
      <c r="G2" s="15" t="inlineStr">
        <is>
          <t>HSV1.004a, HSV1.004b, HSV1.004c, HSV1.004d</t>
        </is>
      </c>
    </row>
    <row r="3">
      <c r="A3" s="15" t="inlineStr">
        <is>
          <t>260219_dum.HSV1.005</t>
        </is>
      </c>
      <c r="B3" s="15" t="inlineStr">
        <is>
          <t>HSV-1 Zemní práce</t>
        </is>
      </c>
      <c r="C3" s="15" t="inlineStr">
        <is>
          <t>Terasa za opěrnou stěnou — PODKLADNÍ SKLADBA pod dřevěnou pochozí vrstvou (PSV76.002 Truhlář): rektifikovatelné terče vý</t>
        </is>
      </c>
      <c r="D3" s="14" t="inlineStr">
        <is>
          <t>m²</t>
        </is>
      </c>
      <c r="E3" s="16" t="n">
        <v>9.23</v>
      </c>
      <c r="F3" s="14" t="n">
        <v>5</v>
      </c>
      <c r="G3" s="15" t="inlineStr">
        <is>
          <t>HSV1.005a, HSV1.005b, HSV1.005c, HSV1.005d, HSV1.005e</t>
        </is>
      </c>
    </row>
    <row r="4">
      <c r="A4" s="15" t="inlineStr">
        <is>
          <t>260219_dum.HSV7.002</t>
        </is>
      </c>
      <c r="B4" s="15" t="inlineStr">
        <is>
          <t>HSV-7 Fasáda ETICS</t>
        </is>
      </c>
      <c r="C4" s="15" t="inlineStr">
        <is>
          <t xml:space="preserve">ETICS kontaktní zateplení — EPS 70F grey λ=0.032 tl. 160 mm + síťka + lepidlo + zatírací stěrka (řez S01+S12a explicit, </t>
        </is>
      </c>
      <c r="D4" s="14" t="inlineStr">
        <is>
          <t>m²</t>
        </is>
      </c>
      <c r="E4" s="16" t="n">
        <v>276.7</v>
      </c>
      <c r="F4" s="14" t="n">
        <v>2</v>
      </c>
      <c r="G4" s="15" t="inlineStr">
        <is>
          <t>HSV7.002a, HSV7.002b</t>
        </is>
      </c>
    </row>
    <row r="5">
      <c r="A5" s="15" t="inlineStr">
        <is>
          <t>260219_dum.HSV7.003</t>
        </is>
      </c>
      <c r="B5" s="15" t="inlineStr">
        <is>
          <t>HSV-7 Fasáda ETICS</t>
        </is>
      </c>
      <c r="C5" s="15" t="inlineStr">
        <is>
          <t>ETICS sokl — XPS λ=0.034 tl. 120 mm + soklový profil + cihelný obklad spárovaný</t>
        </is>
      </c>
      <c r="D5" s="14" t="inlineStr">
        <is>
          <t>m²</t>
        </is>
      </c>
      <c r="E5" s="16" t="n">
        <v>13.5</v>
      </c>
      <c r="F5" s="14" t="n">
        <v>2</v>
      </c>
      <c r="G5" s="15" t="inlineStr">
        <is>
          <t>HSV7.003a, HSV7.003b</t>
        </is>
      </c>
    </row>
    <row r="6">
      <c r="A6" s="15" t="inlineStr">
        <is>
          <t>260219_dum.HSV7.004</t>
        </is>
      </c>
      <c r="B6" s="15" t="inlineStr">
        <is>
          <t>HSV-7 Fasáda ETICS</t>
        </is>
      </c>
      <c r="C6" s="15" t="inlineStr">
        <is>
          <t>Špalety oken — EPS přesah 35-40 mm + síťka + omítka</t>
        </is>
      </c>
      <c r="D6" s="14" t="inlineStr">
        <is>
          <t>bm</t>
        </is>
      </c>
      <c r="E6" s="16" t="n">
        <v>82.2</v>
      </c>
      <c r="F6" s="14" t="n">
        <v>2</v>
      </c>
      <c r="G6" s="15" t="inlineStr">
        <is>
          <t>HSV7.004a, HSV7.004b</t>
        </is>
      </c>
    </row>
    <row r="7">
      <c r="A7" s="15" t="inlineStr">
        <is>
          <t>260219_dum.PSV76.003</t>
        </is>
      </c>
      <c r="B7" s="15" t="inlineStr">
        <is>
          <t>PSV-76 Klempíř</t>
        </is>
      </c>
      <c r="C7" s="15" t="inlineStr">
        <is>
          <t>Dešťové svody Pzn 100 mm + žlaby — 4 svody × ~14 m + žlaby per obvod střechy</t>
        </is>
      </c>
      <c r="D7" s="14" t="inlineStr">
        <is>
          <t>bm</t>
        </is>
      </c>
      <c r="E7" s="16" t="n">
        <v>43.5</v>
      </c>
      <c r="F7" s="14" t="n">
        <v>2</v>
      </c>
      <c r="G7" s="15" t="inlineStr">
        <is>
          <t>PSV76.003a, PSV76.003b</t>
        </is>
      </c>
    </row>
    <row r="8">
      <c r="A8" s="15" t="inlineStr">
        <is>
          <t>260219_dum.PSV76.002</t>
        </is>
      </c>
      <c r="B8" s="15" t="inlineStr">
        <is>
          <t>PSV-76 Truhlář</t>
        </is>
      </c>
      <c r="C8" s="15" t="inlineStr">
        <is>
          <t>Dřevěná terasa za opěrnou stěnou — prkna garapa 145×25 mm na dřevěném roštu z hranolů 50 mm na rektifikovatelných terčíc</t>
        </is>
      </c>
      <c r="D8" s="14" t="inlineStr">
        <is>
          <t>m²</t>
        </is>
      </c>
      <c r="E8" s="16" t="n">
        <v>9.23</v>
      </c>
      <c r="F8" s="14" t="n">
        <v>2</v>
      </c>
      <c r="G8" s="15" t="inlineStr">
        <is>
          <t>PSV76.002a, PSV76.002b</t>
        </is>
      </c>
    </row>
    <row r="9">
      <c r="A9" s="15" t="inlineStr">
        <is>
          <t>260219_dum.PSV77.002</t>
        </is>
      </c>
      <c r="B9" s="15" t="inlineStr">
        <is>
          <t>PSV-77 Podlahy</t>
        </is>
      </c>
      <c r="C9" s="15" t="inlineStr">
        <is>
          <t>Nášlapná vrstva keramická dlažba lepená — koupelny + WC + spíž + komora (NÁDRŽ NP)</t>
        </is>
      </c>
      <c r="D9" s="14" t="inlineStr">
        <is>
          <t>m²</t>
        </is>
      </c>
      <c r="E9" s="16" t="n">
        <v>13.5</v>
      </c>
      <c r="F9" s="14" t="n">
        <v>2</v>
      </c>
      <c r="G9" s="15" t="inlineStr">
        <is>
          <t>PSV77.002a, PSV77.002b</t>
        </is>
      </c>
    </row>
    <row r="10">
      <c r="A10" s="15" t="inlineStr">
        <is>
          <t>260219_dum.PSV77.003</t>
        </is>
      </c>
      <c r="B10" s="15" t="inlineStr">
        <is>
          <t>PSV-77 Podlahy</t>
        </is>
      </c>
      <c r="C10" s="15" t="inlineStr">
        <is>
          <t>Nášlapná vrstva keramická dlažba — 1.PP technické místnosti (sušárna + sklepy + schodiště + chodba)</t>
        </is>
      </c>
      <c r="D10" s="14" t="inlineStr">
        <is>
          <t>m²</t>
        </is>
      </c>
      <c r="E10" s="16" t="n">
        <v>32.4</v>
      </c>
      <c r="F10" s="14" t="n">
        <v>2</v>
      </c>
      <c r="G10" s="15" t="inlineStr">
        <is>
          <t>PSV77.003a, PSV77.003b</t>
        </is>
      </c>
    </row>
    <row r="11">
      <c r="A11" s="15" t="inlineStr">
        <is>
          <t>260219_dum.PSV78.001</t>
        </is>
      </c>
      <c r="B11" s="15" t="inlineStr">
        <is>
          <t>PSV-78 Povrchové úpravy</t>
        </is>
      </c>
      <c r="C11" s="15" t="inlineStr">
        <is>
          <t>Omítka jádrová vápenocementová tl. 15 mm + štuková povrchová úprava na stěnách 1.PP (stávající vyspravené + nové zděné)</t>
        </is>
      </c>
      <c r="D11" s="14" t="inlineStr">
        <is>
          <t>m²</t>
        </is>
      </c>
      <c r="E11" s="16" t="n">
        <v>78.2</v>
      </c>
      <c r="F11" s="14" t="n">
        <v>2</v>
      </c>
      <c r="G11" s="15" t="inlineStr">
        <is>
          <t>PSV78.001a, PSV78.001b</t>
        </is>
      </c>
    </row>
    <row r="12">
      <c r="A12" s="15" t="inlineStr">
        <is>
          <t>260219_dum.PSV78.002</t>
        </is>
      </c>
      <c r="B12" s="15" t="inlineStr">
        <is>
          <t>PSV-78 Povrchové úpravy</t>
        </is>
      </c>
      <c r="C12" s="15" t="inlineStr">
        <is>
          <t>Omítka jádrová vápenocementová tl. 15 mm + štuková povrchová úprava na stěnách 1.NP (stávající vyspravené + nové zděné)</t>
        </is>
      </c>
      <c r="D12" s="14" t="inlineStr">
        <is>
          <t>m²</t>
        </is>
      </c>
      <c r="E12" s="16" t="n">
        <v>208.4</v>
      </c>
      <c r="F12" s="14" t="n">
        <v>2</v>
      </c>
      <c r="G12" s="15" t="inlineStr">
        <is>
          <t>PSV78.002a, PSV78.002b</t>
        </is>
      </c>
    </row>
    <row r="13">
      <c r="A13" s="15" t="inlineStr">
        <is>
          <t>260219_dum.PSV78.003</t>
        </is>
      </c>
      <c r="B13" s="15" t="inlineStr">
        <is>
          <t>PSV-78 Povrchové úpravy</t>
        </is>
      </c>
      <c r="C13" s="15" t="inlineStr">
        <is>
          <t>Omítka jádrová vápenocementová tl. 15 mm + štuková povrchová úprava na stěnách 2.NP (stávající vyspravené + nové zděné)</t>
        </is>
      </c>
      <c r="D13" s="14" t="inlineStr">
        <is>
          <t>m²</t>
        </is>
      </c>
      <c r="E13" s="16" t="n">
        <v>201.6</v>
      </c>
      <c r="F13" s="14" t="n">
        <v>2</v>
      </c>
      <c r="G13" s="15" t="inlineStr">
        <is>
          <t>PSV78.003a, PSV78.003b</t>
        </is>
      </c>
    </row>
    <row r="14">
      <c r="A14" s="15" t="inlineStr">
        <is>
          <t>260219_dum.PSV78.004</t>
        </is>
      </c>
      <c r="B14" s="15" t="inlineStr">
        <is>
          <t>PSV-78 Povrchové úpravy</t>
        </is>
      </c>
      <c r="C14" s="15" t="inlineStr">
        <is>
          <t>Omítka jádrová vápenocementová tl. 15 mm + štuková povrchová úprava na stěnách 3.NP (stávající vyspravené + nové zděné)</t>
        </is>
      </c>
      <c r="D14" s="14" t="inlineStr">
        <is>
          <t>m²</t>
        </is>
      </c>
      <c r="E14" s="16" t="n">
        <v>179.1</v>
      </c>
      <c r="F14" s="14" t="n">
        <v>2</v>
      </c>
      <c r="G14" s="15" t="inlineStr">
        <is>
          <t>PSV78.004a, PSV78.004b</t>
        </is>
      </c>
    </row>
    <row r="15">
      <c r="A15" s="15" t="inlineStr">
        <is>
          <t>260219_dum.PSV72.004</t>
        </is>
      </c>
      <c r="B15" s="15" t="inlineStr">
        <is>
          <t>PSV-72 ZTI</t>
        </is>
      </c>
      <c r="C15" s="15" t="inlineStr">
        <is>
          <t>Sanitární keramika dodávka + montáž v koupelně 1.05 1.NP: 1× vana (DXF) + 1× umyvadlo (DXF) + 1× WC (TZ standard)</t>
        </is>
      </c>
      <c r="D15" s="14" t="inlineStr">
        <is>
          <t>set</t>
        </is>
      </c>
      <c r="E15" s="16" t="n">
        <v>0</v>
      </c>
      <c r="F15" s="14" t="n">
        <v>3</v>
      </c>
      <c r="G15" s="15" t="inlineStr">
        <is>
          <t>PSV72.004a, PSV72.004b, PSV72.004c</t>
        </is>
      </c>
    </row>
    <row r="16">
      <c r="A16" s="15" t="inlineStr">
        <is>
          <t>260219_dum.PSV72.005</t>
        </is>
      </c>
      <c r="B16" s="15" t="inlineStr">
        <is>
          <t>PSV-72 ZTI</t>
        </is>
      </c>
      <c r="C16" s="15" t="inlineStr">
        <is>
          <t>Sanitární keramika dodávka + montáž v koupelně 2.03 2.NP: 1× umyvadlo (DXF) + 1× WC (TZ standard) + 1× sprcha (TZ standa</t>
        </is>
      </c>
      <c r="D16" s="14" t="inlineStr">
        <is>
          <t>set</t>
        </is>
      </c>
      <c r="E16" s="16" t="n">
        <v>0</v>
      </c>
      <c r="F16" s="14" t="n">
        <v>3</v>
      </c>
      <c r="G16" s="15" t="inlineStr">
        <is>
          <t>PSV72.005a, PSV72.005b, PSV72.005c</t>
        </is>
      </c>
    </row>
    <row r="17">
      <c r="A17" s="15" t="inlineStr">
        <is>
          <t>260219_dum.PSV72.006</t>
        </is>
      </c>
      <c r="B17" s="15" t="inlineStr">
        <is>
          <t>PSV-72 ZTI</t>
        </is>
      </c>
      <c r="C17" s="15" t="inlineStr">
        <is>
          <t>Sanitární keramika dodávka + montáž v koupelně 3.04 3.NP: 1× WC (DXF) + 1× umyvadlo (TZ standard) + 1× sprcha (TZ standa</t>
        </is>
      </c>
      <c r="D17" s="14" t="inlineStr">
        <is>
          <t>set</t>
        </is>
      </c>
      <c r="E17" s="16" t="n">
        <v>0</v>
      </c>
      <c r="F17" s="14" t="n">
        <v>3</v>
      </c>
      <c r="G17" s="15" t="inlineStr">
        <is>
          <t>PSV72.006a, PSV72.006b, PSV72.006c</t>
        </is>
      </c>
    </row>
    <row r="18">
      <c r="A18" s="15" t="inlineStr">
        <is>
          <t>260219_dum.PSV72.008</t>
        </is>
      </c>
      <c r="B18" s="15" t="inlineStr">
        <is>
          <t>PSV-72 ZTI</t>
        </is>
      </c>
      <c r="C18" s="15" t="inlineStr">
        <is>
          <t>Vodovodní baterie (WC ventil + páková umyvadlová + sprchové + dřezové + termostat sprchové) — ~15 ks + drobné instalační</t>
        </is>
      </c>
      <c r="D18" s="14" t="inlineStr">
        <is>
          <t>ks</t>
        </is>
      </c>
      <c r="E18" s="16" t="n">
        <v>15</v>
      </c>
      <c r="F18" s="14" t="n">
        <v>4</v>
      </c>
      <c r="G18" s="15" t="inlineStr">
        <is>
          <t>PSV72.008a, PSV72.008b, PSV72.008c, PSV72.008d</t>
        </is>
      </c>
    </row>
    <row r="19">
      <c r="A19" s="15" t="inlineStr">
        <is>
          <t>260219_dum.HSV1.015</t>
        </is>
      </c>
      <c r="B19" s="15" t="inlineStr">
        <is>
          <t>HSV-1 Zemní práce</t>
        </is>
      </c>
      <c r="C19" s="15" t="inlineStr">
        <is>
          <t>Drenáž za opěrnou stěnou (bílou vanou) — drenážní trubka DN100 vlnitá perforovaná + štěrkový obsyp 16/32 + geotextilie +</t>
        </is>
      </c>
      <c r="D19" s="14" t="inlineStr">
        <is>
          <t>m</t>
        </is>
      </c>
      <c r="E19" s="16" t="n">
        <v>12</v>
      </c>
      <c r="F19" s="14" t="n">
        <v>3</v>
      </c>
      <c r="G19" s="15" t="inlineStr">
        <is>
          <t>HSV1.015a, HSV1.015b, HSV1.015c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30" customWidth="1" min="4" max="4"/>
    <col width="60" customWidth="1" min="5" max="5"/>
  </cols>
  <sheetData>
    <row r="1">
      <c r="A1" s="7" t="inlineStr">
        <is>
          <t>#</t>
        </is>
      </c>
      <c r="B1" s="7" t="inlineStr">
        <is>
          <t>Severity</t>
        </is>
      </c>
      <c r="C1" s="7" t="inlineStr">
        <is>
          <t>Téma (čeká rozhodnutí)</t>
        </is>
      </c>
      <c r="D1" s="7" t="inlineStr">
        <is>
          <t>Stav v rozpočtu</t>
        </is>
      </c>
      <c r="E1" s="7" t="inlineStr">
        <is>
          <t>Next action</t>
        </is>
      </c>
    </row>
    <row r="2">
      <c r="A2" s="20" t="inlineStr">
        <is>
          <t>⚠ Tyto práce NEJSOU v items.json ani v atomic worklistu — byly ověřeny jako NEzmíněné v ARS dům TZ (Stage 1B-verify). Před cenotvorbou / katalogovým mapováním (Stage 3) je nutné rozhodnutí projektanta/investora. NE zapomenout.</t>
        </is>
      </c>
    </row>
    <row r="3">
      <c r="A3" s="17" t="n">
        <v>22</v>
      </c>
      <c r="B3" s="18" t="inlineStr">
        <is>
          <t>important</t>
        </is>
      </c>
      <c r="C3" s="18" t="inlineStr">
        <is>
          <t>Hromosvod / ochrana před bleskem (LPS) — chybí v PBŘ, ČSN EN 62305 risk analysis nutná</t>
        </is>
      </c>
      <c r="D3" s="18" t="inlineStr">
        <is>
          <t>NEPŘIDÁNO (verify-first)</t>
        </is>
      </c>
      <c r="E3" s="18" t="inlineStr">
        <is>
          <t>Karle, ověř u projektanta (TUSPO / elektroprojektant) zda dle ČSN EN 62305 je hromosvod požadován. Pokud ano → doplníme M-22 položku (jímací soustava + svody + uzemnění + revize), cca 30-50 tis. Kč.</t>
        </is>
      </c>
    </row>
    <row r="4">
      <c r="A4" s="17" t="n">
        <v>23</v>
      </c>
      <c r="B4" s="18" t="inlineStr">
        <is>
          <t>medium</t>
        </is>
      </c>
      <c r="C4" s="18" t="inlineStr">
        <is>
          <t>Terénní + sadové úpravy — pouze v MU rozhodnutí o sjezdu (separate scope), NE v ARS dům TZ</t>
        </is>
      </c>
      <c r="D4" s="18" t="inlineStr">
        <is>
          <t>NEPŘIDÁNO (verify-first)</t>
        </is>
      </c>
      <c r="E4" s="18" t="inlineStr">
        <is>
          <t>Karle, ověř zda terénní/sadové úpravy + restoration zeleně (humusová vrstva 10 cm) má být v rozpočtu sjezd/parking (260217?) nebo samostatně. Pokud spadá do našeho scope → doplníme HSV-1 položku.</t>
        </is>
      </c>
    </row>
    <row r="5">
      <c r="A5" s="17" t="n">
        <v>24</v>
      </c>
      <c r="B5" s="18" t="inlineStr">
        <is>
          <t>medium</t>
        </is>
      </c>
      <c r="C5" s="18" t="inlineStr">
        <is>
          <t>Slaboproud (data/TV/zvonek/domofon/anténa) — není v TZ, ale 3 byty obvykle vyžadují</t>
        </is>
      </c>
      <c r="D5" s="18" t="inlineStr">
        <is>
          <t>NEPŘIDÁNO (verify-first)</t>
        </is>
      </c>
      <c r="E5" s="18" t="inlineStr">
        <is>
          <t>Karle, ověř u investora rozsah slaboproudu (data/TV/domofon) — souvisí s vyjasnění #7 (počty zásuvek/svítidel). Pokud požadováno → doplníme M-22 slaboproud položku.</t>
        </is>
      </c>
    </row>
    <row r="6">
      <c r="A6" s="17" t="n">
        <v>25</v>
      </c>
      <c r="B6" s="18" t="inlineStr">
        <is>
          <t>important</t>
        </is>
      </c>
      <c r="C6" s="18" t="inlineStr">
        <is>
          <t>Sklad — svislá hydroizolace + drenáž stěn pod terénem (skladby S03a/S04) — DSP nespecifikuje</t>
        </is>
      </c>
      <c r="D6" s="18" t="inlineStr">
        <is>
          <t>NEPŘIDÁNO (verify-first)</t>
        </is>
      </c>
      <c r="E6" s="18" t="inlineStr">
        <is>
          <t>Karle, ověř u projektanta zda skladby S03a/S04 zahrnují svislou hydroizolaci + drenáž stěn skladu pod terénem. Pokud ano → doplníme (penetrace + 2× asfalt. pás + nopová fólie + drenáž DN100 za S04) dle ploch pod terénem.</t>
        </is>
      </c>
    </row>
    <row r="7">
      <c r="A7" s="17" t="n">
        <v>26</v>
      </c>
      <c r="B7" s="18" t="inlineStr">
        <is>
          <t>important</t>
        </is>
      </c>
      <c r="C7" s="18" t="inlineStr">
        <is>
          <t>Sněhové zábrany / protisněhové prvky — falcovaná krytina, VII. sněhová oblast</t>
        </is>
      </c>
      <c r="D7" s="18" t="inlineStr">
        <is>
          <t>NEPŘIDÁNO (verify-first)</t>
        </is>
      </c>
      <c r="E7" s="18" t="inlineStr">
        <is>
          <t>Karle, ověř u projektanta / dodavatele krytiny zda jsou pro falc. krytinu v VII. sněhové oblasti požadovány sněhové zábrany. Pokud ano → doplníme bm dle délky okapů (zejména nad vstupy).</t>
        </is>
      </c>
    </row>
    <row r="8">
      <c r="A8" s="17" t="n">
        <v>27</v>
      </c>
      <c r="B8" s="18" t="inlineStr">
        <is>
          <t>minor</t>
        </is>
      </c>
      <c r="C8" s="18" t="inlineStr">
        <is>
          <t>Lemování komína a střešních prostupů — klempířský detail</t>
        </is>
      </c>
      <c r="D8" s="18" t="inlineStr">
        <is>
          <t>NEPŘIDÁNO (verify-first)</t>
        </is>
      </c>
      <c r="E8" s="18" t="inlineStr">
        <is>
          <t>Karle, ověř zda komín nebo VZT/ZTI prostupy procházejí novou střechou → pokud ano, doplníme klempířské lemování (ks dle počtu prostupů).</t>
        </is>
      </c>
    </row>
    <row r="9">
      <c r="A9" s="14" t="inlineStr">
        <is>
          <t>PM05</t>
        </is>
      </c>
      <c r="B9" s="15" t="inlineStr">
        <is>
          <t>medium</t>
        </is>
      </c>
      <c r="C9" s="15" t="inlineStr">
        <is>
          <t>Okapový chodník + obvodová drenáž domu — NOT_IN_TZ (žádná zmínka v TZ)</t>
        </is>
      </c>
      <c r="D9" s="15" t="inlineStr">
        <is>
          <t>SKIP (rekonstrukce — možná existuje)</t>
        </is>
      </c>
      <c r="E9" s="15" t="inlineStr">
        <is>
          <t>Volitelné: ověřit zda okapový chodník po obvodu domu je v scope (mimo BV drenáž HSV1.015). Pokud ano → HSV-1 položka.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2026-05-30T20:35:01Z</dcterms:created>
  <dcterms:modified xmlns:dcterms="http://purl.org/dc/terms/" xmlns:xsi="http://www.w3.org/2001/XMLSchema-instance" xsi:type="dcterms:W3CDTF">2026-05-30T20:35:01Z</dcterms:modified>
</cp:coreProperties>
</file>
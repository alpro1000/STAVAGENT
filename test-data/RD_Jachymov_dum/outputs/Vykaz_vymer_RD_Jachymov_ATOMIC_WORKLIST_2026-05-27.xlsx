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215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244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15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15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(14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8" t="inlineStr">
        <is>
          <t>━━ HSV-5 Krov + střecha  (16 atomic operací) ━━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krokve 100/180 mm á 800 mm, rezivo C24 fungicidní + protihmyzí (cca 2×12 krokví × ~6.5 m)</t>
        </is>
      </c>
      <c r="D60" s="10" t="inlineStr">
        <is>
          <t>bm</t>
        </is>
      </c>
      <c r="E60" s="12" t="n">
        <v>156</v>
      </c>
      <c r="F60" s="11" t="inlineStr">
        <is>
          <t>(2 sklony × 12 krokví × 6.5 m délka) = 156</t>
        </is>
      </c>
      <c r="G60" s="13" t="inlineStr">
        <is>
          <t>762331911</t>
        </is>
      </c>
      <c r="H60" s="10" t="inlineStr">
        <is>
          <t>⚠ kandidát-verify</t>
        </is>
      </c>
      <c r="I60" s="11" t="inlineStr">
        <is>
          <t>260219_dum.HSV5.001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kleštiny dvojfošny 60/180 mm probíhající v oblasti spací části</t>
        </is>
      </c>
      <c r="D61" s="10" t="inlineStr">
        <is>
          <t>bm</t>
        </is>
      </c>
      <c r="E61" s="12" t="n">
        <v>110</v>
      </c>
      <c r="F61" s="11" t="inlineStr">
        <is>
          <t>11 pozic × 2 ks × ~5 m délka = 110</t>
        </is>
      </c>
      <c r="G61" s="13" t="inlineStr">
        <is>
          <t>762331912</t>
        </is>
      </c>
      <c r="H61" s="10" t="inlineStr">
        <is>
          <t>⚠ kandidát-verify</t>
        </is>
      </c>
      <c r="I61" s="11" t="inlineStr">
        <is>
          <t>260219_dum.HSV5.002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pozednice 140/160 mm kotvená do ŽB věnce 3.NP</t>
        </is>
      </c>
      <c r="D62" s="10" t="inlineStr">
        <is>
          <t>bm</t>
        </is>
      </c>
      <c r="E62" s="12" t="n">
        <v>19.4</v>
      </c>
      <c r="F62" s="11" t="inlineStr">
        <is>
          <t>polovina obvodu (2 dlouhé strany) = ~20</t>
        </is>
      </c>
      <c r="G62" s="13" t="inlineStr">
        <is>
          <t>762331923</t>
        </is>
      </c>
      <c r="H62" s="10" t="inlineStr">
        <is>
          <t>⚠ kandidát-verify</t>
        </is>
      </c>
      <c r="I62" s="11" t="inlineStr">
        <is>
          <t>260219_dum.HSV5.003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Tesařský krov — námětky 60/100 v dolní koncové části pro přesah střechy ~500 mm</t>
        </is>
      </c>
      <c r="D63" s="10" t="inlineStr">
        <is>
          <t>bm</t>
        </is>
      </c>
      <c r="E63" s="12" t="n">
        <v>19.2</v>
      </c>
      <c r="F63" s="11" t="inlineStr">
        <is>
          <t>24 krokví × 0.8 m námětek = 19.2</t>
        </is>
      </c>
      <c r="G63" s="11" t="inlineStr">
        <is>
          <t>762331911</t>
        </is>
      </c>
      <c r="H63" s="10" t="inlineStr">
        <is>
          <t>⚠ kandidát-verify</t>
        </is>
      </c>
      <c r="I63" s="11" t="inlineStr">
        <is>
          <t>260219_dum.HSV5.004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Ocelová středová vaznice HEA160 — 2 ks × cca 10 m délka</t>
        </is>
      </c>
      <c r="D64" s="10" t="inlineStr">
        <is>
          <t>kg</t>
        </is>
      </c>
      <c r="E64" s="12" t="n">
        <v>608</v>
      </c>
      <c r="F64" s="11" t="inlineStr">
        <is>
          <t>2 × 10 × 30.4 kg/m (HEA160) = 608</t>
        </is>
      </c>
      <c r="G64" s="13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260219_dum.HSV5.005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Ocelové sloupky uzavřený profil 100×100×4 mm pod vaznice HEA160 (~6 ks × ~2.5 m výška)</t>
        </is>
      </c>
      <c r="D65" s="10" t="inlineStr">
        <is>
          <t>kg</t>
        </is>
      </c>
      <c r="E65" s="12" t="n">
        <v>176</v>
      </c>
      <c r="F65" s="11" t="inlineStr">
        <is>
          <t>6 × 2.5 × 11.7 kg/m (RHS 100×100×4) = 176</t>
        </is>
      </c>
      <c r="G65" s="11" t="inlineStr">
        <is>
          <t>411321414</t>
        </is>
      </c>
      <c r="H65" s="10" t="inlineStr">
        <is>
          <t>⚠ kandidát-verify</t>
        </is>
      </c>
      <c r="I65" s="11" t="inlineStr">
        <is>
          <t>260219_dum.HSV5.006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Bednění z prken tl. 20 mm pod nadkrokevní PIR (biodeska/palubka)</t>
        </is>
      </c>
      <c r="D66" s="10" t="inlineStr">
        <is>
          <t>m²</t>
        </is>
      </c>
      <c r="E66" s="12" t="n">
        <v>140.94</v>
      </c>
      <c r="F66" s="11">
        <f> 141 m² (plocha střechy včetně sklonu + přesahy)</f>
        <v/>
      </c>
      <c r="G66" s="11" t="inlineStr">
        <is>
          <t>762341711</t>
        </is>
      </c>
      <c r="H66" s="10" t="inlineStr">
        <is>
          <t>⚠ kandidát-verify</t>
        </is>
      </c>
      <c r="I66" s="11" t="inlineStr">
        <is>
          <t>260219_dum.HSV5.007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Parotěsná folie nad bedněním pod nadkrokevní PIR (např. Isover Vario nebo Tyvek Air guard)</t>
        </is>
      </c>
      <c r="D67" s="10" t="inlineStr">
        <is>
          <t>m²</t>
        </is>
      </c>
      <c r="E67" s="12" t="n">
        <v>155.034</v>
      </c>
      <c r="F67" s="11" t="inlineStr">
        <is>
          <t>141 × 1.1 přesah = 155</t>
        </is>
      </c>
      <c r="G67" s="11" t="inlineStr">
        <is>
          <t>712311101</t>
        </is>
      </c>
      <c r="H67" s="10" t="inlineStr">
        <is>
          <t>⚠ kandidát-verify</t>
        </is>
      </c>
      <c r="I67" s="11" t="inlineStr">
        <is>
          <t>260219_dum.HSV5.008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Nadkrokevní tepelná izolace PIR (polyisokyanurát) tl. 160 mm (λ=0,022 W/mK) — řez A-A S10 explicit</t>
        </is>
      </c>
      <c r="D68" s="10" t="inlineStr">
        <is>
          <t>m²</t>
        </is>
      </c>
      <c r="E68" s="12" t="n">
        <v>140.94</v>
      </c>
      <c r="F68" s="11">
        <f> 141 m² (plocha krytiny krov)</f>
        <v/>
      </c>
      <c r="G68" s="13" t="inlineStr">
        <is>
          <t>713131811</t>
        </is>
      </c>
      <c r="H68" s="10" t="inlineStr">
        <is>
          <t>✓ verified</t>
        </is>
      </c>
      <c r="I68" s="11" t="inlineStr">
        <is>
          <t>260219_dum.HSV5.009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Doplňková hydroizolační difuzně otevřená folie nad PIR pod kontralatě</t>
        </is>
      </c>
      <c r="D69" s="10" t="inlineStr">
        <is>
          <t>m²</t>
        </is>
      </c>
      <c r="E69" s="12" t="n">
        <v>155.034</v>
      </c>
      <c r="F69" s="11" t="inlineStr">
        <is>
          <t>141 × 1.1 přesah = 155</t>
        </is>
      </c>
      <c r="G69" s="11" t="inlineStr">
        <is>
          <t>712311111</t>
        </is>
      </c>
      <c r="H69" s="10" t="inlineStr">
        <is>
          <t>⚠ kandidát-verify</t>
        </is>
      </c>
      <c r="I69" s="11" t="inlineStr">
        <is>
          <t>260219_dum.HSV5.010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Distanční kontralatě 40×60 mm pro vzduchovou mezeru nad PIR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1" t="inlineStr">
        <is>
          <t>762331923</t>
        </is>
      </c>
      <c r="H70" s="10" t="inlineStr">
        <is>
          <t>⚠ kandidát-verify</t>
        </is>
      </c>
      <c r="I70" s="11" t="inlineStr">
        <is>
          <t>260219_dum.HSV5.011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Bednění z prken tl. 25 mm pod plechovou hliníkovou krytinu (rozsah dle technologie krytiny)</t>
        </is>
      </c>
      <c r="D71" s="10" t="inlineStr">
        <is>
          <t>m²</t>
        </is>
      </c>
      <c r="E71" s="12" t="n">
        <v>140.94</v>
      </c>
      <c r="F71" s="11">
        <f> 141 m²</f>
        <v/>
      </c>
      <c r="G71" s="13" t="inlineStr">
        <is>
          <t>762341711</t>
        </is>
      </c>
      <c r="H71" s="10" t="inlineStr">
        <is>
          <t>⚠ kandidát-verify</t>
        </is>
      </c>
      <c r="I71" s="11" t="inlineStr">
        <is>
          <t>260219_dum.HSV5.012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Plechová falcovaná HLINÍKOVÁ krytina (např. PREFA, Rheinzink, Lindab) + tlumící podložka</t>
        </is>
      </c>
      <c r="D72" s="10" t="inlineStr">
        <is>
          <t>m²</t>
        </is>
      </c>
      <c r="E72" s="12" t="n">
        <v>140.94</v>
      </c>
      <c r="F72" s="11">
        <f> 141 m² (vč. vikýřů přidat ~10%)</f>
        <v/>
      </c>
      <c r="G72" s="13" t="inlineStr">
        <is>
          <t>765791121</t>
        </is>
      </c>
      <c r="H72" s="10" t="inlineStr">
        <is>
          <t>⚠ kandidát-verify</t>
        </is>
      </c>
      <c r="I72" s="11" t="inlineStr">
        <is>
          <t>260219_dum.HSV5.013</t>
        </is>
      </c>
      <c r="J72" s="11" t="inlineStr">
        <is>
          <t>S10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Patro pro přespání v krovu — biodeska / OSB desky tl. 22 mm nad kleštinami</t>
        </is>
      </c>
      <c r="D73" s="10" t="inlineStr">
        <is>
          <t>m²</t>
        </is>
      </c>
      <c r="E73" s="12" t="n">
        <v>25</v>
      </c>
      <c r="F73" s="11" t="inlineStr">
        <is>
          <t>odhad — spací patro ~5 × 5 m</t>
        </is>
      </c>
      <c r="G73" s="11" t="inlineStr">
        <is>
          <t>762341711</t>
        </is>
      </c>
      <c r="H73" s="10" t="inlineStr">
        <is>
          <t>⚠ kandidát-verify</t>
        </is>
      </c>
      <c r="I73" s="11" t="inlineStr">
        <is>
          <t>260219_dum.HSV5.014</t>
        </is>
      </c>
      <c r="J73" s="11" t="inlineStr">
        <is>
          <t>S11</t>
        </is>
      </c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zděná čela z Porotherm 30 (odhad 4 ks × ~3 m² stěna)</t>
        </is>
      </c>
      <c r="D74" s="10" t="inlineStr">
        <is>
          <t>m²</t>
        </is>
      </c>
      <c r="E74" s="12" t="n">
        <v>12</v>
      </c>
      <c r="F74" s="11" t="inlineStr">
        <is>
          <t>4 vikýře × ~3 m² zděných čel = 12</t>
        </is>
      </c>
      <c r="G74" s="11" t="inlineStr">
        <is>
          <t>311321411</t>
        </is>
      </c>
      <c r="H74" s="10" t="inlineStr">
        <is>
          <t>⚠ kandidát-verify</t>
        </is>
      </c>
      <c r="I74" s="11" t="inlineStr">
        <is>
          <t>260219_dum.HSV5.015</t>
        </is>
      </c>
      <c r="J74" s="11" t="inlineStr"/>
      <c r="K74" s="11" t="inlineStr">
        <is>
          <t>Carried 1:1 (atomic — no decomposition needed)</t>
        </is>
      </c>
    </row>
    <row r="75">
      <c r="A75" s="10" t="n">
        <v>69</v>
      </c>
      <c r="B75" s="11" t="inlineStr">
        <is>
          <t>HSV-5 Krov + střecha</t>
        </is>
      </c>
      <c r="C75" s="11" t="inlineStr">
        <is>
          <t>Vikýře — provětrávaná fasáda min. vata + plech falcovaný hliník (4 vikýře × ~6 m² fasády)</t>
        </is>
      </c>
      <c r="D75" s="10" t="inlineStr">
        <is>
          <t>m²</t>
        </is>
      </c>
      <c r="E75" s="12" t="n">
        <v>24</v>
      </c>
      <c r="F75" s="11" t="inlineStr">
        <is>
          <t>4 vikýře × 2 strany × ~3 m² = 24</t>
        </is>
      </c>
      <c r="G75" s="11" t="inlineStr">
        <is>
          <t>765791121</t>
        </is>
      </c>
      <c r="H75" s="10" t="inlineStr">
        <is>
          <t>⚠ kandidát-verify</t>
        </is>
      </c>
      <c r="I75" s="11" t="inlineStr">
        <is>
          <t>260219_dum.HSV5.016</t>
        </is>
      </c>
      <c r="J75" s="11" t="inlineStr">
        <is>
          <t>S12b</t>
        </is>
      </c>
      <c r="K75" s="11" t="inlineStr">
        <is>
          <t>Carried 1:1 (atomic — no decomposition needed)</t>
        </is>
      </c>
    </row>
    <row r="76">
      <c r="A76" s="8" t="inlineStr">
        <is>
          <t>━━ HSV-6 Bourací práce  (17 atomic operací) ━━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kompletního stávajícího krovu vč. vikýřů — vaznicový s ležatou stolicí — manuálně, odvoz</t>
        </is>
      </c>
      <c r="D77" s="10" t="inlineStr">
        <is>
          <t>m³</t>
        </is>
      </c>
      <c r="E77" s="12" t="n">
        <v>12</v>
      </c>
      <c r="F77" s="11" t="inlineStr">
        <is>
          <t>TZ B m.10.e: 9 t dřeva × 0.75 t/m³ = 12 m³ dřeva</t>
        </is>
      </c>
      <c r="G77" s="13" t="inlineStr">
        <is>
          <t>962041141</t>
        </is>
      </c>
      <c r="H77" s="10" t="inlineStr">
        <is>
          <t>⚠ kandidát-verify</t>
        </is>
      </c>
      <c r="I77" s="11" t="inlineStr">
        <is>
          <t>260219_dum.HSV6.001</t>
        </is>
      </c>
      <c r="J77" s="11" t="inlineStr"/>
      <c r="K77" s="11" t="inlineStr">
        <is>
          <t>Carried 1:1 (atomic — no decomposition needed)</t>
        </is>
      </c>
    </row>
    <row r="78">
      <c r="A78" s="17" t="n">
        <v>71</v>
      </c>
      <c r="B78" s="18" t="inlineStr">
        <is>
          <t>HSV-6 Bourací práce</t>
        </is>
      </c>
      <c r="C78" s="18" t="inlineStr">
        <is>
          <t>Bourání stávající plechové krytiny (manuálně, recyklace plechu)</t>
        </is>
      </c>
      <c r="D78" s="17" t="inlineStr">
        <is>
          <t>m²</t>
        </is>
      </c>
      <c r="E78" s="19" t="n">
        <v>140.9</v>
      </c>
      <c r="F78" s="18">
        <f> plocha krytiny ~141</f>
        <v/>
      </c>
      <c r="G78" s="18" t="inlineStr"/>
      <c r="H78" s="17" t="inlineStr">
        <is>
          <t>❌ blank — ÚRS online</t>
        </is>
      </c>
      <c r="I78" s="18" t="inlineStr">
        <is>
          <t>260219_dum.HSV6.002</t>
        </is>
      </c>
      <c r="J78" s="18" t="inlineStr"/>
      <c r="K78" s="18" t="inlineStr">
        <is>
          <t>Carried 1:1 (atomic — no decomposition needed)  Doplnit leaf z CS ÚRS online (app.urs.cz, cen. úroveň 2026 01) dle família + popis + Vzorec.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zděných nadezdívek nad stropem 2.NP (mimo štítových stěn) — cihla pálená</t>
        </is>
      </c>
      <c r="D79" s="10" t="inlineStr">
        <is>
          <t>m³</t>
        </is>
      </c>
      <c r="E79" s="12" t="n">
        <v>6</v>
      </c>
      <c r="F79" s="11" t="inlineStr">
        <is>
          <t>odhad — 3.NP nadezdívka půdy ~104 m² × 0.45 m výška ~6</t>
        </is>
      </c>
      <c r="G79" s="11" t="inlineStr">
        <is>
          <t>962031132</t>
        </is>
      </c>
      <c r="H79" s="10" t="inlineStr">
        <is>
          <t>⚠ kandidát-verify</t>
        </is>
      </c>
      <c r="I79" s="11" t="inlineStr">
        <is>
          <t>260219_dum.HSV6.003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trámového stropu 2.NP/podkroví — kompletně (vč. zajištění schodiště)</t>
        </is>
      </c>
      <c r="D80" s="10" t="inlineStr">
        <is>
          <t>m²</t>
        </is>
      </c>
      <c r="E80" s="12" t="n">
        <v>104.4</v>
      </c>
      <c r="F80" s="11">
        <f> zastavěna 104.4 m²</f>
        <v/>
      </c>
      <c r="G80" s="11" t="inlineStr">
        <is>
          <t>962041141</t>
        </is>
      </c>
      <c r="H80" s="10" t="inlineStr">
        <is>
          <t>⚠ kandidát-verify</t>
        </is>
      </c>
      <c r="I80" s="11" t="inlineStr">
        <is>
          <t>260219_dum.HSV6.004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stávajících lehkých příček (cihla, sádrokarton, dřevo)</t>
        </is>
      </c>
      <c r="D81" s="10" t="inlineStr">
        <is>
          <t>m²</t>
        </is>
      </c>
      <c r="E81" s="12" t="n">
        <v>80</v>
      </c>
      <c r="F81" s="11" t="inlineStr">
        <is>
          <t>odhad — interier 2 patra × ~40 m² příček = 80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8 nových otvorů v nosných cihelných zdech pro dveře/okna (~1.0 × 2.1 m)</t>
        </is>
      </c>
      <c r="D82" s="10" t="inlineStr">
        <is>
          <t>ks</t>
        </is>
      </c>
      <c r="E82" s="12" t="n">
        <v>8</v>
      </c>
      <c r="F82" s="11" t="inlineStr">
        <is>
          <t>odhad počtu nových otvorů (= počet IPN160 překladů)</t>
        </is>
      </c>
      <c r="G82" s="11" t="inlineStr">
        <is>
          <t>962031132</t>
        </is>
      </c>
      <c r="H82" s="10" t="inlineStr">
        <is>
          <t>⚠ kandidát-verify</t>
        </is>
      </c>
      <c r="I82" s="11" t="inlineStr">
        <is>
          <t>260219_dum.HSV6.006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Bourání keramických obkladů a zařizovacích předmětů v koupelnách 1.NP + 2.NP</t>
        </is>
      </c>
      <c r="D83" s="10" t="inlineStr">
        <is>
          <t>m²</t>
        </is>
      </c>
      <c r="E83" s="12" t="n">
        <v>60</v>
      </c>
      <c r="F83" s="11" t="inlineStr">
        <is>
          <t>2 koupelny × ~30 m² obkladů = 60</t>
        </is>
      </c>
      <c r="G83" s="13" t="inlineStr">
        <is>
          <t>781473810</t>
        </is>
      </c>
      <c r="H83" s="10" t="inlineStr">
        <is>
          <t>⚠ kandidát-verify</t>
        </is>
      </c>
      <c r="I83" s="11" t="inlineStr">
        <is>
          <t>260219_dum.HSV6.007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Sejmutí podlah 1.NP a 2.NP — vč. nášlapů, podkladních vrstev</t>
        </is>
      </c>
      <c r="D84" s="10" t="inlineStr">
        <is>
          <t>m²</t>
        </is>
      </c>
      <c r="E84" s="12" t="n">
        <v>153.51</v>
      </c>
      <c r="F84" s="11" t="inlineStr">
        <is>
          <t>podlahova × 0.7 = ~154 m² (bez 3.NP nového)</t>
        </is>
      </c>
      <c r="G84" s="11" t="inlineStr">
        <is>
          <t>974031132</t>
        </is>
      </c>
      <c r="H84" s="10" t="inlineStr">
        <is>
          <t>⚠ kandidát-verify</t>
        </is>
      </c>
      <c r="I84" s="11" t="inlineStr">
        <is>
          <t>260219_dum.HSV6.008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záklopu a zásypů stropu 1.NP (prkenný záklop na trámech zachován)</t>
        </is>
      </c>
      <c r="D85" s="10" t="inlineStr">
        <is>
          <t>m³</t>
        </is>
      </c>
      <c r="E85" s="12" t="n">
        <v>5</v>
      </c>
      <c r="F85" s="11" t="inlineStr">
        <is>
          <t>100 m² × 0.05 m tl. zásypu = 5</t>
        </is>
      </c>
      <c r="G85" s="11" t="inlineStr">
        <is>
          <t>974041151</t>
        </is>
      </c>
      <c r="H85" s="10" t="inlineStr">
        <is>
          <t>⚠ kandidát-verify</t>
        </is>
      </c>
      <c r="I85" s="11" t="inlineStr">
        <is>
          <t>260219_dum.HSV6.009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oken a dveří stávajících (recyklace)</t>
        </is>
      </c>
      <c r="D86" s="10" t="inlineStr">
        <is>
          <t>ks</t>
        </is>
      </c>
      <c r="E86" s="12" t="n">
        <v>25</v>
      </c>
      <c r="F86" s="11" t="inlineStr">
        <is>
          <t>odhad — ~10 oken + ~15 dveří (vstupní + vnitřní)</t>
        </is>
      </c>
      <c r="G86" s="11" t="inlineStr">
        <is>
          <t>968071120</t>
        </is>
      </c>
      <c r="H86" s="10" t="inlineStr">
        <is>
          <t>⚠ kandidát-verify</t>
        </is>
      </c>
      <c r="I86" s="11" t="inlineStr">
        <is>
          <t>260219_dum.HSV6.010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všech sanitárních zařizovacích předmětů (WC, umyvadla, baterie, sprcha)</t>
        </is>
      </c>
      <c r="D87" s="10" t="inlineStr">
        <is>
          <t>ks</t>
        </is>
      </c>
      <c r="E87" s="12" t="n">
        <v>12</v>
      </c>
      <c r="F87" s="11" t="inlineStr">
        <is>
          <t>odhad — 2 koupelny × ~5 ks + WC + dřez = ~12</t>
        </is>
      </c>
      <c r="G87" s="11" t="inlineStr">
        <is>
          <t>725900001</t>
        </is>
      </c>
      <c r="H87" s="10" t="inlineStr">
        <is>
          <t>⚠ kandidát-verify</t>
        </is>
      </c>
      <c r="I87" s="11" t="inlineStr">
        <is>
          <t>260219_dum.HSV6.011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Odvoz a likvidace stavební suti dle vyhl. 8/2021 Sb. — celková tonáž odpadů</t>
        </is>
      </c>
      <c r="D88" s="10" t="inlineStr">
        <is>
          <t>t</t>
        </is>
      </c>
      <c r="E88" s="12" t="n">
        <v>56.5</v>
      </c>
      <c r="F88" s="11" t="inlineStr">
        <is>
          <t>TZ B m.10.e: 46 (beton/cihly) + 9 (dřevo) + 0.1 (kov) + 0.1 (EPS) + 0.2 (sádra) + 1.0 (směs) = 56.4</t>
        </is>
      </c>
      <c r="G88" s="11" t="inlineStr">
        <is>
          <t>997013501</t>
        </is>
      </c>
      <c r="H88" s="10" t="inlineStr">
        <is>
          <t>⚠ kandidát-verify</t>
        </is>
      </c>
      <c r="I88" s="11" t="inlineStr">
        <is>
          <t>260219_dum.HSV6.012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dřevěných oken vč. rámů a parapetů — 16 ks (návrh všechna okna nová plastová trojsklem)</t>
        </is>
      </c>
      <c r="D89" s="10" t="inlineStr">
        <is>
          <t>ks</t>
        </is>
      </c>
      <c r="E89" s="12" t="n">
        <v>16</v>
      </c>
      <c r="F89" s="11" t="inlineStr">
        <is>
          <t>DXF INSERT okno* total 16 ks (Path C Tier 4 — front 9 + back 7)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260219_dum.HSV6.013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vstupních dveří + rámů — 2 ks (1× ulice Fibichova + 1× zahrada; návrh nové plastové vstupní dveře)</t>
        </is>
      </c>
      <c r="D90" s="10" t="inlineStr">
        <is>
          <t>ks</t>
        </is>
      </c>
      <c r="E90" s="12" t="n">
        <v>2</v>
      </c>
      <c r="F90" s="11" t="inlineStr">
        <is>
          <t>DXF INSERT dveře = 2 (Path C Tier 4) + TZ ARS</t>
        </is>
      </c>
      <c r="G90" s="13" t="inlineStr">
        <is>
          <t>978013181</t>
        </is>
      </c>
      <c r="H90" s="10" t="inlineStr">
        <is>
          <t>✓ verified</t>
        </is>
      </c>
      <c r="I90" s="11" t="inlineStr">
        <is>
          <t>260219_dum.HSV6.014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Demontáž stávajících vnitřních dveří vč. ocelových/dřevěných zárubní — odhad 15 ks (3 patra × ~5 dveří/patro per DXF SM__dveře layer)</t>
        </is>
      </c>
      <c r="D91" s="10" t="inlineStr">
        <is>
          <t>ks</t>
        </is>
      </c>
      <c r="E91" s="12" t="n">
        <v>15</v>
      </c>
      <c r="F91" s="11" t="inlineStr">
        <is>
          <t>DXF SM__dveře polylines 102 / ~3 fáze / ~2.3 symbol per dveře ≈ 15 ks návrh (Path C confidence 0.65)</t>
        </is>
      </c>
      <c r="G91" s="11" t="inlineStr">
        <is>
          <t>968072456</t>
        </is>
      </c>
      <c r="H91" s="10" t="inlineStr">
        <is>
          <t>⚠ kandidát-verify</t>
        </is>
      </c>
      <c r="I91" s="11" t="inlineStr">
        <is>
          <t>260219_dum.HSV6.015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vrchní části stávajícího komínu v posledním podlaží (cihelné zdivo, ručně), vč. likvidace cihelné suti</t>
        </is>
      </c>
      <c r="D92" s="10" t="inlineStr">
        <is>
          <t>m³</t>
        </is>
      </c>
      <c r="E92" s="12" t="n">
        <v>0.6</v>
      </c>
      <c r="F92" s="11" t="inlineStr">
        <is>
          <t>průměr komín 0.50×0.50 × výška nad střechou ~2.4 m = 0.6 m³ (OPRAVA ChatGPT revize 2026-05-29: dříve 6.0 m³ = ×10 chybná inflace; skutečný objem 0.6 m³)</t>
        </is>
      </c>
      <c r="G92" s="13" t="inlineStr">
        <is>
          <t>962024141</t>
        </is>
      </c>
      <c r="H92" s="10" t="inlineStr">
        <is>
          <t>⚠ kandidát-verify</t>
        </is>
      </c>
      <c r="I92" s="11" t="inlineStr">
        <is>
          <t>260219_dum.HSV6.016</t>
        </is>
      </c>
      <c r="J92" s="11" t="inlineStr"/>
      <c r="K92" s="11" t="inlineStr">
        <is>
          <t>Carried 1:1 (atomic — no decomposition needed)</t>
        </is>
      </c>
    </row>
    <row r="93">
      <c r="A93" s="10" t="n">
        <v>86</v>
      </c>
      <c r="B93" s="11" t="inlineStr">
        <is>
          <t>HSV-6 Bourací práce</t>
        </is>
      </c>
      <c r="C93" s="11" t="inlineStr">
        <is>
          <t>Bourání stávajících opěrných zídek a venkovního schodiště v zahradě/dvoře — částečné, dle vyznačení v půdorysech bourání</t>
        </is>
      </c>
      <c r="D93" s="10" t="inlineStr">
        <is>
          <t>m³</t>
        </is>
      </c>
      <c r="E93" s="12" t="n">
        <v>8</v>
      </c>
      <c r="F93" s="11" t="inlineStr">
        <is>
          <t>odhad ze řez A-A bourání + půdorys bourání 1.NP/1.PP, ~8 m³ celkem (opěrné zídky + venkovní schodiště zahrada/dvůr)</t>
        </is>
      </c>
      <c r="G93" s="13" t="inlineStr">
        <is>
          <t>961044111</t>
        </is>
      </c>
      <c r="H93" s="10" t="inlineStr">
        <is>
          <t>⚠ kandidát-verify</t>
        </is>
      </c>
      <c r="I93" s="11" t="inlineStr">
        <is>
          <t>260219_dum.HSV6.017</t>
        </is>
      </c>
      <c r="J93" s="11" t="inlineStr"/>
      <c r="K93" s="11" t="inlineStr">
        <is>
          <t>Carried 1:1 (atomic — no decomposition needed)</t>
        </is>
      </c>
    </row>
    <row r="94">
      <c r="A94" s="8" t="inlineStr">
        <is>
          <t>━━ HSV-7 Fasáda ETICS  (9 atomic operací) ━━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10" t="n">
        <v>87</v>
      </c>
      <c r="B95" s="11" t="inlineStr">
        <is>
          <t>HSV-7 Fasáda ETICS</t>
        </is>
      </c>
      <c r="C95" s="11" t="inlineStr">
        <is>
          <t>Příprava fasádního podkladu — očištění tlakovou vodou, vyspravení omítek, fungicidní nátěr</t>
        </is>
      </c>
      <c r="D95" s="10" t="inlineStr">
        <is>
          <t>m²</t>
        </is>
      </c>
      <c r="E95" s="12" t="n">
        <v>276.7</v>
      </c>
      <c r="F95" s="11" t="inlineStr">
        <is>
          <t>obvod 38.7 m (DXF) × 0.55 (volná fasáda, štíty zachované) × výška 13.0 m = 276.7 m²</t>
        </is>
      </c>
      <c r="G95" s="11" t="inlineStr">
        <is>
          <t>622401110</t>
        </is>
      </c>
      <c r="H95" s="10" t="inlineStr">
        <is>
          <t>⚠ kandidát-verify</t>
        </is>
      </c>
      <c r="I95" s="11" t="inlineStr">
        <is>
          <t>260219_dum.HSV7.001</t>
        </is>
      </c>
      <c r="J95" s="11" t="inlineStr">
        <is>
          <t>S01</t>
        </is>
      </c>
      <c r="K95" s="11" t="inlineStr">
        <is>
          <t>Carried 1:1 (atomic — no decomposition needed)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Lepení + kotvení desek EPS 70F grey λ=0.032 tl. 160 mm — ETICS kontaktní zateplení fasády</t>
        </is>
      </c>
      <c r="D96" s="14" t="inlineStr">
        <is>
          <t>m²</t>
        </is>
      </c>
      <c r="E96" s="16" t="n">
        <v>276.7</v>
      </c>
      <c r="F96" s="15">
        <f> HSV7.002 plocha fasády 276.7 m²</f>
        <v/>
      </c>
      <c r="G96" s="15" t="inlineStr">
        <is>
          <t>713</t>
        </is>
      </c>
      <c r="H96" s="14" t="inlineStr">
        <is>
          <t>⚠ família ??? (ÚRS online)</t>
        </is>
      </c>
      <c r="I96" s="15" t="inlineStr">
        <is>
          <t>260219_dum.HSV7.002 → HSV7.002a</t>
        </is>
      </c>
      <c r="J96" s="15" t="inlineStr">
        <is>
          <t>S01, S12a</t>
        </is>
      </c>
      <c r="K96" s="15" t="inlineStr">
        <is>
          <t>Lepení+kotvení EPS (713/622 família). Leaf dle tl. 160 mm — verify.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Armovací vrstva — výztužná síťka + lepicí stěrka (zatírací) na ETICS</t>
        </is>
      </c>
      <c r="D97" s="14" t="inlineStr">
        <is>
          <t>m²</t>
        </is>
      </c>
      <c r="E97" s="16" t="n">
        <v>276.7</v>
      </c>
      <c r="F97" s="15">
        <f> HSV7.002 plocha 276.7 m²</f>
        <v/>
      </c>
      <c r="G97" s="15" t="inlineStr">
        <is>
          <t>622</t>
        </is>
      </c>
      <c r="H97" s="14" t="inlineStr">
        <is>
          <t>⚠ família ??? (ÚRS online)</t>
        </is>
      </c>
      <c r="I97" s="15" t="inlineStr">
        <is>
          <t>260219_dum.HSV7.002 → HSV7.002b</t>
        </is>
      </c>
      <c r="J97" s="15" t="inlineStr">
        <is>
          <t>S01, S12a</t>
        </is>
      </c>
      <c r="K97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Lepení + kotvení desek XPS λ=0.034 tl. 120 mm + soklový profil — ETICS sokl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713</t>
        </is>
      </c>
      <c r="H98" s="14" t="inlineStr">
        <is>
          <t>⚠ família ??? (ÚRS online)</t>
        </is>
      </c>
      <c r="I98" s="15" t="inlineStr">
        <is>
          <t>260219_dum.HSV7.003 → HSV7.003a</t>
        </is>
      </c>
      <c r="J98" s="15" t="inlineStr">
        <is>
          <t>S01</t>
        </is>
      </c>
      <c r="K98" s="15" t="inlineStr">
        <is>
          <t>Sokl XPS lepení + soklový profil (713/622 família).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Cihelný obklad soklu spárovaný (na armovací vrstvu)</t>
        </is>
      </c>
      <c r="D99" s="14" t="inlineStr">
        <is>
          <t>m²</t>
        </is>
      </c>
      <c r="E99" s="16" t="n">
        <v>13.5</v>
      </c>
      <c r="F99" s="15">
        <f> HSV7.003 plocha soklu 13.5 m²</f>
        <v/>
      </c>
      <c r="G99" s="15" t="inlineStr">
        <is>
          <t>781</t>
        </is>
      </c>
      <c r="H99" s="14" t="inlineStr">
        <is>
          <t>⚠ família ??? (ÚRS online)</t>
        </is>
      </c>
      <c r="I99" s="15" t="inlineStr">
        <is>
          <t>260219_dum.HSV7.003 → HSV7.003b</t>
        </is>
      </c>
      <c r="J99" s="15" t="inlineStr">
        <is>
          <t>S01</t>
        </is>
      </c>
      <c r="K99" s="15" t="inlineStr">
        <is>
          <t>Cihelný obklad spárovaný (781 família obklady).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EPS přesah 35-40 mm lepení + kotvení</t>
        </is>
      </c>
      <c r="D100" s="14" t="inlineStr">
        <is>
          <t>bm</t>
        </is>
      </c>
      <c r="E100" s="16" t="n">
        <v>82.2</v>
      </c>
      <c r="F100" s="15">
        <f> HSV7.004 obvod špalet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HSV7.004a</t>
        </is>
      </c>
      <c r="J100" s="15" t="inlineStr">
        <is>
          <t>S01, S12a</t>
        </is>
      </c>
      <c r="K100" s="15" t="inlineStr">
        <is>
          <t>Špalety EPS přesah (622 família).  Doplnit leaf z CS ÚRS online (app.urs.cz, cen. úroveň 2026 01) dle família + popis + Vzorec.</t>
        </is>
      </c>
    </row>
    <row r="101">
      <c r="A101" s="14" t="n">
        <v>93</v>
      </c>
      <c r="B101" s="15" t="inlineStr">
        <is>
          <t>HSV-7 Fasáda ETICS</t>
        </is>
      </c>
      <c r="C101" s="15" t="inlineStr">
        <is>
          <t>Špalety oken — armovací vrstva síťka + omítka</t>
        </is>
      </c>
      <c r="D101" s="14" t="inlineStr">
        <is>
          <t>bm</t>
        </is>
      </c>
      <c r="E101" s="16" t="n">
        <v>82.2</v>
      </c>
      <c r="F101" s="15">
        <f> HSV7.004 obvod 82.2 bm</f>
        <v/>
      </c>
      <c r="G101" s="15" t="inlineStr">
        <is>
          <t>622</t>
        </is>
      </c>
      <c r="H101" s="14" t="inlineStr">
        <is>
          <t>⚠ família ??? (ÚRS online)</t>
        </is>
      </c>
      <c r="I101" s="15" t="inlineStr">
        <is>
          <t>260219_dum.HSV7.004 → HSV7.004b</t>
        </is>
      </c>
      <c r="J101" s="15" t="inlineStr">
        <is>
          <t>S01, S12a</t>
        </is>
      </c>
      <c r="K101" s="15" t="inlineStr">
        <is>
          <t>Armovací vrstva + omítka špalet (622 família).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Profilace fasády — různé tloušťky EPS (kordony, šambrány, rámování oken) — paušál podle pohledů</t>
        </is>
      </c>
      <c r="D102" s="10" t="inlineStr">
        <is>
          <t>soubor</t>
        </is>
      </c>
      <c r="E102" s="12" t="n">
        <v>1</v>
      </c>
      <c r="F102" s="11" t="inlineStr">
        <is>
          <t>paušál — dle pohledů NCS NZÚ</t>
        </is>
      </c>
      <c r="G102" s="11" t="inlineStr">
        <is>
          <t>622221221</t>
        </is>
      </c>
      <c r="H102" s="10" t="inlineStr">
        <is>
          <t>⚠ kandidát-verify</t>
        </is>
      </c>
      <c r="I102" s="11" t="inlineStr">
        <is>
          <t>260219_dum.HSV7.005</t>
        </is>
      </c>
      <c r="J102" s="11" t="inlineStr">
        <is>
          <t>S01, S12a</t>
        </is>
      </c>
      <c r="K102" s="11" t="inlineStr">
        <is>
          <t>Carried 1:1 (atomic — no decomposition needed)</t>
        </is>
      </c>
    </row>
    <row r="103">
      <c r="A103" s="10" t="n">
        <v>95</v>
      </c>
      <c r="B103" s="11" t="inlineStr">
        <is>
          <t>HSV-7 Fasáda ETICS</t>
        </is>
      </c>
      <c r="C103" s="11" t="inlineStr">
        <is>
          <t>Tenkovrstvá pastovitá probarvená omítka, lomená bílá NCS NZÚ — finální vrstva ETICS</t>
        </is>
      </c>
      <c r="D103" s="10" t="inlineStr">
        <is>
          <t>m²</t>
        </is>
      </c>
      <c r="E103" s="12" t="n">
        <v>290.2</v>
      </c>
      <c r="F103" s="11" t="inlineStr">
        <is>
          <t>ETICS plocha 276.7 m² + sokl 13.5 m² = 290.2 m²</t>
        </is>
      </c>
      <c r="G103" s="13" t="inlineStr">
        <is>
          <t>622521111</t>
        </is>
      </c>
      <c r="H103" s="10" t="inlineStr">
        <is>
          <t>⚠ kandidát-verify</t>
        </is>
      </c>
      <c r="I103" s="11" t="inlineStr">
        <is>
          <t>260219_dum.HSV7.006</t>
        </is>
      </c>
      <c r="J103" s="11" t="inlineStr">
        <is>
          <t>S01, S12a, S12b</t>
        </is>
      </c>
      <c r="K103" s="11" t="inlineStr">
        <is>
          <t>Carried 1:1 (atomic — no decomposition needed)</t>
        </is>
      </c>
    </row>
  </sheetData>
  <autoFilter ref="A1:K1"/>
  <mergeCells count="7">
    <mergeCell ref="A22:K22"/>
    <mergeCell ref="A59:K59"/>
    <mergeCell ref="A2:K2"/>
    <mergeCell ref="A76:K76"/>
    <mergeCell ref="A36:K36"/>
    <mergeCell ref="A44:K44"/>
    <mergeCell ref="A94:K9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9.23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2026-05-31T19:18:48Z</dcterms:created>
  <dcterms:modified xmlns:dcterms="http://purl.org/dc/terms/" xmlns:xsi="http://www.w3.org/2001/XMLSchema-instance" xsi:type="dcterms:W3CDTF">2026-05-31T19:18:48Z</dcterms:modified>
</cp:coreProperties>
</file>
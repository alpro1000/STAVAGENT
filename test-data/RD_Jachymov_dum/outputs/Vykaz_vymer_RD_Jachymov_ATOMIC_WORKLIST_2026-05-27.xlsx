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216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252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23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59</v>
      </c>
    </row>
    <row r="9">
      <c r="A9" s="4" t="inlineStr">
        <is>
          <t>Items carried 1:1</t>
        </is>
      </c>
      <c r="B9" s="5" t="n">
        <v>193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24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17</v>
      </c>
    </row>
    <row r="48">
      <c r="A48" s="4" t="inlineStr">
        <is>
          <t>⚠ kandidát-verify (leaf generátor, neověřen)</t>
        </is>
      </c>
      <c r="B48" s="5" t="n">
        <v>167</v>
      </c>
    </row>
    <row r="49">
      <c r="A49" s="4" t="inlineStr">
        <is>
          <t>⚠ família ??? (leaf z ÚRS online)</t>
        </is>
      </c>
      <c r="B49" s="5" t="n">
        <v>53</v>
      </c>
    </row>
    <row r="50">
      <c r="A50" s="4" t="inlineStr">
        <is>
          <t>❌ blank — ÚRS online</t>
        </is>
      </c>
      <c r="B50" s="5" t="n">
        <v>15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15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13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311</t>
        </is>
      </c>
      <c r="B65" s="5" t="n">
        <v>9</v>
      </c>
    </row>
    <row r="66">
      <c r="A66" s="4" t="inlineStr">
        <is>
          <t>411</t>
        </is>
      </c>
      <c r="B66" s="5" t="n">
        <v>9</v>
      </c>
    </row>
    <row r="67">
      <c r="A67" s="4" t="inlineStr">
        <is>
          <t>962</t>
        </is>
      </c>
      <c r="B67" s="5" t="n">
        <v>8</v>
      </c>
    </row>
    <row r="68">
      <c r="A68" s="4" t="inlineStr">
        <is>
          <t>733</t>
        </is>
      </c>
      <c r="B68" s="5" t="n">
        <v>7</v>
      </c>
    </row>
    <row r="69">
      <c r="A69" s="4" t="inlineStr">
        <is>
          <t>210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605</t>
        </is>
      </c>
      <c r="B79" s="5" t="n">
        <v>4</v>
      </c>
    </row>
    <row r="80">
      <c r="A80" s="4" t="inlineStr">
        <is>
          <t>713</t>
        </is>
      </c>
      <c r="B80" s="5" t="n">
        <v>4</v>
      </c>
    </row>
    <row r="81">
      <c r="A81" s="4" t="inlineStr">
        <is>
          <t>974</t>
        </is>
      </c>
      <c r="B81" s="5" t="n">
        <v>4</v>
      </c>
    </row>
    <row r="82">
      <c r="A82" s="4" t="inlineStr">
        <is>
          <t>997</t>
        </is>
      </c>
      <c r="B82" s="5" t="n">
        <v>4</v>
      </c>
    </row>
    <row r="83">
      <c r="A83" s="4" t="inlineStr">
        <is>
          <t>031</t>
        </is>
      </c>
      <c r="B83" s="5" t="n">
        <v>3</v>
      </c>
    </row>
    <row r="84">
      <c r="A84" s="4" t="inlineStr">
        <is>
          <t>132</t>
        </is>
      </c>
      <c r="B84" s="5" t="n">
        <v>3</v>
      </c>
    </row>
    <row r="85">
      <c r="A85" s="4" t="inlineStr">
        <is>
          <t>174</t>
        </is>
      </c>
      <c r="B85" s="5" t="n">
        <v>3</v>
      </c>
    </row>
    <row r="86">
      <c r="A86" s="4" t="inlineStr">
        <is>
          <t>342</t>
        </is>
      </c>
      <c r="B86" s="5" t="n">
        <v>3</v>
      </c>
    </row>
    <row r="87">
      <c r="A87" s="4" t="inlineStr">
        <is>
          <t>631</t>
        </is>
      </c>
      <c r="B87" s="5" t="n">
        <v>3</v>
      </c>
    </row>
    <row r="88">
      <c r="A88" s="4" t="inlineStr">
        <is>
          <t>121</t>
        </is>
      </c>
      <c r="B88" s="5" t="n">
        <v>2</v>
      </c>
    </row>
    <row r="89">
      <c r="A89" s="4" t="inlineStr">
        <is>
          <t>131</t>
        </is>
      </c>
      <c r="B89" s="5" t="n">
        <v>2</v>
      </c>
    </row>
    <row r="90">
      <c r="A90" s="4" t="inlineStr">
        <is>
          <t>212</t>
        </is>
      </c>
      <c r="B90" s="5" t="n">
        <v>2</v>
      </c>
    </row>
    <row r="91">
      <c r="A91" s="4" t="inlineStr">
        <is>
          <t>317</t>
        </is>
      </c>
      <c r="B91" s="5" t="n">
        <v>2</v>
      </c>
    </row>
    <row r="92">
      <c r="A92" s="4" t="inlineStr">
        <is>
          <t>693</t>
        </is>
      </c>
      <c r="B92" s="5" t="n">
        <v>2</v>
      </c>
    </row>
    <row r="93">
      <c r="A93" s="4" t="inlineStr">
        <is>
          <t>722</t>
        </is>
      </c>
      <c r="B93" s="5" t="n">
        <v>2</v>
      </c>
    </row>
    <row r="94">
      <c r="A94" s="4" t="inlineStr">
        <is>
          <t>732</t>
        </is>
      </c>
      <c r="B94" s="5" t="n">
        <v>2</v>
      </c>
    </row>
    <row r="95">
      <c r="A95" s="4" t="inlineStr">
        <is>
          <t>765</t>
        </is>
      </c>
      <c r="B95" s="5" t="n">
        <v>2</v>
      </c>
    </row>
    <row r="96">
      <c r="A96" s="4" t="inlineStr">
        <is>
          <t>776</t>
        </is>
      </c>
      <c r="B96" s="5" t="n">
        <v>2</v>
      </c>
    </row>
    <row r="97">
      <c r="A97" s="4" t="inlineStr">
        <is>
          <t>968</t>
        </is>
      </c>
      <c r="B97" s="5" t="n">
        <v>2</v>
      </c>
    </row>
    <row r="98">
      <c r="A98" s="4" t="inlineStr">
        <is>
          <t>978</t>
        </is>
      </c>
      <c r="B98" s="5" t="n">
        <v>2</v>
      </c>
    </row>
    <row r="99">
      <c r="A99" s="4" t="inlineStr">
        <is>
          <t>012</t>
        </is>
      </c>
      <c r="B99" s="5" t="n">
        <v>1</v>
      </c>
    </row>
    <row r="100">
      <c r="A100" s="4" t="inlineStr">
        <is>
          <t>151</t>
        </is>
      </c>
      <c r="B100" s="5" t="n">
        <v>1</v>
      </c>
    </row>
    <row r="101">
      <c r="A101" s="4" t="inlineStr">
        <is>
          <t>181</t>
        </is>
      </c>
      <c r="B101" s="5" t="n">
        <v>1</v>
      </c>
    </row>
    <row r="102">
      <c r="A102" s="4" t="inlineStr">
        <is>
          <t>271</t>
        </is>
      </c>
      <c r="B102" s="5" t="n">
        <v>1</v>
      </c>
    </row>
    <row r="103">
      <c r="A103" s="4" t="inlineStr">
        <is>
          <t>279</t>
        </is>
      </c>
      <c r="B103" s="5" t="n">
        <v>1</v>
      </c>
    </row>
    <row r="104">
      <c r="A104" s="4" t="inlineStr">
        <is>
          <t>375</t>
        </is>
      </c>
      <c r="B104" s="5" t="n">
        <v>1</v>
      </c>
    </row>
    <row r="105">
      <c r="A105" s="4" t="inlineStr">
        <is>
          <t>596</t>
        </is>
      </c>
      <c r="B105" s="5" t="n">
        <v>1</v>
      </c>
    </row>
    <row r="106">
      <c r="A106" s="4" t="inlineStr">
        <is>
          <t>721</t>
        </is>
      </c>
      <c r="B106" s="5" t="n">
        <v>1</v>
      </c>
    </row>
    <row r="107">
      <c r="A107" s="4" t="inlineStr">
        <is>
          <t>734</t>
        </is>
      </c>
      <c r="B107" s="5" t="n">
        <v>1</v>
      </c>
    </row>
    <row r="108">
      <c r="A108" s="4" t="inlineStr">
        <is>
          <t>783</t>
        </is>
      </c>
      <c r="B108" s="5" t="n">
        <v>1</v>
      </c>
    </row>
    <row r="109">
      <c r="A109" s="4" t="inlineStr">
        <is>
          <t>961</t>
        </is>
      </c>
      <c r="B109" s="5" t="n">
        <v>1</v>
      </c>
    </row>
    <row r="110">
      <c r="A110" s="4" t="inlineStr">
        <is>
          <t>966</t>
        </is>
      </c>
      <c r="B110" s="5" t="n">
        <v>1</v>
      </c>
    </row>
    <row r="111">
      <c r="A111" s="4" t="inlineStr">
        <is>
          <t>996</t>
        </is>
      </c>
      <c r="B111" s="5" t="n">
        <v>1</v>
      </c>
    </row>
    <row r="113">
      <c r="A113" s="3" t="inlineStr">
        <is>
          <t>METODIKA + PATTERN COMPLIANCE</t>
        </is>
      </c>
    </row>
    <row r="114">
      <c r="A114" s="4" t="inlineStr">
        <is>
          <t>• HK212 028a..f princip: composite → atomic codeable operace (per vrstva / per fixture)</t>
        </is>
      </c>
    </row>
    <row r="115">
      <c r="A115" s="4" t="inlineStr">
        <is>
          <t>• Pattern 15 Work-First: atomic ops = codeable units, catalog matching downstream</t>
        </is>
      </c>
    </row>
    <row r="116">
      <c r="A116" s="4" t="inlineStr">
        <is>
          <t>• Pattern 26: família-level URS kde leaf neznámý + status flag; 9 BLANK ops (NE 999/TBD)</t>
        </is>
      </c>
    </row>
    <row r="117">
      <c r="A117" s="4" t="inlineStr">
        <is>
          <t>• Pattern 28: (id, kapitola) compound key — řeší PSV76.003 ×3 + VRN.001 ×9 collisions</t>
        </is>
      </c>
    </row>
    <row r="118">
      <c r="A118" s="4" t="inlineStr">
        <is>
          <t>• Pattern 32: separate deliverable — items.json frozen + File A audit NEDOTČENO</t>
        </is>
      </c>
    </row>
    <row r="119">
      <c r="A119" s="4" t="inlineStr">
        <is>
          <t>• Traceability: každá atomic op → parent_frozen_item_id (100% coverage)</t>
        </is>
      </c>
    </row>
    <row r="120">
      <c r="A120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5:C115"/>
    <mergeCell ref="A11:C11"/>
    <mergeCell ref="A116:C116"/>
    <mergeCell ref="A117:C117"/>
    <mergeCell ref="A46:C46"/>
    <mergeCell ref="A118:C118"/>
    <mergeCell ref="A119:C119"/>
    <mergeCell ref="A56:C56"/>
    <mergeCell ref="A120:C120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(14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8" t="inlineStr">
        <is>
          <t>━━ HSV-5 Krov + střecha  (24 atomic operací) ━━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14" t="n">
        <v>54</v>
      </c>
      <c r="B60" s="15" t="inlineStr">
        <is>
          <t>HSV-5 Krov + střecha</t>
        </is>
      </c>
      <c r="C60" s="15" t="inlineStr">
        <is>
          <t>Montáž krokví 100/180 mm — vázaná konstrukce krovu pomocí ocelových spojek, hraněné řezivo (průřez 180 cm², přes 120 do 224)</t>
        </is>
      </c>
      <c r="D60" s="14" t="inlineStr">
        <is>
          <t>m</t>
        </is>
      </c>
      <c r="E60" s="16" t="n">
        <v>156</v>
      </c>
      <c r="F60" s="15">
        <f> HSV5.001 délka krokví 156 bm</f>
        <v/>
      </c>
      <c r="G60" s="15" t="inlineStr">
        <is>
          <t>762332122</t>
        </is>
      </c>
      <c r="H60" s="14" t="inlineStr">
        <is>
          <t>✓ verified</t>
        </is>
      </c>
      <c r="I60" s="15" t="inlineStr">
        <is>
          <t>260219_dum.HSV5.001 → HSV5.001a</t>
        </is>
      </c>
      <c r="J60" s="15" t="inlineStr"/>
      <c r="K60" s="15" t="inlineStr">
        <is>
          <t>Montáž 762332122 (266 Kč/m, KROS). Materiál = op b.</t>
        </is>
      </c>
    </row>
    <row r="61">
      <c r="A61" s="14" t="n">
        <v>55</v>
      </c>
      <c r="B61" s="15" t="inlineStr">
        <is>
          <t>HSV-5 Krov + střecha</t>
        </is>
      </c>
      <c r="C61" s="15" t="inlineStr">
        <is>
          <t>Dodávka hranolového řeziva C24 pro krokve 100/180 mm vč. 10 % prořezu (fungicidní + protihmyzí impregnace)</t>
        </is>
      </c>
      <c r="D61" s="14" t="inlineStr">
        <is>
          <t>m³</t>
        </is>
      </c>
      <c r="E61" s="16" t="n">
        <v>3.09</v>
      </c>
      <c r="F61" s="15">
        <f> 156 × 0.10 × 0.18 × 1.10 = 3.09 m³</f>
        <v/>
      </c>
      <c r="G61" s="15" t="inlineStr">
        <is>
          <t>60512136</t>
        </is>
      </c>
      <c r="H61" s="14" t="inlineStr">
        <is>
          <t>⚠ família ??? (ÚRS online)</t>
        </is>
      </c>
      <c r="I61" s="15" t="inlineStr">
        <is>
          <t>260219_dum.HSV5.001 → HSV5.001b</t>
        </is>
      </c>
      <c r="J61" s="15" t="inlineStr"/>
      <c r="K61" s="15" t="inlineStr">
        <is>
          <t>Hranol řezivo do 288 cm² (60512136). Impregnace dle TZ statika §6.2.  Doplnit leaf z CS ÚRS online (app.urs.cz, cen. úroveň 2026 01) dle família + popis + Vzorec.</t>
        </is>
      </c>
    </row>
    <row r="62">
      <c r="A62" s="14" t="n">
        <v>56</v>
      </c>
      <c r="B62" s="15" t="inlineStr">
        <is>
          <t>HSV-5 Krov + střecha</t>
        </is>
      </c>
      <c r="C62" s="15" t="inlineStr">
        <is>
          <t>Montáž kleštin 2×60/180 mm — vázaná konstrukce krovu pomocí ocelových spojek (průřez 216 cm², přes 120 do 224)</t>
        </is>
      </c>
      <c r="D62" s="14" t="inlineStr">
        <is>
          <t>m</t>
        </is>
      </c>
      <c r="E62" s="16" t="n">
        <v>110</v>
      </c>
      <c r="F62" s="15">
        <f> HSV5.002 délka kleštin 110 bm</f>
        <v/>
      </c>
      <c r="G62" s="15" t="inlineStr">
        <is>
          <t>762332122</t>
        </is>
      </c>
      <c r="H62" s="14" t="inlineStr">
        <is>
          <t>✓ verified</t>
        </is>
      </c>
      <c r="I62" s="15" t="inlineStr">
        <is>
          <t>260219_dum.HSV5.002 → HSV5.002a</t>
        </is>
      </c>
      <c r="J62" s="15" t="inlineStr"/>
      <c r="K62" s="15" t="inlineStr">
        <is>
          <t>Montáž 762332122 (266 Kč/m). Materiál = op b.</t>
        </is>
      </c>
    </row>
    <row r="63">
      <c r="A63" s="14" t="n">
        <v>57</v>
      </c>
      <c r="B63" s="15" t="inlineStr">
        <is>
          <t>HSV-5 Krov + střecha</t>
        </is>
      </c>
      <c r="C63" s="15" t="inlineStr">
        <is>
          <t>Dodávka hranolového řeziva C24 pro kleštiny 2×60/180 mm vč. 10 % prořezu + impregnace</t>
        </is>
      </c>
      <c r="D63" s="14" t="inlineStr">
        <is>
          <t>m³</t>
        </is>
      </c>
      <c r="E63" s="16" t="n">
        <v>1.31</v>
      </c>
      <c r="F63" s="15">
        <f> 110 × 0.06 × 0.18 × 1.10 = 1.31 m³</f>
        <v/>
      </c>
      <c r="G63" s="15" t="inlineStr">
        <is>
          <t>60512136</t>
        </is>
      </c>
      <c r="H63" s="14" t="inlineStr">
        <is>
          <t>⚠ família ??? (ÚRS online)</t>
        </is>
      </c>
      <c r="I63" s="15" t="inlineStr">
        <is>
          <t>260219_dum.HSV5.002 → HSV5.002b</t>
        </is>
      </c>
      <c r="J63" s="15" t="inlineStr"/>
      <c r="K63" s="15" t="inlineStr">
        <is>
          <t>Hranol řezivo (60512136).  Doplnit leaf z CS ÚRS online (app.urs.cz, cen. úroveň 2026 01) dle família + popis + Vzorec.</t>
        </is>
      </c>
    </row>
    <row r="64">
      <c r="A64" s="14" t="n">
        <v>58</v>
      </c>
      <c r="B64" s="15" t="inlineStr">
        <is>
          <t>HSV-5 Krov + střecha</t>
        </is>
      </c>
      <c r="C64" s="15" t="inlineStr">
        <is>
          <t>Montáž pozednic 140/160 mm — vázaná konstrukce krovu pomocí ocelových spojek (průřez 224 cm², přes 120 do 224)</t>
        </is>
      </c>
      <c r="D64" s="14" t="inlineStr">
        <is>
          <t>m</t>
        </is>
      </c>
      <c r="E64" s="16" t="n">
        <v>19.4</v>
      </c>
      <c r="F64" s="15">
        <f> HSV5.003 délka pozednic ~19.4 bm</f>
        <v/>
      </c>
      <c r="G64" s="15" t="inlineStr">
        <is>
          <t>762332122</t>
        </is>
      </c>
      <c r="H64" s="14" t="inlineStr">
        <is>
          <t>✓ verified</t>
        </is>
      </c>
      <c r="I64" s="15" t="inlineStr">
        <is>
          <t>260219_dum.HSV5.003 → HSV5.003a</t>
        </is>
      </c>
      <c r="J64" s="15" t="inlineStr"/>
      <c r="K64" s="15" t="inlineStr">
        <is>
          <t>Montáž 762332122. Kotvení do ŽB věnce = samostatně (CHYBÍ DETAIL — závitové tyče/kotvy).</t>
        </is>
      </c>
    </row>
    <row r="65">
      <c r="A65" s="14" t="n">
        <v>59</v>
      </c>
      <c r="B65" s="15" t="inlineStr">
        <is>
          <t>HSV-5 Krov + střecha</t>
        </is>
      </c>
      <c r="C65" s="15" t="inlineStr">
        <is>
          <t>Dodávka hranolového řeziva C24 pro pozednice 140/160 mm vč. 10 % prořezu + impregnace</t>
        </is>
      </c>
      <c r="D65" s="14" t="inlineStr">
        <is>
          <t>m³</t>
        </is>
      </c>
      <c r="E65" s="16" t="n">
        <v>0.48</v>
      </c>
      <c r="F65" s="15">
        <f> 19.4 × 0.14 × 0.16 × 1.10 = 0.48 m³</f>
        <v/>
      </c>
      <c r="G65" s="15" t="inlineStr">
        <is>
          <t>60512136</t>
        </is>
      </c>
      <c r="H65" s="14" t="inlineStr">
        <is>
          <t>⚠ família ??? (ÚRS online)</t>
        </is>
      </c>
      <c r="I65" s="15" t="inlineStr">
        <is>
          <t>260219_dum.HSV5.003 → HSV5.003b</t>
        </is>
      </c>
      <c r="J65" s="15" t="inlineStr"/>
      <c r="K65" s="15" t="inlineStr">
        <is>
          <t>Hranol řezivo (60512136).  Doplnit leaf z CS ÚRS online (app.urs.cz, cen. úroveň 2026 01) dle família + popis + Vzorec.</t>
        </is>
      </c>
    </row>
    <row r="66">
      <c r="A66" s="14" t="n">
        <v>60</v>
      </c>
      <c r="B66" s="15" t="inlineStr">
        <is>
          <t>HSV-5 Krov + střecha</t>
        </is>
      </c>
      <c r="C66" s="15" t="inlineStr">
        <is>
          <t>Montáž námětků 60/100 mm — vázaná konstrukce krovu pomocí ocelových spojek (průřez 60 cm², přes 50 do 120)</t>
        </is>
      </c>
      <c r="D66" s="14" t="inlineStr">
        <is>
          <t>m</t>
        </is>
      </c>
      <c r="E66" s="16" t="n">
        <v>19.2</v>
      </c>
      <c r="F66" s="15">
        <f> HSV5.004 délka námětků 19.2 bm</f>
        <v/>
      </c>
      <c r="G66" s="15" t="inlineStr">
        <is>
          <t>762332121</t>
        </is>
      </c>
      <c r="H66" s="14" t="inlineStr">
        <is>
          <t>✓ verified</t>
        </is>
      </c>
      <c r="I66" s="15" t="inlineStr">
        <is>
          <t>260219_dum.HSV5.004 → HSV5.004a</t>
        </is>
      </c>
      <c r="J66" s="15" t="inlineStr"/>
      <c r="K66" s="15" t="inlineStr">
        <is>
          <t>Montáž 762332121 (206 Kč/m, KROS).</t>
        </is>
      </c>
    </row>
    <row r="67">
      <c r="A67" s="14" t="n">
        <v>61</v>
      </c>
      <c r="B67" s="15" t="inlineStr">
        <is>
          <t>HSV-5 Krov + střecha</t>
        </is>
      </c>
      <c r="C67" s="15" t="inlineStr">
        <is>
          <t>Dodávka hranolového řeziva C24 pro námětky 60/100 mm vč. 10 % prořezu + impregnace</t>
        </is>
      </c>
      <c r="D67" s="14" t="inlineStr">
        <is>
          <t>m³</t>
        </is>
      </c>
      <c r="E67" s="16" t="n">
        <v>0.127</v>
      </c>
      <c r="F67" s="15">
        <f> 19.2 × 0.06 × 0.10 × 1.10 = 0.127 m³</f>
        <v/>
      </c>
      <c r="G67" s="15" t="inlineStr">
        <is>
          <t>605</t>
        </is>
      </c>
      <c r="H67" s="14" t="inlineStr">
        <is>
          <t>⚠ família ??? (ÚRS online)</t>
        </is>
      </c>
      <c r="I67" s="15" t="inlineStr">
        <is>
          <t>260219_dum.HSV5.004 → HSV5.004b</t>
        </is>
      </c>
      <c r="J67" s="15" t="inlineStr"/>
      <c r="K67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Ocelová středová vaznice HEA160 — 2 ks × cca 10 m délka</t>
        </is>
      </c>
      <c r="D68" s="10" t="inlineStr">
        <is>
          <t>kg</t>
        </is>
      </c>
      <c r="E68" s="12" t="n">
        <v>608</v>
      </c>
      <c r="F68" s="11" t="inlineStr">
        <is>
          <t>2 × 10 × 30.4 kg/m (HEA160) = 608</t>
        </is>
      </c>
      <c r="G68" s="13" t="inlineStr">
        <is>
          <t>411321414</t>
        </is>
      </c>
      <c r="H68" s="10" t="inlineStr">
        <is>
          <t>⚠ kandidát-verify</t>
        </is>
      </c>
      <c r="I68" s="11" t="inlineStr">
        <is>
          <t>260219_dum.HSV5.005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Ocelové sloupky uzavřený profil 100×100×4 mm pod vaznice HEA160 (~6 ks × ~2.5 m výška)</t>
        </is>
      </c>
      <c r="D69" s="10" t="inlineStr">
        <is>
          <t>kg</t>
        </is>
      </c>
      <c r="E69" s="12" t="n">
        <v>176</v>
      </c>
      <c r="F69" s="11" t="inlineStr">
        <is>
          <t>6 × 2.5 × 11.7 kg/m (RHS 100×100×4) = 176</t>
        </is>
      </c>
      <c r="G69" s="11" t="inlineStr">
        <is>
          <t>411321414</t>
        </is>
      </c>
      <c r="H69" s="10" t="inlineStr">
        <is>
          <t>⚠ kandidát-verify</t>
        </is>
      </c>
      <c r="I69" s="11" t="inlineStr">
        <is>
          <t>260219_dum.HSV5.006</t>
        </is>
      </c>
      <c r="J69" s="11" t="inlineStr"/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20 mm pod nadkrokevní PIR (biodeska/palubka)</t>
        </is>
      </c>
      <c r="D70" s="10" t="inlineStr">
        <is>
          <t>m²</t>
        </is>
      </c>
      <c r="E70" s="12" t="n">
        <v>140.94</v>
      </c>
      <c r="F70" s="11">
        <f> 141 m² (plocha střechy včetně sklonu + přesahy)</f>
        <v/>
      </c>
      <c r="G70" s="11" t="inlineStr">
        <is>
          <t>762341711</t>
        </is>
      </c>
      <c r="H70" s="10" t="inlineStr">
        <is>
          <t>⚠ kandidát-verify</t>
        </is>
      </c>
      <c r="I70" s="11" t="inlineStr">
        <is>
          <t>260219_dum.HSV5.007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Parotěsná folie nad bedněním pod nadkrokevní PIR (např. Isover Vario nebo Tyvek Air guard)</t>
        </is>
      </c>
      <c r="D71" s="10" t="inlineStr">
        <is>
          <t>m²</t>
        </is>
      </c>
      <c r="E71" s="12" t="n">
        <v>155.034</v>
      </c>
      <c r="F71" s="11" t="inlineStr">
        <is>
          <t>141 × 1.1 přesah = 155</t>
        </is>
      </c>
      <c r="G71" s="11" t="inlineStr">
        <is>
          <t>712311101</t>
        </is>
      </c>
      <c r="H71" s="10" t="inlineStr">
        <is>
          <t>⚠ kandidát-verify</t>
        </is>
      </c>
      <c r="I71" s="11" t="inlineStr">
        <is>
          <t>260219_dum.HSV5.008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Nadkrokevní tepelná izolace PIR (polyisokyanurát) tl. 160 mm (λ=0,022 W/mK) — řez A-A S10 explicit</t>
        </is>
      </c>
      <c r="D72" s="10" t="inlineStr">
        <is>
          <t>m²</t>
        </is>
      </c>
      <c r="E72" s="12" t="n">
        <v>140.94</v>
      </c>
      <c r="F72" s="11">
        <f> 141 m² (plocha krytiny krov)</f>
        <v/>
      </c>
      <c r="G72" s="13" t="inlineStr">
        <is>
          <t>713131811</t>
        </is>
      </c>
      <c r="H72" s="10" t="inlineStr">
        <is>
          <t>✓ verified</t>
        </is>
      </c>
      <c r="I72" s="11" t="inlineStr">
        <is>
          <t>260219_dum.HSV5.009</t>
        </is>
      </c>
      <c r="J72" s="11" t="inlineStr">
        <is>
          <t>S10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Doplňková hydroizolační difuzně otevřená folie nad PIR pod kontralatě</t>
        </is>
      </c>
      <c r="D73" s="10" t="inlineStr">
        <is>
          <t>m²</t>
        </is>
      </c>
      <c r="E73" s="12" t="n">
        <v>155.034</v>
      </c>
      <c r="F73" s="11" t="inlineStr">
        <is>
          <t>141 × 1.1 přesah = 155</t>
        </is>
      </c>
      <c r="G73" s="11" t="inlineStr">
        <is>
          <t>712311111</t>
        </is>
      </c>
      <c r="H73" s="10" t="inlineStr">
        <is>
          <t>⚠ kandidát-verify</t>
        </is>
      </c>
      <c r="I73" s="11" t="inlineStr">
        <is>
          <t>260219_dum.HSV5.010</t>
        </is>
      </c>
      <c r="J73" s="11" t="inlineStr">
        <is>
          <t>S10</t>
        </is>
      </c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Distanční kontralatě 40×60 mm pro vzduchovou mezeru nad PIR</t>
        </is>
      </c>
      <c r="D74" s="10" t="inlineStr">
        <is>
          <t>m²</t>
        </is>
      </c>
      <c r="E74" s="12" t="n">
        <v>140.94</v>
      </c>
      <c r="F74" s="11">
        <f> 141 m²</f>
        <v/>
      </c>
      <c r="G74" s="11" t="inlineStr">
        <is>
          <t>762331923</t>
        </is>
      </c>
      <c r="H74" s="10" t="inlineStr">
        <is>
          <t>⚠ kandidát-verify</t>
        </is>
      </c>
      <c r="I74" s="11" t="inlineStr">
        <is>
          <t>260219_dum.HSV5.011</t>
        </is>
      </c>
      <c r="J74" s="11" t="inlineStr">
        <is>
          <t>S10</t>
        </is>
      </c>
      <c r="K74" s="11" t="inlineStr">
        <is>
          <t>Carried 1:1 (atomic — no decomposition needed)</t>
        </is>
      </c>
    </row>
    <row r="75">
      <c r="A75" s="10" t="n">
        <v>69</v>
      </c>
      <c r="B75" s="11" t="inlineStr">
        <is>
          <t>HSV-5 Krov + střecha</t>
        </is>
      </c>
      <c r="C75" s="11" t="inlineStr">
        <is>
          <t>Bednění z prken tl. 25 mm pod plechovou hliníkovou krytinu (rozsah dle technologie krytiny)</t>
        </is>
      </c>
      <c r="D75" s="10" t="inlineStr">
        <is>
          <t>m²</t>
        </is>
      </c>
      <c r="E75" s="12" t="n">
        <v>140.94</v>
      </c>
      <c r="F75" s="11">
        <f> 141 m²</f>
        <v/>
      </c>
      <c r="G75" s="13" t="inlineStr">
        <is>
          <t>762341711</t>
        </is>
      </c>
      <c r="H75" s="10" t="inlineStr">
        <is>
          <t>⚠ kandidát-verify</t>
        </is>
      </c>
      <c r="I75" s="11" t="inlineStr">
        <is>
          <t>260219_dum.HSV5.012</t>
        </is>
      </c>
      <c r="J75" s="11" t="inlineStr">
        <is>
          <t>S10</t>
        </is>
      </c>
      <c r="K75" s="11" t="inlineStr">
        <is>
          <t>Carried 1:1 (atomic — no decomposition needed)</t>
        </is>
      </c>
    </row>
    <row r="76">
      <c r="A76" s="10" t="n">
        <v>70</v>
      </c>
      <c r="B76" s="11" t="inlineStr">
        <is>
          <t>HSV-5 Krov + střecha</t>
        </is>
      </c>
      <c r="C76" s="11" t="inlineStr">
        <is>
          <t>Plechová falcovaná HLINÍKOVÁ krytina (např. PREFA, Rheinzink, Lindab) + tlumící podložka</t>
        </is>
      </c>
      <c r="D76" s="10" t="inlineStr">
        <is>
          <t>m²</t>
        </is>
      </c>
      <c r="E76" s="12" t="n">
        <v>140.94</v>
      </c>
      <c r="F76" s="11">
        <f> 141 m² (vč. vikýřů přidat ~10%)</f>
        <v/>
      </c>
      <c r="G76" s="13" t="inlineStr">
        <is>
          <t>765791121</t>
        </is>
      </c>
      <c r="H76" s="10" t="inlineStr">
        <is>
          <t>⚠ kandidát-verify</t>
        </is>
      </c>
      <c r="I76" s="11" t="inlineStr">
        <is>
          <t>260219_dum.HSV5.013</t>
        </is>
      </c>
      <c r="J76" s="11" t="inlineStr">
        <is>
          <t>S10</t>
        </is>
      </c>
      <c r="K76" s="11" t="inlineStr">
        <is>
          <t>Carried 1:1 (atomic — no decomposition needed)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Patro pro přespání v krovu — biodeska / OSB desky tl. 22 mm nad kleštinami</t>
        </is>
      </c>
      <c r="D77" s="10" t="inlineStr">
        <is>
          <t>m²</t>
        </is>
      </c>
      <c r="E77" s="12" t="n">
        <v>25</v>
      </c>
      <c r="F77" s="11" t="inlineStr">
        <is>
          <t>odhad — spací patro ~5 × 5 m</t>
        </is>
      </c>
      <c r="G77" s="11" t="inlineStr">
        <is>
          <t>762341711</t>
        </is>
      </c>
      <c r="H77" s="10" t="inlineStr">
        <is>
          <t>⚠ kandidát-verify</t>
        </is>
      </c>
      <c r="I77" s="11" t="inlineStr">
        <is>
          <t>260219_dum.HSV5.014</t>
        </is>
      </c>
      <c r="J77" s="11" t="inlineStr">
        <is>
          <t>S11</t>
        </is>
      </c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Vikýře — zděná čela z Porotherm 30 (odhad 4 ks × ~3 m² stěna)</t>
        </is>
      </c>
      <c r="D78" s="10" t="inlineStr">
        <is>
          <t>m²</t>
        </is>
      </c>
      <c r="E78" s="12" t="n">
        <v>12</v>
      </c>
      <c r="F78" s="11" t="inlineStr">
        <is>
          <t>4 vikýře × ~3 m² zděných čel = 12</t>
        </is>
      </c>
      <c r="G78" s="11" t="inlineStr">
        <is>
          <t>311321411</t>
        </is>
      </c>
      <c r="H78" s="10" t="inlineStr">
        <is>
          <t>⚠ kandidát-verify</t>
        </is>
      </c>
      <c r="I78" s="11" t="inlineStr">
        <is>
          <t>260219_dum.HSV5.015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Vikýře — provětrávaná fasáda min. vata + plech falcovaný hliník (4 vikýře × ~6 m² fasády)</t>
        </is>
      </c>
      <c r="D79" s="10" t="inlineStr">
        <is>
          <t>m²</t>
        </is>
      </c>
      <c r="E79" s="12" t="n">
        <v>24</v>
      </c>
      <c r="F79" s="11" t="inlineStr">
        <is>
          <t>4 vikýře × 2 strany × ~3 m² = 24</t>
        </is>
      </c>
      <c r="G79" s="11" t="inlineStr">
        <is>
          <t>765791121</t>
        </is>
      </c>
      <c r="H79" s="10" t="inlineStr">
        <is>
          <t>⚠ kandidát-verify</t>
        </is>
      </c>
      <c r="I79" s="11" t="inlineStr">
        <is>
          <t>260219_dum.HSV5.016</t>
        </is>
      </c>
      <c r="J79" s="11" t="inlineStr">
        <is>
          <t>S12b</t>
        </is>
      </c>
      <c r="K79" s="11" t="inlineStr">
        <is>
          <t>Carried 1:1 (atomic — no decomposition needed)</t>
        </is>
      </c>
    </row>
    <row r="80">
      <c r="A80" s="14" t="n">
        <v>74</v>
      </c>
      <c r="B80" s="15" t="inlineStr">
        <is>
          <t>HSV-5 Krov + střecha</t>
        </is>
      </c>
      <c r="C80" s="15" t="inlineStr">
        <is>
          <t>Montáž svorníků/šroubů tesařských spojů krovu délky přes 150 do 300 mm — spoje kleštin 2×60/180 s krokvemi</t>
        </is>
      </c>
      <c r="D80" s="14" t="inlineStr">
        <is>
          <t>ks</t>
        </is>
      </c>
      <c r="E80" s="16" t="n">
        <v>50</v>
      </c>
      <c r="F80" s="15">
        <f> HSV5.017 počet svorníků 50 ks (11 pozic × 2 konce × 2)</f>
        <v/>
      </c>
      <c r="G80" s="15" t="inlineStr">
        <is>
          <t>762085112</t>
        </is>
      </c>
      <c r="H80" s="14" t="inlineStr">
        <is>
          <t>✓ verified</t>
        </is>
      </c>
      <c r="I80" s="15" t="inlineStr">
        <is>
          <t>260219_dum.HSV5.017 → HSV5.017a</t>
        </is>
      </c>
      <c r="J80" s="15" t="inlineStr">
        <is>
          <t>Krov — spojovací prostředky</t>
        </is>
      </c>
      <c r="K80" s="15" t="inlineStr">
        <is>
          <t>Montáž 762085112. OVĚŘIT M12/M16 + délku dle statiky/tesařského detailu.</t>
        </is>
      </c>
    </row>
    <row r="81">
      <c r="A81" s="14" t="n">
        <v>75</v>
      </c>
      <c r="B81" s="15" t="inlineStr">
        <is>
          <t>HSV-5 Krov + střecha</t>
        </is>
      </c>
      <c r="C81" s="15" t="inlineStr">
        <is>
          <t>Tyč závitová Pz 4.6 M12 — materiál svorníků krovu</t>
        </is>
      </c>
      <c r="D81" s="14" t="inlineStr">
        <is>
          <t>m</t>
        </is>
      </c>
      <c r="E81" s="16" t="n">
        <v>14</v>
      </c>
      <c r="F81" s="15">
        <f> 50 ks × 0.25 m × 1.10 prořez = 13.75 → 14 m</f>
        <v/>
      </c>
      <c r="G81" s="15" t="inlineStr">
        <is>
          <t>31197004</t>
        </is>
      </c>
      <c r="H81" s="14" t="inlineStr">
        <is>
          <t>⚠ família ??? (ÚRS online)</t>
        </is>
      </c>
      <c r="I81" s="15" t="inlineStr">
        <is>
          <t>260219_dum.HSV5.017 → HSV5.017b</t>
        </is>
      </c>
      <c r="J81" s="15" t="inlineStr">
        <is>
          <t>Krov — spojovací prostředky</t>
        </is>
      </c>
      <c r="K81" s="15" t="inlineStr">
        <is>
          <t>Materiál svorníku (31197004).  Doplnit leaf z CS ÚRS online (app.urs.cz, cen. úroveň 2026 01) dle família + popis + Vzorec.</t>
        </is>
      </c>
    </row>
    <row r="82">
      <c r="A82" s="14" t="n">
        <v>76</v>
      </c>
      <c r="B82" s="15" t="inlineStr">
        <is>
          <t>HSV-5 Krov + střecha</t>
        </is>
      </c>
      <c r="C82" s="15" t="inlineStr">
        <is>
          <t>Matice přesná šestihranná Pz DIN 934-8 M12</t>
        </is>
      </c>
      <c r="D82" s="14" t="inlineStr">
        <is>
          <t>100 ks</t>
        </is>
      </c>
      <c r="E82" s="16" t="n">
        <v>1</v>
      </c>
      <c r="F82" s="15">
        <f> 50 svorníků × 2 = 100 ks = 1×100ks</f>
        <v/>
      </c>
      <c r="G82" s="15" t="inlineStr">
        <is>
          <t>3111006</t>
        </is>
      </c>
      <c r="H82" s="14" t="inlineStr">
        <is>
          <t>⚠ família ??? (ÚRS online)</t>
        </is>
      </c>
      <c r="I82" s="15" t="inlineStr">
        <is>
          <t>260219_dum.HSV5.017 → HSV5.017c</t>
        </is>
      </c>
      <c r="J82" s="15" t="inlineStr">
        <is>
          <t>Krov — spojovací prostředky</t>
        </is>
      </c>
      <c r="K82" s="15" t="inlineStr">
        <is>
          <t>Matice (3111006), 2 na svorník.  Doplnit leaf z CS ÚRS online (app.urs.cz, cen. úroveň 2026 01) dle família + popis + Vzorec.</t>
        </is>
      </c>
    </row>
    <row r="83">
      <c r="A83" s="14" t="n">
        <v>77</v>
      </c>
      <c r="B83" s="15" t="inlineStr">
        <is>
          <t>HSV-5 Krov + střecha</t>
        </is>
      </c>
      <c r="C83" s="15" t="inlineStr">
        <is>
          <t>Podložka pod dřevěnou konstrukci DIN 440 D 12 mm</t>
        </is>
      </c>
      <c r="D83" s="14" t="inlineStr">
        <is>
          <t>100 ks</t>
        </is>
      </c>
      <c r="E83" s="16" t="n">
        <v>1</v>
      </c>
      <c r="F83" s="15">
        <f> 50 svorníků × 2 = 100 ks = 1×100ks</f>
        <v/>
      </c>
      <c r="G83" s="15" t="inlineStr">
        <is>
          <t>31121004</t>
        </is>
      </c>
      <c r="H83" s="14" t="inlineStr">
        <is>
          <t>⚠ família ??? (ÚRS online)</t>
        </is>
      </c>
      <c r="I83" s="15" t="inlineStr">
        <is>
          <t>260219_dum.HSV5.017 → HSV5.017d</t>
        </is>
      </c>
      <c r="J83" s="15" t="inlineStr">
        <is>
          <t>Krov — spojovací prostředky</t>
        </is>
      </c>
      <c r="K83" s="15" t="inlineStr">
        <is>
          <t>Podložka (31121004), 2 na svorník.  Doplnit leaf z CS ÚRS online (app.urs.cz, cen. úroveň 2026 01) dle família + popis + Vzorec.</t>
        </is>
      </c>
    </row>
    <row r="84">
      <c r="A84" s="8" t="inlineStr">
        <is>
          <t>━━ HSV-6 Bourací práce  (17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0" t="n">
        <v>78</v>
      </c>
      <c r="B85" s="11" t="inlineStr">
        <is>
          <t>HSV-6 Bourací práce</t>
        </is>
      </c>
      <c r="C85" s="11" t="inlineStr">
        <is>
          <t>Bourání kompletního stávajícího krovu vč. vikýřů — vaznicový s ležatou stolicí — manuálně, odvoz</t>
        </is>
      </c>
      <c r="D85" s="10" t="inlineStr">
        <is>
          <t>m³</t>
        </is>
      </c>
      <c r="E85" s="12" t="n">
        <v>12</v>
      </c>
      <c r="F85" s="11" t="inlineStr">
        <is>
          <t>TZ B m.10.e: 9 t dřeva × 0.75 t/m³ = 12 m³ dřeva</t>
        </is>
      </c>
      <c r="G85" s="13" t="inlineStr">
        <is>
          <t>962041141</t>
        </is>
      </c>
      <c r="H85" s="10" t="inlineStr">
        <is>
          <t>⚠ kandidát-verify</t>
        </is>
      </c>
      <c r="I85" s="11" t="inlineStr">
        <is>
          <t>260219_dum.HSV6.001</t>
        </is>
      </c>
      <c r="J85" s="11" t="inlineStr"/>
      <c r="K85" s="11" t="inlineStr">
        <is>
          <t>Carried 1:1 (atomic — no decomposition needed)</t>
        </is>
      </c>
    </row>
    <row r="86">
      <c r="A86" s="17" t="n">
        <v>79</v>
      </c>
      <c r="B86" s="18" t="inlineStr">
        <is>
          <t>HSV-6 Bourací práce</t>
        </is>
      </c>
      <c r="C86" s="18" t="inlineStr">
        <is>
          <t>Bourání stávající plechové krytiny (manuálně, recyklace plechu)</t>
        </is>
      </c>
      <c r="D86" s="17" t="inlineStr">
        <is>
          <t>m²</t>
        </is>
      </c>
      <c r="E86" s="19" t="n">
        <v>140.9</v>
      </c>
      <c r="F86" s="18">
        <f> plocha krytiny ~141</f>
        <v/>
      </c>
      <c r="G86" s="18" t="inlineStr"/>
      <c r="H86" s="17" t="inlineStr">
        <is>
          <t>❌ blank — ÚRS online</t>
        </is>
      </c>
      <c r="I86" s="18" t="inlineStr">
        <is>
          <t>260219_dum.HSV6.002</t>
        </is>
      </c>
      <c r="J86" s="18" t="inlineStr"/>
      <c r="K86" s="18" t="inlineStr">
        <is>
          <t>Carried 1:1 (atomic — no decomposition needed)  Doplnit leaf z CS ÚRS online (app.urs.cz, cen. úroveň 2026 01) dle família + popis + Vzorec.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Bourání zděných nadezdívek nad stropem 2.NP (mimo štítových stěn) — cihla pálená</t>
        </is>
      </c>
      <c r="D87" s="10" t="inlineStr">
        <is>
          <t>m³</t>
        </is>
      </c>
      <c r="E87" s="12" t="n">
        <v>6</v>
      </c>
      <c r="F87" s="11" t="inlineStr">
        <is>
          <t>odhad — 3.NP nadezdívka půdy ~104 m² × 0.45 m výška ~6</t>
        </is>
      </c>
      <c r="G87" s="11" t="inlineStr">
        <is>
          <t>962031132</t>
        </is>
      </c>
      <c r="H87" s="10" t="inlineStr">
        <is>
          <t>⚠ kandidát-verify</t>
        </is>
      </c>
      <c r="I87" s="11" t="inlineStr">
        <is>
          <t>260219_dum.HSV6.003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Bourání trámového stropu 2.NP/podkroví — kompletně (vč. zajištění schodiště)</t>
        </is>
      </c>
      <c r="D88" s="10" t="inlineStr">
        <is>
          <t>m²</t>
        </is>
      </c>
      <c r="E88" s="12" t="n">
        <v>104.4</v>
      </c>
      <c r="F88" s="11">
        <f> zastavěna 104.4 m²</f>
        <v/>
      </c>
      <c r="G88" s="11" t="inlineStr">
        <is>
          <t>962041141</t>
        </is>
      </c>
      <c r="H88" s="10" t="inlineStr">
        <is>
          <t>⚠ kandidát-verify</t>
        </is>
      </c>
      <c r="I88" s="11" t="inlineStr">
        <is>
          <t>260219_dum.HSV6.004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stávajících lehkých příček (cihla, sádrokarton, dřevo)</t>
        </is>
      </c>
      <c r="D89" s="10" t="inlineStr">
        <is>
          <t>m²</t>
        </is>
      </c>
      <c r="E89" s="12" t="n">
        <v>80</v>
      </c>
      <c r="F89" s="11" t="inlineStr">
        <is>
          <t>odhad — interier 2 patra × ~40 m² příček = 80</t>
        </is>
      </c>
      <c r="G89" s="11" t="inlineStr">
        <is>
          <t>962031132</t>
        </is>
      </c>
      <c r="H89" s="10" t="inlineStr">
        <is>
          <t>⚠ kandidát-verify</t>
        </is>
      </c>
      <c r="I89" s="11" t="inlineStr">
        <is>
          <t>260219_dum.HSV6.005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8 nových otvorů v nosných cihelných zdech pro dveře/okna (~1.0 × 2.1 m)</t>
        </is>
      </c>
      <c r="D90" s="10" t="inlineStr">
        <is>
          <t>ks</t>
        </is>
      </c>
      <c r="E90" s="12" t="n">
        <v>8</v>
      </c>
      <c r="F90" s="11" t="inlineStr">
        <is>
          <t>odhad počtu nových otvorů (= počet IPN160 překladů)</t>
        </is>
      </c>
      <c r="G90" s="11" t="inlineStr">
        <is>
          <t>962031132</t>
        </is>
      </c>
      <c r="H90" s="10" t="inlineStr">
        <is>
          <t>⚠ kandidát-verify</t>
        </is>
      </c>
      <c r="I90" s="11" t="inlineStr">
        <is>
          <t>260219_dum.HSV6.006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Bourání keramických obkladů a zařizovacích předmětů v koupelnách 1.NP + 2.NP</t>
        </is>
      </c>
      <c r="D91" s="10" t="inlineStr">
        <is>
          <t>m²</t>
        </is>
      </c>
      <c r="E91" s="12" t="n">
        <v>60</v>
      </c>
      <c r="F91" s="11" t="inlineStr">
        <is>
          <t>2 koupelny × ~30 m² obkladů = 60</t>
        </is>
      </c>
      <c r="G91" s="13" t="inlineStr">
        <is>
          <t>781473810</t>
        </is>
      </c>
      <c r="H91" s="10" t="inlineStr">
        <is>
          <t>⚠ kandidát-verify</t>
        </is>
      </c>
      <c r="I91" s="11" t="inlineStr">
        <is>
          <t>260219_dum.HSV6.007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Sejmutí podlah 1.NP a 2.NP — vč. nášlapů, podkladních vrstev</t>
        </is>
      </c>
      <c r="D92" s="10" t="inlineStr">
        <is>
          <t>m²</t>
        </is>
      </c>
      <c r="E92" s="12" t="n">
        <v>153.51</v>
      </c>
      <c r="F92" s="11" t="inlineStr">
        <is>
          <t>podlahova × 0.7 = ~154 m² (bez 3.NP nového)</t>
        </is>
      </c>
      <c r="G92" s="11" t="inlineStr">
        <is>
          <t>974031132</t>
        </is>
      </c>
      <c r="H92" s="10" t="inlineStr">
        <is>
          <t>⚠ kandidát-verify</t>
        </is>
      </c>
      <c r="I92" s="11" t="inlineStr">
        <is>
          <t>260219_dum.HSV6.008</t>
        </is>
      </c>
      <c r="J92" s="11" t="inlineStr"/>
      <c r="K92" s="11" t="inlineStr">
        <is>
          <t>Carried 1:1 (atomic — no decomposition needed)</t>
        </is>
      </c>
    </row>
    <row r="93">
      <c r="A93" s="10" t="n">
        <v>86</v>
      </c>
      <c r="B93" s="11" t="inlineStr">
        <is>
          <t>HSV-6 Bourací práce</t>
        </is>
      </c>
      <c r="C93" s="11" t="inlineStr">
        <is>
          <t>Demontáž záklopu a zásypů stropu 1.NP (prkenný záklop na trámech zachován)</t>
        </is>
      </c>
      <c r="D93" s="10" t="inlineStr">
        <is>
          <t>m³</t>
        </is>
      </c>
      <c r="E93" s="12" t="n">
        <v>5</v>
      </c>
      <c r="F93" s="11" t="inlineStr">
        <is>
          <t>100 m² × 0.05 m tl. zásypu = 5</t>
        </is>
      </c>
      <c r="G93" s="11" t="inlineStr">
        <is>
          <t>974041151</t>
        </is>
      </c>
      <c r="H93" s="10" t="inlineStr">
        <is>
          <t>⚠ kandidát-verify</t>
        </is>
      </c>
      <c r="I93" s="11" t="inlineStr">
        <is>
          <t>260219_dum.HSV6.009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87</v>
      </c>
      <c r="B94" s="11" t="inlineStr">
        <is>
          <t>HSV-6 Bourací práce</t>
        </is>
      </c>
      <c r="C94" s="11" t="inlineStr">
        <is>
          <t>Demontáž všech oken a dveří stávajících (recyklace)</t>
        </is>
      </c>
      <c r="D94" s="10" t="inlineStr">
        <is>
          <t>ks</t>
        </is>
      </c>
      <c r="E94" s="12" t="n">
        <v>25</v>
      </c>
      <c r="F94" s="11" t="inlineStr">
        <is>
          <t>odhad — ~10 oken + ~15 dveří (vstupní + vnitřní)</t>
        </is>
      </c>
      <c r="G94" s="11" t="inlineStr">
        <is>
          <t>968071120</t>
        </is>
      </c>
      <c r="H94" s="10" t="inlineStr">
        <is>
          <t>⚠ kandidát-verify</t>
        </is>
      </c>
      <c r="I94" s="11" t="inlineStr">
        <is>
          <t>260219_dum.HSV6.010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88</v>
      </c>
      <c r="B95" s="11" t="inlineStr">
        <is>
          <t>HSV-6 Bourací práce</t>
        </is>
      </c>
      <c r="C95" s="11" t="inlineStr">
        <is>
          <t>Demontáž všech sanitárních zařizovacích předmětů (WC, umyvadla, baterie, sprcha)</t>
        </is>
      </c>
      <c r="D95" s="10" t="inlineStr">
        <is>
          <t>ks</t>
        </is>
      </c>
      <c r="E95" s="12" t="n">
        <v>12</v>
      </c>
      <c r="F95" s="11" t="inlineStr">
        <is>
          <t>odhad — 2 koupelny × ~5 ks + WC + dřez = ~12</t>
        </is>
      </c>
      <c r="G95" s="11" t="inlineStr">
        <is>
          <t>725900001</t>
        </is>
      </c>
      <c r="H95" s="10" t="inlineStr">
        <is>
          <t>⚠ kandidát-verify</t>
        </is>
      </c>
      <c r="I95" s="11" t="inlineStr">
        <is>
          <t>260219_dum.HSV6.011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89</v>
      </c>
      <c r="B96" s="11" t="inlineStr">
        <is>
          <t>HSV-6 Bourací práce</t>
        </is>
      </c>
      <c r="C96" s="11" t="inlineStr">
        <is>
          <t>Odvoz a likvidace stavební suti dle vyhl. 8/2021 Sb. — celková tonáž odpadů</t>
        </is>
      </c>
      <c r="D96" s="10" t="inlineStr">
        <is>
          <t>t</t>
        </is>
      </c>
      <c r="E96" s="12" t="n">
        <v>56.5</v>
      </c>
      <c r="F96" s="11" t="inlineStr">
        <is>
          <t>TZ B m.10.e: 46 (beton/cihly) + 9 (dřevo) + 0.1 (kov) + 0.1 (EPS) + 0.2 (sádra) + 1.0 (směs) = 56.4</t>
        </is>
      </c>
      <c r="G96" s="11" t="inlineStr">
        <is>
          <t>997013501</t>
        </is>
      </c>
      <c r="H96" s="10" t="inlineStr">
        <is>
          <t>⚠ kandidát-verify</t>
        </is>
      </c>
      <c r="I96" s="11" t="inlineStr">
        <is>
          <t>260219_dum.HSV6.012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90</v>
      </c>
      <c r="B97" s="11" t="inlineStr">
        <is>
          <t>HSV-6 Bourací práce</t>
        </is>
      </c>
      <c r="C97" s="11" t="inlineStr">
        <is>
          <t>Demontáž stávajících dřevěných oken vč. rámů a parapetů — 16 ks (návrh všechna okna nová plastová trojsklem)</t>
        </is>
      </c>
      <c r="D97" s="10" t="inlineStr">
        <is>
          <t>ks</t>
        </is>
      </c>
      <c r="E97" s="12" t="n">
        <v>16</v>
      </c>
      <c r="F97" s="11" t="inlineStr">
        <is>
          <t>DXF INSERT okno* total 16 ks (Path C Tier 4 — front 9 + back 7)</t>
        </is>
      </c>
      <c r="G97" s="13" t="inlineStr">
        <is>
          <t>978013181</t>
        </is>
      </c>
      <c r="H97" s="10" t="inlineStr">
        <is>
          <t>✓ verified</t>
        </is>
      </c>
      <c r="I97" s="11" t="inlineStr">
        <is>
          <t>260219_dum.HSV6.013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91</v>
      </c>
      <c r="B98" s="11" t="inlineStr">
        <is>
          <t>HSV-6 Bourací práce</t>
        </is>
      </c>
      <c r="C98" s="11" t="inlineStr">
        <is>
          <t>Demontáž stávajících vstupních dveří + rámů — 2 ks (1× ulice Fibichova + 1× zahrada; návrh nové plastové vstupní dveře)</t>
        </is>
      </c>
      <c r="D98" s="10" t="inlineStr">
        <is>
          <t>ks</t>
        </is>
      </c>
      <c r="E98" s="12" t="n">
        <v>2</v>
      </c>
      <c r="F98" s="11" t="inlineStr">
        <is>
          <t>DXF INSERT dveře = 2 (Path C Tier 4) + TZ ARS</t>
        </is>
      </c>
      <c r="G98" s="13" t="inlineStr">
        <is>
          <t>978013181</t>
        </is>
      </c>
      <c r="H98" s="10" t="inlineStr">
        <is>
          <t>✓ verified</t>
        </is>
      </c>
      <c r="I98" s="11" t="inlineStr">
        <is>
          <t>260219_dum.HSV6.014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92</v>
      </c>
      <c r="B99" s="11" t="inlineStr">
        <is>
          <t>HSV-6 Bourací práce</t>
        </is>
      </c>
      <c r="C99" s="11" t="inlineStr">
        <is>
          <t>Demontáž stávajících vnitřních dveří vč. ocelových/dřevěných zárubní — odhad 15 ks (3 patra × ~5 dveří/patro per DXF SM__dveře layer)</t>
        </is>
      </c>
      <c r="D99" s="10" t="inlineStr">
        <is>
          <t>ks</t>
        </is>
      </c>
      <c r="E99" s="12" t="n">
        <v>15</v>
      </c>
      <c r="F99" s="11" t="inlineStr">
        <is>
          <t>DXF SM__dveře polylines 102 / ~3 fáze / ~2.3 symbol per dveře ≈ 15 ks návrh (Path C confidence 0.65)</t>
        </is>
      </c>
      <c r="G99" s="11" t="inlineStr">
        <is>
          <t>968072456</t>
        </is>
      </c>
      <c r="H99" s="10" t="inlineStr">
        <is>
          <t>⚠ kandidát-verify</t>
        </is>
      </c>
      <c r="I99" s="11" t="inlineStr">
        <is>
          <t>260219_dum.HSV6.015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93</v>
      </c>
      <c r="B100" s="11" t="inlineStr">
        <is>
          <t>HSV-6 Bourací práce</t>
        </is>
      </c>
      <c r="C100" s="11" t="inlineStr">
        <is>
          <t>Bourání vrchní části stávajícího komínu v posledním podlaží (cihelné zdivo, ručně), vč. likvidace cihelné suti</t>
        </is>
      </c>
      <c r="D100" s="10" t="inlineStr">
        <is>
          <t>m³</t>
        </is>
      </c>
      <c r="E100" s="12" t="n">
        <v>0.6</v>
      </c>
      <c r="F100" s="11" t="inlineStr">
        <is>
          <t>průměr komín 0.50×0.50 × výška nad střechou ~2.4 m = 0.6 m³ (OPRAVA ChatGPT revize 2026-05-29: dříve 6.0 m³ = ×10 chybná inflace; skutečný objem 0.6 m³)</t>
        </is>
      </c>
      <c r="G100" s="13" t="inlineStr">
        <is>
          <t>962024141</t>
        </is>
      </c>
      <c r="H100" s="10" t="inlineStr">
        <is>
          <t>⚠ kandidát-verify</t>
        </is>
      </c>
      <c r="I100" s="11" t="inlineStr">
        <is>
          <t>260219_dum.HSV6.016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stávajících opěrných zídek a venkovního schodiště v zahradě/dvoře — částečné, dle vyznačení v půdorysech bourání</t>
        </is>
      </c>
      <c r="D101" s="10" t="inlineStr">
        <is>
          <t>m³</t>
        </is>
      </c>
      <c r="E101" s="12" t="n">
        <v>8</v>
      </c>
      <c r="F101" s="11" t="inlineStr">
        <is>
          <t>odhad ze řez A-A bourání + půdorys bourání 1.NP/1.PP, ~8 m³ celkem (opěrné zídky + venkovní schodiště zahrada/dvůr)</t>
        </is>
      </c>
      <c r="G101" s="13" t="inlineStr">
        <is>
          <t>961044111</t>
        </is>
      </c>
      <c r="H101" s="10" t="inlineStr">
        <is>
          <t>⚠ kandidát-verify</t>
        </is>
      </c>
      <c r="I101" s="11" t="inlineStr">
        <is>
          <t>260219_dum.HSV6.017</t>
        </is>
      </c>
      <c r="J101" s="11" t="inlineStr"/>
      <c r="K101" s="11" t="inlineStr">
        <is>
          <t>Carried 1:1 (atomic — no decomposition needed)</t>
        </is>
      </c>
    </row>
    <row r="102">
      <c r="A102" s="8" t="inlineStr">
        <is>
          <t>━━ HSV-7 Fasáda ETICS  (9 atomic operací) ━━</t>
        </is>
      </c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</row>
    <row r="103">
      <c r="A103" s="10" t="n">
        <v>95</v>
      </c>
      <c r="B103" s="11" t="inlineStr">
        <is>
          <t>HSV-7 Fasáda ETICS</t>
        </is>
      </c>
      <c r="C103" s="11" t="inlineStr">
        <is>
          <t>Příprava fasádního podkladu — očištění tlakovou vodou, vyspravení omítek, fungicidní nátěr</t>
        </is>
      </c>
      <c r="D103" s="10" t="inlineStr">
        <is>
          <t>m²</t>
        </is>
      </c>
      <c r="E103" s="12" t="n">
        <v>276.7</v>
      </c>
      <c r="F103" s="11" t="inlineStr">
        <is>
          <t>obvod 38.7 m (DXF) × 0.55 (volná fasáda, štíty zachované) × výška 13.0 m = 276.7 m²</t>
        </is>
      </c>
      <c r="G103" s="11" t="inlineStr">
        <is>
          <t>622401110</t>
        </is>
      </c>
      <c r="H103" s="10" t="inlineStr">
        <is>
          <t>⚠ kandidát-verify</t>
        </is>
      </c>
      <c r="I103" s="11" t="inlineStr">
        <is>
          <t>260219_dum.HSV7.001</t>
        </is>
      </c>
      <c r="J103" s="11" t="inlineStr">
        <is>
          <t>S01</t>
        </is>
      </c>
      <c r="K103" s="11" t="inlineStr">
        <is>
          <t>Carried 1:1 (atomic — no decomposition needed)</t>
        </is>
      </c>
    </row>
    <row r="104">
      <c r="A104" s="14" t="n">
        <v>96</v>
      </c>
      <c r="B104" s="15" t="inlineStr">
        <is>
          <t>HSV-7 Fasáda ETICS</t>
        </is>
      </c>
      <c r="C104" s="15" t="inlineStr">
        <is>
          <t>Lepení + kotvení desek EPS 70F grey λ=0.032 tl. 160 mm — ETICS kontaktní zateplení fasády</t>
        </is>
      </c>
      <c r="D104" s="14" t="inlineStr">
        <is>
          <t>m²</t>
        </is>
      </c>
      <c r="E104" s="16" t="n">
        <v>276.7</v>
      </c>
      <c r="F104" s="15">
        <f> HSV7.002 plocha fasády 276.7 m²</f>
        <v/>
      </c>
      <c r="G104" s="15" t="inlineStr">
        <is>
          <t>713</t>
        </is>
      </c>
      <c r="H104" s="14" t="inlineStr">
        <is>
          <t>⚠ família ??? (ÚRS online)</t>
        </is>
      </c>
      <c r="I104" s="15" t="inlineStr">
        <is>
          <t>260219_dum.HSV7.002 → HSV7.002a</t>
        </is>
      </c>
      <c r="J104" s="15" t="inlineStr">
        <is>
          <t>S01, S12a</t>
        </is>
      </c>
      <c r="K104" s="15" t="inlineStr">
        <is>
          <t>Lepení+kotvení EPS (713/622 família). Leaf dle tl. 160 mm — verify.  Doplnit leaf z CS ÚRS online (app.urs.cz, cen. úroveň 2026 01) dle família + popis + Vzorec.</t>
        </is>
      </c>
    </row>
    <row r="105">
      <c r="A105" s="14" t="n">
        <v>97</v>
      </c>
      <c r="B105" s="15" t="inlineStr">
        <is>
          <t>HSV-7 Fasáda ETICS</t>
        </is>
      </c>
      <c r="C105" s="15" t="inlineStr">
        <is>
          <t>Armovací vrstva — výztužná síťka + lepicí stěrka (zatírací) na ETICS</t>
        </is>
      </c>
      <c r="D105" s="14" t="inlineStr">
        <is>
          <t>m²</t>
        </is>
      </c>
      <c r="E105" s="16" t="n">
        <v>276.7</v>
      </c>
      <c r="F105" s="15">
        <f> HSV7.002 plocha 276.7 m²</f>
        <v/>
      </c>
      <c r="G105" s="15" t="inlineStr">
        <is>
          <t>622</t>
        </is>
      </c>
      <c r="H105" s="14" t="inlineStr">
        <is>
          <t>⚠ família ??? (ÚRS online)</t>
        </is>
      </c>
      <c r="I105" s="15" t="inlineStr">
        <is>
          <t>260219_dum.HSV7.002 → HSV7.002b</t>
        </is>
      </c>
      <c r="J105" s="15" t="inlineStr">
        <is>
          <t>S01, S12a</t>
        </is>
      </c>
      <c r="K105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06">
      <c r="A106" s="14" t="n">
        <v>98</v>
      </c>
      <c r="B106" s="15" t="inlineStr">
        <is>
          <t>HSV-7 Fasáda ETICS</t>
        </is>
      </c>
      <c r="C106" s="15" t="inlineStr">
        <is>
          <t>Lepení + kotvení desek XPS λ=0.034 tl. 120 mm + soklový profil — ETICS sokl</t>
        </is>
      </c>
      <c r="D106" s="14" t="inlineStr">
        <is>
          <t>m²</t>
        </is>
      </c>
      <c r="E106" s="16" t="n">
        <v>13.5</v>
      </c>
      <c r="F106" s="15">
        <f> HSV7.003 plocha soklu 13.5 m²</f>
        <v/>
      </c>
      <c r="G106" s="15" t="inlineStr">
        <is>
          <t>713</t>
        </is>
      </c>
      <c r="H106" s="14" t="inlineStr">
        <is>
          <t>⚠ família ??? (ÚRS online)</t>
        </is>
      </c>
      <c r="I106" s="15" t="inlineStr">
        <is>
          <t>260219_dum.HSV7.003 → HSV7.003a</t>
        </is>
      </c>
      <c r="J106" s="15" t="inlineStr">
        <is>
          <t>S01</t>
        </is>
      </c>
      <c r="K106" s="15" t="inlineStr">
        <is>
          <t>Sokl XPS lepení + soklový profil (713/622 família).  Doplnit leaf z CS ÚRS online (app.urs.cz, cen. úroveň 2026 01) dle família + popis + Vzorec.</t>
        </is>
      </c>
    </row>
    <row r="107">
      <c r="A107" s="14" t="n">
        <v>99</v>
      </c>
      <c r="B107" s="15" t="inlineStr">
        <is>
          <t>HSV-7 Fasáda ETICS</t>
        </is>
      </c>
      <c r="C107" s="15" t="inlineStr">
        <is>
          <t>Cihelný obklad soklu spárovaný (na armovací vrstvu)</t>
        </is>
      </c>
      <c r="D107" s="14" t="inlineStr">
        <is>
          <t>m²</t>
        </is>
      </c>
      <c r="E107" s="16" t="n">
        <v>13.5</v>
      </c>
      <c r="F107" s="15">
        <f> HSV7.003 plocha soklu 13.5 m²</f>
        <v/>
      </c>
      <c r="G107" s="15" t="inlineStr">
        <is>
          <t>781</t>
        </is>
      </c>
      <c r="H107" s="14" t="inlineStr">
        <is>
          <t>⚠ família ??? (ÚRS online)</t>
        </is>
      </c>
      <c r="I107" s="15" t="inlineStr">
        <is>
          <t>260219_dum.HSV7.003 → HSV7.003b</t>
        </is>
      </c>
      <c r="J107" s="15" t="inlineStr">
        <is>
          <t>S01</t>
        </is>
      </c>
      <c r="K107" s="15" t="inlineStr">
        <is>
          <t>Cihelný obklad spárovaný (781 família obklady).  Doplnit leaf z CS ÚRS online (app.urs.cz, cen. úroveň 2026 01) dle família + popis + Vzorec.</t>
        </is>
      </c>
    </row>
    <row r="108">
      <c r="A108" s="14" t="n">
        <v>100</v>
      </c>
      <c r="B108" s="15" t="inlineStr">
        <is>
          <t>HSV-7 Fasáda ETICS</t>
        </is>
      </c>
      <c r="C108" s="15" t="inlineStr">
        <is>
          <t>Špalety oken — EPS přesah 35-40 mm lepení + kotvení</t>
        </is>
      </c>
      <c r="D108" s="14" t="inlineStr">
        <is>
          <t>bm</t>
        </is>
      </c>
      <c r="E108" s="16" t="n">
        <v>82.2</v>
      </c>
      <c r="F108" s="15">
        <f> HSV7.004 obvod špalet 82.2 bm</f>
        <v/>
      </c>
      <c r="G108" s="15" t="inlineStr">
        <is>
          <t>622</t>
        </is>
      </c>
      <c r="H108" s="14" t="inlineStr">
        <is>
          <t>⚠ família ??? (ÚRS online)</t>
        </is>
      </c>
      <c r="I108" s="15" t="inlineStr">
        <is>
          <t>260219_dum.HSV7.004 → HSV7.004a</t>
        </is>
      </c>
      <c r="J108" s="15" t="inlineStr">
        <is>
          <t>S01, S12a</t>
        </is>
      </c>
      <c r="K108" s="15" t="inlineStr">
        <is>
          <t>Špalety EPS přesah (622 família).  Doplnit leaf z CS ÚRS online (app.urs.cz, cen. úroveň 2026 01) dle família + popis + Vzorec.</t>
        </is>
      </c>
    </row>
    <row r="109">
      <c r="A109" s="14" t="n">
        <v>101</v>
      </c>
      <c r="B109" s="15" t="inlineStr">
        <is>
          <t>HSV-7 Fasáda ETICS</t>
        </is>
      </c>
      <c r="C109" s="15" t="inlineStr">
        <is>
          <t>Špalety oken — armovací vrstva síťka + omítka</t>
        </is>
      </c>
      <c r="D109" s="14" t="inlineStr">
        <is>
          <t>bm</t>
        </is>
      </c>
      <c r="E109" s="16" t="n">
        <v>82.2</v>
      </c>
      <c r="F109" s="15">
        <f> HSV7.004 obvod 82.2 bm</f>
        <v/>
      </c>
      <c r="G109" s="15" t="inlineStr">
        <is>
          <t>622</t>
        </is>
      </c>
      <c r="H109" s="14" t="inlineStr">
        <is>
          <t>⚠ família ??? (ÚRS online)</t>
        </is>
      </c>
      <c r="I109" s="15" t="inlineStr">
        <is>
          <t>260219_dum.HSV7.004 → HSV7.004b</t>
        </is>
      </c>
      <c r="J109" s="15" t="inlineStr">
        <is>
          <t>S01, S12a</t>
        </is>
      </c>
      <c r="K109" s="15" t="inlineStr">
        <is>
          <t>Armovací vrstva + omítka špalet (622 família).  Doplnit leaf z CS ÚRS online (app.urs.cz, cen. úroveň 2026 01) dle família + popis + Vzorec.</t>
        </is>
      </c>
    </row>
    <row r="110">
      <c r="A110" s="10" t="n">
        <v>102</v>
      </c>
      <c r="B110" s="11" t="inlineStr">
        <is>
          <t>HSV-7 Fasáda ETICS</t>
        </is>
      </c>
      <c r="C110" s="11" t="inlineStr">
        <is>
          <t>Profilace fasády — různé tloušťky EPS (kordony, šambrány, rámování oken) — paušál podle pohledů</t>
        </is>
      </c>
      <c r="D110" s="10" t="inlineStr">
        <is>
          <t>soubor</t>
        </is>
      </c>
      <c r="E110" s="12" t="n">
        <v>1</v>
      </c>
      <c r="F110" s="11" t="inlineStr">
        <is>
          <t>paušál — dle pohledů NCS NZÚ</t>
        </is>
      </c>
      <c r="G110" s="11" t="inlineStr">
        <is>
          <t>622221221</t>
        </is>
      </c>
      <c r="H110" s="10" t="inlineStr">
        <is>
          <t>⚠ kandidát-verify</t>
        </is>
      </c>
      <c r="I110" s="11" t="inlineStr">
        <is>
          <t>260219_dum.HSV7.005</t>
        </is>
      </c>
      <c r="J110" s="11" t="inlineStr">
        <is>
          <t>S01, S12a</t>
        </is>
      </c>
      <c r="K110" s="11" t="inlineStr">
        <is>
          <t>Carried 1:1 (atomic — no decomposition needed)</t>
        </is>
      </c>
    </row>
    <row r="111">
      <c r="A111" s="10" t="n">
        <v>103</v>
      </c>
      <c r="B111" s="11" t="inlineStr">
        <is>
          <t>HSV-7 Fasáda ETICS</t>
        </is>
      </c>
      <c r="C111" s="11" t="inlineStr">
        <is>
          <t>Tenkovrstvá pastovitá probarvená omítka, lomená bílá NCS NZÚ — finální vrstva ETICS</t>
        </is>
      </c>
      <c r="D111" s="10" t="inlineStr">
        <is>
          <t>m²</t>
        </is>
      </c>
      <c r="E111" s="12" t="n">
        <v>290.2</v>
      </c>
      <c r="F111" s="11" t="inlineStr">
        <is>
          <t>ETICS plocha 276.7 m² + sokl 13.5 m² = 290.2 m²</t>
        </is>
      </c>
      <c r="G111" s="13" t="inlineStr">
        <is>
          <t>622521111</t>
        </is>
      </c>
      <c r="H111" s="10" t="inlineStr">
        <is>
          <t>⚠ kandidát-verify</t>
        </is>
      </c>
      <c r="I111" s="11" t="inlineStr">
        <is>
          <t>260219_dum.HSV7.006</t>
        </is>
      </c>
      <c r="J111" s="11" t="inlineStr">
        <is>
          <t>S01, S12a, S12b</t>
        </is>
      </c>
      <c r="K111" s="11" t="inlineStr">
        <is>
          <t>Carried 1:1 (atomic — no decomposition needed)</t>
        </is>
      </c>
    </row>
  </sheetData>
  <autoFilter ref="A1:K1"/>
  <mergeCells count="7">
    <mergeCell ref="A22:K22"/>
    <mergeCell ref="A59:K59"/>
    <mergeCell ref="A2:K2"/>
    <mergeCell ref="A84:K84"/>
    <mergeCell ref="A36:K36"/>
    <mergeCell ref="A44:K44"/>
    <mergeCell ref="A102:K10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260219_dum.HSV7.002</t>
        </is>
      </c>
      <c r="B8" s="15" t="inlineStr">
        <is>
          <t>HSV-7 Fasáda ETICS</t>
        </is>
      </c>
      <c r="C8" s="15" t="inlineStr">
        <is>
          <t xml:space="preserve">ETICS kontaktní zateplení — EPS 70F grey λ=0.032 tl. 160 mm + síťka + lepidlo + zatírací stěrka (řez S01+S12a explicit, </t>
        </is>
      </c>
      <c r="D8" s="14" t="inlineStr">
        <is>
          <t>m²</t>
        </is>
      </c>
      <c r="E8" s="16" t="n">
        <v>276.7</v>
      </c>
      <c r="F8" s="14" t="n">
        <v>2</v>
      </c>
      <c r="G8" s="15" t="inlineStr">
        <is>
          <t>HSV7.002a, HSV7.002b</t>
        </is>
      </c>
    </row>
    <row r="9">
      <c r="A9" s="15" t="inlineStr">
        <is>
          <t>260219_dum.HSV7.003</t>
        </is>
      </c>
      <c r="B9" s="15" t="inlineStr">
        <is>
          <t>HSV-7 Fasáda ETICS</t>
        </is>
      </c>
      <c r="C9" s="15" t="inlineStr">
        <is>
          <t>ETICS sokl — XPS λ=0.034 tl. 120 mm + soklový profil + cihelný obklad spárovaný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HSV7.003a, HSV7.003b</t>
        </is>
      </c>
    </row>
    <row r="10">
      <c r="A10" s="15" t="inlineStr">
        <is>
          <t>260219_dum.HSV7.004</t>
        </is>
      </c>
      <c r="B10" s="15" t="inlineStr">
        <is>
          <t>HSV-7 Fasáda ETICS</t>
        </is>
      </c>
      <c r="C10" s="15" t="inlineStr">
        <is>
          <t>Špalety oken — EPS přesah 35-40 mm + síťka + omítka</t>
        </is>
      </c>
      <c r="D10" s="14" t="inlineStr">
        <is>
          <t>bm</t>
        </is>
      </c>
      <c r="E10" s="16" t="n">
        <v>82.2</v>
      </c>
      <c r="F10" s="14" t="n">
        <v>2</v>
      </c>
      <c r="G10" s="15" t="inlineStr">
        <is>
          <t>HSV7.004a, HSV7.004b</t>
        </is>
      </c>
    </row>
    <row r="11">
      <c r="A11" s="15" t="inlineStr">
        <is>
          <t>260219_dum.PSV76.003</t>
        </is>
      </c>
      <c r="B11" s="15" t="inlineStr">
        <is>
          <t>PSV-76 Klempíř</t>
        </is>
      </c>
      <c r="C11" s="15" t="inlineStr">
        <is>
          <t>Dešťové svody Pzn 100 mm + žlaby — 4 svody × ~14 m + žlaby per obvod střechy</t>
        </is>
      </c>
      <c r="D11" s="14" t="inlineStr">
        <is>
          <t>bm</t>
        </is>
      </c>
      <c r="E11" s="16" t="n">
        <v>43.5</v>
      </c>
      <c r="F11" s="14" t="n">
        <v>2</v>
      </c>
      <c r="G11" s="15" t="inlineStr">
        <is>
          <t>PSV76.003a, PSV76.003b</t>
        </is>
      </c>
    </row>
    <row r="12">
      <c r="A12" s="15" t="inlineStr">
        <is>
          <t>260219_dum.PSV76.002</t>
        </is>
      </c>
      <c r="B12" s="15" t="inlineStr">
        <is>
          <t>PSV-76 Truhlář</t>
        </is>
      </c>
      <c r="C12" s="15" t="inlineStr">
        <is>
          <t>Dřevěná terasa za opěrnou stěnou — prkna garapa 145×25 mm na dřevěném roštu z hranolů 50 mm na rektifikovatelných terčíc</t>
        </is>
      </c>
      <c r="D12" s="14" t="inlineStr">
        <is>
          <t>m²</t>
        </is>
      </c>
      <c r="E12" s="16" t="n">
        <v>9.23</v>
      </c>
      <c r="F12" s="14" t="n">
        <v>2</v>
      </c>
      <c r="G12" s="15" t="inlineStr">
        <is>
          <t>PSV76.002a, PSV76.002b</t>
        </is>
      </c>
    </row>
    <row r="13">
      <c r="A13" s="15" t="inlineStr">
        <is>
          <t>260219_dum.PSV77.002</t>
        </is>
      </c>
      <c r="B13" s="15" t="inlineStr">
        <is>
          <t>PSV-77 Podlahy</t>
        </is>
      </c>
      <c r="C13" s="15" t="inlineStr">
        <is>
          <t>Nášlapná vrstva keramická dlažba lepená — koupelny + WC + spíž + komora (NÁDRŽ NP)</t>
        </is>
      </c>
      <c r="D13" s="14" t="inlineStr">
        <is>
          <t>m²</t>
        </is>
      </c>
      <c r="E13" s="16" t="n">
        <v>13.5</v>
      </c>
      <c r="F13" s="14" t="n">
        <v>2</v>
      </c>
      <c r="G13" s="15" t="inlineStr">
        <is>
          <t>PSV77.002a, PSV77.002b</t>
        </is>
      </c>
    </row>
    <row r="14">
      <c r="A14" s="15" t="inlineStr">
        <is>
          <t>260219_dum.PSV77.003</t>
        </is>
      </c>
      <c r="B14" s="15" t="inlineStr">
        <is>
          <t>PSV-77 Podlahy</t>
        </is>
      </c>
      <c r="C14" s="15" t="inlineStr">
        <is>
          <t>Nášlapná vrstva keramická dlažba — 1.PP technické místnosti (sušárna + sklepy + schodiště + chodba)</t>
        </is>
      </c>
      <c r="D14" s="14" t="inlineStr">
        <is>
          <t>m²</t>
        </is>
      </c>
      <c r="E14" s="16" t="n">
        <v>32.4</v>
      </c>
      <c r="F14" s="14" t="n">
        <v>2</v>
      </c>
      <c r="G14" s="15" t="inlineStr">
        <is>
          <t>PSV77.003a, PSV77.003b</t>
        </is>
      </c>
    </row>
    <row r="15">
      <c r="A15" s="15" t="inlineStr">
        <is>
          <t>260219_dum.PSV78.001</t>
        </is>
      </c>
      <c r="B15" s="15" t="inlineStr">
        <is>
          <t>PSV-78 Povrchové úpravy</t>
        </is>
      </c>
      <c r="C15" s="15" t="inlineStr">
        <is>
          <t>Omítka jádrová vápenocementová tl. 15 mm + štuková povrchová úprava na stěnách 1.PP (stávající vyspravené + nové zděné)</t>
        </is>
      </c>
      <c r="D15" s="14" t="inlineStr">
        <is>
          <t>m²</t>
        </is>
      </c>
      <c r="E15" s="16" t="n">
        <v>78.2</v>
      </c>
      <c r="F15" s="14" t="n">
        <v>2</v>
      </c>
      <c r="G15" s="15" t="inlineStr">
        <is>
          <t>PSV78.001a, PSV78.001b</t>
        </is>
      </c>
    </row>
    <row r="16">
      <c r="A16" s="15" t="inlineStr">
        <is>
          <t>260219_dum.PSV78.002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1.NP (stávající vyspravené + nové zděné)</t>
        </is>
      </c>
      <c r="D16" s="14" t="inlineStr">
        <is>
          <t>m²</t>
        </is>
      </c>
      <c r="E16" s="16" t="n">
        <v>208.4</v>
      </c>
      <c r="F16" s="14" t="n">
        <v>2</v>
      </c>
      <c r="G16" s="15" t="inlineStr">
        <is>
          <t>PSV78.002a, PSV78.002b</t>
        </is>
      </c>
    </row>
    <row r="17">
      <c r="A17" s="15" t="inlineStr">
        <is>
          <t>260219_dum.PSV78.003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2.NP (stávající vyspravené + nové zděné)</t>
        </is>
      </c>
      <c r="D17" s="14" t="inlineStr">
        <is>
          <t>m²</t>
        </is>
      </c>
      <c r="E17" s="16" t="n">
        <v>201.6</v>
      </c>
      <c r="F17" s="14" t="n">
        <v>2</v>
      </c>
      <c r="G17" s="15" t="inlineStr">
        <is>
          <t>PSV78.003a, PSV78.003b</t>
        </is>
      </c>
    </row>
    <row r="18">
      <c r="A18" s="15" t="inlineStr">
        <is>
          <t>260219_dum.PSV78.004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3.NP (stávající vyspravené + nové zděné)</t>
        </is>
      </c>
      <c r="D18" s="14" t="inlineStr">
        <is>
          <t>m²</t>
        </is>
      </c>
      <c r="E18" s="16" t="n">
        <v>179.1</v>
      </c>
      <c r="F18" s="14" t="n">
        <v>2</v>
      </c>
      <c r="G18" s="15" t="inlineStr">
        <is>
          <t>PSV78.004a, PSV78.004b</t>
        </is>
      </c>
    </row>
    <row r="19">
      <c r="A19" s="15" t="inlineStr">
        <is>
          <t>260219_dum.PSV72.004</t>
        </is>
      </c>
      <c r="B19" s="15" t="inlineStr">
        <is>
          <t>PSV-72 ZTI</t>
        </is>
      </c>
      <c r="C19" s="15" t="inlineStr">
        <is>
          <t>Sanitární keramika dodávka + montáž v koupelně 1.05 1.NP: 1× vana (DXF) + 1× umyvadlo (DXF) + 1× WC (TZ standard)</t>
        </is>
      </c>
      <c r="D19" s="14" t="inlineStr">
        <is>
          <t>set</t>
        </is>
      </c>
      <c r="E19" s="16" t="n">
        <v>0</v>
      </c>
      <c r="F19" s="14" t="n">
        <v>3</v>
      </c>
      <c r="G19" s="15" t="inlineStr">
        <is>
          <t>PSV72.004a, PSV72.004b, PSV72.004c</t>
        </is>
      </c>
    </row>
    <row r="20">
      <c r="A20" s="15" t="inlineStr">
        <is>
          <t>260219_dum.PSV72.005</t>
        </is>
      </c>
      <c r="B20" s="15" t="inlineStr">
        <is>
          <t>PSV-72 ZTI</t>
        </is>
      </c>
      <c r="C20" s="15" t="inlineStr">
        <is>
          <t>Sanitární keramika dodávka + montáž v koupelně 2.03 2.NP: 1× umyvadlo (DXF) + 1× WC (TZ standard) + 1× sprcha (TZ standa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PSV72.005a, PSV72.005b, PSV72.005c</t>
        </is>
      </c>
    </row>
    <row r="21">
      <c r="A21" s="15" t="inlineStr">
        <is>
          <t>260219_dum.PSV72.006</t>
        </is>
      </c>
      <c r="B21" s="15" t="inlineStr">
        <is>
          <t>PSV-72 ZTI</t>
        </is>
      </c>
      <c r="C21" s="15" t="inlineStr">
        <is>
          <t>Sanitární keramika dodávka + montáž v koupelně 3.04 3.NP: 1× WC (DXF) + 1× umyvadlo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PSV72.006a, PSV72.006b, PSV72.006c</t>
        </is>
      </c>
    </row>
    <row r="22">
      <c r="A22" s="15" t="inlineStr">
        <is>
          <t>260219_dum.PSV72.008</t>
        </is>
      </c>
      <c r="B22" s="15" t="inlineStr">
        <is>
          <t>PSV-72 ZTI</t>
        </is>
      </c>
      <c r="C22" s="15" t="inlineStr">
        <is>
          <t>Vodovodní baterie (WC ventil + páková umyvadlová + sprchové + dřezové + termostat sprchové) — ~15 ks + drobné instalační</t>
        </is>
      </c>
      <c r="D22" s="14" t="inlineStr">
        <is>
          <t>ks</t>
        </is>
      </c>
      <c r="E22" s="16" t="n">
        <v>15</v>
      </c>
      <c r="F22" s="14" t="n">
        <v>4</v>
      </c>
      <c r="G22" s="15" t="inlineStr">
        <is>
          <t>PSV72.008a, PSV72.008b, PSV72.008c, PSV72.008d</t>
        </is>
      </c>
    </row>
    <row r="23">
      <c r="A23" s="15" t="inlineStr">
        <is>
          <t>260219_dum.HSV1.015</t>
        </is>
      </c>
      <c r="B23" s="15" t="inlineStr">
        <is>
          <t>HSV-1 Zemní práce</t>
        </is>
      </c>
      <c r="C23" s="15" t="inlineStr">
        <is>
          <t>Drenáž za opěrnou stěnou (bílou vanou) — drenážní trubka DN100 vlnitá perforovaná + štěrkový obsyp 16/32 + geotextilie +</t>
        </is>
      </c>
      <c r="D23" s="14" t="inlineStr">
        <is>
          <t>m</t>
        </is>
      </c>
      <c r="E23" s="16" t="n">
        <v>12</v>
      </c>
      <c r="F23" s="14" t="n">
        <v>3</v>
      </c>
      <c r="G23" s="15" t="inlineStr">
        <is>
          <t>HSV1.015a, HSV1.015b, HSV1.015c</t>
        </is>
      </c>
    </row>
    <row r="24">
      <c r="A24" s="15" t="inlineStr">
        <is>
          <t>260219_dum.HSV5.017</t>
        </is>
      </c>
      <c r="B24" s="15" t="inlineStr">
        <is>
          <t>HSV-5 Krov + střecha</t>
        </is>
      </c>
      <c r="C24" s="15" t="inlineStr">
        <is>
          <t>Montáž svorníků / šroubů tesařských spojů krovu délky přes 150 do 300 mm — spojení kleštin 2×60/180 mm s krokvemi (svorn</t>
        </is>
      </c>
      <c r="D24" s="14" t="inlineStr">
        <is>
          <t>ks</t>
        </is>
      </c>
      <c r="E24" s="16" t="n">
        <v>50</v>
      </c>
      <c r="F24" s="14" t="n">
        <v>4</v>
      </c>
      <c r="G24" s="15" t="inlineStr">
        <is>
          <t>HSV5.017a, HSV5.017b, HSV5.017c, HSV5.017d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2026-06-01T06:59:00Z</dcterms:created>
  <dcterms:modified xmlns:dcterms="http://purl.org/dc/terms/" xmlns:xsi="http://www.w3.org/2001/XMLSchema-instance" xsi:type="dcterms:W3CDTF">2026-06-01T06:59:00Z</dcterms:modified>
</cp:coreProperties>
</file>